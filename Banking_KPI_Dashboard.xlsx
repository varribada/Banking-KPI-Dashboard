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hidePivotFieldList="1" autoCompressPictures="0"/>
  <xr:revisionPtr revIDLastSave="922" documentId="11_21F687054B6A333D8664B67AC78FE0278306BD47" xr6:coauthVersionLast="47" xr6:coauthVersionMax="47" xr10:uidLastSave="{C027A283-0929-450A-A8D9-B7588D129442}"/>
  <bookViews>
    <workbookView xWindow="0" yWindow="0" windowWidth="0" windowHeight="0" firstSheet="2" activeTab="2" xr2:uid="{00000000-000D-0000-FFFF-FFFF00000000}"/>
  </bookViews>
  <sheets>
    <sheet name="Dati_Clienti" sheetId="1" r:id="rId1"/>
    <sheet name="Analisi_Pivot" sheetId="3" r:id="rId2"/>
    <sheet name="Dashboard" sheetId="2" r:id="rId3"/>
  </sheets>
  <calcPr calcId="191028" refMode="R1C1" iterateCount="0" calcOnSave="0" concurrentCalc="0"/>
  <pivotCaches>
    <pivotCache cacheId="20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H41" i="3"/>
  <c r="H42" i="3"/>
  <c r="H43" i="3"/>
  <c r="H44" i="3"/>
  <c r="H45" i="3"/>
  <c r="H46" i="3"/>
  <c r="H47" i="3"/>
  <c r="H48" i="3"/>
  <c r="G41" i="3"/>
  <c r="G42" i="3"/>
  <c r="G43" i="3"/>
  <c r="G44" i="3"/>
  <c r="G45" i="3"/>
  <c r="G46" i="3"/>
  <c r="G47" i="3"/>
  <c r="G48" i="3"/>
  <c r="E46" i="3"/>
  <c r="E41" i="3"/>
  <c r="E43" i="3"/>
  <c r="E48" i="3"/>
  <c r="E47" i="3"/>
  <c r="E44" i="3"/>
  <c r="E42" i="3"/>
  <c r="E45" i="3"/>
  <c r="D46" i="3"/>
  <c r="D41" i="3"/>
  <c r="D43" i="3"/>
  <c r="D48" i="3"/>
  <c r="D47" i="3"/>
  <c r="D44" i="3"/>
  <c r="D42" i="3"/>
  <c r="D45" i="3"/>
  <c r="B48" i="3"/>
  <c r="B46" i="3"/>
  <c r="B47" i="3"/>
  <c r="B45" i="3"/>
  <c r="B44" i="3"/>
  <c r="B42" i="3"/>
  <c r="B43" i="3"/>
  <c r="B41" i="3"/>
  <c r="A48" i="3"/>
  <c r="A46" i="3"/>
  <c r="A47" i="3"/>
  <c r="A45" i="3"/>
  <c r="A44" i="3"/>
  <c r="A42" i="3"/>
  <c r="A43" i="3"/>
  <c r="A41" i="3"/>
  <c r="F32" i="3"/>
  <c r="F33" i="3"/>
  <c r="F34" i="3"/>
  <c r="F35" i="3"/>
  <c r="E32" i="3"/>
  <c r="E33" i="3"/>
  <c r="E34" i="3"/>
  <c r="E35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B9" i="2"/>
  <c r="A13" i="2"/>
  <c r="A9" i="2"/>
  <c r="A15" i="2" s="1"/>
  <c r="C7" i="2"/>
  <c r="B7" i="2"/>
  <c r="A11" i="2"/>
  <c r="B11" i="2" l="1"/>
</calcChain>
</file>

<file path=xl/sharedStrings.xml><?xml version="1.0" encoding="utf-8"?>
<sst xmlns="http://schemas.openxmlformats.org/spreadsheetml/2006/main" count="20160" uniqueCount="81">
  <si>
    <t>ID Cliente</t>
  </si>
  <si>
    <t>Età</t>
  </si>
  <si>
    <t>Reddito annuo</t>
  </si>
  <si>
    <t>Tipo conto</t>
  </si>
  <si>
    <t>Prestito</t>
  </si>
  <si>
    <t>Mutuo</t>
  </si>
  <si>
    <t>Filiale</t>
  </si>
  <si>
    <t>Rating cliente</t>
  </si>
  <si>
    <t>Stato prestito</t>
  </si>
  <si>
    <t>Data erogazione</t>
  </si>
  <si>
    <t>Esposizione Totale</t>
  </si>
  <si>
    <t>Clienti alto reddito</t>
  </si>
  <si>
    <t>Premium</t>
  </si>
  <si>
    <t>Roma Nord</t>
  </si>
  <si>
    <t>C</t>
  </si>
  <si>
    <t>In ritardo</t>
  </si>
  <si>
    <t>Napoli Centro</t>
  </si>
  <si>
    <t>B</t>
  </si>
  <si>
    <t>Regolare</t>
  </si>
  <si>
    <t>Torino Centro</t>
  </si>
  <si>
    <t>A</t>
  </si>
  <si>
    <t>Base</t>
  </si>
  <si>
    <t>Gold</t>
  </si>
  <si>
    <t>Milano Centro</t>
  </si>
  <si>
    <t>Roma EUR</t>
  </si>
  <si>
    <t>D</t>
  </si>
  <si>
    <t>Milano Porta Nuova</t>
  </si>
  <si>
    <t>Roma Centro</t>
  </si>
  <si>
    <t>Bologna Centro</t>
  </si>
  <si>
    <t>PIVOT 1.</t>
  </si>
  <si>
    <t>PIVOT 2.</t>
  </si>
  <si>
    <t>PIVOT 3.</t>
  </si>
  <si>
    <t>PIVOT 4.</t>
  </si>
  <si>
    <t>Volume prestiti in ritardo per tipo conto:</t>
  </si>
  <si>
    <t>Tasso di ritardo per tipo di conto:</t>
  </si>
  <si>
    <t>Tasso di ritardo per rating cliente:</t>
  </si>
  <si>
    <t>Distribuzione dei tipi di conto per rating:</t>
  </si>
  <si>
    <t>Cuenta de ID Cliente</t>
  </si>
  <si>
    <t>Total general</t>
  </si>
  <si>
    <t>Suma de Prestito</t>
  </si>
  <si>
    <t>PIVOT 5.</t>
  </si>
  <si>
    <t>PIVOT 6.</t>
  </si>
  <si>
    <t>PIVOT 7.</t>
  </si>
  <si>
    <t>Esposizione per filiale:</t>
  </si>
  <si>
    <t>Rischio per filiale:</t>
  </si>
  <si>
    <t>Profilo dei clienti ad alto reddito per filiale</t>
  </si>
  <si>
    <t>Suma de Mutuo</t>
  </si>
  <si>
    <t>Suma de Esposizione Totale</t>
  </si>
  <si>
    <t>no</t>
  </si>
  <si>
    <t>si</t>
  </si>
  <si>
    <t>PIVOT 8. (Grafico 1).</t>
  </si>
  <si>
    <t>Pivot 9. (Grafico 5). Distribuzione clienti per tipo conto:</t>
  </si>
  <si>
    <t>Tabella per grafico 1:</t>
  </si>
  <si>
    <t>RATING</t>
  </si>
  <si>
    <t>TASSO RITARDO</t>
  </si>
  <si>
    <t>Tabella per grafico 2:</t>
  </si>
  <si>
    <t>Tabella grafico 3:</t>
  </si>
  <si>
    <t>Tabella grafico 4:</t>
  </si>
  <si>
    <t>Esposizione</t>
  </si>
  <si>
    <t>Ritardo</t>
  </si>
  <si>
    <t>Columna1</t>
  </si>
  <si>
    <t>Columna2</t>
  </si>
  <si>
    <t>BANKING KPI DASHBOARD</t>
  </si>
  <si>
    <t>Analisi portafoglio clienti, esposizione e rischio.</t>
  </si>
  <si>
    <t>CLIENTI</t>
  </si>
  <si>
    <t>PRESTITI</t>
  </si>
  <si>
    <t>MUTUI</t>
  </si>
  <si>
    <t xml:space="preserve">                TOTALE CLIENTI</t>
  </si>
  <si>
    <t xml:space="preserve">                              TOTALE PRESTITI</t>
  </si>
  <si>
    <t xml:space="preserve">   TOTALE MUTUI</t>
  </si>
  <si>
    <t xml:space="preserve">         CLIENTI IN RITARDO</t>
  </si>
  <si>
    <t xml:space="preserve">        PRESTITI TOTALI IN RITARDO</t>
  </si>
  <si>
    <t xml:space="preserve">     % CLIENTI IN RITARDO</t>
  </si>
  <si>
    <t xml:space="preserve">  %VOLUME PRESTITI IN RITARDO</t>
  </si>
  <si>
    <t xml:space="preserve">    CLIENTI CON PRESTITO</t>
  </si>
  <si>
    <t xml:space="preserve">   % CLIENTI CON PRESTITI IN RITARDO</t>
  </si>
  <si>
    <t>KEY INSIGHTS:</t>
  </si>
  <si>
    <t>RATING D - Ritardo 17,16%</t>
  </si>
  <si>
    <t>NAPOLI CENTRO - Esposizione €49,35 mln</t>
  </si>
  <si>
    <t>MILANO CENTRO - Tasso ritardo 6%</t>
  </si>
  <si>
    <t>BOLOGNA CENTRO - Alto reddito 38,02%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</si>
</sst>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"/>
    <numFmt numFmtId="165" formatCode="[$€-2]\ #,##0"/>
  </numFmts>
  <fonts count="10">
    <font>
      <sz val="11"/>
      <name val="Carlito"/>
    </font>
    <font>
      <b/>
      <sz val="11"/>
      <color rgb="FFFFFFFF"/>
      <name val="Carlito"/>
    </font>
    <font>
      <sz val="12"/>
      <color rgb="FF000000"/>
      <name val="Carlito"/>
    </font>
    <font>
      <sz val="11"/>
      <color theme="1"/>
      <name val="Carlito"/>
    </font>
    <font>
      <b/>
      <sz val="11"/>
      <color rgb="FF12501A"/>
      <name val="Carlito"/>
    </font>
    <font>
      <b/>
      <sz val="18"/>
      <name val="Carlito"/>
    </font>
    <font>
      <b/>
      <sz val="16"/>
      <name val="Carlito"/>
    </font>
    <font>
      <sz val="24"/>
      <color rgb="FF3C7D22"/>
      <name val="Carlito"/>
    </font>
    <font>
      <sz val="14"/>
      <color rgb="FF000000"/>
      <name val="Carlito"/>
    </font>
    <font>
      <b/>
      <sz val="12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medium">
        <color theme="6"/>
      </right>
      <top/>
      <bottom style="medium">
        <color theme="6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 style="medium">
        <color theme="6"/>
      </left>
      <right style="medium">
        <color theme="6"/>
      </right>
      <top/>
      <bottom/>
      <diagonal/>
    </border>
    <border>
      <left style="medium">
        <color theme="6"/>
      </left>
      <right/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NumberFormat="1" applyFont="1" applyFill="1" applyBorder="1"/>
    <xf numFmtId="164" fontId="0" fillId="0" borderId="1" xfId="0" applyNumberFormat="1" applyFont="1" applyFill="1" applyBorder="1"/>
    <xf numFmtId="14" fontId="0" fillId="0" borderId="1" xfId="0" applyNumberFormat="1" applyFont="1" applyFill="1" applyBorder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1" xfId="0" applyBorder="1"/>
    <xf numFmtId="0" fontId="0" fillId="3" borderId="2" xfId="0" applyFill="1" applyBorder="1" applyAlignment="1">
      <alignment horizontal="right"/>
    </xf>
    <xf numFmtId="0" fontId="0" fillId="3" borderId="2" xfId="0" applyFont="1" applyFill="1" applyBorder="1" applyAlignment="1">
      <alignment horizontal="right"/>
    </xf>
    <xf numFmtId="0" fontId="2" fillId="0" borderId="0" xfId="0" applyFont="1"/>
    <xf numFmtId="10" fontId="3" fillId="4" borderId="4" xfId="0" applyNumberFormat="1" applyFont="1" applyFill="1" applyBorder="1"/>
    <xf numFmtId="10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3" xfId="0" applyNumberFormat="1" applyFont="1" applyFill="1" applyBorder="1"/>
    <xf numFmtId="0" fontId="6" fillId="3" borderId="3" xfId="0" applyFont="1" applyFill="1" applyBorder="1"/>
    <xf numFmtId="0" fontId="0" fillId="3" borderId="5" xfId="0" applyFill="1" applyBorder="1"/>
    <xf numFmtId="10" fontId="6" fillId="3" borderId="7" xfId="0" applyNumberFormat="1" applyFont="1" applyFill="1" applyBorder="1"/>
    <xf numFmtId="0" fontId="0" fillId="3" borderId="3" xfId="0" applyFill="1" applyBorder="1" applyAlignment="1">
      <alignment horizontal="right"/>
    </xf>
    <xf numFmtId="0" fontId="0" fillId="3" borderId="2" xfId="0" applyFill="1" applyBorder="1"/>
    <xf numFmtId="164" fontId="5" fillId="3" borderId="3" xfId="0" applyNumberFormat="1" applyFont="1" applyFill="1" applyBorder="1"/>
    <xf numFmtId="165" fontId="6" fillId="3" borderId="3" xfId="0" applyNumberFormat="1" applyFont="1" applyFill="1" applyBorder="1"/>
    <xf numFmtId="0" fontId="0" fillId="3" borderId="9" xfId="0" applyFill="1" applyBorder="1"/>
    <xf numFmtId="10" fontId="6" fillId="3" borderId="10" xfId="0" applyNumberFormat="1" applyFont="1" applyFill="1" applyBorder="1"/>
    <xf numFmtId="10" fontId="6" fillId="3" borderId="11" xfId="0" applyNumberFormat="1" applyFont="1" applyFill="1" applyBorder="1"/>
    <xf numFmtId="0" fontId="0" fillId="3" borderId="8" xfId="0" applyFill="1" applyBorder="1"/>
    <xf numFmtId="0" fontId="0" fillId="3" borderId="6" xfId="0" applyFill="1" applyBorder="1"/>
    <xf numFmtId="164" fontId="5" fillId="3" borderId="8" xfId="0" applyNumberFormat="1" applyFont="1" applyFill="1" applyBorder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5" borderId="0" xfId="0" applyFill="1"/>
    <xf numFmtId="0" fontId="9" fillId="3" borderId="12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14" xfId="0" applyFill="1" applyBorder="1"/>
  </cellXfs>
  <cellStyles count="1">
    <cellStyle name="Normal" xfId="0" builtinId="0"/>
  </cellStyles>
  <dxfs count="13"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64" formatCode="\€\ #,##0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4" formatCode="\€\ #,##0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Tasso di ritardo per rating cliente</a:t>
            </a:r>
          </a:p>
        </c:rich>
      </c:tx>
      <c:layout>
        <c:manualLayout>
          <c:xMode val="edge"/>
          <c:yMode val="edge"/>
          <c:x val="0.16878865343608285"/>
          <c:y val="3.3834615148099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Analisi_Pivot!$F$31</c:f>
              <c:strCache>
                <c:ptCount val="1"/>
                <c:pt idx="0">
                  <c:v>TASSO RITARDO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Analisi_Pivot!$E$32:$E$35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Analisi_Pivot!$F$32:$F$35</c:f>
              <c:numCache>
                <c:formatCode>0.00%</c:formatCode>
                <c:ptCount val="4"/>
                <c:pt idx="0">
                  <c:v>1.5114873035066506E-2</c:v>
                </c:pt>
                <c:pt idx="1">
                  <c:v>3.7654653039268425E-2</c:v>
                </c:pt>
                <c:pt idx="2">
                  <c:v>8.3482944344703769E-2</c:v>
                </c:pt>
                <c:pt idx="3">
                  <c:v>0.17158176943699732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8-47BA-8C63-8AAE4EE3E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713224"/>
        <c:axId val="2080724488"/>
      </c:barChart>
      <c:catAx>
        <c:axId val="208071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24488"/>
        <c:crosses val="autoZero"/>
        <c:auto val="1"/>
        <c:lblAlgn val="ctr"/>
        <c:lblOffset val="100"/>
        <c:noMultiLvlLbl val="0"/>
      </c:catAx>
      <c:valAx>
        <c:axId val="20807244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13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Esposizione per filiale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Analisi_Pivot!$B$40</c:f>
              <c:strCache>
                <c:ptCount val="1"/>
                <c:pt idx="0">
                  <c:v>Esposizione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Analisi_Pivot!$A$41:$A$48</c:f>
              <c:strCache>
                <c:ptCount val="8"/>
                <c:pt idx="0">
                  <c:v>Napoli Centro</c:v>
                </c:pt>
                <c:pt idx="1">
                  <c:v>Milano Centro</c:v>
                </c:pt>
                <c:pt idx="2">
                  <c:v>Milano Porta Nuova</c:v>
                </c:pt>
                <c:pt idx="3">
                  <c:v>Roma Centro</c:v>
                </c:pt>
                <c:pt idx="4">
                  <c:v>Torino Centro</c:v>
                </c:pt>
                <c:pt idx="5">
                  <c:v>Roma Nord</c:v>
                </c:pt>
                <c:pt idx="6">
                  <c:v>Roma EUR</c:v>
                </c:pt>
                <c:pt idx="7">
                  <c:v>Bologna Centro</c:v>
                </c:pt>
              </c:strCache>
            </c:strRef>
          </c:cat>
          <c:val>
            <c:numRef>
              <c:f>Analisi_Pivot!$B$41:$B$48</c:f>
              <c:numCache>
                <c:formatCode>\€\ #,##0</c:formatCode>
                <c:ptCount val="8"/>
                <c:pt idx="0">
                  <c:v>49353500</c:v>
                </c:pt>
                <c:pt idx="1">
                  <c:v>46885300</c:v>
                </c:pt>
                <c:pt idx="2">
                  <c:v>46550400</c:v>
                </c:pt>
                <c:pt idx="3">
                  <c:v>45920500</c:v>
                </c:pt>
                <c:pt idx="4">
                  <c:v>45579600</c:v>
                </c:pt>
                <c:pt idx="5">
                  <c:v>44027300</c:v>
                </c:pt>
                <c:pt idx="6">
                  <c:v>43814200</c:v>
                </c:pt>
                <c:pt idx="7">
                  <c:v>43068900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D-457E-BDE2-564EAF4C4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938567"/>
        <c:axId val="409405447"/>
      </c:barChart>
      <c:catAx>
        <c:axId val="407938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05447"/>
        <c:crosses val="autoZero"/>
        <c:auto val="1"/>
        <c:lblAlgn val="ctr"/>
        <c:lblOffset val="100"/>
        <c:noMultiLvlLbl val="0"/>
      </c:catAx>
      <c:valAx>
        <c:axId val="409405447"/>
        <c:scaling>
          <c:orientation val="minMax"/>
          <c:min val="0"/>
        </c:scaling>
        <c:delete val="1"/>
        <c:axPos val="b"/>
        <c:numFmt formatCode="\€\ #,##0" sourceLinked="1"/>
        <c:majorTickMark val="none"/>
        <c:minorTickMark val="none"/>
        <c:tickLblPos val="nextTo"/>
        <c:crossAx val="407938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Tasso di ritardo per filiale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Analisi_Pivot!$D$41:$D$48</c:f>
              <c:strCache>
                <c:ptCount val="8"/>
                <c:pt idx="0">
                  <c:v>Napoli Centro</c:v>
                </c:pt>
                <c:pt idx="1">
                  <c:v>Roma EUR</c:v>
                </c:pt>
                <c:pt idx="2">
                  <c:v>Milano Centro</c:v>
                </c:pt>
                <c:pt idx="3">
                  <c:v>Bologna Centro</c:v>
                </c:pt>
                <c:pt idx="4">
                  <c:v>Milano Porta Nuova</c:v>
                </c:pt>
                <c:pt idx="5">
                  <c:v>Roma Centro</c:v>
                </c:pt>
                <c:pt idx="6">
                  <c:v>Torino Centro</c:v>
                </c:pt>
                <c:pt idx="7">
                  <c:v>Roma Nord</c:v>
                </c:pt>
              </c:strCache>
            </c:strRef>
          </c:cat>
          <c:val>
            <c:numRef>
              <c:f>Analisi_Pivot!$E$41:$E$48</c:f>
              <c:numCache>
                <c:formatCode>0.00%</c:formatCode>
                <c:ptCount val="8"/>
                <c:pt idx="0">
                  <c:v>4.9346879535558781E-2</c:v>
                </c:pt>
                <c:pt idx="1">
                  <c:v>4.3613707165109032E-2</c:v>
                </c:pt>
                <c:pt idx="2">
                  <c:v>6.0031595576619273E-2</c:v>
                </c:pt>
                <c:pt idx="3">
                  <c:v>5.9105431309904151E-2</c:v>
                </c:pt>
                <c:pt idx="4">
                  <c:v>4.3408360128617367E-2</c:v>
                </c:pt>
                <c:pt idx="5">
                  <c:v>3.4426229508196723E-2</c:v>
                </c:pt>
                <c:pt idx="6">
                  <c:v>5.9422750424448216E-2</c:v>
                </c:pt>
                <c:pt idx="7">
                  <c:v>5.4329371816638369E-2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F8-4B7D-B25C-E08D440B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807112"/>
        <c:axId val="797823496"/>
      </c:barChart>
      <c:catAx>
        <c:axId val="79780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23496"/>
        <c:crosses val="autoZero"/>
        <c:auto val="1"/>
        <c:lblAlgn val="ctr"/>
        <c:lblOffset val="100"/>
        <c:noMultiLvlLbl val="0"/>
      </c:catAx>
      <c:valAx>
        <c:axId val="79782349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97807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Clienti ad alto reddito per filiale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Analisi_Pivot!$G$41:$G$48</c:f>
              <c:strCache>
                <c:ptCount val="8"/>
                <c:pt idx="0">
                  <c:v>Bologna Centro</c:v>
                </c:pt>
                <c:pt idx="1">
                  <c:v>Milano Centro</c:v>
                </c:pt>
                <c:pt idx="2">
                  <c:v>Milano Porta Nuova</c:v>
                </c:pt>
                <c:pt idx="3">
                  <c:v>Napoli Centro</c:v>
                </c:pt>
                <c:pt idx="4">
                  <c:v>Roma Centro</c:v>
                </c:pt>
                <c:pt idx="5">
                  <c:v>Roma EUR</c:v>
                </c:pt>
                <c:pt idx="6">
                  <c:v>Roma Nord</c:v>
                </c:pt>
                <c:pt idx="7">
                  <c:v>Torino Centro</c:v>
                </c:pt>
              </c:strCache>
            </c:strRef>
          </c:cat>
          <c:val>
            <c:numRef>
              <c:f>Analisi_Pivot!$H$41:$H$48</c:f>
              <c:numCache>
                <c:formatCode>0.00%</c:formatCode>
                <c:ptCount val="8"/>
                <c:pt idx="0">
                  <c:v>0.38019169329073482</c:v>
                </c:pt>
                <c:pt idx="1">
                  <c:v>0.37124802527646128</c:v>
                </c:pt>
                <c:pt idx="2">
                  <c:v>0.36655948553054662</c:v>
                </c:pt>
                <c:pt idx="3">
                  <c:v>0.35703918722786648</c:v>
                </c:pt>
                <c:pt idx="4">
                  <c:v>0.37704918032786883</c:v>
                </c:pt>
                <c:pt idx="5">
                  <c:v>0.36137071651090341</c:v>
                </c:pt>
                <c:pt idx="6">
                  <c:v>0.35993208828522921</c:v>
                </c:pt>
                <c:pt idx="7">
                  <c:v>0.3463497453310696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7-4E75-B223-0FFB15D14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27943"/>
        <c:axId val="60794375"/>
      </c:barChart>
      <c:catAx>
        <c:axId val="52327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4375"/>
        <c:crosses val="autoZero"/>
        <c:auto val="1"/>
        <c:lblAlgn val="ctr"/>
        <c:lblOffset val="100"/>
        <c:noMultiLvlLbl val="0"/>
      </c:catAx>
      <c:valAx>
        <c:axId val="60794375"/>
        <c:scaling>
          <c:orientation val="minMax"/>
          <c:min val="0"/>
        </c:scaling>
        <c:delete val="1"/>
        <c:axPos val="b"/>
        <c:numFmt formatCode="0.00%" sourceLinked="1"/>
        <c:majorTickMark val="none"/>
        <c:minorTickMark val="none"/>
        <c:tickLblPos val="nextTo"/>
        <c:crossAx val="52327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[Banking_KPI_Dashboard.xlsx]Analisi_Pivot!Tabla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clienti per tipo conto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C769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Analisi_Pivot!$L$30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65-47B5-8376-0ED964BB678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65-47B5-8376-0ED964BB6789}"/>
              </c:ext>
            </c:extLst>
          </c:dPt>
          <c:dPt>
            <c:idx val="2"/>
            <c:bubble3D val="0"/>
            <c:spPr>
              <a:solidFill>
                <a:srgbClr val="0C76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865-47B5-8376-0ED964BB67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Analisi_Pivot!$K$31:$K$34</c:f>
              <c:strCache>
                <c:ptCount val="3"/>
                <c:pt idx="0">
                  <c:v>Base</c:v>
                </c:pt>
                <c:pt idx="1">
                  <c:v>Gold</c:v>
                </c:pt>
                <c:pt idx="2">
                  <c:v>Premium</c:v>
                </c:pt>
              </c:strCache>
            </c:strRef>
          </c:cat>
          <c:val>
            <c:numRef>
              <c:f>Analisi_Pivot!$L$31:$L$34</c:f>
              <c:numCache>
                <c:formatCode>0.00%</c:formatCode>
                <c:ptCount val="3"/>
                <c:pt idx="0">
                  <c:v>0.497</c:v>
                </c:pt>
                <c:pt idx="1">
                  <c:v>0.17799999999999999</c:v>
                </c:pt>
                <c:pt idx="2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65-47B5-8376-0ED964BB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171450</xdr:rowOff>
    </xdr:from>
    <xdr:to>
      <xdr:col>1</xdr:col>
      <xdr:colOff>962025</xdr:colOff>
      <xdr:row>30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FB5A83-41C1-3250-998C-3AE9B74A3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2286000</xdr:colOff>
      <xdr:row>16</xdr:row>
      <xdr:rowOff>171450</xdr:rowOff>
    </xdr:from>
    <xdr:to>
      <xdr:col>5</xdr:col>
      <xdr:colOff>1695450</xdr:colOff>
      <xdr:row>30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1CEA29-FA48-2B7F-B96A-8035FB0CDF23}"/>
            </a:ext>
            <a:ext uri="{147F2762-F138-4A5C-976F-8EAC2B608ADB}">
              <a16:predDERef xmlns:a16="http://schemas.microsoft.com/office/drawing/2014/main" pred="{62FB5A83-41C1-3250-998C-3AE9B74A3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1</xdr:col>
      <xdr:colOff>1247775</xdr:colOff>
      <xdr:row>47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B1DD9A-4364-88C3-7471-33D2CE6F41A6}"/>
            </a:ext>
            <a:ext uri="{147F2762-F138-4A5C-976F-8EAC2B608ADB}">
              <a16:predDERef xmlns:a16="http://schemas.microsoft.com/office/drawing/2014/main" pred="{D61CEA29-FA48-2B7F-B96A-8035FB0C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2276475</xdr:colOff>
      <xdr:row>32</xdr:row>
      <xdr:rowOff>171450</xdr:rowOff>
    </xdr:from>
    <xdr:to>
      <xdr:col>5</xdr:col>
      <xdr:colOff>1704975</xdr:colOff>
      <xdr:row>46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842ACD-58B4-03AB-8F14-9E5C2E39F48F}"/>
            </a:ext>
            <a:ext uri="{147F2762-F138-4A5C-976F-8EAC2B608ADB}">
              <a16:predDERef xmlns:a16="http://schemas.microsoft.com/office/drawing/2014/main" pred="{1EB1DD9A-4364-88C3-7471-33D2CE6F4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171450</xdr:rowOff>
    </xdr:from>
    <xdr:to>
      <xdr:col>1</xdr:col>
      <xdr:colOff>1228725</xdr:colOff>
      <xdr:row>63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0AD52B-8C37-F91E-B321-5F94456B04D7}"/>
            </a:ext>
            <a:ext uri="{147F2762-F138-4A5C-976F-8EAC2B608ADB}">
              <a16:predDERef xmlns:a16="http://schemas.microsoft.com/office/drawing/2014/main" pred="{C0842ACD-58B4-03AB-8F14-9E5C2E39F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714337847225" createdVersion="8" refreshedVersion="8" minRefreshableVersion="3" recordCount="5000" xr:uid="{CE1A1274-CA93-478B-BB0C-3D9D56C43D14}">
  <cacheSource type="worksheet">
    <worksheetSource name="ClientiBanca"/>
  </cacheSource>
  <cacheFields count="12">
    <cacheField name="ID Cliente" numFmtId="0">
      <sharedItems containsSemiMixedTypes="0" containsString="0" containsNumber="1" containsInteger="1" minValue="100001" maxValue="105000"/>
    </cacheField>
    <cacheField name="Età" numFmtId="0">
      <sharedItems containsSemiMixedTypes="0" containsString="0" containsNumber="1" containsInteger="1" minValue="20" maxValue="75"/>
    </cacheField>
    <cacheField name="Reddito annuo" numFmtId="164">
      <sharedItems containsSemiMixedTypes="0" containsString="0" containsNumber="1" containsInteger="1" minValue="18700" maxValue="127300"/>
    </cacheField>
    <cacheField name="Tipo conto" numFmtId="0">
      <sharedItems count="3">
        <s v="Premium"/>
        <s v="Base"/>
        <s v="Gold"/>
      </sharedItems>
    </cacheField>
    <cacheField name="Prestito" numFmtId="164">
      <sharedItems containsSemiMixedTypes="0" containsString="0" containsNumber="1" containsInteger="1" minValue="0" maxValue="87900"/>
    </cacheField>
    <cacheField name="Mutuo" numFmtId="164">
      <sharedItems containsSemiMixedTypes="0" containsString="0" containsNumber="1" containsInteger="1" minValue="0" maxValue="411000"/>
    </cacheField>
    <cacheField name="Filiale" numFmtId="0">
      <sharedItems count="8">
        <s v="Roma Nord"/>
        <s v="Napoli Centro"/>
        <s v="Torino Centro"/>
        <s v="Milano Centro"/>
        <s v="Roma EUR"/>
        <s v="Milano Porta Nuova"/>
        <s v="Roma Centro"/>
        <s v="Bologna Centro"/>
      </sharedItems>
    </cacheField>
    <cacheField name="Rating cliente" numFmtId="0">
      <sharedItems count="4">
        <s v="C"/>
        <s v="B"/>
        <s v="A"/>
        <s v="D"/>
      </sharedItems>
    </cacheField>
    <cacheField name="Stato prestito" numFmtId="0">
      <sharedItems count="2">
        <s v="In ritardo"/>
        <s v="Regolare"/>
      </sharedItems>
    </cacheField>
    <cacheField name="Data erogazione" numFmtId="14">
      <sharedItems containsSemiMixedTypes="0" containsNonDate="0" containsDate="1" containsString="0" minDate="2024-01-01T00:00:00" maxDate="2026-09-01T00:00:00"/>
    </cacheField>
    <cacheField name="Esposizione Totale" numFmtId="164">
      <sharedItems containsSemiMixedTypes="0" containsString="0" containsNumber="1" containsInteger="1" minValue="0" maxValue="477700"/>
    </cacheField>
    <cacheField name="Clienti alto reddito" numFmtId="0">
      <sharedItems count="2">
        <s v="no"/>
        <s v="si"/>
      </sharedItems>
    </cacheField>
  </cacheFields>
  <extLst>
    <ext xmlns:x14="http://schemas.microsoft.com/office/spreadsheetml/2009/9/main" uri="{725AE2AE-9491-48be-B2B4-4EB974FC3084}">
      <x14:pivotCacheDefinition pivotCacheId="14649862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01"/>
    <n v="60"/>
    <n v="35300"/>
    <x v="0"/>
    <n v="16000"/>
    <n v="267000"/>
    <x v="0"/>
    <x v="0"/>
    <x v="0"/>
    <d v="2024-04-05T00:00:00"/>
    <n v="283000"/>
    <x v="0"/>
  </r>
  <r>
    <n v="100002"/>
    <n v="33"/>
    <n v="43000"/>
    <x v="0"/>
    <n v="47600"/>
    <n v="0"/>
    <x v="1"/>
    <x v="1"/>
    <x v="1"/>
    <d v="2026-04-08T00:00:00"/>
    <n v="47600"/>
    <x v="0"/>
  </r>
  <r>
    <n v="100003"/>
    <n v="75"/>
    <n v="22200"/>
    <x v="0"/>
    <n v="25300"/>
    <n v="0"/>
    <x v="2"/>
    <x v="2"/>
    <x v="1"/>
    <d v="2025-01-02T00:00:00"/>
    <n v="25300"/>
    <x v="0"/>
  </r>
  <r>
    <n v="100004"/>
    <n v="74"/>
    <n v="49600"/>
    <x v="1"/>
    <n v="31500"/>
    <n v="336000"/>
    <x v="0"/>
    <x v="1"/>
    <x v="1"/>
    <d v="2025-09-25T00:00:00"/>
    <n v="367500"/>
    <x v="0"/>
  </r>
  <r>
    <n v="100005"/>
    <n v="75"/>
    <n v="50700"/>
    <x v="1"/>
    <n v="43700"/>
    <n v="0"/>
    <x v="0"/>
    <x v="0"/>
    <x v="1"/>
    <d v="2025-01-24T00:00:00"/>
    <n v="43700"/>
    <x v="0"/>
  </r>
  <r>
    <n v="100006"/>
    <n v="37"/>
    <n v="56600"/>
    <x v="2"/>
    <n v="26100"/>
    <n v="0"/>
    <x v="0"/>
    <x v="1"/>
    <x v="1"/>
    <d v="2026-01-16T00:00:00"/>
    <n v="26100"/>
    <x v="0"/>
  </r>
  <r>
    <n v="100007"/>
    <n v="35"/>
    <n v="39000"/>
    <x v="1"/>
    <n v="0"/>
    <n v="0"/>
    <x v="3"/>
    <x v="0"/>
    <x v="1"/>
    <d v="2026-05-13T00:00:00"/>
    <n v="0"/>
    <x v="0"/>
  </r>
  <r>
    <n v="100008"/>
    <n v="69"/>
    <n v="83000"/>
    <x v="1"/>
    <n v="24100"/>
    <n v="0"/>
    <x v="3"/>
    <x v="0"/>
    <x v="1"/>
    <d v="2026-01-05T00:00:00"/>
    <n v="24100"/>
    <x v="1"/>
  </r>
  <r>
    <n v="100009"/>
    <n v="40"/>
    <n v="41900"/>
    <x v="1"/>
    <n v="0"/>
    <n v="0"/>
    <x v="4"/>
    <x v="1"/>
    <x v="1"/>
    <d v="2024-09-09T00:00:00"/>
    <n v="0"/>
    <x v="0"/>
  </r>
  <r>
    <n v="100010"/>
    <n v="67"/>
    <n v="64200"/>
    <x v="1"/>
    <n v="64600"/>
    <n v="0"/>
    <x v="3"/>
    <x v="3"/>
    <x v="0"/>
    <d v="2025-05-20T00:00:00"/>
    <n v="64600"/>
    <x v="0"/>
  </r>
  <r>
    <n v="100011"/>
    <n v="25"/>
    <n v="80900"/>
    <x v="2"/>
    <n v="17000"/>
    <n v="0"/>
    <x v="0"/>
    <x v="2"/>
    <x v="1"/>
    <d v="2025-04-24T00:00:00"/>
    <n v="17000"/>
    <x v="1"/>
  </r>
  <r>
    <n v="100012"/>
    <n v="53"/>
    <n v="44100"/>
    <x v="0"/>
    <n v="0"/>
    <n v="0"/>
    <x v="0"/>
    <x v="0"/>
    <x v="1"/>
    <d v="2025-07-03T00:00:00"/>
    <n v="0"/>
    <x v="0"/>
  </r>
  <r>
    <n v="100013"/>
    <n v="68"/>
    <n v="45000"/>
    <x v="0"/>
    <n v="30200"/>
    <n v="0"/>
    <x v="5"/>
    <x v="3"/>
    <x v="1"/>
    <d v="2025-06-03T00:00:00"/>
    <n v="30200"/>
    <x v="0"/>
  </r>
  <r>
    <n v="100014"/>
    <n v="26"/>
    <n v="94300"/>
    <x v="1"/>
    <n v="40200"/>
    <n v="274000"/>
    <x v="6"/>
    <x v="1"/>
    <x v="1"/>
    <d v="2024-04-24T00:00:00"/>
    <n v="314200"/>
    <x v="1"/>
  </r>
  <r>
    <n v="100015"/>
    <n v="43"/>
    <n v="95400"/>
    <x v="2"/>
    <n v="11000"/>
    <n v="0"/>
    <x v="0"/>
    <x v="2"/>
    <x v="1"/>
    <d v="2024-03-11T00:00:00"/>
    <n v="11000"/>
    <x v="1"/>
  </r>
  <r>
    <n v="100016"/>
    <n v="68"/>
    <n v="62100"/>
    <x v="1"/>
    <n v="71600"/>
    <n v="214000"/>
    <x v="1"/>
    <x v="3"/>
    <x v="1"/>
    <d v="2026-02-12T00:00:00"/>
    <n v="285600"/>
    <x v="0"/>
  </r>
  <r>
    <n v="100017"/>
    <n v="66"/>
    <n v="74700"/>
    <x v="0"/>
    <n v="44400"/>
    <n v="0"/>
    <x v="7"/>
    <x v="2"/>
    <x v="1"/>
    <d v="2024-12-12T00:00:00"/>
    <n v="44400"/>
    <x v="1"/>
  </r>
  <r>
    <n v="100018"/>
    <n v="21"/>
    <n v="66300"/>
    <x v="1"/>
    <n v="12000"/>
    <n v="0"/>
    <x v="3"/>
    <x v="2"/>
    <x v="1"/>
    <d v="2024-12-04T00:00:00"/>
    <n v="12000"/>
    <x v="0"/>
  </r>
  <r>
    <n v="100019"/>
    <n v="24"/>
    <n v="60800"/>
    <x v="1"/>
    <n v="36000"/>
    <n v="0"/>
    <x v="7"/>
    <x v="2"/>
    <x v="1"/>
    <d v="2025-02-20T00:00:00"/>
    <n v="36000"/>
    <x v="0"/>
  </r>
  <r>
    <n v="100020"/>
    <n v="32"/>
    <n v="33900"/>
    <x v="0"/>
    <n v="28900"/>
    <n v="0"/>
    <x v="6"/>
    <x v="0"/>
    <x v="1"/>
    <d v="2024-04-10T00:00:00"/>
    <n v="28900"/>
    <x v="0"/>
  </r>
  <r>
    <n v="100021"/>
    <n v="23"/>
    <n v="53300"/>
    <x v="1"/>
    <n v="0"/>
    <n v="0"/>
    <x v="3"/>
    <x v="1"/>
    <x v="1"/>
    <d v="2024-05-23T00:00:00"/>
    <n v="0"/>
    <x v="0"/>
  </r>
  <r>
    <n v="100022"/>
    <n v="47"/>
    <n v="40200"/>
    <x v="1"/>
    <n v="0"/>
    <n v="289000"/>
    <x v="0"/>
    <x v="2"/>
    <x v="1"/>
    <d v="2025-07-07T00:00:00"/>
    <n v="289000"/>
    <x v="0"/>
  </r>
  <r>
    <n v="100023"/>
    <n v="73"/>
    <n v="24300"/>
    <x v="1"/>
    <n v="0"/>
    <n v="0"/>
    <x v="1"/>
    <x v="1"/>
    <x v="1"/>
    <d v="2024-08-06T00:00:00"/>
    <n v="0"/>
    <x v="0"/>
  </r>
  <r>
    <n v="100024"/>
    <n v="75"/>
    <n v="53200"/>
    <x v="1"/>
    <n v="66500"/>
    <n v="0"/>
    <x v="7"/>
    <x v="2"/>
    <x v="1"/>
    <d v="2026-01-18T00:00:00"/>
    <n v="66500"/>
    <x v="0"/>
  </r>
  <r>
    <n v="100025"/>
    <n v="70"/>
    <n v="63800"/>
    <x v="0"/>
    <n v="23200"/>
    <n v="0"/>
    <x v="6"/>
    <x v="0"/>
    <x v="0"/>
    <d v="2025-08-21T00:00:00"/>
    <n v="23200"/>
    <x v="0"/>
  </r>
  <r>
    <n v="100026"/>
    <n v="50"/>
    <n v="60000"/>
    <x v="2"/>
    <n v="74200"/>
    <n v="146000"/>
    <x v="0"/>
    <x v="1"/>
    <x v="1"/>
    <d v="2024-05-02T00:00:00"/>
    <n v="220200"/>
    <x v="0"/>
  </r>
  <r>
    <n v="100027"/>
    <n v="56"/>
    <n v="43800"/>
    <x v="0"/>
    <n v="29300"/>
    <n v="0"/>
    <x v="2"/>
    <x v="3"/>
    <x v="0"/>
    <d v="2026-01-03T00:00:00"/>
    <n v="29300"/>
    <x v="0"/>
  </r>
  <r>
    <n v="100028"/>
    <n v="40"/>
    <n v="43400"/>
    <x v="1"/>
    <n v="23400"/>
    <n v="0"/>
    <x v="0"/>
    <x v="2"/>
    <x v="1"/>
    <d v="2025-07-30T00:00:00"/>
    <n v="23400"/>
    <x v="0"/>
  </r>
  <r>
    <n v="100029"/>
    <n v="26"/>
    <n v="32000"/>
    <x v="1"/>
    <n v="40000"/>
    <n v="0"/>
    <x v="3"/>
    <x v="1"/>
    <x v="1"/>
    <d v="2026-05-03T00:00:00"/>
    <n v="40000"/>
    <x v="0"/>
  </r>
  <r>
    <n v="100030"/>
    <n v="54"/>
    <n v="75900"/>
    <x v="0"/>
    <n v="0"/>
    <n v="0"/>
    <x v="6"/>
    <x v="1"/>
    <x v="1"/>
    <d v="2025-07-21T00:00:00"/>
    <n v="0"/>
    <x v="1"/>
  </r>
  <r>
    <n v="100031"/>
    <n v="39"/>
    <n v="104100"/>
    <x v="1"/>
    <n v="0"/>
    <n v="320000"/>
    <x v="4"/>
    <x v="2"/>
    <x v="1"/>
    <d v="2025-09-11T00:00:00"/>
    <n v="320000"/>
    <x v="1"/>
  </r>
  <r>
    <n v="100032"/>
    <n v="33"/>
    <n v="77200"/>
    <x v="1"/>
    <n v="21700"/>
    <n v="0"/>
    <x v="6"/>
    <x v="2"/>
    <x v="1"/>
    <d v="2024-10-10T00:00:00"/>
    <n v="21700"/>
    <x v="1"/>
  </r>
  <r>
    <n v="100033"/>
    <n v="22"/>
    <n v="21100"/>
    <x v="0"/>
    <n v="21600"/>
    <n v="0"/>
    <x v="1"/>
    <x v="0"/>
    <x v="1"/>
    <d v="2026-08-25T00:00:00"/>
    <n v="21600"/>
    <x v="0"/>
  </r>
  <r>
    <n v="100034"/>
    <n v="64"/>
    <n v="99200"/>
    <x v="0"/>
    <n v="0"/>
    <n v="0"/>
    <x v="4"/>
    <x v="2"/>
    <x v="1"/>
    <d v="2024-02-12T00:00:00"/>
    <n v="0"/>
    <x v="1"/>
  </r>
  <r>
    <n v="100035"/>
    <n v="39"/>
    <n v="50900"/>
    <x v="2"/>
    <n v="0"/>
    <n v="180000"/>
    <x v="3"/>
    <x v="1"/>
    <x v="1"/>
    <d v="2024-12-28T00:00:00"/>
    <n v="180000"/>
    <x v="0"/>
  </r>
  <r>
    <n v="100036"/>
    <n v="69"/>
    <n v="64100"/>
    <x v="2"/>
    <n v="0"/>
    <n v="0"/>
    <x v="3"/>
    <x v="0"/>
    <x v="1"/>
    <d v="2026-03-30T00:00:00"/>
    <n v="0"/>
    <x v="0"/>
  </r>
  <r>
    <n v="100037"/>
    <n v="71"/>
    <n v="39800"/>
    <x v="1"/>
    <n v="49800"/>
    <n v="0"/>
    <x v="1"/>
    <x v="0"/>
    <x v="1"/>
    <d v="2026-04-10T00:00:00"/>
    <n v="49800"/>
    <x v="0"/>
  </r>
  <r>
    <n v="100038"/>
    <n v="35"/>
    <n v="45000"/>
    <x v="0"/>
    <n v="56200"/>
    <n v="0"/>
    <x v="3"/>
    <x v="2"/>
    <x v="1"/>
    <d v="2024-12-24T00:00:00"/>
    <n v="56200"/>
    <x v="0"/>
  </r>
  <r>
    <n v="100039"/>
    <n v="39"/>
    <n v="87900"/>
    <x v="2"/>
    <n v="43600"/>
    <n v="0"/>
    <x v="5"/>
    <x v="0"/>
    <x v="1"/>
    <d v="2024-10-12T00:00:00"/>
    <n v="43600"/>
    <x v="1"/>
  </r>
  <r>
    <n v="100040"/>
    <n v="42"/>
    <n v="70600"/>
    <x v="1"/>
    <n v="0"/>
    <n v="0"/>
    <x v="6"/>
    <x v="2"/>
    <x v="1"/>
    <d v="2024-09-24T00:00:00"/>
    <n v="0"/>
    <x v="1"/>
  </r>
  <r>
    <n v="100041"/>
    <n v="31"/>
    <n v="65700"/>
    <x v="2"/>
    <n v="39400"/>
    <n v="0"/>
    <x v="2"/>
    <x v="1"/>
    <x v="1"/>
    <d v="2024-04-28T00:00:00"/>
    <n v="39400"/>
    <x v="0"/>
  </r>
  <r>
    <n v="100042"/>
    <n v="44"/>
    <n v="98500"/>
    <x v="1"/>
    <n v="30200"/>
    <n v="0"/>
    <x v="3"/>
    <x v="2"/>
    <x v="1"/>
    <d v="2025-11-11T00:00:00"/>
    <n v="30200"/>
    <x v="1"/>
  </r>
  <r>
    <n v="100043"/>
    <n v="41"/>
    <n v="69100"/>
    <x v="0"/>
    <n v="64800"/>
    <n v="0"/>
    <x v="1"/>
    <x v="1"/>
    <x v="1"/>
    <d v="2025-07-21T00:00:00"/>
    <n v="64800"/>
    <x v="0"/>
  </r>
  <r>
    <n v="100044"/>
    <n v="28"/>
    <n v="40700"/>
    <x v="0"/>
    <n v="50100"/>
    <n v="223000"/>
    <x v="1"/>
    <x v="0"/>
    <x v="0"/>
    <d v="2024-10-20T00:00:00"/>
    <n v="273100"/>
    <x v="0"/>
  </r>
  <r>
    <n v="100045"/>
    <n v="33"/>
    <n v="55000"/>
    <x v="0"/>
    <n v="31800"/>
    <n v="0"/>
    <x v="3"/>
    <x v="1"/>
    <x v="1"/>
    <d v="2026-03-26T00:00:00"/>
    <n v="31800"/>
    <x v="0"/>
  </r>
  <r>
    <n v="100046"/>
    <n v="67"/>
    <n v="39400"/>
    <x v="1"/>
    <n v="41800"/>
    <n v="0"/>
    <x v="3"/>
    <x v="0"/>
    <x v="1"/>
    <d v="2024-07-22T00:00:00"/>
    <n v="41800"/>
    <x v="0"/>
  </r>
  <r>
    <n v="100047"/>
    <n v="29"/>
    <n v="26100"/>
    <x v="1"/>
    <n v="32600"/>
    <n v="190000"/>
    <x v="3"/>
    <x v="0"/>
    <x v="1"/>
    <d v="2025-02-13T00:00:00"/>
    <n v="222600"/>
    <x v="0"/>
  </r>
  <r>
    <n v="100048"/>
    <n v="35"/>
    <n v="37900"/>
    <x v="0"/>
    <n v="0"/>
    <n v="0"/>
    <x v="0"/>
    <x v="0"/>
    <x v="1"/>
    <d v="2024-08-12T00:00:00"/>
    <n v="0"/>
    <x v="0"/>
  </r>
  <r>
    <n v="100049"/>
    <n v="31"/>
    <n v="86100"/>
    <x v="0"/>
    <n v="37000"/>
    <n v="0"/>
    <x v="0"/>
    <x v="2"/>
    <x v="1"/>
    <d v="2025-11-14T00:00:00"/>
    <n v="37000"/>
    <x v="1"/>
  </r>
  <r>
    <n v="100050"/>
    <n v="53"/>
    <n v="119100"/>
    <x v="0"/>
    <n v="0"/>
    <n v="0"/>
    <x v="1"/>
    <x v="0"/>
    <x v="1"/>
    <d v="2025-07-15T00:00:00"/>
    <n v="0"/>
    <x v="1"/>
  </r>
  <r>
    <n v="100051"/>
    <n v="48"/>
    <n v="98200"/>
    <x v="0"/>
    <n v="21500"/>
    <n v="239000"/>
    <x v="7"/>
    <x v="1"/>
    <x v="1"/>
    <d v="2024-03-20T00:00:00"/>
    <n v="260500"/>
    <x v="1"/>
  </r>
  <r>
    <n v="100052"/>
    <n v="65"/>
    <n v="46100"/>
    <x v="1"/>
    <n v="36000"/>
    <n v="156000"/>
    <x v="4"/>
    <x v="1"/>
    <x v="1"/>
    <d v="2025-02-21T00:00:00"/>
    <n v="192000"/>
    <x v="0"/>
  </r>
  <r>
    <n v="100053"/>
    <n v="41"/>
    <n v="62900"/>
    <x v="1"/>
    <n v="29400"/>
    <n v="0"/>
    <x v="6"/>
    <x v="0"/>
    <x v="1"/>
    <d v="2025-01-24T00:00:00"/>
    <n v="29400"/>
    <x v="0"/>
  </r>
  <r>
    <n v="100054"/>
    <n v="50"/>
    <n v="22000"/>
    <x v="1"/>
    <n v="0"/>
    <n v="0"/>
    <x v="1"/>
    <x v="0"/>
    <x v="1"/>
    <d v="2026-01-22T00:00:00"/>
    <n v="0"/>
    <x v="0"/>
  </r>
  <r>
    <n v="100055"/>
    <n v="54"/>
    <n v="85600"/>
    <x v="2"/>
    <n v="22100"/>
    <n v="0"/>
    <x v="1"/>
    <x v="2"/>
    <x v="1"/>
    <d v="2025-02-18T00:00:00"/>
    <n v="22100"/>
    <x v="1"/>
  </r>
  <r>
    <n v="100056"/>
    <n v="66"/>
    <n v="39100"/>
    <x v="1"/>
    <n v="41100"/>
    <n v="186000"/>
    <x v="6"/>
    <x v="2"/>
    <x v="1"/>
    <d v="2026-06-06T00:00:00"/>
    <n v="227100"/>
    <x v="0"/>
  </r>
  <r>
    <n v="100057"/>
    <n v="49"/>
    <n v="40100"/>
    <x v="1"/>
    <n v="31200"/>
    <n v="0"/>
    <x v="1"/>
    <x v="1"/>
    <x v="1"/>
    <d v="2025-03-07T00:00:00"/>
    <n v="31200"/>
    <x v="0"/>
  </r>
  <r>
    <n v="100058"/>
    <n v="36"/>
    <n v="89700"/>
    <x v="1"/>
    <n v="0"/>
    <n v="354000"/>
    <x v="3"/>
    <x v="1"/>
    <x v="1"/>
    <d v="2026-03-10T00:00:00"/>
    <n v="354000"/>
    <x v="1"/>
  </r>
  <r>
    <n v="100059"/>
    <n v="61"/>
    <n v="28400"/>
    <x v="1"/>
    <n v="35500"/>
    <n v="0"/>
    <x v="3"/>
    <x v="2"/>
    <x v="1"/>
    <d v="2025-07-31T00:00:00"/>
    <n v="35500"/>
    <x v="0"/>
  </r>
  <r>
    <n v="100060"/>
    <n v="33"/>
    <n v="57400"/>
    <x v="1"/>
    <n v="40000"/>
    <n v="0"/>
    <x v="0"/>
    <x v="0"/>
    <x v="1"/>
    <d v="2024-11-14T00:00:00"/>
    <n v="40000"/>
    <x v="0"/>
  </r>
  <r>
    <n v="100061"/>
    <n v="26"/>
    <n v="65600"/>
    <x v="2"/>
    <n v="65900"/>
    <n v="0"/>
    <x v="3"/>
    <x v="2"/>
    <x v="1"/>
    <d v="2025-10-04T00:00:00"/>
    <n v="65900"/>
    <x v="0"/>
  </r>
  <r>
    <n v="100062"/>
    <n v="35"/>
    <n v="34600"/>
    <x v="0"/>
    <n v="0"/>
    <n v="0"/>
    <x v="0"/>
    <x v="0"/>
    <x v="1"/>
    <d v="2025-08-02T00:00:00"/>
    <n v="0"/>
    <x v="0"/>
  </r>
  <r>
    <n v="100063"/>
    <n v="70"/>
    <n v="28500"/>
    <x v="0"/>
    <n v="11900"/>
    <n v="0"/>
    <x v="6"/>
    <x v="0"/>
    <x v="1"/>
    <d v="2024-04-18T00:00:00"/>
    <n v="11900"/>
    <x v="0"/>
  </r>
  <r>
    <n v="100064"/>
    <n v="47"/>
    <n v="110300"/>
    <x v="0"/>
    <n v="0"/>
    <n v="0"/>
    <x v="1"/>
    <x v="2"/>
    <x v="1"/>
    <d v="2025-06-18T00:00:00"/>
    <n v="0"/>
    <x v="1"/>
  </r>
  <r>
    <n v="100065"/>
    <n v="61"/>
    <n v="45200"/>
    <x v="0"/>
    <n v="32800"/>
    <n v="0"/>
    <x v="5"/>
    <x v="1"/>
    <x v="1"/>
    <d v="2026-08-15T00:00:00"/>
    <n v="32800"/>
    <x v="0"/>
  </r>
  <r>
    <n v="100066"/>
    <n v="25"/>
    <n v="45700"/>
    <x v="1"/>
    <n v="0"/>
    <n v="0"/>
    <x v="1"/>
    <x v="1"/>
    <x v="1"/>
    <d v="2025-05-21T00:00:00"/>
    <n v="0"/>
    <x v="0"/>
  </r>
  <r>
    <n v="100067"/>
    <n v="74"/>
    <n v="48400"/>
    <x v="1"/>
    <n v="21500"/>
    <n v="0"/>
    <x v="5"/>
    <x v="1"/>
    <x v="1"/>
    <d v="2024-07-14T00:00:00"/>
    <n v="21500"/>
    <x v="0"/>
  </r>
  <r>
    <n v="100068"/>
    <n v="25"/>
    <n v="43500"/>
    <x v="1"/>
    <n v="20600"/>
    <n v="0"/>
    <x v="7"/>
    <x v="1"/>
    <x v="0"/>
    <d v="2024-10-28T00:00:00"/>
    <n v="20600"/>
    <x v="0"/>
  </r>
  <r>
    <n v="100069"/>
    <n v="34"/>
    <n v="53400"/>
    <x v="1"/>
    <n v="26800"/>
    <n v="0"/>
    <x v="2"/>
    <x v="1"/>
    <x v="1"/>
    <d v="2024-12-04T00:00:00"/>
    <n v="26800"/>
    <x v="0"/>
  </r>
  <r>
    <n v="100070"/>
    <n v="42"/>
    <n v="75900"/>
    <x v="1"/>
    <n v="15000"/>
    <n v="129000"/>
    <x v="4"/>
    <x v="2"/>
    <x v="1"/>
    <d v="2024-10-10T00:00:00"/>
    <n v="144000"/>
    <x v="1"/>
  </r>
  <r>
    <n v="100071"/>
    <n v="66"/>
    <n v="66400"/>
    <x v="0"/>
    <n v="78900"/>
    <n v="0"/>
    <x v="5"/>
    <x v="2"/>
    <x v="1"/>
    <d v="2024-01-15T00:00:00"/>
    <n v="78900"/>
    <x v="0"/>
  </r>
  <r>
    <n v="100072"/>
    <n v="65"/>
    <n v="62200"/>
    <x v="1"/>
    <n v="0"/>
    <n v="0"/>
    <x v="4"/>
    <x v="1"/>
    <x v="1"/>
    <d v="2026-02-09T00:00:00"/>
    <n v="0"/>
    <x v="0"/>
  </r>
  <r>
    <n v="100073"/>
    <n v="51"/>
    <n v="34600"/>
    <x v="1"/>
    <n v="32500"/>
    <n v="0"/>
    <x v="6"/>
    <x v="1"/>
    <x v="1"/>
    <d v="2024-04-26T00:00:00"/>
    <n v="32500"/>
    <x v="0"/>
  </r>
  <r>
    <n v="100074"/>
    <n v="72"/>
    <n v="31300"/>
    <x v="1"/>
    <n v="39100"/>
    <n v="0"/>
    <x v="5"/>
    <x v="2"/>
    <x v="1"/>
    <d v="2025-07-25T00:00:00"/>
    <n v="39100"/>
    <x v="0"/>
  </r>
  <r>
    <n v="100075"/>
    <n v="68"/>
    <n v="54100"/>
    <x v="0"/>
    <n v="52300"/>
    <n v="0"/>
    <x v="7"/>
    <x v="2"/>
    <x v="1"/>
    <d v="2025-03-15T00:00:00"/>
    <n v="52300"/>
    <x v="0"/>
  </r>
  <r>
    <n v="100076"/>
    <n v="39"/>
    <n v="64800"/>
    <x v="1"/>
    <n v="0"/>
    <n v="274000"/>
    <x v="3"/>
    <x v="2"/>
    <x v="1"/>
    <d v="2024-03-24T00:00:00"/>
    <n v="274000"/>
    <x v="0"/>
  </r>
  <r>
    <n v="100077"/>
    <n v="30"/>
    <n v="43400"/>
    <x v="0"/>
    <n v="28800"/>
    <n v="0"/>
    <x v="7"/>
    <x v="1"/>
    <x v="1"/>
    <d v="2025-12-24T00:00:00"/>
    <n v="28800"/>
    <x v="0"/>
  </r>
  <r>
    <n v="100078"/>
    <n v="38"/>
    <n v="75900"/>
    <x v="1"/>
    <n v="68000"/>
    <n v="0"/>
    <x v="3"/>
    <x v="2"/>
    <x v="1"/>
    <d v="2025-10-25T00:00:00"/>
    <n v="68000"/>
    <x v="1"/>
  </r>
  <r>
    <n v="100079"/>
    <n v="29"/>
    <n v="100000"/>
    <x v="2"/>
    <n v="17300"/>
    <n v="0"/>
    <x v="5"/>
    <x v="2"/>
    <x v="1"/>
    <d v="2024-11-07T00:00:00"/>
    <n v="17300"/>
    <x v="1"/>
  </r>
  <r>
    <n v="100080"/>
    <n v="64"/>
    <n v="53300"/>
    <x v="1"/>
    <n v="30300"/>
    <n v="0"/>
    <x v="1"/>
    <x v="0"/>
    <x v="1"/>
    <d v="2024-01-27T00:00:00"/>
    <n v="30300"/>
    <x v="0"/>
  </r>
  <r>
    <n v="100081"/>
    <n v="25"/>
    <n v="42800"/>
    <x v="0"/>
    <n v="0"/>
    <n v="0"/>
    <x v="6"/>
    <x v="3"/>
    <x v="1"/>
    <d v="2025-11-19T00:00:00"/>
    <n v="0"/>
    <x v="0"/>
  </r>
  <r>
    <n v="100082"/>
    <n v="72"/>
    <n v="45100"/>
    <x v="1"/>
    <n v="0"/>
    <n v="0"/>
    <x v="7"/>
    <x v="0"/>
    <x v="1"/>
    <d v="2024-07-04T00:00:00"/>
    <n v="0"/>
    <x v="0"/>
  </r>
  <r>
    <n v="100083"/>
    <n v="57"/>
    <n v="55400"/>
    <x v="0"/>
    <n v="0"/>
    <n v="0"/>
    <x v="1"/>
    <x v="1"/>
    <x v="1"/>
    <d v="2025-11-17T00:00:00"/>
    <n v="0"/>
    <x v="0"/>
  </r>
  <r>
    <n v="100084"/>
    <n v="26"/>
    <n v="92600"/>
    <x v="1"/>
    <n v="22800"/>
    <n v="0"/>
    <x v="6"/>
    <x v="2"/>
    <x v="1"/>
    <d v="2024-11-27T00:00:00"/>
    <n v="22800"/>
    <x v="1"/>
  </r>
  <r>
    <n v="100085"/>
    <n v="27"/>
    <n v="112900"/>
    <x v="1"/>
    <n v="81300"/>
    <n v="0"/>
    <x v="7"/>
    <x v="2"/>
    <x v="1"/>
    <d v="2025-01-05T00:00:00"/>
    <n v="81300"/>
    <x v="1"/>
  </r>
  <r>
    <n v="100086"/>
    <n v="59"/>
    <n v="81000"/>
    <x v="0"/>
    <n v="0"/>
    <n v="219000"/>
    <x v="5"/>
    <x v="2"/>
    <x v="1"/>
    <d v="2025-12-16T00:00:00"/>
    <n v="219000"/>
    <x v="1"/>
  </r>
  <r>
    <n v="100087"/>
    <n v="51"/>
    <n v="36100"/>
    <x v="2"/>
    <n v="20600"/>
    <n v="219000"/>
    <x v="1"/>
    <x v="2"/>
    <x v="1"/>
    <d v="2026-07-23T00:00:00"/>
    <n v="239600"/>
    <x v="0"/>
  </r>
  <r>
    <n v="100088"/>
    <n v="27"/>
    <n v="57100"/>
    <x v="1"/>
    <n v="0"/>
    <n v="0"/>
    <x v="5"/>
    <x v="1"/>
    <x v="1"/>
    <d v="2024-10-06T00:00:00"/>
    <n v="0"/>
    <x v="0"/>
  </r>
  <r>
    <n v="100089"/>
    <n v="46"/>
    <n v="89600"/>
    <x v="2"/>
    <n v="36700"/>
    <n v="0"/>
    <x v="4"/>
    <x v="0"/>
    <x v="1"/>
    <d v="2026-03-19T00:00:00"/>
    <n v="36700"/>
    <x v="1"/>
  </r>
  <r>
    <n v="100090"/>
    <n v="74"/>
    <n v="54100"/>
    <x v="2"/>
    <n v="56300"/>
    <n v="0"/>
    <x v="5"/>
    <x v="0"/>
    <x v="1"/>
    <d v="2025-11-06T00:00:00"/>
    <n v="56300"/>
    <x v="0"/>
  </r>
  <r>
    <n v="100091"/>
    <n v="51"/>
    <n v="93600"/>
    <x v="1"/>
    <n v="25000"/>
    <n v="0"/>
    <x v="1"/>
    <x v="2"/>
    <x v="1"/>
    <d v="2024-07-12T00:00:00"/>
    <n v="25000"/>
    <x v="1"/>
  </r>
  <r>
    <n v="100092"/>
    <n v="64"/>
    <n v="43400"/>
    <x v="1"/>
    <n v="0"/>
    <n v="0"/>
    <x v="2"/>
    <x v="0"/>
    <x v="1"/>
    <d v="2025-12-23T00:00:00"/>
    <n v="0"/>
    <x v="0"/>
  </r>
  <r>
    <n v="100093"/>
    <n v="71"/>
    <n v="51900"/>
    <x v="2"/>
    <n v="0"/>
    <n v="0"/>
    <x v="4"/>
    <x v="1"/>
    <x v="1"/>
    <d v="2024-02-07T00:00:00"/>
    <n v="0"/>
    <x v="0"/>
  </r>
  <r>
    <n v="100094"/>
    <n v="28"/>
    <n v="60000"/>
    <x v="0"/>
    <n v="0"/>
    <n v="0"/>
    <x v="7"/>
    <x v="2"/>
    <x v="1"/>
    <d v="2026-07-21T00:00:00"/>
    <n v="0"/>
    <x v="0"/>
  </r>
  <r>
    <n v="100095"/>
    <n v="49"/>
    <n v="24400"/>
    <x v="1"/>
    <n v="0"/>
    <n v="0"/>
    <x v="0"/>
    <x v="1"/>
    <x v="1"/>
    <d v="2024-09-28T00:00:00"/>
    <n v="0"/>
    <x v="0"/>
  </r>
  <r>
    <n v="100096"/>
    <n v="41"/>
    <n v="69100"/>
    <x v="1"/>
    <n v="24800"/>
    <n v="0"/>
    <x v="1"/>
    <x v="3"/>
    <x v="1"/>
    <d v="2026-06-27T00:00:00"/>
    <n v="24800"/>
    <x v="0"/>
  </r>
  <r>
    <n v="100097"/>
    <n v="68"/>
    <n v="59000"/>
    <x v="0"/>
    <n v="20400"/>
    <n v="0"/>
    <x v="5"/>
    <x v="3"/>
    <x v="1"/>
    <d v="2025-03-20T00:00:00"/>
    <n v="20400"/>
    <x v="0"/>
  </r>
  <r>
    <n v="100098"/>
    <n v="26"/>
    <n v="81400"/>
    <x v="0"/>
    <n v="17300"/>
    <n v="0"/>
    <x v="6"/>
    <x v="2"/>
    <x v="1"/>
    <d v="2024-10-27T00:00:00"/>
    <n v="17300"/>
    <x v="1"/>
  </r>
  <r>
    <n v="100099"/>
    <n v="42"/>
    <n v="51500"/>
    <x v="1"/>
    <n v="37600"/>
    <n v="0"/>
    <x v="4"/>
    <x v="2"/>
    <x v="1"/>
    <d v="2025-01-26T00:00:00"/>
    <n v="37600"/>
    <x v="0"/>
  </r>
  <r>
    <n v="100100"/>
    <n v="59"/>
    <n v="74100"/>
    <x v="1"/>
    <n v="20300"/>
    <n v="0"/>
    <x v="7"/>
    <x v="2"/>
    <x v="0"/>
    <d v="2026-04-03T00:00:00"/>
    <n v="20300"/>
    <x v="1"/>
  </r>
  <r>
    <n v="100101"/>
    <n v="49"/>
    <n v="98800"/>
    <x v="0"/>
    <n v="30500"/>
    <n v="0"/>
    <x v="5"/>
    <x v="1"/>
    <x v="1"/>
    <d v="2024-09-13T00:00:00"/>
    <n v="30500"/>
    <x v="1"/>
  </r>
  <r>
    <n v="100102"/>
    <n v="49"/>
    <n v="91000"/>
    <x v="1"/>
    <n v="32800"/>
    <n v="224000"/>
    <x v="5"/>
    <x v="3"/>
    <x v="1"/>
    <d v="2026-04-29T00:00:00"/>
    <n v="256800"/>
    <x v="1"/>
  </r>
  <r>
    <n v="100103"/>
    <n v="62"/>
    <n v="52800"/>
    <x v="1"/>
    <n v="0"/>
    <n v="0"/>
    <x v="6"/>
    <x v="0"/>
    <x v="1"/>
    <d v="2026-02-02T00:00:00"/>
    <n v="0"/>
    <x v="0"/>
  </r>
  <r>
    <n v="100104"/>
    <n v="51"/>
    <n v="89400"/>
    <x v="2"/>
    <n v="0"/>
    <n v="286000"/>
    <x v="3"/>
    <x v="1"/>
    <x v="1"/>
    <d v="2025-09-27T00:00:00"/>
    <n v="286000"/>
    <x v="1"/>
  </r>
  <r>
    <n v="100105"/>
    <n v="36"/>
    <n v="73600"/>
    <x v="0"/>
    <n v="58000"/>
    <n v="0"/>
    <x v="6"/>
    <x v="1"/>
    <x v="1"/>
    <d v="2025-08-16T00:00:00"/>
    <n v="58000"/>
    <x v="1"/>
  </r>
  <r>
    <n v="100106"/>
    <n v="43"/>
    <n v="78600"/>
    <x v="1"/>
    <n v="50000"/>
    <n v="132000"/>
    <x v="2"/>
    <x v="1"/>
    <x v="1"/>
    <d v="2026-04-30T00:00:00"/>
    <n v="182000"/>
    <x v="1"/>
  </r>
  <r>
    <n v="100107"/>
    <n v="30"/>
    <n v="44400"/>
    <x v="2"/>
    <n v="55000"/>
    <n v="0"/>
    <x v="2"/>
    <x v="0"/>
    <x v="1"/>
    <d v="2024-03-18T00:00:00"/>
    <n v="55000"/>
    <x v="0"/>
  </r>
  <r>
    <n v="100108"/>
    <n v="29"/>
    <n v="80800"/>
    <x v="1"/>
    <n v="44600"/>
    <n v="0"/>
    <x v="2"/>
    <x v="2"/>
    <x v="1"/>
    <d v="2024-09-27T00:00:00"/>
    <n v="44600"/>
    <x v="1"/>
  </r>
  <r>
    <n v="100109"/>
    <n v="54"/>
    <n v="36200"/>
    <x v="1"/>
    <n v="0"/>
    <n v="0"/>
    <x v="1"/>
    <x v="0"/>
    <x v="1"/>
    <d v="2026-08-20T00:00:00"/>
    <n v="0"/>
    <x v="0"/>
  </r>
  <r>
    <n v="100110"/>
    <n v="43"/>
    <n v="35100"/>
    <x v="1"/>
    <n v="43900"/>
    <n v="0"/>
    <x v="3"/>
    <x v="0"/>
    <x v="1"/>
    <d v="2025-04-20T00:00:00"/>
    <n v="43900"/>
    <x v="0"/>
  </r>
  <r>
    <n v="100111"/>
    <n v="64"/>
    <n v="47100"/>
    <x v="1"/>
    <n v="58900"/>
    <n v="0"/>
    <x v="7"/>
    <x v="2"/>
    <x v="1"/>
    <d v="2025-07-04T00:00:00"/>
    <n v="58900"/>
    <x v="0"/>
  </r>
  <r>
    <n v="100112"/>
    <n v="28"/>
    <n v="52400"/>
    <x v="1"/>
    <n v="0"/>
    <n v="0"/>
    <x v="1"/>
    <x v="1"/>
    <x v="1"/>
    <d v="2026-01-14T00:00:00"/>
    <n v="0"/>
    <x v="0"/>
  </r>
  <r>
    <n v="100113"/>
    <n v="29"/>
    <n v="96400"/>
    <x v="0"/>
    <n v="0"/>
    <n v="0"/>
    <x v="5"/>
    <x v="2"/>
    <x v="1"/>
    <d v="2025-01-14T00:00:00"/>
    <n v="0"/>
    <x v="1"/>
  </r>
  <r>
    <n v="100114"/>
    <n v="33"/>
    <n v="55900"/>
    <x v="2"/>
    <n v="0"/>
    <n v="252000"/>
    <x v="2"/>
    <x v="2"/>
    <x v="1"/>
    <d v="2024-10-09T00:00:00"/>
    <n v="252000"/>
    <x v="0"/>
  </r>
  <r>
    <n v="100115"/>
    <n v="32"/>
    <n v="112300"/>
    <x v="2"/>
    <n v="0"/>
    <n v="152000"/>
    <x v="6"/>
    <x v="2"/>
    <x v="1"/>
    <d v="2024-12-07T00:00:00"/>
    <n v="152000"/>
    <x v="1"/>
  </r>
  <r>
    <n v="100116"/>
    <n v="35"/>
    <n v="119500"/>
    <x v="0"/>
    <n v="57200"/>
    <n v="0"/>
    <x v="3"/>
    <x v="1"/>
    <x v="1"/>
    <d v="2026-03-03T00:00:00"/>
    <n v="57200"/>
    <x v="1"/>
  </r>
  <r>
    <n v="100117"/>
    <n v="29"/>
    <n v="84400"/>
    <x v="0"/>
    <n v="79900"/>
    <n v="0"/>
    <x v="5"/>
    <x v="1"/>
    <x v="1"/>
    <d v="2026-06-06T00:00:00"/>
    <n v="79900"/>
    <x v="1"/>
  </r>
  <r>
    <n v="100118"/>
    <n v="21"/>
    <n v="36800"/>
    <x v="1"/>
    <n v="0"/>
    <n v="0"/>
    <x v="6"/>
    <x v="1"/>
    <x v="1"/>
    <d v="2024-02-23T00:00:00"/>
    <n v="0"/>
    <x v="0"/>
  </r>
  <r>
    <n v="100119"/>
    <n v="28"/>
    <n v="79500"/>
    <x v="0"/>
    <n v="0"/>
    <n v="0"/>
    <x v="2"/>
    <x v="1"/>
    <x v="1"/>
    <d v="2024-04-21T00:00:00"/>
    <n v="0"/>
    <x v="1"/>
  </r>
  <r>
    <n v="100120"/>
    <n v="48"/>
    <n v="60100"/>
    <x v="2"/>
    <n v="52900"/>
    <n v="0"/>
    <x v="5"/>
    <x v="1"/>
    <x v="1"/>
    <d v="2024-03-03T00:00:00"/>
    <n v="52900"/>
    <x v="0"/>
  </r>
  <r>
    <n v="100121"/>
    <n v="50"/>
    <n v="91200"/>
    <x v="1"/>
    <n v="47300"/>
    <n v="0"/>
    <x v="0"/>
    <x v="2"/>
    <x v="1"/>
    <d v="2024-05-09T00:00:00"/>
    <n v="47300"/>
    <x v="1"/>
  </r>
  <r>
    <n v="100122"/>
    <n v="37"/>
    <n v="69100"/>
    <x v="0"/>
    <n v="27400"/>
    <n v="0"/>
    <x v="5"/>
    <x v="1"/>
    <x v="1"/>
    <d v="2024-04-11T00:00:00"/>
    <n v="27400"/>
    <x v="0"/>
  </r>
  <r>
    <n v="100123"/>
    <n v="70"/>
    <n v="75800"/>
    <x v="2"/>
    <n v="51700"/>
    <n v="0"/>
    <x v="3"/>
    <x v="2"/>
    <x v="1"/>
    <d v="2025-02-27T00:00:00"/>
    <n v="51700"/>
    <x v="1"/>
  </r>
  <r>
    <n v="100124"/>
    <n v="41"/>
    <n v="88800"/>
    <x v="1"/>
    <n v="0"/>
    <n v="0"/>
    <x v="2"/>
    <x v="1"/>
    <x v="1"/>
    <d v="2025-01-18T00:00:00"/>
    <n v="0"/>
    <x v="1"/>
  </r>
  <r>
    <n v="100125"/>
    <n v="29"/>
    <n v="74400"/>
    <x v="1"/>
    <n v="13000"/>
    <n v="0"/>
    <x v="2"/>
    <x v="0"/>
    <x v="1"/>
    <d v="2025-08-23T00:00:00"/>
    <n v="13000"/>
    <x v="1"/>
  </r>
  <r>
    <n v="100126"/>
    <n v="55"/>
    <n v="64300"/>
    <x v="0"/>
    <n v="61700"/>
    <n v="0"/>
    <x v="1"/>
    <x v="0"/>
    <x v="1"/>
    <d v="2024-10-21T00:00:00"/>
    <n v="61700"/>
    <x v="0"/>
  </r>
  <r>
    <n v="100127"/>
    <n v="58"/>
    <n v="47700"/>
    <x v="1"/>
    <n v="16800"/>
    <n v="0"/>
    <x v="0"/>
    <x v="1"/>
    <x v="1"/>
    <d v="2024-04-27T00:00:00"/>
    <n v="16800"/>
    <x v="0"/>
  </r>
  <r>
    <n v="100128"/>
    <n v="68"/>
    <n v="45700"/>
    <x v="1"/>
    <n v="37300"/>
    <n v="0"/>
    <x v="6"/>
    <x v="1"/>
    <x v="1"/>
    <d v="2025-12-11T00:00:00"/>
    <n v="37300"/>
    <x v="0"/>
  </r>
  <r>
    <n v="100129"/>
    <n v="37"/>
    <n v="26800"/>
    <x v="1"/>
    <n v="0"/>
    <n v="0"/>
    <x v="2"/>
    <x v="2"/>
    <x v="1"/>
    <d v="2026-06-09T00:00:00"/>
    <n v="0"/>
    <x v="0"/>
  </r>
  <r>
    <n v="100130"/>
    <n v="29"/>
    <n v="64600"/>
    <x v="1"/>
    <n v="41800"/>
    <n v="269000"/>
    <x v="3"/>
    <x v="1"/>
    <x v="1"/>
    <d v="2024-06-10T00:00:00"/>
    <n v="310800"/>
    <x v="0"/>
  </r>
  <r>
    <n v="100131"/>
    <n v="43"/>
    <n v="47600"/>
    <x v="1"/>
    <n v="0"/>
    <n v="0"/>
    <x v="6"/>
    <x v="2"/>
    <x v="1"/>
    <d v="2026-02-11T00:00:00"/>
    <n v="0"/>
    <x v="0"/>
  </r>
  <r>
    <n v="100132"/>
    <n v="59"/>
    <n v="29600"/>
    <x v="1"/>
    <n v="29600"/>
    <n v="0"/>
    <x v="1"/>
    <x v="1"/>
    <x v="1"/>
    <d v="2024-04-26T00:00:00"/>
    <n v="29600"/>
    <x v="0"/>
  </r>
  <r>
    <n v="100133"/>
    <n v="42"/>
    <n v="55000"/>
    <x v="1"/>
    <n v="33000"/>
    <n v="0"/>
    <x v="6"/>
    <x v="2"/>
    <x v="1"/>
    <d v="2024-02-26T00:00:00"/>
    <n v="33000"/>
    <x v="0"/>
  </r>
  <r>
    <n v="100134"/>
    <n v="20"/>
    <n v="41400"/>
    <x v="2"/>
    <n v="0"/>
    <n v="0"/>
    <x v="5"/>
    <x v="1"/>
    <x v="1"/>
    <d v="2024-01-08T00:00:00"/>
    <n v="0"/>
    <x v="0"/>
  </r>
  <r>
    <n v="100135"/>
    <n v="51"/>
    <n v="80100"/>
    <x v="1"/>
    <n v="46700"/>
    <n v="0"/>
    <x v="2"/>
    <x v="2"/>
    <x v="1"/>
    <d v="2024-02-13T00:00:00"/>
    <n v="46700"/>
    <x v="1"/>
  </r>
  <r>
    <n v="100136"/>
    <n v="47"/>
    <n v="25100"/>
    <x v="2"/>
    <n v="0"/>
    <n v="0"/>
    <x v="1"/>
    <x v="0"/>
    <x v="1"/>
    <d v="2025-03-03T00:00:00"/>
    <n v="0"/>
    <x v="0"/>
  </r>
  <r>
    <n v="100137"/>
    <n v="38"/>
    <n v="35600"/>
    <x v="1"/>
    <n v="44500"/>
    <n v="0"/>
    <x v="2"/>
    <x v="2"/>
    <x v="1"/>
    <d v="2024-09-06T00:00:00"/>
    <n v="44500"/>
    <x v="0"/>
  </r>
  <r>
    <n v="100138"/>
    <n v="47"/>
    <n v="66300"/>
    <x v="0"/>
    <n v="23900"/>
    <n v="0"/>
    <x v="2"/>
    <x v="0"/>
    <x v="0"/>
    <d v="2025-10-10T00:00:00"/>
    <n v="23900"/>
    <x v="0"/>
  </r>
  <r>
    <n v="100139"/>
    <n v="27"/>
    <n v="62000"/>
    <x v="1"/>
    <n v="0"/>
    <n v="0"/>
    <x v="4"/>
    <x v="2"/>
    <x v="1"/>
    <d v="2024-05-29T00:00:00"/>
    <n v="0"/>
    <x v="0"/>
  </r>
  <r>
    <n v="100140"/>
    <n v="36"/>
    <n v="41000"/>
    <x v="0"/>
    <n v="0"/>
    <n v="0"/>
    <x v="4"/>
    <x v="3"/>
    <x v="1"/>
    <d v="2025-10-05T00:00:00"/>
    <n v="0"/>
    <x v="0"/>
  </r>
  <r>
    <n v="100141"/>
    <n v="51"/>
    <n v="57300"/>
    <x v="0"/>
    <n v="45100"/>
    <n v="0"/>
    <x v="2"/>
    <x v="0"/>
    <x v="1"/>
    <d v="2024-06-03T00:00:00"/>
    <n v="45100"/>
    <x v="0"/>
  </r>
  <r>
    <n v="100142"/>
    <n v="48"/>
    <n v="31500"/>
    <x v="1"/>
    <n v="22200"/>
    <n v="209000"/>
    <x v="5"/>
    <x v="1"/>
    <x v="0"/>
    <d v="2025-01-12T00:00:00"/>
    <n v="231200"/>
    <x v="0"/>
  </r>
  <r>
    <n v="100143"/>
    <n v="73"/>
    <n v="46200"/>
    <x v="0"/>
    <n v="0"/>
    <n v="229000"/>
    <x v="1"/>
    <x v="1"/>
    <x v="1"/>
    <d v="2025-07-21T00:00:00"/>
    <n v="229000"/>
    <x v="0"/>
  </r>
  <r>
    <n v="100144"/>
    <n v="70"/>
    <n v="79300"/>
    <x v="1"/>
    <n v="0"/>
    <n v="0"/>
    <x v="3"/>
    <x v="2"/>
    <x v="1"/>
    <d v="2025-05-02T00:00:00"/>
    <n v="0"/>
    <x v="1"/>
  </r>
  <r>
    <n v="100145"/>
    <n v="52"/>
    <n v="38100"/>
    <x v="1"/>
    <n v="47600"/>
    <n v="0"/>
    <x v="0"/>
    <x v="1"/>
    <x v="1"/>
    <d v="2024-09-10T00:00:00"/>
    <n v="47600"/>
    <x v="0"/>
  </r>
  <r>
    <n v="100146"/>
    <n v="65"/>
    <n v="55600"/>
    <x v="1"/>
    <n v="17000"/>
    <n v="0"/>
    <x v="5"/>
    <x v="1"/>
    <x v="1"/>
    <d v="2025-11-26T00:00:00"/>
    <n v="17000"/>
    <x v="0"/>
  </r>
  <r>
    <n v="100147"/>
    <n v="58"/>
    <n v="29900"/>
    <x v="0"/>
    <n v="24800"/>
    <n v="0"/>
    <x v="1"/>
    <x v="1"/>
    <x v="1"/>
    <d v="2025-11-03T00:00:00"/>
    <n v="24800"/>
    <x v="0"/>
  </r>
  <r>
    <n v="100148"/>
    <n v="58"/>
    <n v="94700"/>
    <x v="1"/>
    <n v="16100"/>
    <n v="0"/>
    <x v="1"/>
    <x v="2"/>
    <x v="1"/>
    <d v="2024-03-27T00:00:00"/>
    <n v="16100"/>
    <x v="1"/>
  </r>
  <r>
    <n v="100149"/>
    <n v="39"/>
    <n v="64100"/>
    <x v="0"/>
    <n v="15400"/>
    <n v="0"/>
    <x v="0"/>
    <x v="1"/>
    <x v="1"/>
    <d v="2025-01-05T00:00:00"/>
    <n v="15400"/>
    <x v="0"/>
  </r>
  <r>
    <n v="100150"/>
    <n v="21"/>
    <n v="50700"/>
    <x v="1"/>
    <n v="63400"/>
    <n v="0"/>
    <x v="3"/>
    <x v="3"/>
    <x v="0"/>
    <d v="2024-10-29T00:00:00"/>
    <n v="63400"/>
    <x v="0"/>
  </r>
  <r>
    <n v="100151"/>
    <n v="74"/>
    <n v="84300"/>
    <x v="0"/>
    <n v="49300"/>
    <n v="0"/>
    <x v="2"/>
    <x v="0"/>
    <x v="1"/>
    <d v="2025-09-03T00:00:00"/>
    <n v="49300"/>
    <x v="1"/>
  </r>
  <r>
    <n v="100152"/>
    <n v="44"/>
    <n v="38400"/>
    <x v="1"/>
    <n v="41200"/>
    <n v="0"/>
    <x v="7"/>
    <x v="2"/>
    <x v="1"/>
    <d v="2026-01-06T00:00:00"/>
    <n v="41200"/>
    <x v="0"/>
  </r>
  <r>
    <n v="100153"/>
    <n v="35"/>
    <n v="112700"/>
    <x v="0"/>
    <n v="0"/>
    <n v="0"/>
    <x v="3"/>
    <x v="1"/>
    <x v="1"/>
    <d v="2024-11-12T00:00:00"/>
    <n v="0"/>
    <x v="1"/>
  </r>
  <r>
    <n v="100154"/>
    <n v="71"/>
    <n v="83900"/>
    <x v="2"/>
    <n v="44900"/>
    <n v="0"/>
    <x v="7"/>
    <x v="2"/>
    <x v="1"/>
    <d v="2025-01-26T00:00:00"/>
    <n v="44900"/>
    <x v="1"/>
  </r>
  <r>
    <n v="100155"/>
    <n v="52"/>
    <n v="61800"/>
    <x v="2"/>
    <n v="0"/>
    <n v="0"/>
    <x v="4"/>
    <x v="0"/>
    <x v="1"/>
    <d v="2024-02-23T00:00:00"/>
    <n v="0"/>
    <x v="0"/>
  </r>
  <r>
    <n v="100156"/>
    <n v="61"/>
    <n v="58500"/>
    <x v="1"/>
    <n v="0"/>
    <n v="0"/>
    <x v="0"/>
    <x v="2"/>
    <x v="1"/>
    <d v="2026-02-20T00:00:00"/>
    <n v="0"/>
    <x v="0"/>
  </r>
  <r>
    <n v="100157"/>
    <n v="30"/>
    <n v="45300"/>
    <x v="2"/>
    <n v="30300"/>
    <n v="0"/>
    <x v="3"/>
    <x v="0"/>
    <x v="1"/>
    <d v="2026-08-10T00:00:00"/>
    <n v="30300"/>
    <x v="0"/>
  </r>
  <r>
    <n v="100158"/>
    <n v="21"/>
    <n v="54100"/>
    <x v="1"/>
    <n v="27600"/>
    <n v="154000"/>
    <x v="2"/>
    <x v="0"/>
    <x v="1"/>
    <d v="2025-10-27T00:00:00"/>
    <n v="181600"/>
    <x v="0"/>
  </r>
  <r>
    <n v="100159"/>
    <n v="41"/>
    <n v="84700"/>
    <x v="1"/>
    <n v="57200"/>
    <n v="0"/>
    <x v="4"/>
    <x v="1"/>
    <x v="1"/>
    <d v="2025-09-22T00:00:00"/>
    <n v="57200"/>
    <x v="1"/>
  </r>
  <r>
    <n v="100160"/>
    <n v="20"/>
    <n v="99500"/>
    <x v="1"/>
    <n v="16500"/>
    <n v="0"/>
    <x v="1"/>
    <x v="2"/>
    <x v="1"/>
    <d v="2024-11-04T00:00:00"/>
    <n v="16500"/>
    <x v="1"/>
  </r>
  <r>
    <n v="100161"/>
    <n v="27"/>
    <n v="29300"/>
    <x v="1"/>
    <n v="0"/>
    <n v="0"/>
    <x v="0"/>
    <x v="0"/>
    <x v="1"/>
    <d v="2025-05-26T00:00:00"/>
    <n v="0"/>
    <x v="0"/>
  </r>
  <r>
    <n v="100162"/>
    <n v="58"/>
    <n v="62400"/>
    <x v="0"/>
    <n v="47800"/>
    <n v="0"/>
    <x v="6"/>
    <x v="1"/>
    <x v="1"/>
    <d v="2025-03-02T00:00:00"/>
    <n v="47800"/>
    <x v="0"/>
  </r>
  <r>
    <n v="100163"/>
    <n v="31"/>
    <n v="72500"/>
    <x v="1"/>
    <n v="0"/>
    <n v="213000"/>
    <x v="6"/>
    <x v="1"/>
    <x v="1"/>
    <d v="2025-04-26T00:00:00"/>
    <n v="213000"/>
    <x v="1"/>
  </r>
  <r>
    <n v="100164"/>
    <n v="22"/>
    <n v="70100"/>
    <x v="2"/>
    <n v="6800"/>
    <n v="0"/>
    <x v="2"/>
    <x v="2"/>
    <x v="1"/>
    <d v="2024-04-16T00:00:00"/>
    <n v="6800"/>
    <x v="1"/>
  </r>
  <r>
    <n v="100165"/>
    <n v="69"/>
    <n v="65800"/>
    <x v="0"/>
    <n v="25900"/>
    <n v="0"/>
    <x v="4"/>
    <x v="0"/>
    <x v="1"/>
    <d v="2025-12-13T00:00:00"/>
    <n v="25900"/>
    <x v="0"/>
  </r>
  <r>
    <n v="100166"/>
    <n v="50"/>
    <n v="69800"/>
    <x v="0"/>
    <n v="52300"/>
    <n v="0"/>
    <x v="5"/>
    <x v="2"/>
    <x v="1"/>
    <d v="2026-06-26T00:00:00"/>
    <n v="52300"/>
    <x v="0"/>
  </r>
  <r>
    <n v="100167"/>
    <n v="22"/>
    <n v="47900"/>
    <x v="1"/>
    <n v="55800"/>
    <n v="0"/>
    <x v="6"/>
    <x v="0"/>
    <x v="1"/>
    <d v="2024-12-31T00:00:00"/>
    <n v="55800"/>
    <x v="0"/>
  </r>
  <r>
    <n v="100168"/>
    <n v="75"/>
    <n v="83500"/>
    <x v="2"/>
    <n v="15200"/>
    <n v="0"/>
    <x v="1"/>
    <x v="1"/>
    <x v="1"/>
    <d v="2025-01-30T00:00:00"/>
    <n v="15200"/>
    <x v="1"/>
  </r>
  <r>
    <n v="100169"/>
    <n v="41"/>
    <n v="113900"/>
    <x v="1"/>
    <n v="68100"/>
    <n v="0"/>
    <x v="0"/>
    <x v="1"/>
    <x v="1"/>
    <d v="2025-09-08T00:00:00"/>
    <n v="68100"/>
    <x v="1"/>
  </r>
  <r>
    <n v="100170"/>
    <n v="72"/>
    <n v="40000"/>
    <x v="1"/>
    <n v="24700"/>
    <n v="0"/>
    <x v="7"/>
    <x v="0"/>
    <x v="1"/>
    <d v="2025-12-07T00:00:00"/>
    <n v="24700"/>
    <x v="0"/>
  </r>
  <r>
    <n v="100171"/>
    <n v="48"/>
    <n v="50100"/>
    <x v="1"/>
    <n v="0"/>
    <n v="0"/>
    <x v="1"/>
    <x v="2"/>
    <x v="1"/>
    <d v="2026-03-21T00:00:00"/>
    <n v="0"/>
    <x v="0"/>
  </r>
  <r>
    <n v="100172"/>
    <n v="23"/>
    <n v="32200"/>
    <x v="0"/>
    <n v="40200"/>
    <n v="0"/>
    <x v="6"/>
    <x v="2"/>
    <x v="1"/>
    <d v="2026-03-11T00:00:00"/>
    <n v="40200"/>
    <x v="0"/>
  </r>
  <r>
    <n v="100173"/>
    <n v="48"/>
    <n v="27700"/>
    <x v="1"/>
    <n v="0"/>
    <n v="0"/>
    <x v="1"/>
    <x v="3"/>
    <x v="1"/>
    <d v="2024-02-03T00:00:00"/>
    <n v="0"/>
    <x v="0"/>
  </r>
  <r>
    <n v="100174"/>
    <n v="58"/>
    <n v="38300"/>
    <x v="1"/>
    <n v="30600"/>
    <n v="134000"/>
    <x v="2"/>
    <x v="1"/>
    <x v="1"/>
    <d v="2024-09-12T00:00:00"/>
    <n v="164600"/>
    <x v="0"/>
  </r>
  <r>
    <n v="100175"/>
    <n v="27"/>
    <n v="26300"/>
    <x v="1"/>
    <n v="32900"/>
    <n v="278000"/>
    <x v="7"/>
    <x v="1"/>
    <x v="1"/>
    <d v="2025-12-11T00:00:00"/>
    <n v="310900"/>
    <x v="0"/>
  </r>
  <r>
    <n v="100176"/>
    <n v="51"/>
    <n v="41200"/>
    <x v="1"/>
    <n v="17600"/>
    <n v="0"/>
    <x v="0"/>
    <x v="0"/>
    <x v="1"/>
    <d v="2024-11-23T00:00:00"/>
    <n v="17600"/>
    <x v="0"/>
  </r>
  <r>
    <n v="100177"/>
    <n v="62"/>
    <n v="49800"/>
    <x v="1"/>
    <n v="62200"/>
    <n v="0"/>
    <x v="4"/>
    <x v="0"/>
    <x v="1"/>
    <d v="2024-05-04T00:00:00"/>
    <n v="62200"/>
    <x v="0"/>
  </r>
  <r>
    <n v="100178"/>
    <n v="32"/>
    <n v="84700"/>
    <x v="1"/>
    <n v="26400"/>
    <n v="0"/>
    <x v="7"/>
    <x v="1"/>
    <x v="1"/>
    <d v="2025-09-18T00:00:00"/>
    <n v="26400"/>
    <x v="1"/>
  </r>
  <r>
    <n v="100179"/>
    <n v="25"/>
    <n v="31300"/>
    <x v="1"/>
    <n v="32500"/>
    <n v="0"/>
    <x v="1"/>
    <x v="0"/>
    <x v="0"/>
    <d v="2024-11-20T00:00:00"/>
    <n v="32500"/>
    <x v="0"/>
  </r>
  <r>
    <n v="100180"/>
    <n v="61"/>
    <n v="32100"/>
    <x v="1"/>
    <n v="15400"/>
    <n v="0"/>
    <x v="4"/>
    <x v="0"/>
    <x v="1"/>
    <d v="2025-05-29T00:00:00"/>
    <n v="15400"/>
    <x v="0"/>
  </r>
  <r>
    <n v="100181"/>
    <n v="75"/>
    <n v="30200"/>
    <x v="1"/>
    <n v="17200"/>
    <n v="0"/>
    <x v="3"/>
    <x v="1"/>
    <x v="1"/>
    <d v="2026-07-05T00:00:00"/>
    <n v="17200"/>
    <x v="0"/>
  </r>
  <r>
    <n v="100182"/>
    <n v="38"/>
    <n v="91000"/>
    <x v="1"/>
    <n v="36700"/>
    <n v="170000"/>
    <x v="0"/>
    <x v="1"/>
    <x v="1"/>
    <d v="2026-08-22T00:00:00"/>
    <n v="206700"/>
    <x v="1"/>
  </r>
  <r>
    <n v="100183"/>
    <n v="57"/>
    <n v="38400"/>
    <x v="0"/>
    <n v="0"/>
    <n v="0"/>
    <x v="6"/>
    <x v="0"/>
    <x v="1"/>
    <d v="2024-01-30T00:00:00"/>
    <n v="0"/>
    <x v="0"/>
  </r>
  <r>
    <n v="100184"/>
    <n v="25"/>
    <n v="29100"/>
    <x v="0"/>
    <n v="36400"/>
    <n v="0"/>
    <x v="1"/>
    <x v="0"/>
    <x v="0"/>
    <d v="2026-06-29T00:00:00"/>
    <n v="36400"/>
    <x v="0"/>
  </r>
  <r>
    <n v="100185"/>
    <n v="60"/>
    <n v="63100"/>
    <x v="0"/>
    <n v="20800"/>
    <n v="0"/>
    <x v="1"/>
    <x v="2"/>
    <x v="1"/>
    <d v="2024-03-02T00:00:00"/>
    <n v="20800"/>
    <x v="0"/>
  </r>
  <r>
    <n v="100186"/>
    <n v="30"/>
    <n v="55700"/>
    <x v="1"/>
    <n v="40100"/>
    <n v="0"/>
    <x v="2"/>
    <x v="0"/>
    <x v="1"/>
    <d v="2025-02-12T00:00:00"/>
    <n v="40100"/>
    <x v="0"/>
  </r>
  <r>
    <n v="100187"/>
    <n v="28"/>
    <n v="81400"/>
    <x v="0"/>
    <n v="20700"/>
    <n v="197000"/>
    <x v="4"/>
    <x v="2"/>
    <x v="1"/>
    <d v="2025-01-28T00:00:00"/>
    <n v="217700"/>
    <x v="1"/>
  </r>
  <r>
    <n v="100188"/>
    <n v="75"/>
    <n v="68400"/>
    <x v="1"/>
    <n v="0"/>
    <n v="174000"/>
    <x v="2"/>
    <x v="2"/>
    <x v="1"/>
    <d v="2024-06-12T00:00:00"/>
    <n v="174000"/>
    <x v="0"/>
  </r>
  <r>
    <n v="100189"/>
    <n v="51"/>
    <n v="123700"/>
    <x v="1"/>
    <n v="0"/>
    <n v="0"/>
    <x v="0"/>
    <x v="0"/>
    <x v="1"/>
    <d v="2025-06-01T00:00:00"/>
    <n v="0"/>
    <x v="1"/>
  </r>
  <r>
    <n v="100190"/>
    <n v="49"/>
    <n v="111900"/>
    <x v="1"/>
    <n v="10400"/>
    <n v="0"/>
    <x v="7"/>
    <x v="2"/>
    <x v="0"/>
    <d v="2024-04-20T00:00:00"/>
    <n v="10400"/>
    <x v="1"/>
  </r>
  <r>
    <n v="100191"/>
    <n v="47"/>
    <n v="37000"/>
    <x v="1"/>
    <n v="28500"/>
    <n v="105000"/>
    <x v="3"/>
    <x v="1"/>
    <x v="1"/>
    <d v="2025-01-30T00:00:00"/>
    <n v="133500"/>
    <x v="0"/>
  </r>
  <r>
    <n v="100192"/>
    <n v="52"/>
    <n v="56400"/>
    <x v="0"/>
    <n v="0"/>
    <n v="0"/>
    <x v="0"/>
    <x v="2"/>
    <x v="1"/>
    <d v="2024-04-09T00:00:00"/>
    <n v="0"/>
    <x v="0"/>
  </r>
  <r>
    <n v="100193"/>
    <n v="45"/>
    <n v="51400"/>
    <x v="2"/>
    <n v="26600"/>
    <n v="231000"/>
    <x v="1"/>
    <x v="1"/>
    <x v="0"/>
    <d v="2024-05-20T00:00:00"/>
    <n v="257600"/>
    <x v="0"/>
  </r>
  <r>
    <n v="100194"/>
    <n v="65"/>
    <n v="48900"/>
    <x v="1"/>
    <n v="40100"/>
    <n v="0"/>
    <x v="2"/>
    <x v="0"/>
    <x v="1"/>
    <d v="2025-02-06T00:00:00"/>
    <n v="40100"/>
    <x v="0"/>
  </r>
  <r>
    <n v="100195"/>
    <n v="59"/>
    <n v="79300"/>
    <x v="1"/>
    <n v="57000"/>
    <n v="0"/>
    <x v="5"/>
    <x v="2"/>
    <x v="0"/>
    <d v="2024-12-05T00:00:00"/>
    <n v="57000"/>
    <x v="1"/>
  </r>
  <r>
    <n v="100196"/>
    <n v="63"/>
    <n v="35200"/>
    <x v="1"/>
    <n v="44000"/>
    <n v="0"/>
    <x v="6"/>
    <x v="0"/>
    <x v="1"/>
    <d v="2025-11-02T00:00:00"/>
    <n v="44000"/>
    <x v="0"/>
  </r>
  <r>
    <n v="100197"/>
    <n v="70"/>
    <n v="113400"/>
    <x v="0"/>
    <n v="10500"/>
    <n v="0"/>
    <x v="1"/>
    <x v="2"/>
    <x v="1"/>
    <d v="2024-02-02T00:00:00"/>
    <n v="10500"/>
    <x v="1"/>
  </r>
  <r>
    <n v="100198"/>
    <n v="56"/>
    <n v="107400"/>
    <x v="1"/>
    <n v="24100"/>
    <n v="253000"/>
    <x v="1"/>
    <x v="1"/>
    <x v="1"/>
    <d v="2025-04-27T00:00:00"/>
    <n v="277100"/>
    <x v="1"/>
  </r>
  <r>
    <n v="100199"/>
    <n v="75"/>
    <n v="91300"/>
    <x v="0"/>
    <n v="34800"/>
    <n v="0"/>
    <x v="7"/>
    <x v="1"/>
    <x v="1"/>
    <d v="2024-06-26T00:00:00"/>
    <n v="34800"/>
    <x v="1"/>
  </r>
  <r>
    <n v="100200"/>
    <n v="49"/>
    <n v="100600"/>
    <x v="1"/>
    <n v="52000"/>
    <n v="0"/>
    <x v="5"/>
    <x v="1"/>
    <x v="1"/>
    <d v="2024-09-09T00:00:00"/>
    <n v="52000"/>
    <x v="1"/>
  </r>
  <r>
    <n v="100201"/>
    <n v="37"/>
    <n v="64000"/>
    <x v="1"/>
    <n v="0"/>
    <n v="0"/>
    <x v="5"/>
    <x v="1"/>
    <x v="1"/>
    <d v="2025-12-07T00:00:00"/>
    <n v="0"/>
    <x v="0"/>
  </r>
  <r>
    <n v="100202"/>
    <n v="65"/>
    <n v="59000"/>
    <x v="1"/>
    <n v="69600"/>
    <n v="0"/>
    <x v="5"/>
    <x v="2"/>
    <x v="1"/>
    <d v="2025-01-23T00:00:00"/>
    <n v="69600"/>
    <x v="0"/>
  </r>
  <r>
    <n v="100203"/>
    <n v="45"/>
    <n v="87700"/>
    <x v="2"/>
    <n v="0"/>
    <n v="0"/>
    <x v="5"/>
    <x v="0"/>
    <x v="1"/>
    <d v="2024-03-21T00:00:00"/>
    <n v="0"/>
    <x v="1"/>
  </r>
  <r>
    <n v="100204"/>
    <n v="42"/>
    <n v="102600"/>
    <x v="0"/>
    <n v="0"/>
    <n v="296000"/>
    <x v="5"/>
    <x v="0"/>
    <x v="1"/>
    <d v="2025-12-13T00:00:00"/>
    <n v="296000"/>
    <x v="1"/>
  </r>
  <r>
    <n v="100205"/>
    <n v="37"/>
    <n v="37200"/>
    <x v="0"/>
    <n v="20700"/>
    <n v="0"/>
    <x v="3"/>
    <x v="0"/>
    <x v="0"/>
    <d v="2025-02-27T00:00:00"/>
    <n v="20700"/>
    <x v="0"/>
  </r>
  <r>
    <n v="100206"/>
    <n v="41"/>
    <n v="77200"/>
    <x v="1"/>
    <n v="0"/>
    <n v="219000"/>
    <x v="4"/>
    <x v="2"/>
    <x v="1"/>
    <d v="2026-08-15T00:00:00"/>
    <n v="219000"/>
    <x v="1"/>
  </r>
  <r>
    <n v="100207"/>
    <n v="50"/>
    <n v="58200"/>
    <x v="1"/>
    <n v="0"/>
    <n v="0"/>
    <x v="6"/>
    <x v="0"/>
    <x v="1"/>
    <d v="2024-04-01T00:00:00"/>
    <n v="0"/>
    <x v="0"/>
  </r>
  <r>
    <n v="100208"/>
    <n v="61"/>
    <n v="65200"/>
    <x v="0"/>
    <n v="0"/>
    <n v="0"/>
    <x v="4"/>
    <x v="1"/>
    <x v="1"/>
    <d v="2026-05-07T00:00:00"/>
    <n v="0"/>
    <x v="0"/>
  </r>
  <r>
    <n v="100209"/>
    <n v="31"/>
    <n v="104500"/>
    <x v="1"/>
    <n v="0"/>
    <n v="0"/>
    <x v="4"/>
    <x v="0"/>
    <x v="1"/>
    <d v="2026-06-12T00:00:00"/>
    <n v="0"/>
    <x v="1"/>
  </r>
  <r>
    <n v="100210"/>
    <n v="38"/>
    <n v="95100"/>
    <x v="1"/>
    <n v="14300"/>
    <n v="0"/>
    <x v="5"/>
    <x v="2"/>
    <x v="1"/>
    <d v="2025-06-20T00:00:00"/>
    <n v="14300"/>
    <x v="1"/>
  </r>
  <r>
    <n v="100211"/>
    <n v="51"/>
    <n v="97000"/>
    <x v="1"/>
    <n v="22100"/>
    <n v="0"/>
    <x v="2"/>
    <x v="2"/>
    <x v="1"/>
    <d v="2024-09-20T00:00:00"/>
    <n v="22100"/>
    <x v="1"/>
  </r>
  <r>
    <n v="100212"/>
    <n v="65"/>
    <n v="40400"/>
    <x v="0"/>
    <n v="0"/>
    <n v="0"/>
    <x v="3"/>
    <x v="1"/>
    <x v="1"/>
    <d v="2026-05-26T00:00:00"/>
    <n v="0"/>
    <x v="0"/>
  </r>
  <r>
    <n v="100213"/>
    <n v="60"/>
    <n v="98100"/>
    <x v="2"/>
    <n v="13100"/>
    <n v="0"/>
    <x v="4"/>
    <x v="3"/>
    <x v="1"/>
    <d v="2026-08-16T00:00:00"/>
    <n v="13100"/>
    <x v="1"/>
  </r>
  <r>
    <n v="100214"/>
    <n v="35"/>
    <n v="22300"/>
    <x v="1"/>
    <n v="21900"/>
    <n v="0"/>
    <x v="6"/>
    <x v="1"/>
    <x v="1"/>
    <d v="2024-08-29T00:00:00"/>
    <n v="21900"/>
    <x v="0"/>
  </r>
  <r>
    <n v="100215"/>
    <n v="23"/>
    <n v="72800"/>
    <x v="1"/>
    <n v="45400"/>
    <n v="0"/>
    <x v="5"/>
    <x v="1"/>
    <x v="1"/>
    <d v="2026-08-21T00:00:00"/>
    <n v="45400"/>
    <x v="1"/>
  </r>
  <r>
    <n v="100216"/>
    <n v="38"/>
    <n v="51000"/>
    <x v="1"/>
    <n v="0"/>
    <n v="0"/>
    <x v="7"/>
    <x v="0"/>
    <x v="1"/>
    <d v="2025-09-12T00:00:00"/>
    <n v="0"/>
    <x v="0"/>
  </r>
  <r>
    <n v="100217"/>
    <n v="43"/>
    <n v="54100"/>
    <x v="0"/>
    <n v="35900"/>
    <n v="0"/>
    <x v="3"/>
    <x v="0"/>
    <x v="1"/>
    <d v="2025-09-02T00:00:00"/>
    <n v="35900"/>
    <x v="0"/>
  </r>
  <r>
    <n v="100218"/>
    <n v="75"/>
    <n v="84200"/>
    <x v="0"/>
    <n v="26400"/>
    <n v="0"/>
    <x v="0"/>
    <x v="2"/>
    <x v="1"/>
    <d v="2025-06-01T00:00:00"/>
    <n v="26400"/>
    <x v="1"/>
  </r>
  <r>
    <n v="100219"/>
    <n v="32"/>
    <n v="65100"/>
    <x v="1"/>
    <n v="34900"/>
    <n v="150000"/>
    <x v="7"/>
    <x v="2"/>
    <x v="1"/>
    <d v="2026-04-08T00:00:00"/>
    <n v="184900"/>
    <x v="0"/>
  </r>
  <r>
    <n v="100220"/>
    <n v="23"/>
    <n v="56600"/>
    <x v="0"/>
    <n v="11000"/>
    <n v="0"/>
    <x v="5"/>
    <x v="0"/>
    <x v="1"/>
    <d v="2026-04-16T00:00:00"/>
    <n v="11000"/>
    <x v="0"/>
  </r>
  <r>
    <n v="100221"/>
    <n v="20"/>
    <n v="79900"/>
    <x v="0"/>
    <n v="25600"/>
    <n v="397000"/>
    <x v="0"/>
    <x v="3"/>
    <x v="1"/>
    <d v="2024-10-20T00:00:00"/>
    <n v="422600"/>
    <x v="1"/>
  </r>
  <r>
    <n v="100222"/>
    <n v="46"/>
    <n v="40000"/>
    <x v="1"/>
    <n v="48600"/>
    <n v="0"/>
    <x v="2"/>
    <x v="3"/>
    <x v="1"/>
    <d v="2026-06-09T00:00:00"/>
    <n v="48600"/>
    <x v="0"/>
  </r>
  <r>
    <n v="100223"/>
    <n v="44"/>
    <n v="51600"/>
    <x v="0"/>
    <n v="36000"/>
    <n v="0"/>
    <x v="2"/>
    <x v="2"/>
    <x v="1"/>
    <d v="2025-02-06T00:00:00"/>
    <n v="36000"/>
    <x v="0"/>
  </r>
  <r>
    <n v="100224"/>
    <n v="53"/>
    <n v="36500"/>
    <x v="2"/>
    <n v="0"/>
    <n v="0"/>
    <x v="5"/>
    <x v="1"/>
    <x v="1"/>
    <d v="2026-01-06T00:00:00"/>
    <n v="0"/>
    <x v="0"/>
  </r>
  <r>
    <n v="100225"/>
    <n v="54"/>
    <n v="54700"/>
    <x v="1"/>
    <n v="31500"/>
    <n v="146000"/>
    <x v="0"/>
    <x v="2"/>
    <x v="1"/>
    <d v="2025-09-21T00:00:00"/>
    <n v="177500"/>
    <x v="0"/>
  </r>
  <r>
    <n v="100226"/>
    <n v="69"/>
    <n v="104900"/>
    <x v="2"/>
    <n v="11700"/>
    <n v="0"/>
    <x v="7"/>
    <x v="1"/>
    <x v="1"/>
    <d v="2024-02-19T00:00:00"/>
    <n v="11700"/>
    <x v="1"/>
  </r>
  <r>
    <n v="100227"/>
    <n v="35"/>
    <n v="79400"/>
    <x v="1"/>
    <n v="19600"/>
    <n v="0"/>
    <x v="6"/>
    <x v="2"/>
    <x v="1"/>
    <d v="2024-08-27T00:00:00"/>
    <n v="19600"/>
    <x v="1"/>
  </r>
  <r>
    <n v="100228"/>
    <n v="72"/>
    <n v="101300"/>
    <x v="0"/>
    <n v="52000"/>
    <n v="0"/>
    <x v="3"/>
    <x v="2"/>
    <x v="1"/>
    <d v="2025-11-07T00:00:00"/>
    <n v="52000"/>
    <x v="1"/>
  </r>
  <r>
    <n v="100229"/>
    <n v="53"/>
    <n v="42400"/>
    <x v="1"/>
    <n v="53000"/>
    <n v="0"/>
    <x v="4"/>
    <x v="0"/>
    <x v="1"/>
    <d v="2025-05-22T00:00:00"/>
    <n v="53000"/>
    <x v="0"/>
  </r>
  <r>
    <n v="100230"/>
    <n v="23"/>
    <n v="113500"/>
    <x v="2"/>
    <n v="53200"/>
    <n v="0"/>
    <x v="1"/>
    <x v="2"/>
    <x v="1"/>
    <d v="2024-07-07T00:00:00"/>
    <n v="53200"/>
    <x v="1"/>
  </r>
  <r>
    <n v="100231"/>
    <n v="68"/>
    <n v="62500"/>
    <x v="1"/>
    <n v="60000"/>
    <n v="200000"/>
    <x v="6"/>
    <x v="1"/>
    <x v="1"/>
    <d v="2025-07-24T00:00:00"/>
    <n v="260000"/>
    <x v="0"/>
  </r>
  <r>
    <n v="100232"/>
    <n v="53"/>
    <n v="37000"/>
    <x v="1"/>
    <n v="42700"/>
    <n v="0"/>
    <x v="2"/>
    <x v="2"/>
    <x v="1"/>
    <d v="2024-07-14T00:00:00"/>
    <n v="42700"/>
    <x v="0"/>
  </r>
  <r>
    <n v="100233"/>
    <n v="23"/>
    <n v="45100"/>
    <x v="0"/>
    <n v="56400"/>
    <n v="274000"/>
    <x v="3"/>
    <x v="1"/>
    <x v="1"/>
    <d v="2024-12-06T00:00:00"/>
    <n v="330400"/>
    <x v="0"/>
  </r>
  <r>
    <n v="100234"/>
    <n v="39"/>
    <n v="109400"/>
    <x v="1"/>
    <n v="0"/>
    <n v="0"/>
    <x v="0"/>
    <x v="1"/>
    <x v="1"/>
    <d v="2026-02-11T00:00:00"/>
    <n v="0"/>
    <x v="1"/>
  </r>
  <r>
    <n v="100235"/>
    <n v="50"/>
    <n v="101000"/>
    <x v="0"/>
    <n v="28200"/>
    <n v="173000"/>
    <x v="5"/>
    <x v="2"/>
    <x v="1"/>
    <d v="2025-01-02T00:00:00"/>
    <n v="201200"/>
    <x v="1"/>
  </r>
  <r>
    <n v="100236"/>
    <n v="39"/>
    <n v="44700"/>
    <x v="0"/>
    <n v="13800"/>
    <n v="0"/>
    <x v="7"/>
    <x v="0"/>
    <x v="1"/>
    <d v="2024-07-27T00:00:00"/>
    <n v="13800"/>
    <x v="0"/>
  </r>
  <r>
    <n v="100237"/>
    <n v="43"/>
    <n v="47700"/>
    <x v="1"/>
    <n v="0"/>
    <n v="0"/>
    <x v="6"/>
    <x v="2"/>
    <x v="1"/>
    <d v="2026-08-15T00:00:00"/>
    <n v="0"/>
    <x v="0"/>
  </r>
  <r>
    <n v="100238"/>
    <n v="57"/>
    <n v="65600"/>
    <x v="1"/>
    <n v="24800"/>
    <n v="0"/>
    <x v="3"/>
    <x v="1"/>
    <x v="1"/>
    <d v="2025-12-02T00:00:00"/>
    <n v="24800"/>
    <x v="0"/>
  </r>
  <r>
    <n v="100239"/>
    <n v="41"/>
    <n v="44400"/>
    <x v="2"/>
    <n v="0"/>
    <n v="0"/>
    <x v="7"/>
    <x v="1"/>
    <x v="1"/>
    <d v="2026-01-20T00:00:00"/>
    <n v="0"/>
    <x v="0"/>
  </r>
  <r>
    <n v="100240"/>
    <n v="70"/>
    <n v="50100"/>
    <x v="1"/>
    <n v="18100"/>
    <n v="0"/>
    <x v="6"/>
    <x v="1"/>
    <x v="1"/>
    <d v="2024-03-17T00:00:00"/>
    <n v="18100"/>
    <x v="0"/>
  </r>
  <r>
    <n v="100241"/>
    <n v="72"/>
    <n v="72800"/>
    <x v="0"/>
    <n v="58400"/>
    <n v="0"/>
    <x v="4"/>
    <x v="2"/>
    <x v="1"/>
    <d v="2025-01-17T00:00:00"/>
    <n v="58400"/>
    <x v="1"/>
  </r>
  <r>
    <n v="100242"/>
    <n v="23"/>
    <n v="68600"/>
    <x v="0"/>
    <n v="32800"/>
    <n v="0"/>
    <x v="6"/>
    <x v="1"/>
    <x v="1"/>
    <d v="2024-01-18T00:00:00"/>
    <n v="32800"/>
    <x v="0"/>
  </r>
  <r>
    <n v="100243"/>
    <n v="53"/>
    <n v="77700"/>
    <x v="0"/>
    <n v="33800"/>
    <n v="0"/>
    <x v="1"/>
    <x v="1"/>
    <x v="1"/>
    <d v="2024-04-19T00:00:00"/>
    <n v="33800"/>
    <x v="1"/>
  </r>
  <r>
    <n v="100244"/>
    <n v="26"/>
    <n v="61500"/>
    <x v="1"/>
    <n v="21200"/>
    <n v="0"/>
    <x v="1"/>
    <x v="2"/>
    <x v="1"/>
    <d v="2025-04-15T00:00:00"/>
    <n v="21200"/>
    <x v="0"/>
  </r>
  <r>
    <n v="100245"/>
    <n v="56"/>
    <n v="43600"/>
    <x v="0"/>
    <n v="54500"/>
    <n v="393000"/>
    <x v="6"/>
    <x v="2"/>
    <x v="1"/>
    <d v="2025-07-19T00:00:00"/>
    <n v="447500"/>
    <x v="0"/>
  </r>
  <r>
    <n v="100246"/>
    <n v="50"/>
    <n v="30300"/>
    <x v="1"/>
    <n v="33700"/>
    <n v="0"/>
    <x v="2"/>
    <x v="0"/>
    <x v="1"/>
    <d v="2024-04-07T00:00:00"/>
    <n v="33700"/>
    <x v="0"/>
  </r>
  <r>
    <n v="100247"/>
    <n v="53"/>
    <n v="101800"/>
    <x v="1"/>
    <n v="0"/>
    <n v="0"/>
    <x v="7"/>
    <x v="2"/>
    <x v="1"/>
    <d v="2026-08-04T00:00:00"/>
    <n v="0"/>
    <x v="1"/>
  </r>
  <r>
    <n v="100248"/>
    <n v="24"/>
    <n v="74200"/>
    <x v="1"/>
    <n v="43500"/>
    <n v="304000"/>
    <x v="6"/>
    <x v="3"/>
    <x v="1"/>
    <d v="2026-02-09T00:00:00"/>
    <n v="347500"/>
    <x v="1"/>
  </r>
  <r>
    <n v="100249"/>
    <n v="72"/>
    <n v="76800"/>
    <x v="1"/>
    <n v="17100"/>
    <n v="0"/>
    <x v="1"/>
    <x v="1"/>
    <x v="1"/>
    <d v="2025-01-28T00:00:00"/>
    <n v="17100"/>
    <x v="1"/>
  </r>
  <r>
    <n v="100250"/>
    <n v="68"/>
    <n v="79400"/>
    <x v="0"/>
    <n v="12500"/>
    <n v="0"/>
    <x v="2"/>
    <x v="2"/>
    <x v="1"/>
    <d v="2026-05-08T00:00:00"/>
    <n v="12500"/>
    <x v="1"/>
  </r>
  <r>
    <n v="100251"/>
    <n v="24"/>
    <n v="49400"/>
    <x v="0"/>
    <n v="0"/>
    <n v="0"/>
    <x v="2"/>
    <x v="2"/>
    <x v="1"/>
    <d v="2024-10-06T00:00:00"/>
    <n v="0"/>
    <x v="0"/>
  </r>
  <r>
    <n v="100252"/>
    <n v="70"/>
    <n v="121500"/>
    <x v="1"/>
    <n v="70700"/>
    <n v="0"/>
    <x v="1"/>
    <x v="2"/>
    <x v="1"/>
    <d v="2026-03-28T00:00:00"/>
    <n v="70700"/>
    <x v="1"/>
  </r>
  <r>
    <n v="100253"/>
    <n v="35"/>
    <n v="76800"/>
    <x v="1"/>
    <n v="47300"/>
    <n v="0"/>
    <x v="1"/>
    <x v="2"/>
    <x v="1"/>
    <d v="2024-01-06T00:00:00"/>
    <n v="47300"/>
    <x v="1"/>
  </r>
  <r>
    <n v="100254"/>
    <n v="39"/>
    <n v="56000"/>
    <x v="0"/>
    <n v="13100"/>
    <n v="0"/>
    <x v="1"/>
    <x v="2"/>
    <x v="1"/>
    <d v="2025-07-21T00:00:00"/>
    <n v="13100"/>
    <x v="0"/>
  </r>
  <r>
    <n v="100255"/>
    <n v="25"/>
    <n v="67000"/>
    <x v="0"/>
    <n v="0"/>
    <n v="190000"/>
    <x v="0"/>
    <x v="0"/>
    <x v="1"/>
    <d v="2025-07-26T00:00:00"/>
    <n v="190000"/>
    <x v="0"/>
  </r>
  <r>
    <n v="100256"/>
    <n v="35"/>
    <n v="65000"/>
    <x v="1"/>
    <n v="16000"/>
    <n v="0"/>
    <x v="7"/>
    <x v="2"/>
    <x v="1"/>
    <d v="2024-10-09T00:00:00"/>
    <n v="16000"/>
    <x v="0"/>
  </r>
  <r>
    <n v="100257"/>
    <n v="46"/>
    <n v="46900"/>
    <x v="0"/>
    <n v="58600"/>
    <n v="0"/>
    <x v="7"/>
    <x v="1"/>
    <x v="1"/>
    <d v="2024-04-19T00:00:00"/>
    <n v="58600"/>
    <x v="0"/>
  </r>
  <r>
    <n v="100258"/>
    <n v="28"/>
    <n v="47200"/>
    <x v="2"/>
    <n v="40900"/>
    <n v="0"/>
    <x v="2"/>
    <x v="1"/>
    <x v="1"/>
    <d v="2026-04-23T00:00:00"/>
    <n v="40900"/>
    <x v="0"/>
  </r>
  <r>
    <n v="100259"/>
    <n v="75"/>
    <n v="71400"/>
    <x v="0"/>
    <n v="39900"/>
    <n v="0"/>
    <x v="7"/>
    <x v="1"/>
    <x v="1"/>
    <d v="2024-11-22T00:00:00"/>
    <n v="39900"/>
    <x v="1"/>
  </r>
  <r>
    <n v="100260"/>
    <n v="38"/>
    <n v="78900"/>
    <x v="0"/>
    <n v="0"/>
    <n v="0"/>
    <x v="2"/>
    <x v="2"/>
    <x v="1"/>
    <d v="2026-04-16T00:00:00"/>
    <n v="0"/>
    <x v="1"/>
  </r>
  <r>
    <n v="100261"/>
    <n v="70"/>
    <n v="52600"/>
    <x v="1"/>
    <n v="39200"/>
    <n v="0"/>
    <x v="6"/>
    <x v="3"/>
    <x v="1"/>
    <d v="2025-12-26T00:00:00"/>
    <n v="39200"/>
    <x v="0"/>
  </r>
  <r>
    <n v="100262"/>
    <n v="33"/>
    <n v="55600"/>
    <x v="1"/>
    <n v="56100"/>
    <n v="0"/>
    <x v="1"/>
    <x v="1"/>
    <x v="1"/>
    <d v="2024-11-06T00:00:00"/>
    <n v="56100"/>
    <x v="0"/>
  </r>
  <r>
    <n v="100263"/>
    <n v="35"/>
    <n v="44200"/>
    <x v="1"/>
    <n v="27200"/>
    <n v="0"/>
    <x v="7"/>
    <x v="0"/>
    <x v="1"/>
    <d v="2026-08-03T00:00:00"/>
    <n v="27200"/>
    <x v="0"/>
  </r>
  <r>
    <n v="100264"/>
    <n v="75"/>
    <n v="74900"/>
    <x v="0"/>
    <n v="0"/>
    <n v="0"/>
    <x v="0"/>
    <x v="2"/>
    <x v="1"/>
    <d v="2024-09-11T00:00:00"/>
    <n v="0"/>
    <x v="1"/>
  </r>
  <r>
    <n v="100265"/>
    <n v="62"/>
    <n v="72500"/>
    <x v="1"/>
    <n v="37400"/>
    <n v="0"/>
    <x v="1"/>
    <x v="3"/>
    <x v="1"/>
    <d v="2026-03-26T00:00:00"/>
    <n v="37400"/>
    <x v="1"/>
  </r>
  <r>
    <n v="100266"/>
    <n v="47"/>
    <n v="34900"/>
    <x v="1"/>
    <n v="43600"/>
    <n v="0"/>
    <x v="3"/>
    <x v="1"/>
    <x v="1"/>
    <d v="2026-03-01T00:00:00"/>
    <n v="43600"/>
    <x v="0"/>
  </r>
  <r>
    <n v="100267"/>
    <n v="63"/>
    <n v="66300"/>
    <x v="0"/>
    <n v="7900"/>
    <n v="191000"/>
    <x v="0"/>
    <x v="2"/>
    <x v="1"/>
    <d v="2024-05-25T00:00:00"/>
    <n v="198900"/>
    <x v="0"/>
  </r>
  <r>
    <n v="100268"/>
    <n v="42"/>
    <n v="47600"/>
    <x v="1"/>
    <n v="32800"/>
    <n v="0"/>
    <x v="7"/>
    <x v="0"/>
    <x v="1"/>
    <d v="2024-03-09T00:00:00"/>
    <n v="32800"/>
    <x v="0"/>
  </r>
  <r>
    <n v="100269"/>
    <n v="39"/>
    <n v="29000"/>
    <x v="0"/>
    <n v="25500"/>
    <n v="286000"/>
    <x v="3"/>
    <x v="1"/>
    <x v="1"/>
    <d v="2024-12-04T00:00:00"/>
    <n v="311500"/>
    <x v="0"/>
  </r>
  <r>
    <n v="100270"/>
    <n v="55"/>
    <n v="54800"/>
    <x v="1"/>
    <n v="0"/>
    <n v="0"/>
    <x v="4"/>
    <x v="1"/>
    <x v="1"/>
    <d v="2025-03-18T00:00:00"/>
    <n v="0"/>
    <x v="0"/>
  </r>
  <r>
    <n v="100271"/>
    <n v="45"/>
    <n v="26900"/>
    <x v="0"/>
    <n v="33600"/>
    <n v="0"/>
    <x v="3"/>
    <x v="1"/>
    <x v="1"/>
    <d v="2026-04-08T00:00:00"/>
    <n v="33600"/>
    <x v="0"/>
  </r>
  <r>
    <n v="100272"/>
    <n v="70"/>
    <n v="31000"/>
    <x v="1"/>
    <n v="0"/>
    <n v="0"/>
    <x v="2"/>
    <x v="1"/>
    <x v="1"/>
    <d v="2024-04-26T00:00:00"/>
    <n v="0"/>
    <x v="0"/>
  </r>
  <r>
    <n v="100273"/>
    <n v="36"/>
    <n v="73000"/>
    <x v="1"/>
    <n v="0"/>
    <n v="0"/>
    <x v="1"/>
    <x v="1"/>
    <x v="1"/>
    <d v="2025-08-24T00:00:00"/>
    <n v="0"/>
    <x v="1"/>
  </r>
  <r>
    <n v="100274"/>
    <n v="27"/>
    <n v="49800"/>
    <x v="2"/>
    <n v="55600"/>
    <n v="0"/>
    <x v="5"/>
    <x v="0"/>
    <x v="1"/>
    <d v="2025-11-19T00:00:00"/>
    <n v="55600"/>
    <x v="0"/>
  </r>
  <r>
    <n v="100275"/>
    <n v="28"/>
    <n v="47700"/>
    <x v="1"/>
    <n v="27000"/>
    <n v="185000"/>
    <x v="4"/>
    <x v="1"/>
    <x v="1"/>
    <d v="2025-05-13T00:00:00"/>
    <n v="212000"/>
    <x v="0"/>
  </r>
  <r>
    <n v="100276"/>
    <n v="60"/>
    <n v="62500"/>
    <x v="2"/>
    <n v="0"/>
    <n v="141000"/>
    <x v="5"/>
    <x v="2"/>
    <x v="1"/>
    <d v="2024-11-18T00:00:00"/>
    <n v="141000"/>
    <x v="0"/>
  </r>
  <r>
    <n v="100277"/>
    <n v="73"/>
    <n v="56400"/>
    <x v="1"/>
    <n v="5700"/>
    <n v="291000"/>
    <x v="7"/>
    <x v="1"/>
    <x v="1"/>
    <d v="2025-12-28T00:00:00"/>
    <n v="296700"/>
    <x v="0"/>
  </r>
  <r>
    <n v="100278"/>
    <n v="73"/>
    <n v="56000"/>
    <x v="1"/>
    <n v="54000"/>
    <n v="0"/>
    <x v="6"/>
    <x v="2"/>
    <x v="1"/>
    <d v="2024-06-21T00:00:00"/>
    <n v="54000"/>
    <x v="0"/>
  </r>
  <r>
    <n v="100279"/>
    <n v="69"/>
    <n v="56900"/>
    <x v="0"/>
    <n v="0"/>
    <n v="0"/>
    <x v="0"/>
    <x v="1"/>
    <x v="1"/>
    <d v="2024-10-01T00:00:00"/>
    <n v="0"/>
    <x v="0"/>
  </r>
  <r>
    <n v="100280"/>
    <n v="69"/>
    <n v="62900"/>
    <x v="2"/>
    <n v="50700"/>
    <n v="0"/>
    <x v="7"/>
    <x v="1"/>
    <x v="1"/>
    <d v="2024-04-14T00:00:00"/>
    <n v="50700"/>
    <x v="0"/>
  </r>
  <r>
    <n v="100281"/>
    <n v="67"/>
    <n v="89100"/>
    <x v="0"/>
    <n v="87900"/>
    <n v="0"/>
    <x v="2"/>
    <x v="0"/>
    <x v="0"/>
    <d v="2026-06-05T00:00:00"/>
    <n v="87900"/>
    <x v="1"/>
  </r>
  <r>
    <n v="100282"/>
    <n v="27"/>
    <n v="83000"/>
    <x v="1"/>
    <n v="0"/>
    <n v="0"/>
    <x v="2"/>
    <x v="0"/>
    <x v="1"/>
    <d v="2025-09-16T00:00:00"/>
    <n v="0"/>
    <x v="1"/>
  </r>
  <r>
    <n v="100283"/>
    <n v="60"/>
    <n v="54900"/>
    <x v="0"/>
    <n v="0"/>
    <n v="0"/>
    <x v="6"/>
    <x v="1"/>
    <x v="1"/>
    <d v="2025-06-29T00:00:00"/>
    <n v="0"/>
    <x v="0"/>
  </r>
  <r>
    <n v="100284"/>
    <n v="37"/>
    <n v="67000"/>
    <x v="1"/>
    <n v="0"/>
    <n v="0"/>
    <x v="5"/>
    <x v="3"/>
    <x v="1"/>
    <d v="2025-06-10T00:00:00"/>
    <n v="0"/>
    <x v="0"/>
  </r>
  <r>
    <n v="100285"/>
    <n v="63"/>
    <n v="87300"/>
    <x v="1"/>
    <n v="0"/>
    <n v="0"/>
    <x v="6"/>
    <x v="3"/>
    <x v="1"/>
    <d v="2026-06-06T00:00:00"/>
    <n v="0"/>
    <x v="1"/>
  </r>
  <r>
    <n v="100286"/>
    <n v="61"/>
    <n v="36500"/>
    <x v="2"/>
    <n v="45600"/>
    <n v="0"/>
    <x v="1"/>
    <x v="1"/>
    <x v="1"/>
    <d v="2024-10-02T00:00:00"/>
    <n v="45600"/>
    <x v="0"/>
  </r>
  <r>
    <n v="100287"/>
    <n v="60"/>
    <n v="54000"/>
    <x v="1"/>
    <n v="62400"/>
    <n v="211000"/>
    <x v="5"/>
    <x v="1"/>
    <x v="1"/>
    <d v="2025-04-10T00:00:00"/>
    <n v="273400"/>
    <x v="0"/>
  </r>
  <r>
    <n v="100288"/>
    <n v="51"/>
    <n v="48600"/>
    <x v="1"/>
    <n v="0"/>
    <n v="0"/>
    <x v="7"/>
    <x v="1"/>
    <x v="1"/>
    <d v="2025-12-15T00:00:00"/>
    <n v="0"/>
    <x v="0"/>
  </r>
  <r>
    <n v="100289"/>
    <n v="42"/>
    <n v="91600"/>
    <x v="0"/>
    <n v="75800"/>
    <n v="0"/>
    <x v="7"/>
    <x v="2"/>
    <x v="1"/>
    <d v="2024-12-11T00:00:00"/>
    <n v="75800"/>
    <x v="1"/>
  </r>
  <r>
    <n v="100290"/>
    <n v="55"/>
    <n v="65500"/>
    <x v="0"/>
    <n v="25500"/>
    <n v="0"/>
    <x v="6"/>
    <x v="2"/>
    <x v="1"/>
    <d v="2026-05-06T00:00:00"/>
    <n v="25500"/>
    <x v="0"/>
  </r>
  <r>
    <n v="100291"/>
    <n v="49"/>
    <n v="24600"/>
    <x v="2"/>
    <n v="30800"/>
    <n v="0"/>
    <x v="1"/>
    <x v="1"/>
    <x v="1"/>
    <d v="2024-05-15T00:00:00"/>
    <n v="30800"/>
    <x v="0"/>
  </r>
  <r>
    <n v="100292"/>
    <n v="61"/>
    <n v="47000"/>
    <x v="2"/>
    <n v="0"/>
    <n v="180000"/>
    <x v="0"/>
    <x v="1"/>
    <x v="1"/>
    <d v="2026-07-14T00:00:00"/>
    <n v="180000"/>
    <x v="0"/>
  </r>
  <r>
    <n v="100293"/>
    <n v="61"/>
    <n v="39100"/>
    <x v="1"/>
    <n v="46400"/>
    <n v="0"/>
    <x v="0"/>
    <x v="0"/>
    <x v="0"/>
    <d v="2025-05-03T00:00:00"/>
    <n v="46400"/>
    <x v="0"/>
  </r>
  <r>
    <n v="100294"/>
    <n v="24"/>
    <n v="36900"/>
    <x v="1"/>
    <n v="5600"/>
    <n v="0"/>
    <x v="0"/>
    <x v="3"/>
    <x v="1"/>
    <d v="2024-05-15T00:00:00"/>
    <n v="5600"/>
    <x v="0"/>
  </r>
  <r>
    <n v="100295"/>
    <n v="50"/>
    <n v="31800"/>
    <x v="1"/>
    <n v="0"/>
    <n v="171000"/>
    <x v="5"/>
    <x v="2"/>
    <x v="1"/>
    <d v="2026-03-03T00:00:00"/>
    <n v="171000"/>
    <x v="0"/>
  </r>
  <r>
    <n v="100296"/>
    <n v="72"/>
    <n v="80700"/>
    <x v="1"/>
    <n v="0"/>
    <n v="214000"/>
    <x v="6"/>
    <x v="1"/>
    <x v="1"/>
    <d v="2024-06-17T00:00:00"/>
    <n v="214000"/>
    <x v="1"/>
  </r>
  <r>
    <n v="100297"/>
    <n v="48"/>
    <n v="50000"/>
    <x v="1"/>
    <n v="0"/>
    <n v="0"/>
    <x v="7"/>
    <x v="0"/>
    <x v="1"/>
    <d v="2024-03-29T00:00:00"/>
    <n v="0"/>
    <x v="0"/>
  </r>
  <r>
    <n v="100298"/>
    <n v="26"/>
    <n v="37400"/>
    <x v="1"/>
    <n v="0"/>
    <n v="0"/>
    <x v="1"/>
    <x v="1"/>
    <x v="1"/>
    <d v="2024-05-23T00:00:00"/>
    <n v="0"/>
    <x v="0"/>
  </r>
  <r>
    <n v="100299"/>
    <n v="35"/>
    <n v="45600"/>
    <x v="1"/>
    <n v="39700"/>
    <n v="0"/>
    <x v="6"/>
    <x v="0"/>
    <x v="1"/>
    <d v="2024-11-04T00:00:00"/>
    <n v="39700"/>
    <x v="0"/>
  </r>
  <r>
    <n v="100300"/>
    <n v="33"/>
    <n v="61100"/>
    <x v="0"/>
    <n v="0"/>
    <n v="0"/>
    <x v="6"/>
    <x v="0"/>
    <x v="1"/>
    <d v="2026-03-23T00:00:00"/>
    <n v="0"/>
    <x v="0"/>
  </r>
  <r>
    <n v="100301"/>
    <n v="35"/>
    <n v="59400"/>
    <x v="1"/>
    <n v="39300"/>
    <n v="0"/>
    <x v="6"/>
    <x v="3"/>
    <x v="1"/>
    <d v="2024-05-15T00:00:00"/>
    <n v="39300"/>
    <x v="0"/>
  </r>
  <r>
    <n v="100302"/>
    <n v="44"/>
    <n v="93000"/>
    <x v="0"/>
    <n v="45200"/>
    <n v="0"/>
    <x v="0"/>
    <x v="2"/>
    <x v="1"/>
    <d v="2024-09-25T00:00:00"/>
    <n v="45200"/>
    <x v="1"/>
  </r>
  <r>
    <n v="100303"/>
    <n v="33"/>
    <n v="28300"/>
    <x v="1"/>
    <n v="0"/>
    <n v="0"/>
    <x v="1"/>
    <x v="1"/>
    <x v="1"/>
    <d v="2025-02-15T00:00:00"/>
    <n v="0"/>
    <x v="0"/>
  </r>
  <r>
    <n v="100304"/>
    <n v="25"/>
    <n v="70500"/>
    <x v="0"/>
    <n v="12800"/>
    <n v="336000"/>
    <x v="4"/>
    <x v="1"/>
    <x v="1"/>
    <d v="2025-10-11T00:00:00"/>
    <n v="348800"/>
    <x v="1"/>
  </r>
  <r>
    <n v="100305"/>
    <n v="68"/>
    <n v="89600"/>
    <x v="0"/>
    <n v="46300"/>
    <n v="0"/>
    <x v="3"/>
    <x v="2"/>
    <x v="1"/>
    <d v="2025-03-20T00:00:00"/>
    <n v="46300"/>
    <x v="1"/>
  </r>
  <r>
    <n v="100306"/>
    <n v="27"/>
    <n v="56600"/>
    <x v="0"/>
    <n v="49500"/>
    <n v="0"/>
    <x v="0"/>
    <x v="2"/>
    <x v="1"/>
    <d v="2024-01-12T00:00:00"/>
    <n v="49500"/>
    <x v="0"/>
  </r>
  <r>
    <n v="100307"/>
    <n v="30"/>
    <n v="59500"/>
    <x v="1"/>
    <n v="56500"/>
    <n v="182000"/>
    <x v="5"/>
    <x v="0"/>
    <x v="1"/>
    <d v="2026-07-10T00:00:00"/>
    <n v="238500"/>
    <x v="0"/>
  </r>
  <r>
    <n v="100308"/>
    <n v="21"/>
    <n v="49000"/>
    <x v="1"/>
    <n v="21700"/>
    <n v="0"/>
    <x v="0"/>
    <x v="1"/>
    <x v="1"/>
    <d v="2024-02-26T00:00:00"/>
    <n v="21700"/>
    <x v="0"/>
  </r>
  <r>
    <n v="100309"/>
    <n v="51"/>
    <n v="92800"/>
    <x v="1"/>
    <n v="52100"/>
    <n v="0"/>
    <x v="0"/>
    <x v="2"/>
    <x v="1"/>
    <d v="2024-02-15T00:00:00"/>
    <n v="52100"/>
    <x v="1"/>
  </r>
  <r>
    <n v="100310"/>
    <n v="74"/>
    <n v="93200"/>
    <x v="1"/>
    <n v="27500"/>
    <n v="341000"/>
    <x v="6"/>
    <x v="1"/>
    <x v="1"/>
    <d v="2026-01-28T00:00:00"/>
    <n v="368500"/>
    <x v="1"/>
  </r>
  <r>
    <n v="100311"/>
    <n v="61"/>
    <n v="54400"/>
    <x v="1"/>
    <n v="47900"/>
    <n v="0"/>
    <x v="0"/>
    <x v="1"/>
    <x v="1"/>
    <d v="2025-11-20T00:00:00"/>
    <n v="47900"/>
    <x v="0"/>
  </r>
  <r>
    <n v="100312"/>
    <n v="23"/>
    <n v="40000"/>
    <x v="0"/>
    <n v="0"/>
    <n v="0"/>
    <x v="0"/>
    <x v="3"/>
    <x v="1"/>
    <d v="2026-06-05T00:00:00"/>
    <n v="0"/>
    <x v="0"/>
  </r>
  <r>
    <n v="100313"/>
    <n v="38"/>
    <n v="82800"/>
    <x v="1"/>
    <n v="31300"/>
    <n v="0"/>
    <x v="5"/>
    <x v="1"/>
    <x v="1"/>
    <d v="2025-09-29T00:00:00"/>
    <n v="31300"/>
    <x v="1"/>
  </r>
  <r>
    <n v="100314"/>
    <n v="35"/>
    <n v="57300"/>
    <x v="0"/>
    <n v="52000"/>
    <n v="325000"/>
    <x v="3"/>
    <x v="2"/>
    <x v="1"/>
    <d v="2024-01-25T00:00:00"/>
    <n v="377000"/>
    <x v="0"/>
  </r>
  <r>
    <n v="100315"/>
    <n v="34"/>
    <n v="62800"/>
    <x v="0"/>
    <n v="5700"/>
    <n v="0"/>
    <x v="1"/>
    <x v="0"/>
    <x v="1"/>
    <d v="2024-04-16T00:00:00"/>
    <n v="5700"/>
    <x v="0"/>
  </r>
  <r>
    <n v="100316"/>
    <n v="33"/>
    <n v="61900"/>
    <x v="1"/>
    <n v="11200"/>
    <n v="0"/>
    <x v="5"/>
    <x v="2"/>
    <x v="1"/>
    <d v="2026-07-07T00:00:00"/>
    <n v="11200"/>
    <x v="0"/>
  </r>
  <r>
    <n v="100317"/>
    <n v="74"/>
    <n v="61200"/>
    <x v="0"/>
    <n v="76500"/>
    <n v="122000"/>
    <x v="4"/>
    <x v="1"/>
    <x v="1"/>
    <d v="2025-08-29T00:00:00"/>
    <n v="198500"/>
    <x v="0"/>
  </r>
  <r>
    <n v="100318"/>
    <n v="56"/>
    <n v="30900"/>
    <x v="0"/>
    <n v="23000"/>
    <n v="0"/>
    <x v="1"/>
    <x v="0"/>
    <x v="1"/>
    <d v="2024-11-21T00:00:00"/>
    <n v="23000"/>
    <x v="0"/>
  </r>
  <r>
    <n v="100319"/>
    <n v="48"/>
    <n v="45300"/>
    <x v="1"/>
    <n v="52700"/>
    <n v="0"/>
    <x v="4"/>
    <x v="2"/>
    <x v="1"/>
    <d v="2024-11-17T00:00:00"/>
    <n v="52700"/>
    <x v="0"/>
  </r>
  <r>
    <n v="100320"/>
    <n v="46"/>
    <n v="36000"/>
    <x v="1"/>
    <n v="0"/>
    <n v="0"/>
    <x v="7"/>
    <x v="1"/>
    <x v="1"/>
    <d v="2024-05-02T00:00:00"/>
    <n v="0"/>
    <x v="0"/>
  </r>
  <r>
    <n v="100321"/>
    <n v="25"/>
    <n v="38600"/>
    <x v="0"/>
    <n v="0"/>
    <n v="0"/>
    <x v="6"/>
    <x v="1"/>
    <x v="1"/>
    <d v="2026-05-27T00:00:00"/>
    <n v="0"/>
    <x v="0"/>
  </r>
  <r>
    <n v="100322"/>
    <n v="40"/>
    <n v="38000"/>
    <x v="0"/>
    <n v="0"/>
    <n v="0"/>
    <x v="6"/>
    <x v="0"/>
    <x v="1"/>
    <d v="2024-09-23T00:00:00"/>
    <n v="0"/>
    <x v="0"/>
  </r>
  <r>
    <n v="100323"/>
    <n v="72"/>
    <n v="120400"/>
    <x v="1"/>
    <n v="31100"/>
    <n v="0"/>
    <x v="3"/>
    <x v="2"/>
    <x v="1"/>
    <d v="2026-03-23T00:00:00"/>
    <n v="31100"/>
    <x v="1"/>
  </r>
  <r>
    <n v="100324"/>
    <n v="28"/>
    <n v="36100"/>
    <x v="1"/>
    <n v="0"/>
    <n v="0"/>
    <x v="3"/>
    <x v="0"/>
    <x v="1"/>
    <d v="2025-01-16T00:00:00"/>
    <n v="0"/>
    <x v="0"/>
  </r>
  <r>
    <n v="100325"/>
    <n v="63"/>
    <n v="69600"/>
    <x v="0"/>
    <n v="21500"/>
    <n v="0"/>
    <x v="6"/>
    <x v="3"/>
    <x v="0"/>
    <d v="2025-10-23T00:00:00"/>
    <n v="21500"/>
    <x v="0"/>
  </r>
  <r>
    <n v="100326"/>
    <n v="48"/>
    <n v="86600"/>
    <x v="1"/>
    <n v="0"/>
    <n v="0"/>
    <x v="0"/>
    <x v="2"/>
    <x v="1"/>
    <d v="2025-04-17T00:00:00"/>
    <n v="0"/>
    <x v="1"/>
  </r>
  <r>
    <n v="100327"/>
    <n v="23"/>
    <n v="39200"/>
    <x v="0"/>
    <n v="0"/>
    <n v="0"/>
    <x v="6"/>
    <x v="1"/>
    <x v="1"/>
    <d v="2025-03-12T00:00:00"/>
    <n v="0"/>
    <x v="0"/>
  </r>
  <r>
    <n v="100328"/>
    <n v="31"/>
    <n v="50200"/>
    <x v="2"/>
    <n v="30800"/>
    <n v="234000"/>
    <x v="3"/>
    <x v="1"/>
    <x v="1"/>
    <d v="2026-06-22T00:00:00"/>
    <n v="264800"/>
    <x v="0"/>
  </r>
  <r>
    <n v="100329"/>
    <n v="55"/>
    <n v="58300"/>
    <x v="1"/>
    <n v="29300"/>
    <n v="0"/>
    <x v="3"/>
    <x v="1"/>
    <x v="1"/>
    <d v="2026-03-24T00:00:00"/>
    <n v="29300"/>
    <x v="0"/>
  </r>
  <r>
    <n v="100330"/>
    <n v="21"/>
    <n v="119800"/>
    <x v="0"/>
    <n v="36300"/>
    <n v="0"/>
    <x v="2"/>
    <x v="2"/>
    <x v="1"/>
    <d v="2024-11-22T00:00:00"/>
    <n v="36300"/>
    <x v="1"/>
  </r>
  <r>
    <n v="100331"/>
    <n v="58"/>
    <n v="42300"/>
    <x v="2"/>
    <n v="0"/>
    <n v="392000"/>
    <x v="2"/>
    <x v="0"/>
    <x v="1"/>
    <d v="2024-08-26T00:00:00"/>
    <n v="392000"/>
    <x v="0"/>
  </r>
  <r>
    <n v="100332"/>
    <n v="30"/>
    <n v="34400"/>
    <x v="0"/>
    <n v="43000"/>
    <n v="0"/>
    <x v="6"/>
    <x v="0"/>
    <x v="1"/>
    <d v="2025-08-12T00:00:00"/>
    <n v="43000"/>
    <x v="0"/>
  </r>
  <r>
    <n v="100333"/>
    <n v="74"/>
    <n v="116900"/>
    <x v="1"/>
    <n v="0"/>
    <n v="0"/>
    <x v="4"/>
    <x v="2"/>
    <x v="1"/>
    <d v="2025-08-29T00:00:00"/>
    <n v="0"/>
    <x v="1"/>
  </r>
  <r>
    <n v="100334"/>
    <n v="40"/>
    <n v="86300"/>
    <x v="0"/>
    <n v="0"/>
    <n v="256000"/>
    <x v="4"/>
    <x v="1"/>
    <x v="1"/>
    <d v="2024-07-11T00:00:00"/>
    <n v="256000"/>
    <x v="1"/>
  </r>
  <r>
    <n v="100335"/>
    <n v="73"/>
    <n v="119100"/>
    <x v="2"/>
    <n v="23800"/>
    <n v="0"/>
    <x v="0"/>
    <x v="2"/>
    <x v="1"/>
    <d v="2024-01-21T00:00:00"/>
    <n v="23800"/>
    <x v="1"/>
  </r>
  <r>
    <n v="100336"/>
    <n v="53"/>
    <n v="58300"/>
    <x v="1"/>
    <n v="55000"/>
    <n v="0"/>
    <x v="4"/>
    <x v="0"/>
    <x v="1"/>
    <d v="2024-11-27T00:00:00"/>
    <n v="55000"/>
    <x v="0"/>
  </r>
  <r>
    <n v="100337"/>
    <n v="23"/>
    <n v="25700"/>
    <x v="0"/>
    <n v="0"/>
    <n v="0"/>
    <x v="2"/>
    <x v="3"/>
    <x v="1"/>
    <d v="2025-01-17T00:00:00"/>
    <n v="0"/>
    <x v="0"/>
  </r>
  <r>
    <n v="100338"/>
    <n v="65"/>
    <n v="106100"/>
    <x v="1"/>
    <n v="23500"/>
    <n v="139000"/>
    <x v="1"/>
    <x v="1"/>
    <x v="1"/>
    <d v="2025-10-26T00:00:00"/>
    <n v="162500"/>
    <x v="1"/>
  </r>
  <r>
    <n v="100339"/>
    <n v="40"/>
    <n v="39600"/>
    <x v="2"/>
    <n v="49500"/>
    <n v="0"/>
    <x v="3"/>
    <x v="0"/>
    <x v="1"/>
    <d v="2025-01-22T00:00:00"/>
    <n v="49500"/>
    <x v="0"/>
  </r>
  <r>
    <n v="100340"/>
    <n v="39"/>
    <n v="78800"/>
    <x v="1"/>
    <n v="3600"/>
    <n v="0"/>
    <x v="1"/>
    <x v="0"/>
    <x v="1"/>
    <d v="2025-08-04T00:00:00"/>
    <n v="3600"/>
    <x v="1"/>
  </r>
  <r>
    <n v="100341"/>
    <n v="22"/>
    <n v="40100"/>
    <x v="1"/>
    <n v="0"/>
    <n v="0"/>
    <x v="0"/>
    <x v="3"/>
    <x v="1"/>
    <d v="2024-05-24T00:00:00"/>
    <n v="0"/>
    <x v="0"/>
  </r>
  <r>
    <n v="100342"/>
    <n v="41"/>
    <n v="79900"/>
    <x v="1"/>
    <n v="0"/>
    <n v="318000"/>
    <x v="0"/>
    <x v="0"/>
    <x v="1"/>
    <d v="2025-11-17T00:00:00"/>
    <n v="318000"/>
    <x v="1"/>
  </r>
  <r>
    <n v="100343"/>
    <n v="60"/>
    <n v="78300"/>
    <x v="1"/>
    <n v="19200"/>
    <n v="0"/>
    <x v="2"/>
    <x v="2"/>
    <x v="1"/>
    <d v="2024-01-02T00:00:00"/>
    <n v="19200"/>
    <x v="1"/>
  </r>
  <r>
    <n v="100344"/>
    <n v="23"/>
    <n v="52200"/>
    <x v="0"/>
    <n v="0"/>
    <n v="0"/>
    <x v="7"/>
    <x v="0"/>
    <x v="1"/>
    <d v="2024-12-25T00:00:00"/>
    <n v="0"/>
    <x v="0"/>
  </r>
  <r>
    <n v="100345"/>
    <n v="54"/>
    <n v="51500"/>
    <x v="2"/>
    <n v="0"/>
    <n v="0"/>
    <x v="3"/>
    <x v="2"/>
    <x v="1"/>
    <d v="2024-03-16T00:00:00"/>
    <n v="0"/>
    <x v="0"/>
  </r>
  <r>
    <n v="100346"/>
    <n v="71"/>
    <n v="91000"/>
    <x v="1"/>
    <n v="72500"/>
    <n v="142000"/>
    <x v="1"/>
    <x v="2"/>
    <x v="1"/>
    <d v="2026-08-22T00:00:00"/>
    <n v="214500"/>
    <x v="1"/>
  </r>
  <r>
    <n v="100347"/>
    <n v="25"/>
    <n v="49200"/>
    <x v="2"/>
    <n v="0"/>
    <n v="0"/>
    <x v="1"/>
    <x v="3"/>
    <x v="1"/>
    <d v="2024-06-17T00:00:00"/>
    <n v="0"/>
    <x v="0"/>
  </r>
  <r>
    <n v="100348"/>
    <n v="58"/>
    <n v="97000"/>
    <x v="1"/>
    <n v="19100"/>
    <n v="255000"/>
    <x v="5"/>
    <x v="1"/>
    <x v="1"/>
    <d v="2024-04-08T00:00:00"/>
    <n v="274100"/>
    <x v="1"/>
  </r>
  <r>
    <n v="100349"/>
    <n v="23"/>
    <n v="52600"/>
    <x v="0"/>
    <n v="10800"/>
    <n v="119000"/>
    <x v="7"/>
    <x v="2"/>
    <x v="1"/>
    <d v="2024-06-23T00:00:00"/>
    <n v="129800"/>
    <x v="0"/>
  </r>
  <r>
    <n v="100350"/>
    <n v="60"/>
    <n v="46500"/>
    <x v="1"/>
    <n v="0"/>
    <n v="0"/>
    <x v="1"/>
    <x v="1"/>
    <x v="1"/>
    <d v="2026-07-05T00:00:00"/>
    <n v="0"/>
    <x v="0"/>
  </r>
  <r>
    <n v="100351"/>
    <n v="62"/>
    <n v="44900"/>
    <x v="0"/>
    <n v="26900"/>
    <n v="0"/>
    <x v="4"/>
    <x v="1"/>
    <x v="1"/>
    <d v="2025-04-21T00:00:00"/>
    <n v="26900"/>
    <x v="0"/>
  </r>
  <r>
    <n v="100352"/>
    <n v="36"/>
    <n v="42700"/>
    <x v="1"/>
    <n v="50400"/>
    <n v="0"/>
    <x v="0"/>
    <x v="0"/>
    <x v="1"/>
    <d v="2025-02-27T00:00:00"/>
    <n v="50400"/>
    <x v="0"/>
  </r>
  <r>
    <n v="100353"/>
    <n v="68"/>
    <n v="66400"/>
    <x v="0"/>
    <n v="0"/>
    <n v="0"/>
    <x v="1"/>
    <x v="3"/>
    <x v="1"/>
    <d v="2025-12-04T00:00:00"/>
    <n v="0"/>
    <x v="0"/>
  </r>
  <r>
    <n v="100354"/>
    <n v="75"/>
    <n v="105000"/>
    <x v="0"/>
    <n v="23300"/>
    <n v="0"/>
    <x v="6"/>
    <x v="1"/>
    <x v="1"/>
    <d v="2026-03-30T00:00:00"/>
    <n v="23300"/>
    <x v="1"/>
  </r>
  <r>
    <n v="100355"/>
    <n v="56"/>
    <n v="73600"/>
    <x v="0"/>
    <n v="50800"/>
    <n v="382000"/>
    <x v="3"/>
    <x v="0"/>
    <x v="1"/>
    <d v="2025-03-09T00:00:00"/>
    <n v="432800"/>
    <x v="1"/>
  </r>
  <r>
    <n v="100356"/>
    <n v="25"/>
    <n v="119300"/>
    <x v="1"/>
    <n v="0"/>
    <n v="0"/>
    <x v="5"/>
    <x v="2"/>
    <x v="1"/>
    <d v="2026-01-14T00:00:00"/>
    <n v="0"/>
    <x v="1"/>
  </r>
  <r>
    <n v="100357"/>
    <n v="71"/>
    <n v="31400"/>
    <x v="1"/>
    <n v="24700"/>
    <n v="0"/>
    <x v="7"/>
    <x v="3"/>
    <x v="0"/>
    <d v="2025-12-18T00:00:00"/>
    <n v="24700"/>
    <x v="0"/>
  </r>
  <r>
    <n v="100358"/>
    <n v="59"/>
    <n v="66200"/>
    <x v="0"/>
    <n v="16500"/>
    <n v="0"/>
    <x v="0"/>
    <x v="0"/>
    <x v="1"/>
    <d v="2024-04-13T00:00:00"/>
    <n v="16500"/>
    <x v="0"/>
  </r>
  <r>
    <n v="100359"/>
    <n v="70"/>
    <n v="46100"/>
    <x v="0"/>
    <n v="28900"/>
    <n v="0"/>
    <x v="7"/>
    <x v="1"/>
    <x v="1"/>
    <d v="2024-06-25T00:00:00"/>
    <n v="28900"/>
    <x v="0"/>
  </r>
  <r>
    <n v="100360"/>
    <n v="37"/>
    <n v="53300"/>
    <x v="0"/>
    <n v="28400"/>
    <n v="0"/>
    <x v="2"/>
    <x v="1"/>
    <x v="0"/>
    <d v="2025-05-01T00:00:00"/>
    <n v="28400"/>
    <x v="0"/>
  </r>
  <r>
    <n v="100361"/>
    <n v="37"/>
    <n v="98100"/>
    <x v="1"/>
    <n v="0"/>
    <n v="0"/>
    <x v="5"/>
    <x v="0"/>
    <x v="1"/>
    <d v="2026-05-28T00:00:00"/>
    <n v="0"/>
    <x v="1"/>
  </r>
  <r>
    <n v="100362"/>
    <n v="64"/>
    <n v="74300"/>
    <x v="2"/>
    <n v="23400"/>
    <n v="0"/>
    <x v="2"/>
    <x v="2"/>
    <x v="1"/>
    <d v="2025-10-23T00:00:00"/>
    <n v="23400"/>
    <x v="1"/>
  </r>
  <r>
    <n v="100363"/>
    <n v="25"/>
    <n v="40500"/>
    <x v="1"/>
    <n v="0"/>
    <n v="0"/>
    <x v="2"/>
    <x v="0"/>
    <x v="1"/>
    <d v="2025-06-11T00:00:00"/>
    <n v="0"/>
    <x v="0"/>
  </r>
  <r>
    <n v="100364"/>
    <n v="70"/>
    <n v="38700"/>
    <x v="1"/>
    <n v="15800"/>
    <n v="0"/>
    <x v="6"/>
    <x v="1"/>
    <x v="1"/>
    <d v="2024-07-24T00:00:00"/>
    <n v="15800"/>
    <x v="0"/>
  </r>
  <r>
    <n v="100365"/>
    <n v="73"/>
    <n v="30400"/>
    <x v="1"/>
    <n v="26300"/>
    <n v="0"/>
    <x v="2"/>
    <x v="0"/>
    <x v="1"/>
    <d v="2025-10-12T00:00:00"/>
    <n v="26300"/>
    <x v="0"/>
  </r>
  <r>
    <n v="100366"/>
    <n v="27"/>
    <n v="73900"/>
    <x v="1"/>
    <n v="30800"/>
    <n v="0"/>
    <x v="7"/>
    <x v="1"/>
    <x v="1"/>
    <d v="2024-06-16T00:00:00"/>
    <n v="30800"/>
    <x v="1"/>
  </r>
  <r>
    <n v="100367"/>
    <n v="73"/>
    <n v="97800"/>
    <x v="0"/>
    <n v="22700"/>
    <n v="0"/>
    <x v="4"/>
    <x v="0"/>
    <x v="1"/>
    <d v="2024-08-07T00:00:00"/>
    <n v="22700"/>
    <x v="1"/>
  </r>
  <r>
    <n v="100368"/>
    <n v="74"/>
    <n v="42400"/>
    <x v="1"/>
    <n v="43000"/>
    <n v="0"/>
    <x v="6"/>
    <x v="1"/>
    <x v="1"/>
    <d v="2024-06-26T00:00:00"/>
    <n v="43000"/>
    <x v="0"/>
  </r>
  <r>
    <n v="100369"/>
    <n v="58"/>
    <n v="85700"/>
    <x v="1"/>
    <n v="71000"/>
    <n v="0"/>
    <x v="5"/>
    <x v="2"/>
    <x v="1"/>
    <d v="2024-12-23T00:00:00"/>
    <n v="71000"/>
    <x v="1"/>
  </r>
  <r>
    <n v="100370"/>
    <n v="49"/>
    <n v="44100"/>
    <x v="1"/>
    <n v="55100"/>
    <n v="0"/>
    <x v="0"/>
    <x v="2"/>
    <x v="1"/>
    <d v="2026-05-13T00:00:00"/>
    <n v="55100"/>
    <x v="0"/>
  </r>
  <r>
    <n v="100371"/>
    <n v="73"/>
    <n v="51500"/>
    <x v="0"/>
    <n v="23300"/>
    <n v="110000"/>
    <x v="5"/>
    <x v="1"/>
    <x v="1"/>
    <d v="2024-09-24T00:00:00"/>
    <n v="133300"/>
    <x v="0"/>
  </r>
  <r>
    <n v="100372"/>
    <n v="61"/>
    <n v="76600"/>
    <x v="2"/>
    <n v="16500"/>
    <n v="0"/>
    <x v="6"/>
    <x v="1"/>
    <x v="1"/>
    <d v="2025-09-06T00:00:00"/>
    <n v="16500"/>
    <x v="1"/>
  </r>
  <r>
    <n v="100373"/>
    <n v="45"/>
    <n v="72200"/>
    <x v="0"/>
    <n v="0"/>
    <n v="0"/>
    <x v="5"/>
    <x v="2"/>
    <x v="1"/>
    <d v="2025-03-04T00:00:00"/>
    <n v="0"/>
    <x v="1"/>
  </r>
  <r>
    <n v="100374"/>
    <n v="45"/>
    <n v="52400"/>
    <x v="1"/>
    <n v="37900"/>
    <n v="263000"/>
    <x v="3"/>
    <x v="1"/>
    <x v="1"/>
    <d v="2025-05-02T00:00:00"/>
    <n v="300900"/>
    <x v="0"/>
  </r>
  <r>
    <n v="100375"/>
    <n v="62"/>
    <n v="50500"/>
    <x v="1"/>
    <n v="43400"/>
    <n v="0"/>
    <x v="5"/>
    <x v="2"/>
    <x v="1"/>
    <d v="2024-09-21T00:00:00"/>
    <n v="43400"/>
    <x v="0"/>
  </r>
  <r>
    <n v="100376"/>
    <n v="66"/>
    <n v="86500"/>
    <x v="0"/>
    <n v="45000"/>
    <n v="0"/>
    <x v="0"/>
    <x v="2"/>
    <x v="1"/>
    <d v="2026-06-11T00:00:00"/>
    <n v="45000"/>
    <x v="1"/>
  </r>
  <r>
    <n v="100377"/>
    <n v="39"/>
    <n v="54400"/>
    <x v="2"/>
    <n v="38800"/>
    <n v="0"/>
    <x v="0"/>
    <x v="1"/>
    <x v="1"/>
    <d v="2025-08-20T00:00:00"/>
    <n v="38800"/>
    <x v="0"/>
  </r>
  <r>
    <n v="100378"/>
    <n v="57"/>
    <n v="106600"/>
    <x v="1"/>
    <n v="0"/>
    <n v="0"/>
    <x v="1"/>
    <x v="1"/>
    <x v="1"/>
    <d v="2025-02-27T00:00:00"/>
    <n v="0"/>
    <x v="1"/>
  </r>
  <r>
    <n v="100379"/>
    <n v="23"/>
    <n v="94300"/>
    <x v="1"/>
    <n v="0"/>
    <n v="0"/>
    <x v="7"/>
    <x v="2"/>
    <x v="1"/>
    <d v="2026-06-02T00:00:00"/>
    <n v="0"/>
    <x v="1"/>
  </r>
  <r>
    <n v="100380"/>
    <n v="65"/>
    <n v="40000"/>
    <x v="1"/>
    <n v="50000"/>
    <n v="0"/>
    <x v="6"/>
    <x v="2"/>
    <x v="1"/>
    <d v="2026-02-18T00:00:00"/>
    <n v="50000"/>
    <x v="0"/>
  </r>
  <r>
    <n v="100381"/>
    <n v="69"/>
    <n v="39300"/>
    <x v="0"/>
    <n v="49100"/>
    <n v="234000"/>
    <x v="1"/>
    <x v="1"/>
    <x v="1"/>
    <d v="2025-01-27T00:00:00"/>
    <n v="283100"/>
    <x v="0"/>
  </r>
  <r>
    <n v="100382"/>
    <n v="20"/>
    <n v="28100"/>
    <x v="1"/>
    <n v="6500"/>
    <n v="0"/>
    <x v="3"/>
    <x v="2"/>
    <x v="0"/>
    <d v="2026-01-21T00:00:00"/>
    <n v="6500"/>
    <x v="0"/>
  </r>
  <r>
    <n v="100383"/>
    <n v="35"/>
    <n v="42700"/>
    <x v="2"/>
    <n v="14000"/>
    <n v="0"/>
    <x v="5"/>
    <x v="1"/>
    <x v="1"/>
    <d v="2024-11-01T00:00:00"/>
    <n v="14000"/>
    <x v="0"/>
  </r>
  <r>
    <n v="100384"/>
    <n v="38"/>
    <n v="56800"/>
    <x v="0"/>
    <n v="30100"/>
    <n v="0"/>
    <x v="4"/>
    <x v="1"/>
    <x v="1"/>
    <d v="2025-01-02T00:00:00"/>
    <n v="30100"/>
    <x v="0"/>
  </r>
  <r>
    <n v="100385"/>
    <n v="68"/>
    <n v="40500"/>
    <x v="2"/>
    <n v="0"/>
    <n v="0"/>
    <x v="3"/>
    <x v="1"/>
    <x v="1"/>
    <d v="2024-05-14T00:00:00"/>
    <n v="0"/>
    <x v="0"/>
  </r>
  <r>
    <n v="100386"/>
    <n v="33"/>
    <n v="78800"/>
    <x v="0"/>
    <n v="26600"/>
    <n v="0"/>
    <x v="6"/>
    <x v="2"/>
    <x v="1"/>
    <d v="2026-02-28T00:00:00"/>
    <n v="26600"/>
    <x v="1"/>
  </r>
  <r>
    <n v="100387"/>
    <n v="54"/>
    <n v="69100"/>
    <x v="0"/>
    <n v="14300"/>
    <n v="0"/>
    <x v="6"/>
    <x v="1"/>
    <x v="1"/>
    <d v="2025-01-24T00:00:00"/>
    <n v="14300"/>
    <x v="0"/>
  </r>
  <r>
    <n v="100388"/>
    <n v="27"/>
    <n v="63200"/>
    <x v="1"/>
    <n v="46100"/>
    <n v="0"/>
    <x v="5"/>
    <x v="1"/>
    <x v="1"/>
    <d v="2025-06-16T00:00:00"/>
    <n v="46100"/>
    <x v="0"/>
  </r>
  <r>
    <n v="100389"/>
    <n v="37"/>
    <n v="69000"/>
    <x v="0"/>
    <n v="64700"/>
    <n v="0"/>
    <x v="0"/>
    <x v="2"/>
    <x v="1"/>
    <d v="2025-05-24T00:00:00"/>
    <n v="64700"/>
    <x v="0"/>
  </r>
  <r>
    <n v="100390"/>
    <n v="32"/>
    <n v="67900"/>
    <x v="0"/>
    <n v="0"/>
    <n v="0"/>
    <x v="2"/>
    <x v="1"/>
    <x v="1"/>
    <d v="2024-10-29T00:00:00"/>
    <n v="0"/>
    <x v="0"/>
  </r>
  <r>
    <n v="100391"/>
    <n v="30"/>
    <n v="28300"/>
    <x v="1"/>
    <n v="35400"/>
    <n v="0"/>
    <x v="6"/>
    <x v="2"/>
    <x v="1"/>
    <d v="2024-04-23T00:00:00"/>
    <n v="35400"/>
    <x v="0"/>
  </r>
  <r>
    <n v="100392"/>
    <n v="73"/>
    <n v="65200"/>
    <x v="1"/>
    <n v="0"/>
    <n v="0"/>
    <x v="0"/>
    <x v="0"/>
    <x v="1"/>
    <d v="2024-04-13T00:00:00"/>
    <n v="0"/>
    <x v="0"/>
  </r>
  <r>
    <n v="100393"/>
    <n v="36"/>
    <n v="70800"/>
    <x v="1"/>
    <n v="0"/>
    <n v="105000"/>
    <x v="4"/>
    <x v="0"/>
    <x v="1"/>
    <d v="2026-05-22T00:00:00"/>
    <n v="105000"/>
    <x v="1"/>
  </r>
  <r>
    <n v="100394"/>
    <n v="38"/>
    <n v="50600"/>
    <x v="0"/>
    <n v="14800"/>
    <n v="0"/>
    <x v="6"/>
    <x v="2"/>
    <x v="1"/>
    <d v="2025-10-24T00:00:00"/>
    <n v="14800"/>
    <x v="0"/>
  </r>
  <r>
    <n v="100395"/>
    <n v="30"/>
    <n v="48700"/>
    <x v="2"/>
    <n v="0"/>
    <n v="265000"/>
    <x v="2"/>
    <x v="0"/>
    <x v="1"/>
    <d v="2024-07-06T00:00:00"/>
    <n v="265000"/>
    <x v="0"/>
  </r>
  <r>
    <n v="100396"/>
    <n v="27"/>
    <n v="53100"/>
    <x v="2"/>
    <n v="27600"/>
    <n v="0"/>
    <x v="1"/>
    <x v="1"/>
    <x v="1"/>
    <d v="2024-04-25T00:00:00"/>
    <n v="27600"/>
    <x v="0"/>
  </r>
  <r>
    <n v="100397"/>
    <n v="28"/>
    <n v="75300"/>
    <x v="1"/>
    <n v="0"/>
    <n v="191000"/>
    <x v="7"/>
    <x v="1"/>
    <x v="1"/>
    <d v="2025-11-25T00:00:00"/>
    <n v="191000"/>
    <x v="1"/>
  </r>
  <r>
    <n v="100398"/>
    <n v="48"/>
    <n v="40100"/>
    <x v="1"/>
    <n v="8400"/>
    <n v="0"/>
    <x v="4"/>
    <x v="1"/>
    <x v="1"/>
    <d v="2026-06-27T00:00:00"/>
    <n v="8400"/>
    <x v="0"/>
  </r>
  <r>
    <n v="100399"/>
    <n v="46"/>
    <n v="55800"/>
    <x v="1"/>
    <n v="6200"/>
    <n v="0"/>
    <x v="3"/>
    <x v="3"/>
    <x v="1"/>
    <d v="2024-12-12T00:00:00"/>
    <n v="6200"/>
    <x v="0"/>
  </r>
  <r>
    <n v="100400"/>
    <n v="53"/>
    <n v="61400"/>
    <x v="0"/>
    <n v="43700"/>
    <n v="177000"/>
    <x v="1"/>
    <x v="2"/>
    <x v="1"/>
    <d v="2026-07-02T00:00:00"/>
    <n v="220700"/>
    <x v="0"/>
  </r>
  <r>
    <n v="100401"/>
    <n v="59"/>
    <n v="30100"/>
    <x v="0"/>
    <n v="37600"/>
    <n v="0"/>
    <x v="4"/>
    <x v="2"/>
    <x v="1"/>
    <d v="2024-09-03T00:00:00"/>
    <n v="37600"/>
    <x v="0"/>
  </r>
  <r>
    <n v="100402"/>
    <n v="41"/>
    <n v="112800"/>
    <x v="1"/>
    <n v="42500"/>
    <n v="0"/>
    <x v="3"/>
    <x v="2"/>
    <x v="1"/>
    <d v="2025-08-09T00:00:00"/>
    <n v="42500"/>
    <x v="1"/>
  </r>
  <r>
    <n v="100403"/>
    <n v="48"/>
    <n v="33400"/>
    <x v="1"/>
    <n v="41800"/>
    <n v="0"/>
    <x v="6"/>
    <x v="2"/>
    <x v="1"/>
    <d v="2025-07-24T00:00:00"/>
    <n v="41800"/>
    <x v="0"/>
  </r>
  <r>
    <n v="100404"/>
    <n v="55"/>
    <n v="18700"/>
    <x v="1"/>
    <n v="23400"/>
    <n v="0"/>
    <x v="3"/>
    <x v="0"/>
    <x v="1"/>
    <d v="2024-12-15T00:00:00"/>
    <n v="23400"/>
    <x v="0"/>
  </r>
  <r>
    <n v="100405"/>
    <n v="43"/>
    <n v="88500"/>
    <x v="0"/>
    <n v="0"/>
    <n v="0"/>
    <x v="7"/>
    <x v="1"/>
    <x v="1"/>
    <d v="2025-01-07T00:00:00"/>
    <n v="0"/>
    <x v="1"/>
  </r>
  <r>
    <n v="100406"/>
    <n v="65"/>
    <n v="56500"/>
    <x v="1"/>
    <n v="3800"/>
    <n v="0"/>
    <x v="5"/>
    <x v="1"/>
    <x v="1"/>
    <d v="2024-04-18T00:00:00"/>
    <n v="3800"/>
    <x v="0"/>
  </r>
  <r>
    <n v="100407"/>
    <n v="22"/>
    <n v="98100"/>
    <x v="1"/>
    <n v="0"/>
    <n v="0"/>
    <x v="1"/>
    <x v="2"/>
    <x v="1"/>
    <d v="2025-09-17T00:00:00"/>
    <n v="0"/>
    <x v="1"/>
  </r>
  <r>
    <n v="100408"/>
    <n v="32"/>
    <n v="40500"/>
    <x v="2"/>
    <n v="31300"/>
    <n v="0"/>
    <x v="2"/>
    <x v="2"/>
    <x v="1"/>
    <d v="2026-08-06T00:00:00"/>
    <n v="31300"/>
    <x v="0"/>
  </r>
  <r>
    <n v="100409"/>
    <n v="60"/>
    <n v="90000"/>
    <x v="0"/>
    <n v="0"/>
    <n v="0"/>
    <x v="4"/>
    <x v="3"/>
    <x v="1"/>
    <d v="2024-01-05T00:00:00"/>
    <n v="0"/>
    <x v="1"/>
  </r>
  <r>
    <n v="100410"/>
    <n v="53"/>
    <n v="79000"/>
    <x v="0"/>
    <n v="38700"/>
    <n v="0"/>
    <x v="4"/>
    <x v="1"/>
    <x v="1"/>
    <d v="2026-04-14T00:00:00"/>
    <n v="38700"/>
    <x v="1"/>
  </r>
  <r>
    <n v="100411"/>
    <n v="28"/>
    <n v="34700"/>
    <x v="0"/>
    <n v="24500"/>
    <n v="0"/>
    <x v="1"/>
    <x v="3"/>
    <x v="1"/>
    <d v="2026-02-19T00:00:00"/>
    <n v="24500"/>
    <x v="0"/>
  </r>
  <r>
    <n v="100412"/>
    <n v="35"/>
    <n v="45400"/>
    <x v="2"/>
    <n v="0"/>
    <n v="0"/>
    <x v="4"/>
    <x v="2"/>
    <x v="1"/>
    <d v="2025-09-08T00:00:00"/>
    <n v="0"/>
    <x v="0"/>
  </r>
  <r>
    <n v="100413"/>
    <n v="64"/>
    <n v="96500"/>
    <x v="0"/>
    <n v="0"/>
    <n v="0"/>
    <x v="2"/>
    <x v="1"/>
    <x v="1"/>
    <d v="2026-08-15T00:00:00"/>
    <n v="0"/>
    <x v="1"/>
  </r>
  <r>
    <n v="100414"/>
    <n v="55"/>
    <n v="69800"/>
    <x v="1"/>
    <n v="23000"/>
    <n v="0"/>
    <x v="4"/>
    <x v="3"/>
    <x v="1"/>
    <d v="2024-07-01T00:00:00"/>
    <n v="23000"/>
    <x v="0"/>
  </r>
  <r>
    <n v="100415"/>
    <n v="52"/>
    <n v="62800"/>
    <x v="0"/>
    <n v="51100"/>
    <n v="0"/>
    <x v="1"/>
    <x v="1"/>
    <x v="1"/>
    <d v="2025-06-30T00:00:00"/>
    <n v="51100"/>
    <x v="0"/>
  </r>
  <r>
    <n v="100416"/>
    <n v="38"/>
    <n v="95200"/>
    <x v="1"/>
    <n v="14200"/>
    <n v="0"/>
    <x v="6"/>
    <x v="1"/>
    <x v="1"/>
    <d v="2026-02-07T00:00:00"/>
    <n v="14200"/>
    <x v="1"/>
  </r>
  <r>
    <n v="100417"/>
    <n v="70"/>
    <n v="38800"/>
    <x v="1"/>
    <n v="48500"/>
    <n v="0"/>
    <x v="5"/>
    <x v="1"/>
    <x v="1"/>
    <d v="2025-01-02T00:00:00"/>
    <n v="48500"/>
    <x v="0"/>
  </r>
  <r>
    <n v="100418"/>
    <n v="72"/>
    <n v="56500"/>
    <x v="0"/>
    <n v="37300"/>
    <n v="0"/>
    <x v="1"/>
    <x v="2"/>
    <x v="1"/>
    <d v="2026-03-28T00:00:00"/>
    <n v="37300"/>
    <x v="0"/>
  </r>
  <r>
    <n v="100419"/>
    <n v="64"/>
    <n v="46200"/>
    <x v="0"/>
    <n v="0"/>
    <n v="0"/>
    <x v="2"/>
    <x v="3"/>
    <x v="1"/>
    <d v="2024-02-25T00:00:00"/>
    <n v="0"/>
    <x v="0"/>
  </r>
  <r>
    <n v="100420"/>
    <n v="20"/>
    <n v="79700"/>
    <x v="1"/>
    <n v="0"/>
    <n v="0"/>
    <x v="7"/>
    <x v="0"/>
    <x v="1"/>
    <d v="2026-07-22T00:00:00"/>
    <n v="0"/>
    <x v="1"/>
  </r>
  <r>
    <n v="100421"/>
    <n v="60"/>
    <n v="76000"/>
    <x v="0"/>
    <n v="0"/>
    <n v="0"/>
    <x v="3"/>
    <x v="1"/>
    <x v="1"/>
    <d v="2024-07-17T00:00:00"/>
    <n v="0"/>
    <x v="1"/>
  </r>
  <r>
    <n v="100422"/>
    <n v="38"/>
    <n v="56300"/>
    <x v="2"/>
    <n v="70400"/>
    <n v="0"/>
    <x v="0"/>
    <x v="1"/>
    <x v="1"/>
    <d v="2025-07-23T00:00:00"/>
    <n v="70400"/>
    <x v="0"/>
  </r>
  <r>
    <n v="100423"/>
    <n v="36"/>
    <n v="36700"/>
    <x v="0"/>
    <n v="24900"/>
    <n v="0"/>
    <x v="4"/>
    <x v="2"/>
    <x v="1"/>
    <d v="2025-09-03T00:00:00"/>
    <n v="24900"/>
    <x v="0"/>
  </r>
  <r>
    <n v="100424"/>
    <n v="23"/>
    <n v="82800"/>
    <x v="0"/>
    <n v="0"/>
    <n v="0"/>
    <x v="2"/>
    <x v="2"/>
    <x v="1"/>
    <d v="2025-12-25T00:00:00"/>
    <n v="0"/>
    <x v="1"/>
  </r>
  <r>
    <n v="100425"/>
    <n v="40"/>
    <n v="61600"/>
    <x v="2"/>
    <n v="53200"/>
    <n v="217000"/>
    <x v="1"/>
    <x v="2"/>
    <x v="1"/>
    <d v="2024-08-06T00:00:00"/>
    <n v="270200"/>
    <x v="0"/>
  </r>
  <r>
    <n v="100426"/>
    <n v="62"/>
    <n v="48900"/>
    <x v="1"/>
    <n v="50400"/>
    <n v="0"/>
    <x v="6"/>
    <x v="2"/>
    <x v="1"/>
    <d v="2024-09-03T00:00:00"/>
    <n v="50400"/>
    <x v="0"/>
  </r>
  <r>
    <n v="100427"/>
    <n v="61"/>
    <n v="68300"/>
    <x v="0"/>
    <n v="0"/>
    <n v="0"/>
    <x v="2"/>
    <x v="1"/>
    <x v="1"/>
    <d v="2026-03-26T00:00:00"/>
    <n v="0"/>
    <x v="0"/>
  </r>
  <r>
    <n v="100428"/>
    <n v="27"/>
    <n v="52200"/>
    <x v="0"/>
    <n v="65200"/>
    <n v="0"/>
    <x v="2"/>
    <x v="1"/>
    <x v="1"/>
    <d v="2025-05-13T00:00:00"/>
    <n v="65200"/>
    <x v="0"/>
  </r>
  <r>
    <n v="100429"/>
    <n v="22"/>
    <n v="46700"/>
    <x v="0"/>
    <n v="12800"/>
    <n v="369000"/>
    <x v="6"/>
    <x v="1"/>
    <x v="1"/>
    <d v="2025-10-06T00:00:00"/>
    <n v="381800"/>
    <x v="0"/>
  </r>
  <r>
    <n v="100430"/>
    <n v="69"/>
    <n v="41900"/>
    <x v="0"/>
    <n v="0"/>
    <n v="0"/>
    <x v="1"/>
    <x v="0"/>
    <x v="1"/>
    <d v="2026-08-20T00:00:00"/>
    <n v="0"/>
    <x v="0"/>
  </r>
  <r>
    <n v="100431"/>
    <n v="24"/>
    <n v="80100"/>
    <x v="1"/>
    <n v="24900"/>
    <n v="106000"/>
    <x v="5"/>
    <x v="1"/>
    <x v="1"/>
    <d v="2024-08-21T00:00:00"/>
    <n v="130900"/>
    <x v="1"/>
  </r>
  <r>
    <n v="100432"/>
    <n v="36"/>
    <n v="53600"/>
    <x v="1"/>
    <n v="24200"/>
    <n v="0"/>
    <x v="0"/>
    <x v="1"/>
    <x v="1"/>
    <d v="2025-09-25T00:00:00"/>
    <n v="24200"/>
    <x v="0"/>
  </r>
  <r>
    <n v="100433"/>
    <n v="24"/>
    <n v="81000"/>
    <x v="0"/>
    <n v="12100"/>
    <n v="0"/>
    <x v="0"/>
    <x v="2"/>
    <x v="1"/>
    <d v="2025-09-13T00:00:00"/>
    <n v="12100"/>
    <x v="1"/>
  </r>
  <r>
    <n v="100434"/>
    <n v="25"/>
    <n v="45800"/>
    <x v="2"/>
    <n v="56400"/>
    <n v="139000"/>
    <x v="3"/>
    <x v="2"/>
    <x v="1"/>
    <d v="2026-03-27T00:00:00"/>
    <n v="195400"/>
    <x v="0"/>
  </r>
  <r>
    <n v="100435"/>
    <n v="74"/>
    <n v="63100"/>
    <x v="2"/>
    <n v="44800"/>
    <n v="0"/>
    <x v="2"/>
    <x v="3"/>
    <x v="0"/>
    <d v="2026-06-14T00:00:00"/>
    <n v="44800"/>
    <x v="0"/>
  </r>
  <r>
    <n v="100436"/>
    <n v="55"/>
    <n v="37500"/>
    <x v="1"/>
    <n v="28000"/>
    <n v="0"/>
    <x v="0"/>
    <x v="1"/>
    <x v="1"/>
    <d v="2026-07-14T00:00:00"/>
    <n v="28000"/>
    <x v="0"/>
  </r>
  <r>
    <n v="100437"/>
    <n v="66"/>
    <n v="49600"/>
    <x v="1"/>
    <n v="34400"/>
    <n v="154000"/>
    <x v="5"/>
    <x v="2"/>
    <x v="1"/>
    <d v="2026-03-29T00:00:00"/>
    <n v="188400"/>
    <x v="0"/>
  </r>
  <r>
    <n v="100438"/>
    <n v="56"/>
    <n v="91800"/>
    <x v="2"/>
    <n v="0"/>
    <n v="0"/>
    <x v="7"/>
    <x v="1"/>
    <x v="1"/>
    <d v="2024-03-15T00:00:00"/>
    <n v="0"/>
    <x v="1"/>
  </r>
  <r>
    <n v="100439"/>
    <n v="38"/>
    <n v="73100"/>
    <x v="1"/>
    <n v="38500"/>
    <n v="0"/>
    <x v="2"/>
    <x v="2"/>
    <x v="1"/>
    <d v="2024-04-12T00:00:00"/>
    <n v="38500"/>
    <x v="1"/>
  </r>
  <r>
    <n v="100440"/>
    <n v="38"/>
    <n v="68800"/>
    <x v="2"/>
    <n v="31000"/>
    <n v="0"/>
    <x v="5"/>
    <x v="1"/>
    <x v="1"/>
    <d v="2025-08-03T00:00:00"/>
    <n v="31000"/>
    <x v="0"/>
  </r>
  <r>
    <n v="100441"/>
    <n v="43"/>
    <n v="86500"/>
    <x v="2"/>
    <n v="24000"/>
    <n v="0"/>
    <x v="1"/>
    <x v="2"/>
    <x v="1"/>
    <d v="2025-11-26T00:00:00"/>
    <n v="24000"/>
    <x v="1"/>
  </r>
  <r>
    <n v="100442"/>
    <n v="66"/>
    <n v="48800"/>
    <x v="1"/>
    <n v="52200"/>
    <n v="0"/>
    <x v="0"/>
    <x v="2"/>
    <x v="1"/>
    <d v="2026-05-11T00:00:00"/>
    <n v="52200"/>
    <x v="0"/>
  </r>
  <r>
    <n v="100443"/>
    <n v="37"/>
    <n v="92700"/>
    <x v="1"/>
    <n v="21700"/>
    <n v="0"/>
    <x v="0"/>
    <x v="1"/>
    <x v="1"/>
    <d v="2026-05-19T00:00:00"/>
    <n v="21700"/>
    <x v="1"/>
  </r>
  <r>
    <n v="100444"/>
    <n v="52"/>
    <n v="69700"/>
    <x v="0"/>
    <n v="51800"/>
    <n v="98000"/>
    <x v="5"/>
    <x v="1"/>
    <x v="1"/>
    <d v="2025-04-28T00:00:00"/>
    <n v="149800"/>
    <x v="0"/>
  </r>
  <r>
    <n v="100445"/>
    <n v="61"/>
    <n v="82900"/>
    <x v="1"/>
    <n v="52000"/>
    <n v="0"/>
    <x v="5"/>
    <x v="2"/>
    <x v="1"/>
    <d v="2024-04-02T00:00:00"/>
    <n v="52000"/>
    <x v="1"/>
  </r>
  <r>
    <n v="100446"/>
    <n v="45"/>
    <n v="50800"/>
    <x v="1"/>
    <n v="63500"/>
    <n v="0"/>
    <x v="4"/>
    <x v="0"/>
    <x v="1"/>
    <d v="2024-06-12T00:00:00"/>
    <n v="63500"/>
    <x v="0"/>
  </r>
  <r>
    <n v="100447"/>
    <n v="31"/>
    <n v="64600"/>
    <x v="0"/>
    <n v="0"/>
    <n v="265000"/>
    <x v="2"/>
    <x v="2"/>
    <x v="1"/>
    <d v="2026-02-18T00:00:00"/>
    <n v="265000"/>
    <x v="0"/>
  </r>
  <r>
    <n v="100448"/>
    <n v="51"/>
    <n v="43000"/>
    <x v="1"/>
    <n v="44200"/>
    <n v="0"/>
    <x v="2"/>
    <x v="1"/>
    <x v="1"/>
    <d v="2026-06-21T00:00:00"/>
    <n v="44200"/>
    <x v="0"/>
  </r>
  <r>
    <n v="100449"/>
    <n v="22"/>
    <n v="28400"/>
    <x v="0"/>
    <n v="35500"/>
    <n v="0"/>
    <x v="5"/>
    <x v="0"/>
    <x v="1"/>
    <d v="2025-07-11T00:00:00"/>
    <n v="35500"/>
    <x v="0"/>
  </r>
  <r>
    <n v="100450"/>
    <n v="56"/>
    <n v="39600"/>
    <x v="0"/>
    <n v="43100"/>
    <n v="0"/>
    <x v="5"/>
    <x v="1"/>
    <x v="1"/>
    <d v="2025-06-12T00:00:00"/>
    <n v="43100"/>
    <x v="0"/>
  </r>
  <r>
    <n v="100451"/>
    <n v="45"/>
    <n v="50100"/>
    <x v="2"/>
    <n v="32700"/>
    <n v="0"/>
    <x v="4"/>
    <x v="1"/>
    <x v="1"/>
    <d v="2025-06-10T00:00:00"/>
    <n v="32700"/>
    <x v="0"/>
  </r>
  <r>
    <n v="100452"/>
    <n v="61"/>
    <n v="45800"/>
    <x v="1"/>
    <n v="39800"/>
    <n v="0"/>
    <x v="3"/>
    <x v="1"/>
    <x v="1"/>
    <d v="2024-04-26T00:00:00"/>
    <n v="39800"/>
    <x v="0"/>
  </r>
  <r>
    <n v="100453"/>
    <n v="50"/>
    <n v="73400"/>
    <x v="1"/>
    <n v="42700"/>
    <n v="0"/>
    <x v="3"/>
    <x v="2"/>
    <x v="1"/>
    <d v="2024-06-13T00:00:00"/>
    <n v="42700"/>
    <x v="1"/>
  </r>
  <r>
    <n v="100454"/>
    <n v="28"/>
    <n v="69600"/>
    <x v="1"/>
    <n v="10900"/>
    <n v="144000"/>
    <x v="1"/>
    <x v="1"/>
    <x v="1"/>
    <d v="2024-01-20T00:00:00"/>
    <n v="154900"/>
    <x v="0"/>
  </r>
  <r>
    <n v="100455"/>
    <n v="66"/>
    <n v="78200"/>
    <x v="2"/>
    <n v="0"/>
    <n v="232000"/>
    <x v="7"/>
    <x v="0"/>
    <x v="1"/>
    <d v="2024-06-23T00:00:00"/>
    <n v="232000"/>
    <x v="1"/>
  </r>
  <r>
    <n v="100456"/>
    <n v="34"/>
    <n v="89100"/>
    <x v="0"/>
    <n v="0"/>
    <n v="0"/>
    <x v="4"/>
    <x v="1"/>
    <x v="1"/>
    <d v="2025-06-07T00:00:00"/>
    <n v="0"/>
    <x v="1"/>
  </r>
  <r>
    <n v="100457"/>
    <n v="36"/>
    <n v="39200"/>
    <x v="0"/>
    <n v="0"/>
    <n v="0"/>
    <x v="0"/>
    <x v="1"/>
    <x v="1"/>
    <d v="2025-01-29T00:00:00"/>
    <n v="0"/>
    <x v="0"/>
  </r>
  <r>
    <n v="100458"/>
    <n v="28"/>
    <n v="35100"/>
    <x v="1"/>
    <n v="0"/>
    <n v="0"/>
    <x v="1"/>
    <x v="0"/>
    <x v="1"/>
    <d v="2025-09-12T00:00:00"/>
    <n v="0"/>
    <x v="0"/>
  </r>
  <r>
    <n v="100459"/>
    <n v="26"/>
    <n v="39800"/>
    <x v="2"/>
    <n v="49800"/>
    <n v="0"/>
    <x v="0"/>
    <x v="2"/>
    <x v="1"/>
    <d v="2026-07-12T00:00:00"/>
    <n v="49800"/>
    <x v="0"/>
  </r>
  <r>
    <n v="100460"/>
    <n v="58"/>
    <n v="62600"/>
    <x v="1"/>
    <n v="0"/>
    <n v="0"/>
    <x v="1"/>
    <x v="1"/>
    <x v="1"/>
    <d v="2025-01-14T00:00:00"/>
    <n v="0"/>
    <x v="0"/>
  </r>
  <r>
    <n v="100461"/>
    <n v="75"/>
    <n v="28800"/>
    <x v="0"/>
    <n v="36000"/>
    <n v="0"/>
    <x v="1"/>
    <x v="1"/>
    <x v="1"/>
    <d v="2026-07-18T00:00:00"/>
    <n v="36000"/>
    <x v="0"/>
  </r>
  <r>
    <n v="100462"/>
    <n v="68"/>
    <n v="89900"/>
    <x v="0"/>
    <n v="21300"/>
    <n v="0"/>
    <x v="0"/>
    <x v="2"/>
    <x v="1"/>
    <d v="2025-02-22T00:00:00"/>
    <n v="21300"/>
    <x v="1"/>
  </r>
  <r>
    <n v="100463"/>
    <n v="36"/>
    <n v="40500"/>
    <x v="0"/>
    <n v="0"/>
    <n v="0"/>
    <x v="0"/>
    <x v="1"/>
    <x v="1"/>
    <d v="2025-01-19T00:00:00"/>
    <n v="0"/>
    <x v="0"/>
  </r>
  <r>
    <n v="100464"/>
    <n v="61"/>
    <n v="41500"/>
    <x v="0"/>
    <n v="14300"/>
    <n v="0"/>
    <x v="5"/>
    <x v="1"/>
    <x v="1"/>
    <d v="2025-08-01T00:00:00"/>
    <n v="14300"/>
    <x v="0"/>
  </r>
  <r>
    <n v="100465"/>
    <n v="43"/>
    <n v="68200"/>
    <x v="2"/>
    <n v="19000"/>
    <n v="0"/>
    <x v="7"/>
    <x v="2"/>
    <x v="1"/>
    <d v="2025-05-10T00:00:00"/>
    <n v="19000"/>
    <x v="0"/>
  </r>
  <r>
    <n v="100466"/>
    <n v="36"/>
    <n v="119400"/>
    <x v="0"/>
    <n v="0"/>
    <n v="0"/>
    <x v="4"/>
    <x v="0"/>
    <x v="1"/>
    <d v="2025-11-06T00:00:00"/>
    <n v="0"/>
    <x v="1"/>
  </r>
  <r>
    <n v="100467"/>
    <n v="27"/>
    <n v="80100"/>
    <x v="1"/>
    <n v="17100"/>
    <n v="188000"/>
    <x v="2"/>
    <x v="1"/>
    <x v="1"/>
    <d v="2025-12-01T00:00:00"/>
    <n v="205100"/>
    <x v="1"/>
  </r>
  <r>
    <n v="100468"/>
    <n v="65"/>
    <n v="29800"/>
    <x v="1"/>
    <n v="37200"/>
    <n v="0"/>
    <x v="7"/>
    <x v="3"/>
    <x v="1"/>
    <d v="2024-03-06T00:00:00"/>
    <n v="37200"/>
    <x v="0"/>
  </r>
  <r>
    <n v="100469"/>
    <n v="36"/>
    <n v="42400"/>
    <x v="1"/>
    <n v="27500"/>
    <n v="0"/>
    <x v="5"/>
    <x v="0"/>
    <x v="1"/>
    <d v="2026-08-26T00:00:00"/>
    <n v="27500"/>
    <x v="0"/>
  </r>
  <r>
    <n v="100470"/>
    <n v="69"/>
    <n v="87900"/>
    <x v="0"/>
    <n v="18900"/>
    <n v="0"/>
    <x v="5"/>
    <x v="2"/>
    <x v="1"/>
    <d v="2025-06-06T00:00:00"/>
    <n v="18900"/>
    <x v="1"/>
  </r>
  <r>
    <n v="100471"/>
    <n v="53"/>
    <n v="75500"/>
    <x v="0"/>
    <n v="26300"/>
    <n v="0"/>
    <x v="4"/>
    <x v="2"/>
    <x v="1"/>
    <d v="2025-02-13T00:00:00"/>
    <n v="26300"/>
    <x v="1"/>
  </r>
  <r>
    <n v="100472"/>
    <n v="42"/>
    <n v="72900"/>
    <x v="1"/>
    <n v="6700"/>
    <n v="0"/>
    <x v="0"/>
    <x v="1"/>
    <x v="1"/>
    <d v="2025-07-26T00:00:00"/>
    <n v="6700"/>
    <x v="1"/>
  </r>
  <r>
    <n v="100473"/>
    <n v="57"/>
    <n v="49800"/>
    <x v="2"/>
    <n v="40100"/>
    <n v="340000"/>
    <x v="6"/>
    <x v="2"/>
    <x v="1"/>
    <d v="2024-04-19T00:00:00"/>
    <n v="380100"/>
    <x v="0"/>
  </r>
  <r>
    <n v="100474"/>
    <n v="55"/>
    <n v="31900"/>
    <x v="1"/>
    <n v="0"/>
    <n v="0"/>
    <x v="5"/>
    <x v="3"/>
    <x v="1"/>
    <d v="2026-04-12T00:00:00"/>
    <n v="0"/>
    <x v="0"/>
  </r>
  <r>
    <n v="100475"/>
    <n v="70"/>
    <n v="65300"/>
    <x v="0"/>
    <n v="0"/>
    <n v="0"/>
    <x v="3"/>
    <x v="0"/>
    <x v="1"/>
    <d v="2026-03-05T00:00:00"/>
    <n v="0"/>
    <x v="0"/>
  </r>
  <r>
    <n v="100476"/>
    <n v="49"/>
    <n v="74000"/>
    <x v="2"/>
    <n v="0"/>
    <n v="0"/>
    <x v="5"/>
    <x v="2"/>
    <x v="1"/>
    <d v="2025-10-10T00:00:00"/>
    <n v="0"/>
    <x v="1"/>
  </r>
  <r>
    <n v="100477"/>
    <n v="70"/>
    <n v="122400"/>
    <x v="0"/>
    <n v="24200"/>
    <n v="0"/>
    <x v="6"/>
    <x v="1"/>
    <x v="1"/>
    <d v="2024-10-21T00:00:00"/>
    <n v="24200"/>
    <x v="1"/>
  </r>
  <r>
    <n v="100478"/>
    <n v="25"/>
    <n v="53000"/>
    <x v="0"/>
    <n v="36900"/>
    <n v="172000"/>
    <x v="3"/>
    <x v="0"/>
    <x v="1"/>
    <d v="2026-08-27T00:00:00"/>
    <n v="208900"/>
    <x v="0"/>
  </r>
  <r>
    <n v="100479"/>
    <n v="67"/>
    <n v="74100"/>
    <x v="2"/>
    <n v="18800"/>
    <n v="0"/>
    <x v="5"/>
    <x v="2"/>
    <x v="1"/>
    <d v="2024-09-12T00:00:00"/>
    <n v="18800"/>
    <x v="1"/>
  </r>
  <r>
    <n v="100480"/>
    <n v="73"/>
    <n v="68700"/>
    <x v="1"/>
    <n v="67500"/>
    <n v="0"/>
    <x v="7"/>
    <x v="1"/>
    <x v="1"/>
    <d v="2025-07-08T00:00:00"/>
    <n v="67500"/>
    <x v="0"/>
  </r>
  <r>
    <n v="100481"/>
    <n v="22"/>
    <n v="91300"/>
    <x v="1"/>
    <n v="64600"/>
    <n v="0"/>
    <x v="5"/>
    <x v="2"/>
    <x v="1"/>
    <d v="2026-07-26T00:00:00"/>
    <n v="64600"/>
    <x v="1"/>
  </r>
  <r>
    <n v="100482"/>
    <n v="52"/>
    <n v="45800"/>
    <x v="1"/>
    <n v="10700"/>
    <n v="0"/>
    <x v="7"/>
    <x v="0"/>
    <x v="0"/>
    <d v="2024-12-21T00:00:00"/>
    <n v="10700"/>
    <x v="0"/>
  </r>
  <r>
    <n v="100483"/>
    <n v="45"/>
    <n v="92900"/>
    <x v="0"/>
    <n v="15000"/>
    <n v="0"/>
    <x v="2"/>
    <x v="1"/>
    <x v="0"/>
    <d v="2024-08-03T00:00:00"/>
    <n v="15000"/>
    <x v="1"/>
  </r>
  <r>
    <n v="100484"/>
    <n v="44"/>
    <n v="65700"/>
    <x v="1"/>
    <n v="21500"/>
    <n v="0"/>
    <x v="3"/>
    <x v="2"/>
    <x v="1"/>
    <d v="2024-12-17T00:00:00"/>
    <n v="21500"/>
    <x v="0"/>
  </r>
  <r>
    <n v="100485"/>
    <n v="43"/>
    <n v="40200"/>
    <x v="1"/>
    <n v="50200"/>
    <n v="0"/>
    <x v="1"/>
    <x v="1"/>
    <x v="1"/>
    <d v="2024-05-14T00:00:00"/>
    <n v="50200"/>
    <x v="0"/>
  </r>
  <r>
    <n v="100486"/>
    <n v="56"/>
    <n v="74400"/>
    <x v="0"/>
    <n v="0"/>
    <n v="0"/>
    <x v="1"/>
    <x v="0"/>
    <x v="1"/>
    <d v="2024-07-19T00:00:00"/>
    <n v="0"/>
    <x v="1"/>
  </r>
  <r>
    <n v="100487"/>
    <n v="29"/>
    <n v="85600"/>
    <x v="0"/>
    <n v="5700"/>
    <n v="0"/>
    <x v="4"/>
    <x v="3"/>
    <x v="1"/>
    <d v="2025-06-13T00:00:00"/>
    <n v="5700"/>
    <x v="1"/>
  </r>
  <r>
    <n v="100488"/>
    <n v="54"/>
    <n v="77500"/>
    <x v="0"/>
    <n v="37300"/>
    <n v="0"/>
    <x v="1"/>
    <x v="2"/>
    <x v="1"/>
    <d v="2024-08-08T00:00:00"/>
    <n v="37300"/>
    <x v="1"/>
  </r>
  <r>
    <n v="100489"/>
    <n v="72"/>
    <n v="44300"/>
    <x v="2"/>
    <n v="49800"/>
    <n v="0"/>
    <x v="2"/>
    <x v="0"/>
    <x v="1"/>
    <d v="2024-09-20T00:00:00"/>
    <n v="49800"/>
    <x v="0"/>
  </r>
  <r>
    <n v="100490"/>
    <n v="42"/>
    <n v="25300"/>
    <x v="1"/>
    <n v="0"/>
    <n v="0"/>
    <x v="3"/>
    <x v="0"/>
    <x v="1"/>
    <d v="2025-10-27T00:00:00"/>
    <n v="0"/>
    <x v="0"/>
  </r>
  <r>
    <n v="100491"/>
    <n v="61"/>
    <n v="62600"/>
    <x v="2"/>
    <n v="24600"/>
    <n v="0"/>
    <x v="7"/>
    <x v="0"/>
    <x v="1"/>
    <d v="2024-10-20T00:00:00"/>
    <n v="24600"/>
    <x v="0"/>
  </r>
  <r>
    <n v="100492"/>
    <n v="49"/>
    <n v="69800"/>
    <x v="1"/>
    <n v="55100"/>
    <n v="0"/>
    <x v="1"/>
    <x v="0"/>
    <x v="0"/>
    <d v="2024-06-14T00:00:00"/>
    <n v="55100"/>
    <x v="0"/>
  </r>
  <r>
    <n v="100493"/>
    <n v="41"/>
    <n v="42800"/>
    <x v="1"/>
    <n v="21900"/>
    <n v="0"/>
    <x v="5"/>
    <x v="3"/>
    <x v="1"/>
    <d v="2026-08-19T00:00:00"/>
    <n v="21900"/>
    <x v="0"/>
  </r>
  <r>
    <n v="100494"/>
    <n v="43"/>
    <n v="80200"/>
    <x v="0"/>
    <n v="17300"/>
    <n v="0"/>
    <x v="4"/>
    <x v="1"/>
    <x v="1"/>
    <d v="2026-08-21T00:00:00"/>
    <n v="17300"/>
    <x v="1"/>
  </r>
  <r>
    <n v="100495"/>
    <n v="67"/>
    <n v="75700"/>
    <x v="1"/>
    <n v="14000"/>
    <n v="316000"/>
    <x v="6"/>
    <x v="2"/>
    <x v="1"/>
    <d v="2026-02-22T00:00:00"/>
    <n v="330000"/>
    <x v="1"/>
  </r>
  <r>
    <n v="100496"/>
    <n v="25"/>
    <n v="34700"/>
    <x v="0"/>
    <n v="43400"/>
    <n v="0"/>
    <x v="3"/>
    <x v="1"/>
    <x v="1"/>
    <d v="2025-10-03T00:00:00"/>
    <n v="43400"/>
    <x v="0"/>
  </r>
  <r>
    <n v="100497"/>
    <n v="28"/>
    <n v="36800"/>
    <x v="2"/>
    <n v="43800"/>
    <n v="0"/>
    <x v="2"/>
    <x v="0"/>
    <x v="1"/>
    <d v="2026-06-10T00:00:00"/>
    <n v="43800"/>
    <x v="0"/>
  </r>
  <r>
    <n v="100498"/>
    <n v="54"/>
    <n v="104700"/>
    <x v="0"/>
    <n v="71900"/>
    <n v="0"/>
    <x v="7"/>
    <x v="1"/>
    <x v="1"/>
    <d v="2025-07-31T00:00:00"/>
    <n v="71900"/>
    <x v="1"/>
  </r>
  <r>
    <n v="100499"/>
    <n v="47"/>
    <n v="61500"/>
    <x v="0"/>
    <n v="25700"/>
    <n v="0"/>
    <x v="0"/>
    <x v="1"/>
    <x v="1"/>
    <d v="2024-09-23T00:00:00"/>
    <n v="25700"/>
    <x v="0"/>
  </r>
  <r>
    <n v="100500"/>
    <n v="29"/>
    <n v="47200"/>
    <x v="1"/>
    <n v="0"/>
    <n v="0"/>
    <x v="2"/>
    <x v="2"/>
    <x v="1"/>
    <d v="2025-07-01T00:00:00"/>
    <n v="0"/>
    <x v="0"/>
  </r>
  <r>
    <n v="100501"/>
    <n v="20"/>
    <n v="74500"/>
    <x v="1"/>
    <n v="0"/>
    <n v="0"/>
    <x v="1"/>
    <x v="0"/>
    <x v="1"/>
    <d v="2025-09-03T00:00:00"/>
    <n v="0"/>
    <x v="1"/>
  </r>
  <r>
    <n v="100502"/>
    <n v="34"/>
    <n v="85200"/>
    <x v="0"/>
    <n v="62700"/>
    <n v="0"/>
    <x v="3"/>
    <x v="2"/>
    <x v="1"/>
    <d v="2025-02-03T00:00:00"/>
    <n v="62700"/>
    <x v="1"/>
  </r>
  <r>
    <n v="100503"/>
    <n v="73"/>
    <n v="51700"/>
    <x v="1"/>
    <n v="20600"/>
    <n v="0"/>
    <x v="5"/>
    <x v="2"/>
    <x v="1"/>
    <d v="2026-04-08T00:00:00"/>
    <n v="20600"/>
    <x v="0"/>
  </r>
  <r>
    <n v="100504"/>
    <n v="37"/>
    <n v="53900"/>
    <x v="2"/>
    <n v="22900"/>
    <n v="0"/>
    <x v="7"/>
    <x v="2"/>
    <x v="1"/>
    <d v="2024-07-11T00:00:00"/>
    <n v="22900"/>
    <x v="0"/>
  </r>
  <r>
    <n v="100505"/>
    <n v="40"/>
    <n v="25200"/>
    <x v="1"/>
    <n v="18200"/>
    <n v="163000"/>
    <x v="7"/>
    <x v="0"/>
    <x v="1"/>
    <d v="2024-06-03T00:00:00"/>
    <n v="181200"/>
    <x v="0"/>
  </r>
  <r>
    <n v="100506"/>
    <n v="20"/>
    <n v="59400"/>
    <x v="1"/>
    <n v="54400"/>
    <n v="0"/>
    <x v="7"/>
    <x v="1"/>
    <x v="0"/>
    <d v="2024-03-23T00:00:00"/>
    <n v="54400"/>
    <x v="0"/>
  </r>
  <r>
    <n v="100507"/>
    <n v="73"/>
    <n v="80400"/>
    <x v="1"/>
    <n v="28000"/>
    <n v="0"/>
    <x v="4"/>
    <x v="2"/>
    <x v="1"/>
    <d v="2026-04-16T00:00:00"/>
    <n v="28000"/>
    <x v="1"/>
  </r>
  <r>
    <n v="100508"/>
    <n v="44"/>
    <n v="88900"/>
    <x v="1"/>
    <n v="0"/>
    <n v="277000"/>
    <x v="7"/>
    <x v="2"/>
    <x v="1"/>
    <d v="2024-02-04T00:00:00"/>
    <n v="277000"/>
    <x v="1"/>
  </r>
  <r>
    <n v="100509"/>
    <n v="32"/>
    <n v="57100"/>
    <x v="0"/>
    <n v="71400"/>
    <n v="0"/>
    <x v="5"/>
    <x v="0"/>
    <x v="1"/>
    <d v="2026-01-15T00:00:00"/>
    <n v="71400"/>
    <x v="0"/>
  </r>
  <r>
    <n v="100510"/>
    <n v="22"/>
    <n v="79800"/>
    <x v="0"/>
    <n v="32700"/>
    <n v="0"/>
    <x v="2"/>
    <x v="0"/>
    <x v="1"/>
    <d v="2024-08-11T00:00:00"/>
    <n v="32700"/>
    <x v="1"/>
  </r>
  <r>
    <n v="100511"/>
    <n v="27"/>
    <n v="43200"/>
    <x v="1"/>
    <n v="53900"/>
    <n v="0"/>
    <x v="1"/>
    <x v="0"/>
    <x v="0"/>
    <d v="2024-02-13T00:00:00"/>
    <n v="53900"/>
    <x v="0"/>
  </r>
  <r>
    <n v="100512"/>
    <n v="57"/>
    <n v="83800"/>
    <x v="1"/>
    <n v="26900"/>
    <n v="139000"/>
    <x v="0"/>
    <x v="1"/>
    <x v="1"/>
    <d v="2026-02-16T00:00:00"/>
    <n v="165900"/>
    <x v="1"/>
  </r>
  <r>
    <n v="100513"/>
    <n v="60"/>
    <n v="30700"/>
    <x v="1"/>
    <n v="35800"/>
    <n v="205000"/>
    <x v="2"/>
    <x v="3"/>
    <x v="1"/>
    <d v="2026-02-13T00:00:00"/>
    <n v="240800"/>
    <x v="0"/>
  </r>
  <r>
    <n v="100514"/>
    <n v="42"/>
    <n v="86200"/>
    <x v="1"/>
    <n v="45600"/>
    <n v="0"/>
    <x v="4"/>
    <x v="2"/>
    <x v="1"/>
    <d v="2025-12-24T00:00:00"/>
    <n v="45600"/>
    <x v="1"/>
  </r>
  <r>
    <n v="100515"/>
    <n v="48"/>
    <n v="64100"/>
    <x v="0"/>
    <n v="37600"/>
    <n v="0"/>
    <x v="2"/>
    <x v="0"/>
    <x v="1"/>
    <d v="2026-05-01T00:00:00"/>
    <n v="37600"/>
    <x v="0"/>
  </r>
  <r>
    <n v="100516"/>
    <n v="58"/>
    <n v="101000"/>
    <x v="0"/>
    <n v="16800"/>
    <n v="0"/>
    <x v="5"/>
    <x v="1"/>
    <x v="1"/>
    <d v="2026-03-05T00:00:00"/>
    <n v="16800"/>
    <x v="1"/>
  </r>
  <r>
    <n v="100517"/>
    <n v="60"/>
    <n v="60200"/>
    <x v="0"/>
    <n v="0"/>
    <n v="0"/>
    <x v="2"/>
    <x v="0"/>
    <x v="1"/>
    <d v="2024-09-01T00:00:00"/>
    <n v="0"/>
    <x v="0"/>
  </r>
  <r>
    <n v="100518"/>
    <n v="40"/>
    <n v="77600"/>
    <x v="0"/>
    <n v="27700"/>
    <n v="0"/>
    <x v="7"/>
    <x v="1"/>
    <x v="1"/>
    <d v="2024-10-16T00:00:00"/>
    <n v="27700"/>
    <x v="1"/>
  </r>
  <r>
    <n v="100519"/>
    <n v="40"/>
    <n v="53700"/>
    <x v="1"/>
    <n v="43500"/>
    <n v="345000"/>
    <x v="4"/>
    <x v="0"/>
    <x v="1"/>
    <d v="2025-05-12T00:00:00"/>
    <n v="388500"/>
    <x v="0"/>
  </r>
  <r>
    <n v="100520"/>
    <n v="32"/>
    <n v="34300"/>
    <x v="0"/>
    <n v="0"/>
    <n v="0"/>
    <x v="5"/>
    <x v="2"/>
    <x v="1"/>
    <d v="2024-08-14T00:00:00"/>
    <n v="0"/>
    <x v="0"/>
  </r>
  <r>
    <n v="100521"/>
    <n v="58"/>
    <n v="77300"/>
    <x v="1"/>
    <n v="0"/>
    <n v="0"/>
    <x v="0"/>
    <x v="2"/>
    <x v="1"/>
    <d v="2025-10-16T00:00:00"/>
    <n v="0"/>
    <x v="1"/>
  </r>
  <r>
    <n v="100522"/>
    <n v="23"/>
    <n v="50600"/>
    <x v="0"/>
    <n v="0"/>
    <n v="0"/>
    <x v="6"/>
    <x v="0"/>
    <x v="1"/>
    <d v="2024-09-29T00:00:00"/>
    <n v="0"/>
    <x v="0"/>
  </r>
  <r>
    <n v="100523"/>
    <n v="53"/>
    <n v="28500"/>
    <x v="1"/>
    <n v="35600"/>
    <n v="0"/>
    <x v="0"/>
    <x v="2"/>
    <x v="1"/>
    <d v="2025-01-29T00:00:00"/>
    <n v="35600"/>
    <x v="0"/>
  </r>
  <r>
    <n v="100524"/>
    <n v="32"/>
    <n v="40800"/>
    <x v="0"/>
    <n v="51000"/>
    <n v="0"/>
    <x v="1"/>
    <x v="0"/>
    <x v="1"/>
    <d v="2025-08-13T00:00:00"/>
    <n v="51000"/>
    <x v="0"/>
  </r>
  <r>
    <n v="100525"/>
    <n v="42"/>
    <n v="73400"/>
    <x v="0"/>
    <n v="14100"/>
    <n v="0"/>
    <x v="1"/>
    <x v="1"/>
    <x v="1"/>
    <d v="2025-06-30T00:00:00"/>
    <n v="14100"/>
    <x v="1"/>
  </r>
  <r>
    <n v="100526"/>
    <n v="58"/>
    <n v="55900"/>
    <x v="1"/>
    <n v="69900"/>
    <n v="0"/>
    <x v="2"/>
    <x v="1"/>
    <x v="1"/>
    <d v="2026-04-25T00:00:00"/>
    <n v="69900"/>
    <x v="0"/>
  </r>
  <r>
    <n v="100527"/>
    <n v="66"/>
    <n v="48300"/>
    <x v="1"/>
    <n v="27100"/>
    <n v="0"/>
    <x v="5"/>
    <x v="1"/>
    <x v="1"/>
    <d v="2025-02-10T00:00:00"/>
    <n v="27100"/>
    <x v="0"/>
  </r>
  <r>
    <n v="100528"/>
    <n v="20"/>
    <n v="78100"/>
    <x v="2"/>
    <n v="34700"/>
    <n v="0"/>
    <x v="5"/>
    <x v="2"/>
    <x v="1"/>
    <d v="2024-08-07T00:00:00"/>
    <n v="34700"/>
    <x v="1"/>
  </r>
  <r>
    <n v="100529"/>
    <n v="74"/>
    <n v="47800"/>
    <x v="0"/>
    <n v="0"/>
    <n v="0"/>
    <x v="4"/>
    <x v="2"/>
    <x v="1"/>
    <d v="2025-04-16T00:00:00"/>
    <n v="0"/>
    <x v="0"/>
  </r>
  <r>
    <n v="100530"/>
    <n v="42"/>
    <n v="38500"/>
    <x v="1"/>
    <n v="0"/>
    <n v="0"/>
    <x v="5"/>
    <x v="0"/>
    <x v="1"/>
    <d v="2024-04-04T00:00:00"/>
    <n v="0"/>
    <x v="0"/>
  </r>
  <r>
    <n v="100531"/>
    <n v="56"/>
    <n v="53100"/>
    <x v="2"/>
    <n v="0"/>
    <n v="0"/>
    <x v="7"/>
    <x v="2"/>
    <x v="1"/>
    <d v="2026-04-25T00:00:00"/>
    <n v="0"/>
    <x v="0"/>
  </r>
  <r>
    <n v="100532"/>
    <n v="64"/>
    <n v="75900"/>
    <x v="0"/>
    <n v="42400"/>
    <n v="289000"/>
    <x v="1"/>
    <x v="2"/>
    <x v="1"/>
    <d v="2026-02-28T00:00:00"/>
    <n v="331400"/>
    <x v="1"/>
  </r>
  <r>
    <n v="100533"/>
    <n v="41"/>
    <n v="49800"/>
    <x v="0"/>
    <n v="61100"/>
    <n v="0"/>
    <x v="3"/>
    <x v="0"/>
    <x v="1"/>
    <d v="2026-08-08T00:00:00"/>
    <n v="61100"/>
    <x v="0"/>
  </r>
  <r>
    <n v="100534"/>
    <n v="20"/>
    <n v="69900"/>
    <x v="0"/>
    <n v="35100"/>
    <n v="0"/>
    <x v="4"/>
    <x v="1"/>
    <x v="1"/>
    <d v="2024-06-05T00:00:00"/>
    <n v="35100"/>
    <x v="0"/>
  </r>
  <r>
    <n v="100535"/>
    <n v="23"/>
    <n v="73300"/>
    <x v="2"/>
    <n v="0"/>
    <n v="0"/>
    <x v="0"/>
    <x v="2"/>
    <x v="1"/>
    <d v="2024-10-23T00:00:00"/>
    <n v="0"/>
    <x v="1"/>
  </r>
  <r>
    <n v="100536"/>
    <n v="70"/>
    <n v="52700"/>
    <x v="1"/>
    <n v="37900"/>
    <n v="187000"/>
    <x v="0"/>
    <x v="1"/>
    <x v="1"/>
    <d v="2025-12-15T00:00:00"/>
    <n v="224900"/>
    <x v="0"/>
  </r>
  <r>
    <n v="100537"/>
    <n v="28"/>
    <n v="81600"/>
    <x v="1"/>
    <n v="28100"/>
    <n v="0"/>
    <x v="3"/>
    <x v="2"/>
    <x v="1"/>
    <d v="2025-03-16T00:00:00"/>
    <n v="28100"/>
    <x v="1"/>
  </r>
  <r>
    <n v="100538"/>
    <n v="40"/>
    <n v="74300"/>
    <x v="0"/>
    <n v="29000"/>
    <n v="0"/>
    <x v="3"/>
    <x v="1"/>
    <x v="1"/>
    <d v="2024-01-25T00:00:00"/>
    <n v="29000"/>
    <x v="1"/>
  </r>
  <r>
    <n v="100539"/>
    <n v="69"/>
    <n v="47200"/>
    <x v="2"/>
    <n v="59000"/>
    <n v="0"/>
    <x v="4"/>
    <x v="1"/>
    <x v="1"/>
    <d v="2024-08-27T00:00:00"/>
    <n v="59000"/>
    <x v="0"/>
  </r>
  <r>
    <n v="100540"/>
    <n v="32"/>
    <n v="74300"/>
    <x v="1"/>
    <n v="0"/>
    <n v="267000"/>
    <x v="3"/>
    <x v="3"/>
    <x v="1"/>
    <d v="2026-08-06T00:00:00"/>
    <n v="267000"/>
    <x v="1"/>
  </r>
  <r>
    <n v="100541"/>
    <n v="29"/>
    <n v="94000"/>
    <x v="2"/>
    <n v="46000"/>
    <n v="198000"/>
    <x v="6"/>
    <x v="2"/>
    <x v="1"/>
    <d v="2024-08-04T00:00:00"/>
    <n v="244000"/>
    <x v="1"/>
  </r>
  <r>
    <n v="100542"/>
    <n v="33"/>
    <n v="63100"/>
    <x v="0"/>
    <n v="41100"/>
    <n v="0"/>
    <x v="6"/>
    <x v="1"/>
    <x v="1"/>
    <d v="2025-06-23T00:00:00"/>
    <n v="41100"/>
    <x v="0"/>
  </r>
  <r>
    <n v="100543"/>
    <n v="22"/>
    <n v="44300"/>
    <x v="1"/>
    <n v="46200"/>
    <n v="0"/>
    <x v="7"/>
    <x v="0"/>
    <x v="0"/>
    <d v="2025-02-01T00:00:00"/>
    <n v="46200"/>
    <x v="0"/>
  </r>
  <r>
    <n v="100544"/>
    <n v="62"/>
    <n v="45300"/>
    <x v="2"/>
    <n v="56600"/>
    <n v="311000"/>
    <x v="1"/>
    <x v="2"/>
    <x v="1"/>
    <d v="2025-12-27T00:00:00"/>
    <n v="367600"/>
    <x v="0"/>
  </r>
  <r>
    <n v="100545"/>
    <n v="26"/>
    <n v="99200"/>
    <x v="1"/>
    <n v="13100"/>
    <n v="365000"/>
    <x v="6"/>
    <x v="2"/>
    <x v="1"/>
    <d v="2024-11-08T00:00:00"/>
    <n v="378100"/>
    <x v="1"/>
  </r>
  <r>
    <n v="100546"/>
    <n v="41"/>
    <n v="59100"/>
    <x v="0"/>
    <n v="45300"/>
    <n v="0"/>
    <x v="5"/>
    <x v="2"/>
    <x v="1"/>
    <d v="2025-05-28T00:00:00"/>
    <n v="45300"/>
    <x v="0"/>
  </r>
  <r>
    <n v="100547"/>
    <n v="37"/>
    <n v="86900"/>
    <x v="0"/>
    <n v="0"/>
    <n v="0"/>
    <x v="6"/>
    <x v="0"/>
    <x v="1"/>
    <d v="2026-08-29T00:00:00"/>
    <n v="0"/>
    <x v="1"/>
  </r>
  <r>
    <n v="100548"/>
    <n v="37"/>
    <n v="42600"/>
    <x v="1"/>
    <n v="15900"/>
    <n v="0"/>
    <x v="3"/>
    <x v="1"/>
    <x v="1"/>
    <d v="2025-03-12T00:00:00"/>
    <n v="15900"/>
    <x v="0"/>
  </r>
  <r>
    <n v="100549"/>
    <n v="39"/>
    <n v="100200"/>
    <x v="1"/>
    <n v="19100"/>
    <n v="217000"/>
    <x v="3"/>
    <x v="0"/>
    <x v="1"/>
    <d v="2025-12-23T00:00:00"/>
    <n v="236100"/>
    <x v="1"/>
  </r>
  <r>
    <n v="100550"/>
    <n v="53"/>
    <n v="100100"/>
    <x v="1"/>
    <n v="0"/>
    <n v="0"/>
    <x v="4"/>
    <x v="2"/>
    <x v="1"/>
    <d v="2025-07-24T00:00:00"/>
    <n v="0"/>
    <x v="1"/>
  </r>
  <r>
    <n v="100551"/>
    <n v="54"/>
    <n v="107500"/>
    <x v="1"/>
    <n v="62400"/>
    <n v="0"/>
    <x v="2"/>
    <x v="0"/>
    <x v="1"/>
    <d v="2025-02-25T00:00:00"/>
    <n v="62400"/>
    <x v="1"/>
  </r>
  <r>
    <n v="100552"/>
    <n v="39"/>
    <n v="55900"/>
    <x v="2"/>
    <n v="0"/>
    <n v="0"/>
    <x v="5"/>
    <x v="2"/>
    <x v="1"/>
    <d v="2024-07-11T00:00:00"/>
    <n v="0"/>
    <x v="0"/>
  </r>
  <r>
    <n v="100553"/>
    <n v="26"/>
    <n v="36800"/>
    <x v="1"/>
    <n v="0"/>
    <n v="0"/>
    <x v="3"/>
    <x v="0"/>
    <x v="1"/>
    <d v="2024-08-24T00:00:00"/>
    <n v="0"/>
    <x v="0"/>
  </r>
  <r>
    <n v="100554"/>
    <n v="63"/>
    <n v="26400"/>
    <x v="1"/>
    <n v="0"/>
    <n v="0"/>
    <x v="7"/>
    <x v="0"/>
    <x v="1"/>
    <d v="2025-01-17T00:00:00"/>
    <n v="0"/>
    <x v="0"/>
  </r>
  <r>
    <n v="100555"/>
    <n v="31"/>
    <n v="91800"/>
    <x v="1"/>
    <n v="18500"/>
    <n v="274000"/>
    <x v="6"/>
    <x v="0"/>
    <x v="1"/>
    <d v="2024-08-15T00:00:00"/>
    <n v="292500"/>
    <x v="1"/>
  </r>
  <r>
    <n v="100556"/>
    <n v="67"/>
    <n v="73100"/>
    <x v="1"/>
    <n v="17800"/>
    <n v="0"/>
    <x v="7"/>
    <x v="0"/>
    <x v="1"/>
    <d v="2024-11-28T00:00:00"/>
    <n v="17800"/>
    <x v="1"/>
  </r>
  <r>
    <n v="100557"/>
    <n v="75"/>
    <n v="56900"/>
    <x v="1"/>
    <n v="9700"/>
    <n v="0"/>
    <x v="1"/>
    <x v="0"/>
    <x v="1"/>
    <d v="2026-08-19T00:00:00"/>
    <n v="9700"/>
    <x v="0"/>
  </r>
  <r>
    <n v="100558"/>
    <n v="67"/>
    <n v="65000"/>
    <x v="0"/>
    <n v="46700"/>
    <n v="126000"/>
    <x v="7"/>
    <x v="0"/>
    <x v="0"/>
    <d v="2024-09-08T00:00:00"/>
    <n v="172700"/>
    <x v="0"/>
  </r>
  <r>
    <n v="100559"/>
    <n v="53"/>
    <n v="62500"/>
    <x v="2"/>
    <n v="27700"/>
    <n v="0"/>
    <x v="6"/>
    <x v="2"/>
    <x v="1"/>
    <d v="2026-06-24T00:00:00"/>
    <n v="27700"/>
    <x v="0"/>
  </r>
  <r>
    <n v="100560"/>
    <n v="39"/>
    <n v="82800"/>
    <x v="1"/>
    <n v="23100"/>
    <n v="0"/>
    <x v="4"/>
    <x v="2"/>
    <x v="1"/>
    <d v="2024-04-02T00:00:00"/>
    <n v="23100"/>
    <x v="1"/>
  </r>
  <r>
    <n v="100561"/>
    <n v="66"/>
    <n v="59800"/>
    <x v="1"/>
    <n v="64100"/>
    <n v="0"/>
    <x v="1"/>
    <x v="1"/>
    <x v="1"/>
    <d v="2024-07-02T00:00:00"/>
    <n v="64100"/>
    <x v="0"/>
  </r>
  <r>
    <n v="100562"/>
    <n v="49"/>
    <n v="66500"/>
    <x v="0"/>
    <n v="31200"/>
    <n v="253000"/>
    <x v="4"/>
    <x v="1"/>
    <x v="1"/>
    <d v="2024-04-26T00:00:00"/>
    <n v="284200"/>
    <x v="0"/>
  </r>
  <r>
    <n v="100563"/>
    <n v="65"/>
    <n v="56300"/>
    <x v="1"/>
    <n v="27500"/>
    <n v="0"/>
    <x v="4"/>
    <x v="1"/>
    <x v="1"/>
    <d v="2026-02-25T00:00:00"/>
    <n v="27500"/>
    <x v="0"/>
  </r>
  <r>
    <n v="100564"/>
    <n v="30"/>
    <n v="100600"/>
    <x v="0"/>
    <n v="16500"/>
    <n v="0"/>
    <x v="4"/>
    <x v="1"/>
    <x v="0"/>
    <d v="2024-11-11T00:00:00"/>
    <n v="16500"/>
    <x v="1"/>
  </r>
  <r>
    <n v="100565"/>
    <n v="39"/>
    <n v="78400"/>
    <x v="2"/>
    <n v="18000"/>
    <n v="0"/>
    <x v="3"/>
    <x v="2"/>
    <x v="1"/>
    <d v="2024-01-13T00:00:00"/>
    <n v="18000"/>
    <x v="1"/>
  </r>
  <r>
    <n v="100566"/>
    <n v="49"/>
    <n v="59600"/>
    <x v="1"/>
    <n v="0"/>
    <n v="0"/>
    <x v="7"/>
    <x v="2"/>
    <x v="1"/>
    <d v="2025-08-25T00:00:00"/>
    <n v="0"/>
    <x v="0"/>
  </r>
  <r>
    <n v="100567"/>
    <n v="62"/>
    <n v="58100"/>
    <x v="1"/>
    <n v="39700"/>
    <n v="0"/>
    <x v="5"/>
    <x v="1"/>
    <x v="1"/>
    <d v="2026-04-25T00:00:00"/>
    <n v="39700"/>
    <x v="0"/>
  </r>
  <r>
    <n v="100568"/>
    <n v="33"/>
    <n v="29500"/>
    <x v="1"/>
    <n v="9200"/>
    <n v="0"/>
    <x v="5"/>
    <x v="1"/>
    <x v="1"/>
    <d v="2024-04-21T00:00:00"/>
    <n v="9200"/>
    <x v="0"/>
  </r>
  <r>
    <n v="100569"/>
    <n v="46"/>
    <n v="122100"/>
    <x v="1"/>
    <n v="43600"/>
    <n v="0"/>
    <x v="4"/>
    <x v="3"/>
    <x v="1"/>
    <d v="2025-01-03T00:00:00"/>
    <n v="43600"/>
    <x v="1"/>
  </r>
  <r>
    <n v="100570"/>
    <n v="22"/>
    <n v="33800"/>
    <x v="1"/>
    <n v="27300"/>
    <n v="193000"/>
    <x v="0"/>
    <x v="1"/>
    <x v="1"/>
    <d v="2025-12-12T00:00:00"/>
    <n v="220300"/>
    <x v="0"/>
  </r>
  <r>
    <n v="100571"/>
    <n v="75"/>
    <n v="45400"/>
    <x v="0"/>
    <n v="46100"/>
    <n v="0"/>
    <x v="0"/>
    <x v="1"/>
    <x v="1"/>
    <d v="2025-06-25T00:00:00"/>
    <n v="46100"/>
    <x v="0"/>
  </r>
  <r>
    <n v="100572"/>
    <n v="25"/>
    <n v="58700"/>
    <x v="0"/>
    <n v="0"/>
    <n v="0"/>
    <x v="5"/>
    <x v="1"/>
    <x v="1"/>
    <d v="2026-05-18T00:00:00"/>
    <n v="0"/>
    <x v="0"/>
  </r>
  <r>
    <n v="100573"/>
    <n v="40"/>
    <n v="44600"/>
    <x v="0"/>
    <n v="55800"/>
    <n v="0"/>
    <x v="7"/>
    <x v="1"/>
    <x v="1"/>
    <d v="2025-05-19T00:00:00"/>
    <n v="55800"/>
    <x v="0"/>
  </r>
  <r>
    <n v="100574"/>
    <n v="71"/>
    <n v="40000"/>
    <x v="0"/>
    <n v="50000"/>
    <n v="91000"/>
    <x v="0"/>
    <x v="0"/>
    <x v="1"/>
    <d v="2025-09-22T00:00:00"/>
    <n v="141000"/>
    <x v="0"/>
  </r>
  <r>
    <n v="100575"/>
    <n v="46"/>
    <n v="54000"/>
    <x v="1"/>
    <n v="42100"/>
    <n v="149000"/>
    <x v="5"/>
    <x v="2"/>
    <x v="1"/>
    <d v="2024-11-03T00:00:00"/>
    <n v="191100"/>
    <x v="0"/>
  </r>
  <r>
    <n v="100576"/>
    <n v="52"/>
    <n v="63400"/>
    <x v="0"/>
    <n v="25000"/>
    <n v="0"/>
    <x v="6"/>
    <x v="0"/>
    <x v="1"/>
    <d v="2026-05-03T00:00:00"/>
    <n v="25000"/>
    <x v="0"/>
  </r>
  <r>
    <n v="100577"/>
    <n v="41"/>
    <n v="102300"/>
    <x v="1"/>
    <n v="9100"/>
    <n v="138000"/>
    <x v="7"/>
    <x v="0"/>
    <x v="1"/>
    <d v="2024-12-09T00:00:00"/>
    <n v="147100"/>
    <x v="1"/>
  </r>
  <r>
    <n v="100578"/>
    <n v="49"/>
    <n v="83900"/>
    <x v="1"/>
    <n v="0"/>
    <n v="0"/>
    <x v="5"/>
    <x v="1"/>
    <x v="1"/>
    <d v="2025-11-25T00:00:00"/>
    <n v="0"/>
    <x v="1"/>
  </r>
  <r>
    <n v="100579"/>
    <n v="40"/>
    <n v="63800"/>
    <x v="1"/>
    <n v="24900"/>
    <n v="0"/>
    <x v="2"/>
    <x v="2"/>
    <x v="1"/>
    <d v="2026-05-10T00:00:00"/>
    <n v="24900"/>
    <x v="0"/>
  </r>
  <r>
    <n v="100580"/>
    <n v="21"/>
    <n v="49300"/>
    <x v="1"/>
    <n v="17300"/>
    <n v="0"/>
    <x v="4"/>
    <x v="1"/>
    <x v="1"/>
    <d v="2026-02-08T00:00:00"/>
    <n v="17300"/>
    <x v="0"/>
  </r>
  <r>
    <n v="100581"/>
    <n v="39"/>
    <n v="76100"/>
    <x v="1"/>
    <n v="29100"/>
    <n v="0"/>
    <x v="3"/>
    <x v="2"/>
    <x v="1"/>
    <d v="2024-11-05T00:00:00"/>
    <n v="29100"/>
    <x v="1"/>
  </r>
  <r>
    <n v="100582"/>
    <n v="33"/>
    <n v="61600"/>
    <x v="1"/>
    <n v="9300"/>
    <n v="121000"/>
    <x v="6"/>
    <x v="0"/>
    <x v="1"/>
    <d v="2024-06-06T00:00:00"/>
    <n v="130300"/>
    <x v="0"/>
  </r>
  <r>
    <n v="100583"/>
    <n v="32"/>
    <n v="49400"/>
    <x v="1"/>
    <n v="0"/>
    <n v="0"/>
    <x v="2"/>
    <x v="2"/>
    <x v="1"/>
    <d v="2026-06-11T00:00:00"/>
    <n v="0"/>
    <x v="0"/>
  </r>
  <r>
    <n v="100584"/>
    <n v="26"/>
    <n v="88100"/>
    <x v="2"/>
    <n v="15700"/>
    <n v="0"/>
    <x v="7"/>
    <x v="2"/>
    <x v="1"/>
    <d v="2024-04-28T00:00:00"/>
    <n v="15700"/>
    <x v="1"/>
  </r>
  <r>
    <n v="100585"/>
    <n v="20"/>
    <n v="47600"/>
    <x v="1"/>
    <n v="0"/>
    <n v="0"/>
    <x v="2"/>
    <x v="1"/>
    <x v="1"/>
    <d v="2024-02-17T00:00:00"/>
    <n v="0"/>
    <x v="0"/>
  </r>
  <r>
    <n v="100586"/>
    <n v="26"/>
    <n v="61300"/>
    <x v="0"/>
    <n v="38300"/>
    <n v="0"/>
    <x v="3"/>
    <x v="1"/>
    <x v="1"/>
    <d v="2024-10-10T00:00:00"/>
    <n v="38300"/>
    <x v="0"/>
  </r>
  <r>
    <n v="100587"/>
    <n v="54"/>
    <n v="48100"/>
    <x v="1"/>
    <n v="16500"/>
    <n v="85000"/>
    <x v="0"/>
    <x v="2"/>
    <x v="1"/>
    <d v="2024-11-22T00:00:00"/>
    <n v="101500"/>
    <x v="0"/>
  </r>
  <r>
    <n v="100588"/>
    <n v="37"/>
    <n v="37500"/>
    <x v="0"/>
    <n v="20800"/>
    <n v="233000"/>
    <x v="2"/>
    <x v="0"/>
    <x v="0"/>
    <d v="2024-01-30T00:00:00"/>
    <n v="253800"/>
    <x v="0"/>
  </r>
  <r>
    <n v="100589"/>
    <n v="50"/>
    <n v="99100"/>
    <x v="1"/>
    <n v="13000"/>
    <n v="0"/>
    <x v="7"/>
    <x v="1"/>
    <x v="1"/>
    <d v="2026-04-17T00:00:00"/>
    <n v="13000"/>
    <x v="1"/>
  </r>
  <r>
    <n v="100590"/>
    <n v="32"/>
    <n v="76800"/>
    <x v="0"/>
    <n v="77100"/>
    <n v="0"/>
    <x v="7"/>
    <x v="1"/>
    <x v="1"/>
    <d v="2026-04-01T00:00:00"/>
    <n v="77100"/>
    <x v="1"/>
  </r>
  <r>
    <n v="100591"/>
    <n v="64"/>
    <n v="57600"/>
    <x v="1"/>
    <n v="47200"/>
    <n v="0"/>
    <x v="3"/>
    <x v="3"/>
    <x v="0"/>
    <d v="2026-07-06T00:00:00"/>
    <n v="47200"/>
    <x v="0"/>
  </r>
  <r>
    <n v="100592"/>
    <n v="59"/>
    <n v="44500"/>
    <x v="1"/>
    <n v="55600"/>
    <n v="0"/>
    <x v="2"/>
    <x v="1"/>
    <x v="0"/>
    <d v="2025-05-01T00:00:00"/>
    <n v="55600"/>
    <x v="0"/>
  </r>
  <r>
    <n v="100593"/>
    <n v="27"/>
    <n v="50000"/>
    <x v="1"/>
    <n v="51700"/>
    <n v="0"/>
    <x v="4"/>
    <x v="1"/>
    <x v="1"/>
    <d v="2026-01-01T00:00:00"/>
    <n v="51700"/>
    <x v="0"/>
  </r>
  <r>
    <n v="100594"/>
    <n v="70"/>
    <n v="35000"/>
    <x v="0"/>
    <n v="23500"/>
    <n v="0"/>
    <x v="1"/>
    <x v="1"/>
    <x v="1"/>
    <d v="2024-06-11T00:00:00"/>
    <n v="23500"/>
    <x v="0"/>
  </r>
  <r>
    <n v="100595"/>
    <n v="50"/>
    <n v="52100"/>
    <x v="1"/>
    <n v="0"/>
    <n v="0"/>
    <x v="1"/>
    <x v="1"/>
    <x v="1"/>
    <d v="2024-12-16T00:00:00"/>
    <n v="0"/>
    <x v="0"/>
  </r>
  <r>
    <n v="100596"/>
    <n v="54"/>
    <n v="75100"/>
    <x v="1"/>
    <n v="49400"/>
    <n v="0"/>
    <x v="7"/>
    <x v="2"/>
    <x v="1"/>
    <d v="2024-11-29T00:00:00"/>
    <n v="49400"/>
    <x v="1"/>
  </r>
  <r>
    <n v="100597"/>
    <n v="55"/>
    <n v="34200"/>
    <x v="1"/>
    <n v="28600"/>
    <n v="0"/>
    <x v="1"/>
    <x v="1"/>
    <x v="1"/>
    <d v="2024-03-03T00:00:00"/>
    <n v="28600"/>
    <x v="0"/>
  </r>
  <r>
    <n v="100598"/>
    <n v="25"/>
    <n v="42200"/>
    <x v="1"/>
    <n v="50600"/>
    <n v="0"/>
    <x v="4"/>
    <x v="0"/>
    <x v="1"/>
    <d v="2024-10-25T00:00:00"/>
    <n v="50600"/>
    <x v="0"/>
  </r>
  <r>
    <n v="100599"/>
    <n v="44"/>
    <n v="68400"/>
    <x v="1"/>
    <n v="62100"/>
    <n v="0"/>
    <x v="5"/>
    <x v="0"/>
    <x v="1"/>
    <d v="2026-01-05T00:00:00"/>
    <n v="62100"/>
    <x v="0"/>
  </r>
  <r>
    <n v="100600"/>
    <n v="42"/>
    <n v="120200"/>
    <x v="0"/>
    <n v="34300"/>
    <n v="0"/>
    <x v="5"/>
    <x v="2"/>
    <x v="1"/>
    <d v="2024-02-24T00:00:00"/>
    <n v="34300"/>
    <x v="1"/>
  </r>
  <r>
    <n v="100601"/>
    <n v="20"/>
    <n v="75900"/>
    <x v="2"/>
    <n v="60300"/>
    <n v="0"/>
    <x v="3"/>
    <x v="2"/>
    <x v="1"/>
    <d v="2025-10-02T00:00:00"/>
    <n v="60300"/>
    <x v="1"/>
  </r>
  <r>
    <n v="100602"/>
    <n v="40"/>
    <n v="76700"/>
    <x v="1"/>
    <n v="19300"/>
    <n v="134000"/>
    <x v="1"/>
    <x v="0"/>
    <x v="1"/>
    <d v="2025-03-03T00:00:00"/>
    <n v="153300"/>
    <x v="1"/>
  </r>
  <r>
    <n v="100603"/>
    <n v="29"/>
    <n v="46300"/>
    <x v="2"/>
    <n v="6000"/>
    <n v="0"/>
    <x v="4"/>
    <x v="0"/>
    <x v="1"/>
    <d v="2025-03-23T00:00:00"/>
    <n v="6000"/>
    <x v="0"/>
  </r>
  <r>
    <n v="100604"/>
    <n v="28"/>
    <n v="33100"/>
    <x v="0"/>
    <n v="31300"/>
    <n v="0"/>
    <x v="1"/>
    <x v="0"/>
    <x v="1"/>
    <d v="2025-03-10T00:00:00"/>
    <n v="31300"/>
    <x v="0"/>
  </r>
  <r>
    <n v="100605"/>
    <n v="55"/>
    <n v="87900"/>
    <x v="1"/>
    <n v="29600"/>
    <n v="207000"/>
    <x v="3"/>
    <x v="1"/>
    <x v="1"/>
    <d v="2026-08-06T00:00:00"/>
    <n v="236600"/>
    <x v="1"/>
  </r>
  <r>
    <n v="100606"/>
    <n v="54"/>
    <n v="65400"/>
    <x v="1"/>
    <n v="32800"/>
    <n v="0"/>
    <x v="7"/>
    <x v="3"/>
    <x v="0"/>
    <d v="2026-01-17T00:00:00"/>
    <n v="32800"/>
    <x v="0"/>
  </r>
  <r>
    <n v="100607"/>
    <n v="66"/>
    <n v="61700"/>
    <x v="2"/>
    <n v="0"/>
    <n v="0"/>
    <x v="0"/>
    <x v="1"/>
    <x v="1"/>
    <d v="2025-09-16T00:00:00"/>
    <n v="0"/>
    <x v="0"/>
  </r>
  <r>
    <n v="100608"/>
    <n v="25"/>
    <n v="43800"/>
    <x v="0"/>
    <n v="44200"/>
    <n v="0"/>
    <x v="5"/>
    <x v="0"/>
    <x v="1"/>
    <d v="2025-07-01T00:00:00"/>
    <n v="44200"/>
    <x v="0"/>
  </r>
  <r>
    <n v="100609"/>
    <n v="69"/>
    <n v="23400"/>
    <x v="1"/>
    <n v="0"/>
    <n v="0"/>
    <x v="2"/>
    <x v="1"/>
    <x v="1"/>
    <d v="2026-03-28T00:00:00"/>
    <n v="0"/>
    <x v="0"/>
  </r>
  <r>
    <n v="100610"/>
    <n v="38"/>
    <n v="46300"/>
    <x v="1"/>
    <n v="0"/>
    <n v="0"/>
    <x v="5"/>
    <x v="2"/>
    <x v="1"/>
    <d v="2025-04-29T00:00:00"/>
    <n v="0"/>
    <x v="0"/>
  </r>
  <r>
    <n v="100611"/>
    <n v="57"/>
    <n v="39300"/>
    <x v="1"/>
    <n v="0"/>
    <n v="0"/>
    <x v="6"/>
    <x v="1"/>
    <x v="1"/>
    <d v="2024-03-25T00:00:00"/>
    <n v="0"/>
    <x v="0"/>
  </r>
  <r>
    <n v="100612"/>
    <n v="28"/>
    <n v="60200"/>
    <x v="2"/>
    <n v="15700"/>
    <n v="0"/>
    <x v="5"/>
    <x v="2"/>
    <x v="1"/>
    <d v="2024-06-27T00:00:00"/>
    <n v="15700"/>
    <x v="0"/>
  </r>
  <r>
    <n v="100613"/>
    <n v="57"/>
    <n v="79300"/>
    <x v="0"/>
    <n v="17700"/>
    <n v="0"/>
    <x v="3"/>
    <x v="2"/>
    <x v="1"/>
    <d v="2026-06-01T00:00:00"/>
    <n v="17700"/>
    <x v="1"/>
  </r>
  <r>
    <n v="100614"/>
    <n v="22"/>
    <n v="49500"/>
    <x v="1"/>
    <n v="61900"/>
    <n v="207000"/>
    <x v="1"/>
    <x v="0"/>
    <x v="1"/>
    <d v="2025-03-26T00:00:00"/>
    <n v="268900"/>
    <x v="0"/>
  </r>
  <r>
    <n v="100615"/>
    <n v="66"/>
    <n v="70200"/>
    <x v="1"/>
    <n v="0"/>
    <n v="0"/>
    <x v="5"/>
    <x v="0"/>
    <x v="1"/>
    <d v="2024-04-28T00:00:00"/>
    <n v="0"/>
    <x v="1"/>
  </r>
  <r>
    <n v="100616"/>
    <n v="23"/>
    <n v="39200"/>
    <x v="1"/>
    <n v="49000"/>
    <n v="0"/>
    <x v="3"/>
    <x v="1"/>
    <x v="1"/>
    <d v="2025-04-30T00:00:00"/>
    <n v="49000"/>
    <x v="0"/>
  </r>
  <r>
    <n v="100617"/>
    <n v="36"/>
    <n v="37800"/>
    <x v="2"/>
    <n v="47200"/>
    <n v="0"/>
    <x v="2"/>
    <x v="3"/>
    <x v="1"/>
    <d v="2024-02-12T00:00:00"/>
    <n v="47200"/>
    <x v="0"/>
  </r>
  <r>
    <n v="100618"/>
    <n v="26"/>
    <n v="101500"/>
    <x v="0"/>
    <n v="0"/>
    <n v="0"/>
    <x v="5"/>
    <x v="2"/>
    <x v="1"/>
    <d v="2024-09-30T00:00:00"/>
    <n v="0"/>
    <x v="1"/>
  </r>
  <r>
    <n v="100619"/>
    <n v="71"/>
    <n v="34300"/>
    <x v="0"/>
    <n v="42900"/>
    <n v="0"/>
    <x v="3"/>
    <x v="1"/>
    <x v="1"/>
    <d v="2024-07-03T00:00:00"/>
    <n v="42900"/>
    <x v="0"/>
  </r>
  <r>
    <n v="100620"/>
    <n v="40"/>
    <n v="63200"/>
    <x v="0"/>
    <n v="0"/>
    <n v="122000"/>
    <x v="0"/>
    <x v="1"/>
    <x v="1"/>
    <d v="2024-12-25T00:00:00"/>
    <n v="122000"/>
    <x v="0"/>
  </r>
  <r>
    <n v="100621"/>
    <n v="34"/>
    <n v="78000"/>
    <x v="1"/>
    <n v="40900"/>
    <n v="229000"/>
    <x v="3"/>
    <x v="0"/>
    <x v="1"/>
    <d v="2025-12-26T00:00:00"/>
    <n v="269900"/>
    <x v="1"/>
  </r>
  <r>
    <n v="100622"/>
    <n v="27"/>
    <n v="33200"/>
    <x v="0"/>
    <n v="41500"/>
    <n v="0"/>
    <x v="4"/>
    <x v="3"/>
    <x v="1"/>
    <d v="2024-09-16T00:00:00"/>
    <n v="41500"/>
    <x v="0"/>
  </r>
  <r>
    <n v="100623"/>
    <n v="38"/>
    <n v="57500"/>
    <x v="2"/>
    <n v="67900"/>
    <n v="193000"/>
    <x v="2"/>
    <x v="2"/>
    <x v="1"/>
    <d v="2024-10-10T00:00:00"/>
    <n v="260900"/>
    <x v="0"/>
  </r>
  <r>
    <n v="100624"/>
    <n v="69"/>
    <n v="30900"/>
    <x v="1"/>
    <n v="0"/>
    <n v="0"/>
    <x v="5"/>
    <x v="1"/>
    <x v="1"/>
    <d v="2024-03-12T00:00:00"/>
    <n v="0"/>
    <x v="0"/>
  </r>
  <r>
    <n v="100625"/>
    <n v="51"/>
    <n v="115800"/>
    <x v="1"/>
    <n v="42600"/>
    <n v="217000"/>
    <x v="1"/>
    <x v="2"/>
    <x v="1"/>
    <d v="2026-07-23T00:00:00"/>
    <n v="259600"/>
    <x v="1"/>
  </r>
  <r>
    <n v="100626"/>
    <n v="48"/>
    <n v="77000"/>
    <x v="1"/>
    <n v="37900"/>
    <n v="197000"/>
    <x v="7"/>
    <x v="2"/>
    <x v="1"/>
    <d v="2026-08-13T00:00:00"/>
    <n v="234900"/>
    <x v="1"/>
  </r>
  <r>
    <n v="100627"/>
    <n v="22"/>
    <n v="72500"/>
    <x v="1"/>
    <n v="65400"/>
    <n v="0"/>
    <x v="7"/>
    <x v="1"/>
    <x v="1"/>
    <d v="2026-01-15T00:00:00"/>
    <n v="65400"/>
    <x v="1"/>
  </r>
  <r>
    <n v="100628"/>
    <n v="69"/>
    <n v="87000"/>
    <x v="1"/>
    <n v="27500"/>
    <n v="0"/>
    <x v="7"/>
    <x v="2"/>
    <x v="1"/>
    <d v="2025-01-02T00:00:00"/>
    <n v="27500"/>
    <x v="1"/>
  </r>
  <r>
    <n v="100629"/>
    <n v="41"/>
    <n v="74000"/>
    <x v="1"/>
    <n v="73800"/>
    <n v="215000"/>
    <x v="2"/>
    <x v="2"/>
    <x v="1"/>
    <d v="2026-02-23T00:00:00"/>
    <n v="288800"/>
    <x v="1"/>
  </r>
  <r>
    <n v="100630"/>
    <n v="38"/>
    <n v="71100"/>
    <x v="1"/>
    <n v="27500"/>
    <n v="255000"/>
    <x v="0"/>
    <x v="1"/>
    <x v="1"/>
    <d v="2024-03-27T00:00:00"/>
    <n v="282500"/>
    <x v="1"/>
  </r>
  <r>
    <n v="100631"/>
    <n v="60"/>
    <n v="55600"/>
    <x v="1"/>
    <n v="8000"/>
    <n v="0"/>
    <x v="3"/>
    <x v="1"/>
    <x v="1"/>
    <d v="2025-07-07T00:00:00"/>
    <n v="8000"/>
    <x v="0"/>
  </r>
  <r>
    <n v="100632"/>
    <n v="61"/>
    <n v="47400"/>
    <x v="0"/>
    <n v="0"/>
    <n v="0"/>
    <x v="6"/>
    <x v="2"/>
    <x v="1"/>
    <d v="2024-02-27T00:00:00"/>
    <n v="0"/>
    <x v="0"/>
  </r>
  <r>
    <n v="100633"/>
    <n v="41"/>
    <n v="84300"/>
    <x v="1"/>
    <n v="55000"/>
    <n v="0"/>
    <x v="7"/>
    <x v="0"/>
    <x v="1"/>
    <d v="2025-07-03T00:00:00"/>
    <n v="55000"/>
    <x v="1"/>
  </r>
  <r>
    <n v="100634"/>
    <n v="29"/>
    <n v="79500"/>
    <x v="1"/>
    <n v="49100"/>
    <n v="0"/>
    <x v="6"/>
    <x v="2"/>
    <x v="1"/>
    <d v="2024-02-16T00:00:00"/>
    <n v="49100"/>
    <x v="1"/>
  </r>
  <r>
    <n v="100635"/>
    <n v="35"/>
    <n v="75700"/>
    <x v="1"/>
    <n v="10400"/>
    <n v="0"/>
    <x v="0"/>
    <x v="2"/>
    <x v="1"/>
    <d v="2025-08-28T00:00:00"/>
    <n v="10400"/>
    <x v="1"/>
  </r>
  <r>
    <n v="100636"/>
    <n v="24"/>
    <n v="87600"/>
    <x v="1"/>
    <n v="54300"/>
    <n v="0"/>
    <x v="3"/>
    <x v="2"/>
    <x v="1"/>
    <d v="2026-01-25T00:00:00"/>
    <n v="54300"/>
    <x v="1"/>
  </r>
  <r>
    <n v="100637"/>
    <n v="63"/>
    <n v="53200"/>
    <x v="1"/>
    <n v="36400"/>
    <n v="0"/>
    <x v="3"/>
    <x v="0"/>
    <x v="1"/>
    <d v="2024-12-09T00:00:00"/>
    <n v="36400"/>
    <x v="0"/>
  </r>
  <r>
    <n v="100638"/>
    <n v="24"/>
    <n v="36000"/>
    <x v="1"/>
    <n v="45000"/>
    <n v="0"/>
    <x v="7"/>
    <x v="1"/>
    <x v="1"/>
    <d v="2024-05-16T00:00:00"/>
    <n v="45000"/>
    <x v="0"/>
  </r>
  <r>
    <n v="100639"/>
    <n v="26"/>
    <n v="84600"/>
    <x v="0"/>
    <n v="16900"/>
    <n v="0"/>
    <x v="0"/>
    <x v="2"/>
    <x v="1"/>
    <d v="2024-04-01T00:00:00"/>
    <n v="16900"/>
    <x v="1"/>
  </r>
  <r>
    <n v="100640"/>
    <n v="65"/>
    <n v="71400"/>
    <x v="2"/>
    <n v="55100"/>
    <n v="0"/>
    <x v="4"/>
    <x v="2"/>
    <x v="1"/>
    <d v="2025-06-19T00:00:00"/>
    <n v="55100"/>
    <x v="1"/>
  </r>
  <r>
    <n v="100641"/>
    <n v="48"/>
    <n v="53900"/>
    <x v="2"/>
    <n v="9300"/>
    <n v="208000"/>
    <x v="0"/>
    <x v="1"/>
    <x v="1"/>
    <d v="2024-12-22T00:00:00"/>
    <n v="217300"/>
    <x v="0"/>
  </r>
  <r>
    <n v="100642"/>
    <n v="46"/>
    <n v="21500"/>
    <x v="1"/>
    <n v="26900"/>
    <n v="180000"/>
    <x v="3"/>
    <x v="1"/>
    <x v="1"/>
    <d v="2024-08-01T00:00:00"/>
    <n v="206900"/>
    <x v="0"/>
  </r>
  <r>
    <n v="100643"/>
    <n v="37"/>
    <n v="29900"/>
    <x v="1"/>
    <n v="37400"/>
    <n v="0"/>
    <x v="7"/>
    <x v="1"/>
    <x v="1"/>
    <d v="2024-02-14T00:00:00"/>
    <n v="37400"/>
    <x v="0"/>
  </r>
  <r>
    <n v="100644"/>
    <n v="23"/>
    <n v="70800"/>
    <x v="1"/>
    <n v="25100"/>
    <n v="0"/>
    <x v="7"/>
    <x v="2"/>
    <x v="1"/>
    <d v="2026-08-05T00:00:00"/>
    <n v="25100"/>
    <x v="1"/>
  </r>
  <r>
    <n v="100645"/>
    <n v="54"/>
    <n v="39700"/>
    <x v="0"/>
    <n v="14800"/>
    <n v="0"/>
    <x v="7"/>
    <x v="0"/>
    <x v="1"/>
    <d v="2024-07-22T00:00:00"/>
    <n v="14800"/>
    <x v="0"/>
  </r>
  <r>
    <n v="100646"/>
    <n v="67"/>
    <n v="73600"/>
    <x v="1"/>
    <n v="0"/>
    <n v="0"/>
    <x v="0"/>
    <x v="2"/>
    <x v="1"/>
    <d v="2025-02-26T00:00:00"/>
    <n v="0"/>
    <x v="1"/>
  </r>
  <r>
    <n v="100647"/>
    <n v="75"/>
    <n v="41200"/>
    <x v="2"/>
    <n v="38700"/>
    <n v="195000"/>
    <x v="3"/>
    <x v="3"/>
    <x v="1"/>
    <d v="2025-01-31T00:00:00"/>
    <n v="233700"/>
    <x v="0"/>
  </r>
  <r>
    <n v="100648"/>
    <n v="43"/>
    <n v="37100"/>
    <x v="0"/>
    <n v="46400"/>
    <n v="0"/>
    <x v="4"/>
    <x v="2"/>
    <x v="1"/>
    <d v="2024-10-14T00:00:00"/>
    <n v="46400"/>
    <x v="0"/>
  </r>
  <r>
    <n v="100649"/>
    <n v="28"/>
    <n v="35300"/>
    <x v="1"/>
    <n v="44100"/>
    <n v="0"/>
    <x v="5"/>
    <x v="0"/>
    <x v="1"/>
    <d v="2025-10-15T00:00:00"/>
    <n v="44100"/>
    <x v="0"/>
  </r>
  <r>
    <n v="100650"/>
    <n v="59"/>
    <n v="99500"/>
    <x v="0"/>
    <n v="20100"/>
    <n v="0"/>
    <x v="7"/>
    <x v="0"/>
    <x v="1"/>
    <d v="2025-04-29T00:00:00"/>
    <n v="20100"/>
    <x v="1"/>
  </r>
  <r>
    <n v="100651"/>
    <n v="73"/>
    <n v="57200"/>
    <x v="1"/>
    <n v="61600"/>
    <n v="0"/>
    <x v="1"/>
    <x v="1"/>
    <x v="1"/>
    <d v="2025-08-28T00:00:00"/>
    <n v="61600"/>
    <x v="0"/>
  </r>
  <r>
    <n v="100652"/>
    <n v="29"/>
    <n v="100800"/>
    <x v="2"/>
    <n v="9900"/>
    <n v="0"/>
    <x v="6"/>
    <x v="2"/>
    <x v="1"/>
    <d v="2026-04-09T00:00:00"/>
    <n v="9900"/>
    <x v="1"/>
  </r>
  <r>
    <n v="100653"/>
    <n v="71"/>
    <n v="75300"/>
    <x v="1"/>
    <n v="12800"/>
    <n v="0"/>
    <x v="1"/>
    <x v="0"/>
    <x v="1"/>
    <d v="2024-10-29T00:00:00"/>
    <n v="12800"/>
    <x v="1"/>
  </r>
  <r>
    <n v="100654"/>
    <n v="35"/>
    <n v="71100"/>
    <x v="1"/>
    <n v="23600"/>
    <n v="0"/>
    <x v="6"/>
    <x v="3"/>
    <x v="1"/>
    <d v="2024-05-21T00:00:00"/>
    <n v="23600"/>
    <x v="1"/>
  </r>
  <r>
    <n v="100655"/>
    <n v="75"/>
    <n v="75900"/>
    <x v="1"/>
    <n v="0"/>
    <n v="0"/>
    <x v="6"/>
    <x v="0"/>
    <x v="1"/>
    <d v="2024-03-13T00:00:00"/>
    <n v="0"/>
    <x v="1"/>
  </r>
  <r>
    <n v="100656"/>
    <n v="44"/>
    <n v="97600"/>
    <x v="1"/>
    <n v="29700"/>
    <n v="350000"/>
    <x v="3"/>
    <x v="1"/>
    <x v="1"/>
    <d v="2026-06-20T00:00:00"/>
    <n v="379700"/>
    <x v="1"/>
  </r>
  <r>
    <n v="100657"/>
    <n v="41"/>
    <n v="79000"/>
    <x v="1"/>
    <n v="0"/>
    <n v="0"/>
    <x v="6"/>
    <x v="2"/>
    <x v="1"/>
    <d v="2025-01-09T00:00:00"/>
    <n v="0"/>
    <x v="1"/>
  </r>
  <r>
    <n v="100658"/>
    <n v="49"/>
    <n v="68700"/>
    <x v="1"/>
    <n v="37100"/>
    <n v="258000"/>
    <x v="3"/>
    <x v="2"/>
    <x v="1"/>
    <d v="2025-07-06T00:00:00"/>
    <n v="295100"/>
    <x v="0"/>
  </r>
  <r>
    <n v="100659"/>
    <n v="27"/>
    <n v="71200"/>
    <x v="0"/>
    <n v="0"/>
    <n v="0"/>
    <x v="3"/>
    <x v="0"/>
    <x v="1"/>
    <d v="2026-02-18T00:00:00"/>
    <n v="0"/>
    <x v="1"/>
  </r>
  <r>
    <n v="100660"/>
    <n v="34"/>
    <n v="48200"/>
    <x v="2"/>
    <n v="29500"/>
    <n v="182000"/>
    <x v="7"/>
    <x v="1"/>
    <x v="1"/>
    <d v="2024-05-05T00:00:00"/>
    <n v="211500"/>
    <x v="0"/>
  </r>
  <r>
    <n v="100661"/>
    <n v="50"/>
    <n v="76500"/>
    <x v="0"/>
    <n v="23000"/>
    <n v="0"/>
    <x v="0"/>
    <x v="2"/>
    <x v="1"/>
    <d v="2024-03-30T00:00:00"/>
    <n v="23000"/>
    <x v="1"/>
  </r>
  <r>
    <n v="100662"/>
    <n v="25"/>
    <n v="52500"/>
    <x v="1"/>
    <n v="0"/>
    <n v="141000"/>
    <x v="0"/>
    <x v="1"/>
    <x v="1"/>
    <d v="2025-05-23T00:00:00"/>
    <n v="141000"/>
    <x v="0"/>
  </r>
  <r>
    <n v="100663"/>
    <n v="29"/>
    <n v="94900"/>
    <x v="0"/>
    <n v="23100"/>
    <n v="0"/>
    <x v="4"/>
    <x v="2"/>
    <x v="1"/>
    <d v="2026-01-25T00:00:00"/>
    <n v="23100"/>
    <x v="1"/>
  </r>
  <r>
    <n v="100664"/>
    <n v="61"/>
    <n v="25600"/>
    <x v="1"/>
    <n v="32000"/>
    <n v="0"/>
    <x v="2"/>
    <x v="1"/>
    <x v="1"/>
    <d v="2025-10-23T00:00:00"/>
    <n v="32000"/>
    <x v="0"/>
  </r>
  <r>
    <n v="100665"/>
    <n v="70"/>
    <n v="48500"/>
    <x v="0"/>
    <n v="58400"/>
    <n v="0"/>
    <x v="5"/>
    <x v="1"/>
    <x v="1"/>
    <d v="2024-11-09T00:00:00"/>
    <n v="58400"/>
    <x v="0"/>
  </r>
  <r>
    <n v="100666"/>
    <n v="30"/>
    <n v="84400"/>
    <x v="1"/>
    <n v="22800"/>
    <n v="0"/>
    <x v="4"/>
    <x v="2"/>
    <x v="1"/>
    <d v="2024-06-19T00:00:00"/>
    <n v="22800"/>
    <x v="1"/>
  </r>
  <r>
    <n v="100667"/>
    <n v="59"/>
    <n v="102700"/>
    <x v="0"/>
    <n v="77000"/>
    <n v="0"/>
    <x v="4"/>
    <x v="2"/>
    <x v="1"/>
    <d v="2024-11-20T00:00:00"/>
    <n v="77000"/>
    <x v="1"/>
  </r>
  <r>
    <n v="100668"/>
    <n v="56"/>
    <n v="36400"/>
    <x v="1"/>
    <n v="37300"/>
    <n v="172000"/>
    <x v="2"/>
    <x v="2"/>
    <x v="1"/>
    <d v="2024-06-15T00:00:00"/>
    <n v="209300"/>
    <x v="0"/>
  </r>
  <r>
    <n v="100669"/>
    <n v="54"/>
    <n v="47000"/>
    <x v="2"/>
    <n v="33700"/>
    <n v="199000"/>
    <x v="2"/>
    <x v="2"/>
    <x v="1"/>
    <d v="2025-07-13T00:00:00"/>
    <n v="232700"/>
    <x v="0"/>
  </r>
  <r>
    <n v="100670"/>
    <n v="52"/>
    <n v="48800"/>
    <x v="0"/>
    <n v="22900"/>
    <n v="0"/>
    <x v="4"/>
    <x v="0"/>
    <x v="1"/>
    <d v="2026-08-02T00:00:00"/>
    <n v="22900"/>
    <x v="0"/>
  </r>
  <r>
    <n v="100671"/>
    <n v="48"/>
    <n v="49300"/>
    <x v="1"/>
    <n v="9500"/>
    <n v="0"/>
    <x v="0"/>
    <x v="1"/>
    <x v="1"/>
    <d v="2026-05-11T00:00:00"/>
    <n v="9500"/>
    <x v="0"/>
  </r>
  <r>
    <n v="100672"/>
    <n v="34"/>
    <n v="56100"/>
    <x v="1"/>
    <n v="42300"/>
    <n v="0"/>
    <x v="3"/>
    <x v="0"/>
    <x v="1"/>
    <d v="2024-07-19T00:00:00"/>
    <n v="42300"/>
    <x v="0"/>
  </r>
  <r>
    <n v="100673"/>
    <n v="21"/>
    <n v="33000"/>
    <x v="2"/>
    <n v="41200"/>
    <n v="0"/>
    <x v="1"/>
    <x v="1"/>
    <x v="1"/>
    <d v="2025-09-11T00:00:00"/>
    <n v="41200"/>
    <x v="0"/>
  </r>
  <r>
    <n v="100674"/>
    <n v="52"/>
    <n v="106400"/>
    <x v="2"/>
    <n v="16400"/>
    <n v="0"/>
    <x v="2"/>
    <x v="2"/>
    <x v="0"/>
    <d v="2024-12-19T00:00:00"/>
    <n v="16400"/>
    <x v="1"/>
  </r>
  <r>
    <n v="100675"/>
    <n v="42"/>
    <n v="47400"/>
    <x v="1"/>
    <n v="19500"/>
    <n v="0"/>
    <x v="1"/>
    <x v="0"/>
    <x v="1"/>
    <d v="2026-04-05T00:00:00"/>
    <n v="19500"/>
    <x v="0"/>
  </r>
  <r>
    <n v="100676"/>
    <n v="66"/>
    <n v="112900"/>
    <x v="1"/>
    <n v="0"/>
    <n v="227000"/>
    <x v="0"/>
    <x v="2"/>
    <x v="1"/>
    <d v="2024-11-06T00:00:00"/>
    <n v="227000"/>
    <x v="1"/>
  </r>
  <r>
    <n v="100677"/>
    <n v="50"/>
    <n v="119300"/>
    <x v="0"/>
    <n v="69400"/>
    <n v="0"/>
    <x v="1"/>
    <x v="2"/>
    <x v="1"/>
    <d v="2026-07-25T00:00:00"/>
    <n v="69400"/>
    <x v="1"/>
  </r>
  <r>
    <n v="100678"/>
    <n v="37"/>
    <n v="54000"/>
    <x v="0"/>
    <n v="50600"/>
    <n v="146000"/>
    <x v="1"/>
    <x v="2"/>
    <x v="1"/>
    <d v="2026-04-22T00:00:00"/>
    <n v="196600"/>
    <x v="0"/>
  </r>
  <r>
    <n v="100679"/>
    <n v="72"/>
    <n v="47100"/>
    <x v="0"/>
    <n v="49400"/>
    <n v="0"/>
    <x v="6"/>
    <x v="2"/>
    <x v="1"/>
    <d v="2025-10-17T00:00:00"/>
    <n v="49400"/>
    <x v="0"/>
  </r>
  <r>
    <n v="100680"/>
    <n v="73"/>
    <n v="70100"/>
    <x v="1"/>
    <n v="22800"/>
    <n v="328000"/>
    <x v="3"/>
    <x v="2"/>
    <x v="1"/>
    <d v="2025-05-19T00:00:00"/>
    <n v="350800"/>
    <x v="1"/>
  </r>
  <r>
    <n v="100681"/>
    <n v="24"/>
    <n v="67100"/>
    <x v="1"/>
    <n v="30200"/>
    <n v="0"/>
    <x v="7"/>
    <x v="3"/>
    <x v="1"/>
    <d v="2025-01-17T00:00:00"/>
    <n v="30200"/>
    <x v="0"/>
  </r>
  <r>
    <n v="100682"/>
    <n v="52"/>
    <n v="78700"/>
    <x v="1"/>
    <n v="38500"/>
    <n v="200000"/>
    <x v="4"/>
    <x v="2"/>
    <x v="1"/>
    <d v="2025-01-04T00:00:00"/>
    <n v="238500"/>
    <x v="1"/>
  </r>
  <r>
    <n v="100683"/>
    <n v="46"/>
    <n v="70100"/>
    <x v="2"/>
    <n v="23000"/>
    <n v="0"/>
    <x v="0"/>
    <x v="1"/>
    <x v="1"/>
    <d v="2024-07-06T00:00:00"/>
    <n v="23000"/>
    <x v="1"/>
  </r>
  <r>
    <n v="100684"/>
    <n v="68"/>
    <n v="33900"/>
    <x v="0"/>
    <n v="42400"/>
    <n v="0"/>
    <x v="5"/>
    <x v="1"/>
    <x v="1"/>
    <d v="2025-01-06T00:00:00"/>
    <n v="42400"/>
    <x v="0"/>
  </r>
  <r>
    <n v="100685"/>
    <n v="26"/>
    <n v="62300"/>
    <x v="1"/>
    <n v="15900"/>
    <n v="0"/>
    <x v="7"/>
    <x v="1"/>
    <x v="1"/>
    <d v="2024-06-15T00:00:00"/>
    <n v="15900"/>
    <x v="0"/>
  </r>
  <r>
    <n v="100686"/>
    <n v="26"/>
    <n v="42200"/>
    <x v="0"/>
    <n v="0"/>
    <n v="0"/>
    <x v="0"/>
    <x v="1"/>
    <x v="1"/>
    <d v="2026-07-27T00:00:00"/>
    <n v="0"/>
    <x v="0"/>
  </r>
  <r>
    <n v="100687"/>
    <n v="24"/>
    <n v="35700"/>
    <x v="1"/>
    <n v="25700"/>
    <n v="0"/>
    <x v="4"/>
    <x v="0"/>
    <x v="1"/>
    <d v="2025-09-03T00:00:00"/>
    <n v="25700"/>
    <x v="0"/>
  </r>
  <r>
    <n v="100688"/>
    <n v="53"/>
    <n v="81700"/>
    <x v="1"/>
    <n v="8400"/>
    <n v="0"/>
    <x v="3"/>
    <x v="2"/>
    <x v="1"/>
    <d v="2025-12-05T00:00:00"/>
    <n v="8400"/>
    <x v="1"/>
  </r>
  <r>
    <n v="100689"/>
    <n v="34"/>
    <n v="47400"/>
    <x v="1"/>
    <n v="0"/>
    <n v="0"/>
    <x v="0"/>
    <x v="2"/>
    <x v="1"/>
    <d v="2026-03-04T00:00:00"/>
    <n v="0"/>
    <x v="0"/>
  </r>
  <r>
    <n v="100690"/>
    <n v="50"/>
    <n v="81100"/>
    <x v="1"/>
    <n v="53800"/>
    <n v="0"/>
    <x v="6"/>
    <x v="2"/>
    <x v="1"/>
    <d v="2024-02-14T00:00:00"/>
    <n v="53800"/>
    <x v="1"/>
  </r>
  <r>
    <n v="100691"/>
    <n v="24"/>
    <n v="47000"/>
    <x v="1"/>
    <n v="15200"/>
    <n v="0"/>
    <x v="3"/>
    <x v="2"/>
    <x v="1"/>
    <d v="2024-04-02T00:00:00"/>
    <n v="15200"/>
    <x v="0"/>
  </r>
  <r>
    <n v="100692"/>
    <n v="29"/>
    <n v="91000"/>
    <x v="2"/>
    <n v="0"/>
    <n v="0"/>
    <x v="4"/>
    <x v="0"/>
    <x v="1"/>
    <d v="2026-03-10T00:00:00"/>
    <n v="0"/>
    <x v="1"/>
  </r>
  <r>
    <n v="100693"/>
    <n v="66"/>
    <n v="68200"/>
    <x v="0"/>
    <n v="56200"/>
    <n v="0"/>
    <x v="3"/>
    <x v="1"/>
    <x v="1"/>
    <d v="2024-06-24T00:00:00"/>
    <n v="56200"/>
    <x v="0"/>
  </r>
  <r>
    <n v="100694"/>
    <n v="68"/>
    <n v="62500"/>
    <x v="2"/>
    <n v="19400"/>
    <n v="0"/>
    <x v="7"/>
    <x v="1"/>
    <x v="1"/>
    <d v="2025-03-26T00:00:00"/>
    <n v="19400"/>
    <x v="0"/>
  </r>
  <r>
    <n v="100695"/>
    <n v="63"/>
    <n v="109600"/>
    <x v="1"/>
    <n v="27300"/>
    <n v="155000"/>
    <x v="0"/>
    <x v="1"/>
    <x v="1"/>
    <d v="2025-04-22T00:00:00"/>
    <n v="182300"/>
    <x v="1"/>
  </r>
  <r>
    <n v="100696"/>
    <n v="27"/>
    <n v="61200"/>
    <x v="1"/>
    <n v="22800"/>
    <n v="0"/>
    <x v="0"/>
    <x v="1"/>
    <x v="1"/>
    <d v="2024-10-17T00:00:00"/>
    <n v="22800"/>
    <x v="0"/>
  </r>
  <r>
    <n v="100697"/>
    <n v="49"/>
    <n v="67200"/>
    <x v="1"/>
    <n v="0"/>
    <n v="0"/>
    <x v="1"/>
    <x v="2"/>
    <x v="1"/>
    <d v="2026-05-25T00:00:00"/>
    <n v="0"/>
    <x v="0"/>
  </r>
  <r>
    <n v="100698"/>
    <n v="47"/>
    <n v="40500"/>
    <x v="1"/>
    <n v="0"/>
    <n v="0"/>
    <x v="2"/>
    <x v="1"/>
    <x v="1"/>
    <d v="2025-11-21T00:00:00"/>
    <n v="0"/>
    <x v="0"/>
  </r>
  <r>
    <n v="100699"/>
    <n v="51"/>
    <n v="73200"/>
    <x v="1"/>
    <n v="44700"/>
    <n v="187000"/>
    <x v="0"/>
    <x v="0"/>
    <x v="1"/>
    <d v="2024-06-21T00:00:00"/>
    <n v="231700"/>
    <x v="1"/>
  </r>
  <r>
    <n v="100700"/>
    <n v="24"/>
    <n v="50800"/>
    <x v="1"/>
    <n v="58600"/>
    <n v="0"/>
    <x v="3"/>
    <x v="0"/>
    <x v="1"/>
    <d v="2024-10-12T00:00:00"/>
    <n v="58600"/>
    <x v="0"/>
  </r>
  <r>
    <n v="100701"/>
    <n v="68"/>
    <n v="76900"/>
    <x v="0"/>
    <n v="53500"/>
    <n v="0"/>
    <x v="1"/>
    <x v="2"/>
    <x v="1"/>
    <d v="2026-08-30T00:00:00"/>
    <n v="53500"/>
    <x v="1"/>
  </r>
  <r>
    <n v="100702"/>
    <n v="45"/>
    <n v="118900"/>
    <x v="0"/>
    <n v="31200"/>
    <n v="206000"/>
    <x v="3"/>
    <x v="1"/>
    <x v="1"/>
    <d v="2024-04-11T00:00:00"/>
    <n v="237200"/>
    <x v="1"/>
  </r>
  <r>
    <n v="100703"/>
    <n v="67"/>
    <n v="29900"/>
    <x v="1"/>
    <n v="37400"/>
    <n v="0"/>
    <x v="2"/>
    <x v="1"/>
    <x v="1"/>
    <d v="2024-04-08T00:00:00"/>
    <n v="37400"/>
    <x v="0"/>
  </r>
  <r>
    <n v="100704"/>
    <n v="68"/>
    <n v="32300"/>
    <x v="0"/>
    <n v="0"/>
    <n v="0"/>
    <x v="3"/>
    <x v="1"/>
    <x v="1"/>
    <d v="2025-05-24T00:00:00"/>
    <n v="0"/>
    <x v="0"/>
  </r>
  <r>
    <n v="100705"/>
    <n v="51"/>
    <n v="60100"/>
    <x v="0"/>
    <n v="0"/>
    <n v="0"/>
    <x v="6"/>
    <x v="3"/>
    <x v="1"/>
    <d v="2024-02-02T00:00:00"/>
    <n v="0"/>
    <x v="0"/>
  </r>
  <r>
    <n v="100706"/>
    <n v="47"/>
    <n v="95600"/>
    <x v="1"/>
    <n v="59500"/>
    <n v="0"/>
    <x v="6"/>
    <x v="2"/>
    <x v="1"/>
    <d v="2026-05-31T00:00:00"/>
    <n v="59500"/>
    <x v="1"/>
  </r>
  <r>
    <n v="100707"/>
    <n v="69"/>
    <n v="47100"/>
    <x v="0"/>
    <n v="15800"/>
    <n v="0"/>
    <x v="7"/>
    <x v="0"/>
    <x v="1"/>
    <d v="2025-05-17T00:00:00"/>
    <n v="15800"/>
    <x v="0"/>
  </r>
  <r>
    <n v="100708"/>
    <n v="62"/>
    <n v="63700"/>
    <x v="0"/>
    <n v="37300"/>
    <n v="107000"/>
    <x v="5"/>
    <x v="1"/>
    <x v="1"/>
    <d v="2025-09-23T00:00:00"/>
    <n v="144300"/>
    <x v="0"/>
  </r>
  <r>
    <n v="100709"/>
    <n v="63"/>
    <n v="50100"/>
    <x v="2"/>
    <n v="8300"/>
    <n v="299000"/>
    <x v="2"/>
    <x v="0"/>
    <x v="1"/>
    <d v="2026-02-22T00:00:00"/>
    <n v="307300"/>
    <x v="0"/>
  </r>
  <r>
    <n v="100710"/>
    <n v="60"/>
    <n v="49400"/>
    <x v="1"/>
    <n v="26200"/>
    <n v="0"/>
    <x v="3"/>
    <x v="2"/>
    <x v="1"/>
    <d v="2025-08-29T00:00:00"/>
    <n v="26200"/>
    <x v="0"/>
  </r>
  <r>
    <n v="100711"/>
    <n v="25"/>
    <n v="100300"/>
    <x v="1"/>
    <n v="25200"/>
    <n v="174000"/>
    <x v="7"/>
    <x v="1"/>
    <x v="1"/>
    <d v="2025-06-11T00:00:00"/>
    <n v="199200"/>
    <x v="1"/>
  </r>
  <r>
    <n v="100712"/>
    <n v="46"/>
    <n v="45000"/>
    <x v="0"/>
    <n v="56200"/>
    <n v="0"/>
    <x v="1"/>
    <x v="1"/>
    <x v="1"/>
    <d v="2025-05-15T00:00:00"/>
    <n v="56200"/>
    <x v="0"/>
  </r>
  <r>
    <n v="100713"/>
    <n v="26"/>
    <n v="74800"/>
    <x v="1"/>
    <n v="55400"/>
    <n v="0"/>
    <x v="4"/>
    <x v="1"/>
    <x v="1"/>
    <d v="2025-03-22T00:00:00"/>
    <n v="55400"/>
    <x v="1"/>
  </r>
  <r>
    <n v="100714"/>
    <n v="32"/>
    <n v="59600"/>
    <x v="2"/>
    <n v="0"/>
    <n v="0"/>
    <x v="3"/>
    <x v="2"/>
    <x v="1"/>
    <d v="2024-02-18T00:00:00"/>
    <n v="0"/>
    <x v="0"/>
  </r>
  <r>
    <n v="100715"/>
    <n v="39"/>
    <n v="123900"/>
    <x v="1"/>
    <n v="49600"/>
    <n v="302000"/>
    <x v="0"/>
    <x v="1"/>
    <x v="1"/>
    <d v="2025-08-03T00:00:00"/>
    <n v="351600"/>
    <x v="1"/>
  </r>
  <r>
    <n v="100716"/>
    <n v="71"/>
    <n v="62000"/>
    <x v="1"/>
    <n v="12400"/>
    <n v="0"/>
    <x v="5"/>
    <x v="1"/>
    <x v="1"/>
    <d v="2024-07-23T00:00:00"/>
    <n v="12400"/>
    <x v="0"/>
  </r>
  <r>
    <n v="100717"/>
    <n v="46"/>
    <n v="53200"/>
    <x v="0"/>
    <n v="51300"/>
    <n v="87000"/>
    <x v="4"/>
    <x v="1"/>
    <x v="1"/>
    <d v="2026-04-23T00:00:00"/>
    <n v="138300"/>
    <x v="0"/>
  </r>
  <r>
    <n v="100718"/>
    <n v="67"/>
    <n v="105300"/>
    <x v="1"/>
    <n v="55200"/>
    <n v="0"/>
    <x v="1"/>
    <x v="0"/>
    <x v="1"/>
    <d v="2024-03-02T00:00:00"/>
    <n v="55200"/>
    <x v="1"/>
  </r>
  <r>
    <n v="100719"/>
    <n v="53"/>
    <n v="41200"/>
    <x v="1"/>
    <n v="49900"/>
    <n v="0"/>
    <x v="1"/>
    <x v="1"/>
    <x v="1"/>
    <d v="2026-07-22T00:00:00"/>
    <n v="49900"/>
    <x v="0"/>
  </r>
  <r>
    <n v="100720"/>
    <n v="24"/>
    <n v="69900"/>
    <x v="2"/>
    <n v="22800"/>
    <n v="252000"/>
    <x v="3"/>
    <x v="1"/>
    <x v="1"/>
    <d v="2024-07-15T00:00:00"/>
    <n v="274800"/>
    <x v="0"/>
  </r>
  <r>
    <n v="100721"/>
    <n v="21"/>
    <n v="43800"/>
    <x v="2"/>
    <n v="37200"/>
    <n v="0"/>
    <x v="6"/>
    <x v="1"/>
    <x v="1"/>
    <d v="2024-01-30T00:00:00"/>
    <n v="37200"/>
    <x v="0"/>
  </r>
  <r>
    <n v="100722"/>
    <n v="36"/>
    <n v="84500"/>
    <x v="1"/>
    <n v="42500"/>
    <n v="262000"/>
    <x v="6"/>
    <x v="2"/>
    <x v="1"/>
    <d v="2024-11-17T00:00:00"/>
    <n v="304500"/>
    <x v="1"/>
  </r>
  <r>
    <n v="100723"/>
    <n v="58"/>
    <n v="46800"/>
    <x v="1"/>
    <n v="0"/>
    <n v="0"/>
    <x v="0"/>
    <x v="1"/>
    <x v="1"/>
    <d v="2026-05-09T00:00:00"/>
    <n v="0"/>
    <x v="0"/>
  </r>
  <r>
    <n v="100724"/>
    <n v="66"/>
    <n v="90600"/>
    <x v="1"/>
    <n v="33700"/>
    <n v="246000"/>
    <x v="5"/>
    <x v="2"/>
    <x v="1"/>
    <d v="2025-09-06T00:00:00"/>
    <n v="279700"/>
    <x v="1"/>
  </r>
  <r>
    <n v="100725"/>
    <n v="27"/>
    <n v="82700"/>
    <x v="1"/>
    <n v="0"/>
    <n v="0"/>
    <x v="3"/>
    <x v="0"/>
    <x v="1"/>
    <d v="2024-08-11T00:00:00"/>
    <n v="0"/>
    <x v="1"/>
  </r>
  <r>
    <n v="100726"/>
    <n v="29"/>
    <n v="34900"/>
    <x v="1"/>
    <n v="28800"/>
    <n v="0"/>
    <x v="6"/>
    <x v="1"/>
    <x v="1"/>
    <d v="2026-08-29T00:00:00"/>
    <n v="28800"/>
    <x v="0"/>
  </r>
  <r>
    <n v="100727"/>
    <n v="27"/>
    <n v="47900"/>
    <x v="1"/>
    <n v="59900"/>
    <n v="0"/>
    <x v="4"/>
    <x v="1"/>
    <x v="1"/>
    <d v="2026-04-21T00:00:00"/>
    <n v="59900"/>
    <x v="0"/>
  </r>
  <r>
    <n v="100728"/>
    <n v="39"/>
    <n v="25500"/>
    <x v="2"/>
    <n v="31900"/>
    <n v="0"/>
    <x v="6"/>
    <x v="0"/>
    <x v="1"/>
    <d v="2024-09-02T00:00:00"/>
    <n v="31900"/>
    <x v="0"/>
  </r>
  <r>
    <n v="100729"/>
    <n v="36"/>
    <n v="63600"/>
    <x v="1"/>
    <n v="0"/>
    <n v="0"/>
    <x v="0"/>
    <x v="1"/>
    <x v="1"/>
    <d v="2024-08-30T00:00:00"/>
    <n v="0"/>
    <x v="0"/>
  </r>
  <r>
    <n v="100730"/>
    <n v="74"/>
    <n v="55900"/>
    <x v="1"/>
    <n v="0"/>
    <n v="0"/>
    <x v="5"/>
    <x v="1"/>
    <x v="1"/>
    <d v="2026-08-16T00:00:00"/>
    <n v="0"/>
    <x v="0"/>
  </r>
  <r>
    <n v="100731"/>
    <n v="72"/>
    <n v="81000"/>
    <x v="1"/>
    <n v="0"/>
    <n v="195000"/>
    <x v="2"/>
    <x v="0"/>
    <x v="1"/>
    <d v="2026-02-24T00:00:00"/>
    <n v="195000"/>
    <x v="1"/>
  </r>
  <r>
    <n v="100732"/>
    <n v="61"/>
    <n v="53500"/>
    <x v="1"/>
    <n v="0"/>
    <n v="0"/>
    <x v="7"/>
    <x v="1"/>
    <x v="1"/>
    <d v="2025-02-26T00:00:00"/>
    <n v="0"/>
    <x v="0"/>
  </r>
  <r>
    <n v="100733"/>
    <n v="73"/>
    <n v="48900"/>
    <x v="1"/>
    <n v="0"/>
    <n v="140000"/>
    <x v="5"/>
    <x v="1"/>
    <x v="1"/>
    <d v="2024-12-26T00:00:00"/>
    <n v="140000"/>
    <x v="0"/>
  </r>
  <r>
    <n v="100734"/>
    <n v="46"/>
    <n v="67400"/>
    <x v="0"/>
    <n v="0"/>
    <n v="0"/>
    <x v="6"/>
    <x v="0"/>
    <x v="1"/>
    <d v="2025-10-18T00:00:00"/>
    <n v="0"/>
    <x v="0"/>
  </r>
  <r>
    <n v="100735"/>
    <n v="61"/>
    <n v="40200"/>
    <x v="1"/>
    <n v="4100"/>
    <n v="0"/>
    <x v="5"/>
    <x v="1"/>
    <x v="1"/>
    <d v="2024-06-10T00:00:00"/>
    <n v="4100"/>
    <x v="0"/>
  </r>
  <r>
    <n v="100736"/>
    <n v="35"/>
    <n v="61000"/>
    <x v="2"/>
    <n v="0"/>
    <n v="0"/>
    <x v="1"/>
    <x v="0"/>
    <x v="1"/>
    <d v="2024-11-23T00:00:00"/>
    <n v="0"/>
    <x v="0"/>
  </r>
  <r>
    <n v="100737"/>
    <n v="48"/>
    <n v="58300"/>
    <x v="0"/>
    <n v="45500"/>
    <n v="0"/>
    <x v="5"/>
    <x v="2"/>
    <x v="1"/>
    <d v="2024-07-05T00:00:00"/>
    <n v="45500"/>
    <x v="0"/>
  </r>
  <r>
    <n v="100738"/>
    <n v="45"/>
    <n v="95100"/>
    <x v="2"/>
    <n v="0"/>
    <n v="352000"/>
    <x v="3"/>
    <x v="0"/>
    <x v="1"/>
    <d v="2025-04-18T00:00:00"/>
    <n v="352000"/>
    <x v="1"/>
  </r>
  <r>
    <n v="100739"/>
    <n v="32"/>
    <n v="44700"/>
    <x v="2"/>
    <n v="40800"/>
    <n v="0"/>
    <x v="4"/>
    <x v="2"/>
    <x v="1"/>
    <d v="2026-08-27T00:00:00"/>
    <n v="40800"/>
    <x v="0"/>
  </r>
  <r>
    <n v="100740"/>
    <n v="56"/>
    <n v="35800"/>
    <x v="0"/>
    <n v="44800"/>
    <n v="0"/>
    <x v="7"/>
    <x v="2"/>
    <x v="1"/>
    <d v="2024-07-14T00:00:00"/>
    <n v="44800"/>
    <x v="0"/>
  </r>
  <r>
    <n v="100741"/>
    <n v="75"/>
    <n v="87100"/>
    <x v="1"/>
    <n v="0"/>
    <n v="0"/>
    <x v="1"/>
    <x v="0"/>
    <x v="1"/>
    <d v="2025-09-06T00:00:00"/>
    <n v="0"/>
    <x v="1"/>
  </r>
  <r>
    <n v="100742"/>
    <n v="33"/>
    <n v="123100"/>
    <x v="1"/>
    <n v="29300"/>
    <n v="0"/>
    <x v="4"/>
    <x v="2"/>
    <x v="1"/>
    <d v="2024-08-29T00:00:00"/>
    <n v="29300"/>
    <x v="1"/>
  </r>
  <r>
    <n v="100743"/>
    <n v="59"/>
    <n v="56400"/>
    <x v="1"/>
    <n v="42700"/>
    <n v="201000"/>
    <x v="2"/>
    <x v="3"/>
    <x v="1"/>
    <d v="2024-08-05T00:00:00"/>
    <n v="243700"/>
    <x v="0"/>
  </r>
  <r>
    <n v="100744"/>
    <n v="65"/>
    <n v="52000"/>
    <x v="1"/>
    <n v="12100"/>
    <n v="0"/>
    <x v="6"/>
    <x v="1"/>
    <x v="1"/>
    <d v="2026-07-19T00:00:00"/>
    <n v="12100"/>
    <x v="0"/>
  </r>
  <r>
    <n v="100745"/>
    <n v="42"/>
    <n v="124300"/>
    <x v="2"/>
    <n v="0"/>
    <n v="0"/>
    <x v="6"/>
    <x v="2"/>
    <x v="1"/>
    <d v="2025-05-31T00:00:00"/>
    <n v="0"/>
    <x v="1"/>
  </r>
  <r>
    <n v="100746"/>
    <n v="59"/>
    <n v="51900"/>
    <x v="2"/>
    <n v="15600"/>
    <n v="0"/>
    <x v="6"/>
    <x v="1"/>
    <x v="1"/>
    <d v="2025-05-30T00:00:00"/>
    <n v="15600"/>
    <x v="0"/>
  </r>
  <r>
    <n v="100747"/>
    <n v="51"/>
    <n v="103800"/>
    <x v="2"/>
    <n v="24200"/>
    <n v="0"/>
    <x v="4"/>
    <x v="2"/>
    <x v="1"/>
    <d v="2024-05-10T00:00:00"/>
    <n v="24200"/>
    <x v="1"/>
  </r>
  <r>
    <n v="100748"/>
    <n v="51"/>
    <n v="94400"/>
    <x v="2"/>
    <n v="0"/>
    <n v="0"/>
    <x v="5"/>
    <x v="0"/>
    <x v="1"/>
    <d v="2024-09-26T00:00:00"/>
    <n v="0"/>
    <x v="1"/>
  </r>
  <r>
    <n v="100749"/>
    <n v="59"/>
    <n v="89000"/>
    <x v="2"/>
    <n v="30200"/>
    <n v="266000"/>
    <x v="7"/>
    <x v="1"/>
    <x v="1"/>
    <d v="2026-05-23T00:00:00"/>
    <n v="296200"/>
    <x v="1"/>
  </r>
  <r>
    <n v="100750"/>
    <n v="62"/>
    <n v="70200"/>
    <x v="1"/>
    <n v="10800"/>
    <n v="202000"/>
    <x v="4"/>
    <x v="1"/>
    <x v="1"/>
    <d v="2026-07-05T00:00:00"/>
    <n v="212800"/>
    <x v="1"/>
  </r>
  <r>
    <n v="100751"/>
    <n v="51"/>
    <n v="28500"/>
    <x v="1"/>
    <n v="32900"/>
    <n v="0"/>
    <x v="4"/>
    <x v="2"/>
    <x v="1"/>
    <d v="2026-06-08T00:00:00"/>
    <n v="32900"/>
    <x v="0"/>
  </r>
  <r>
    <n v="100752"/>
    <n v="38"/>
    <n v="40000"/>
    <x v="1"/>
    <n v="22100"/>
    <n v="0"/>
    <x v="3"/>
    <x v="0"/>
    <x v="1"/>
    <d v="2025-06-22T00:00:00"/>
    <n v="22100"/>
    <x v="0"/>
  </r>
  <r>
    <n v="100753"/>
    <n v="69"/>
    <n v="65000"/>
    <x v="1"/>
    <n v="51700"/>
    <n v="0"/>
    <x v="2"/>
    <x v="2"/>
    <x v="1"/>
    <d v="2025-11-27T00:00:00"/>
    <n v="51700"/>
    <x v="0"/>
  </r>
  <r>
    <n v="100754"/>
    <n v="27"/>
    <n v="52700"/>
    <x v="0"/>
    <n v="0"/>
    <n v="0"/>
    <x v="4"/>
    <x v="2"/>
    <x v="1"/>
    <d v="2025-04-16T00:00:00"/>
    <n v="0"/>
    <x v="0"/>
  </r>
  <r>
    <n v="100755"/>
    <n v="73"/>
    <n v="76300"/>
    <x v="1"/>
    <n v="22000"/>
    <n v="0"/>
    <x v="2"/>
    <x v="3"/>
    <x v="1"/>
    <d v="2026-08-31T00:00:00"/>
    <n v="22000"/>
    <x v="1"/>
  </r>
  <r>
    <n v="100756"/>
    <n v="48"/>
    <n v="48400"/>
    <x v="0"/>
    <n v="0"/>
    <n v="0"/>
    <x v="4"/>
    <x v="2"/>
    <x v="1"/>
    <d v="2024-02-19T00:00:00"/>
    <n v="0"/>
    <x v="0"/>
  </r>
  <r>
    <n v="100757"/>
    <n v="71"/>
    <n v="70700"/>
    <x v="1"/>
    <n v="12000"/>
    <n v="0"/>
    <x v="1"/>
    <x v="2"/>
    <x v="1"/>
    <d v="2024-09-02T00:00:00"/>
    <n v="12000"/>
    <x v="1"/>
  </r>
  <r>
    <n v="100758"/>
    <n v="69"/>
    <n v="93600"/>
    <x v="1"/>
    <n v="0"/>
    <n v="279000"/>
    <x v="5"/>
    <x v="1"/>
    <x v="1"/>
    <d v="2025-10-31T00:00:00"/>
    <n v="279000"/>
    <x v="1"/>
  </r>
  <r>
    <n v="100759"/>
    <n v="29"/>
    <n v="36000"/>
    <x v="1"/>
    <n v="45000"/>
    <n v="0"/>
    <x v="4"/>
    <x v="1"/>
    <x v="1"/>
    <d v="2025-01-11T00:00:00"/>
    <n v="45000"/>
    <x v="0"/>
  </r>
  <r>
    <n v="100760"/>
    <n v="52"/>
    <n v="41200"/>
    <x v="1"/>
    <n v="21900"/>
    <n v="0"/>
    <x v="0"/>
    <x v="0"/>
    <x v="1"/>
    <d v="2025-09-20T00:00:00"/>
    <n v="21900"/>
    <x v="0"/>
  </r>
  <r>
    <n v="100761"/>
    <n v="31"/>
    <n v="55300"/>
    <x v="1"/>
    <n v="25400"/>
    <n v="0"/>
    <x v="3"/>
    <x v="1"/>
    <x v="1"/>
    <d v="2026-08-11T00:00:00"/>
    <n v="25400"/>
    <x v="0"/>
  </r>
  <r>
    <n v="100762"/>
    <n v="51"/>
    <n v="61700"/>
    <x v="0"/>
    <n v="32000"/>
    <n v="286000"/>
    <x v="5"/>
    <x v="2"/>
    <x v="1"/>
    <d v="2026-07-13T00:00:00"/>
    <n v="318000"/>
    <x v="0"/>
  </r>
  <r>
    <n v="100763"/>
    <n v="39"/>
    <n v="90500"/>
    <x v="0"/>
    <n v="10200"/>
    <n v="102000"/>
    <x v="0"/>
    <x v="1"/>
    <x v="1"/>
    <d v="2025-04-20T00:00:00"/>
    <n v="112200"/>
    <x v="1"/>
  </r>
  <r>
    <n v="100764"/>
    <n v="62"/>
    <n v="77500"/>
    <x v="0"/>
    <n v="38800"/>
    <n v="0"/>
    <x v="6"/>
    <x v="2"/>
    <x v="1"/>
    <d v="2024-07-02T00:00:00"/>
    <n v="38800"/>
    <x v="1"/>
  </r>
  <r>
    <n v="100765"/>
    <n v="70"/>
    <n v="40100"/>
    <x v="1"/>
    <n v="50100"/>
    <n v="0"/>
    <x v="7"/>
    <x v="0"/>
    <x v="1"/>
    <d v="2026-04-07T00:00:00"/>
    <n v="50100"/>
    <x v="0"/>
  </r>
  <r>
    <n v="100766"/>
    <n v="36"/>
    <n v="49400"/>
    <x v="2"/>
    <n v="0"/>
    <n v="116000"/>
    <x v="5"/>
    <x v="0"/>
    <x v="1"/>
    <d v="2024-04-18T00:00:00"/>
    <n v="116000"/>
    <x v="0"/>
  </r>
  <r>
    <n v="100767"/>
    <n v="47"/>
    <n v="62300"/>
    <x v="1"/>
    <n v="17600"/>
    <n v="0"/>
    <x v="1"/>
    <x v="0"/>
    <x v="1"/>
    <d v="2025-09-08T00:00:00"/>
    <n v="17600"/>
    <x v="0"/>
  </r>
  <r>
    <n v="100768"/>
    <n v="66"/>
    <n v="58900"/>
    <x v="0"/>
    <n v="0"/>
    <n v="0"/>
    <x v="1"/>
    <x v="0"/>
    <x v="1"/>
    <d v="2024-03-30T00:00:00"/>
    <n v="0"/>
    <x v="0"/>
  </r>
  <r>
    <n v="100769"/>
    <n v="28"/>
    <n v="37100"/>
    <x v="1"/>
    <n v="0"/>
    <n v="0"/>
    <x v="3"/>
    <x v="0"/>
    <x v="1"/>
    <d v="2024-08-02T00:00:00"/>
    <n v="0"/>
    <x v="0"/>
  </r>
  <r>
    <n v="100770"/>
    <n v="50"/>
    <n v="71200"/>
    <x v="0"/>
    <n v="41300"/>
    <n v="0"/>
    <x v="3"/>
    <x v="2"/>
    <x v="1"/>
    <d v="2024-05-31T00:00:00"/>
    <n v="41300"/>
    <x v="1"/>
  </r>
  <r>
    <n v="100771"/>
    <n v="50"/>
    <n v="54500"/>
    <x v="1"/>
    <n v="0"/>
    <n v="0"/>
    <x v="7"/>
    <x v="3"/>
    <x v="1"/>
    <d v="2025-04-27T00:00:00"/>
    <n v="0"/>
    <x v="0"/>
  </r>
  <r>
    <n v="100772"/>
    <n v="21"/>
    <n v="92800"/>
    <x v="0"/>
    <n v="37800"/>
    <n v="0"/>
    <x v="6"/>
    <x v="2"/>
    <x v="1"/>
    <d v="2026-05-17T00:00:00"/>
    <n v="37800"/>
    <x v="1"/>
  </r>
  <r>
    <n v="100773"/>
    <n v="65"/>
    <n v="55200"/>
    <x v="1"/>
    <n v="38300"/>
    <n v="0"/>
    <x v="5"/>
    <x v="2"/>
    <x v="1"/>
    <d v="2025-06-09T00:00:00"/>
    <n v="38300"/>
    <x v="0"/>
  </r>
  <r>
    <n v="100774"/>
    <n v="57"/>
    <n v="77900"/>
    <x v="2"/>
    <n v="0"/>
    <n v="0"/>
    <x v="3"/>
    <x v="1"/>
    <x v="1"/>
    <d v="2025-06-24T00:00:00"/>
    <n v="0"/>
    <x v="1"/>
  </r>
  <r>
    <n v="100775"/>
    <n v="21"/>
    <n v="54500"/>
    <x v="1"/>
    <n v="63900"/>
    <n v="0"/>
    <x v="7"/>
    <x v="2"/>
    <x v="1"/>
    <d v="2025-10-23T00:00:00"/>
    <n v="63900"/>
    <x v="0"/>
  </r>
  <r>
    <n v="100776"/>
    <n v="42"/>
    <n v="56300"/>
    <x v="1"/>
    <n v="48300"/>
    <n v="0"/>
    <x v="7"/>
    <x v="2"/>
    <x v="1"/>
    <d v="2026-07-19T00:00:00"/>
    <n v="48300"/>
    <x v="0"/>
  </r>
  <r>
    <n v="100777"/>
    <n v="63"/>
    <n v="49300"/>
    <x v="0"/>
    <n v="0"/>
    <n v="0"/>
    <x v="4"/>
    <x v="0"/>
    <x v="1"/>
    <d v="2026-01-10T00:00:00"/>
    <n v="0"/>
    <x v="0"/>
  </r>
  <r>
    <n v="100778"/>
    <n v="65"/>
    <n v="52500"/>
    <x v="1"/>
    <n v="0"/>
    <n v="0"/>
    <x v="2"/>
    <x v="0"/>
    <x v="1"/>
    <d v="2026-03-29T00:00:00"/>
    <n v="0"/>
    <x v="0"/>
  </r>
  <r>
    <n v="100779"/>
    <n v="74"/>
    <n v="38900"/>
    <x v="1"/>
    <n v="13000"/>
    <n v="0"/>
    <x v="4"/>
    <x v="1"/>
    <x v="1"/>
    <d v="2024-04-13T00:00:00"/>
    <n v="13000"/>
    <x v="0"/>
  </r>
  <r>
    <n v="100780"/>
    <n v="70"/>
    <n v="54100"/>
    <x v="2"/>
    <n v="19200"/>
    <n v="87000"/>
    <x v="5"/>
    <x v="1"/>
    <x v="1"/>
    <d v="2026-04-27T00:00:00"/>
    <n v="106200"/>
    <x v="0"/>
  </r>
  <r>
    <n v="100781"/>
    <n v="75"/>
    <n v="97700"/>
    <x v="1"/>
    <n v="29900"/>
    <n v="0"/>
    <x v="0"/>
    <x v="1"/>
    <x v="1"/>
    <d v="2024-12-14T00:00:00"/>
    <n v="29900"/>
    <x v="1"/>
  </r>
  <r>
    <n v="100782"/>
    <n v="70"/>
    <n v="50300"/>
    <x v="1"/>
    <n v="0"/>
    <n v="0"/>
    <x v="4"/>
    <x v="0"/>
    <x v="1"/>
    <d v="2026-06-13T00:00:00"/>
    <n v="0"/>
    <x v="0"/>
  </r>
  <r>
    <n v="100783"/>
    <n v="52"/>
    <n v="67500"/>
    <x v="1"/>
    <n v="71500"/>
    <n v="0"/>
    <x v="0"/>
    <x v="3"/>
    <x v="1"/>
    <d v="2025-09-16T00:00:00"/>
    <n v="71500"/>
    <x v="0"/>
  </r>
  <r>
    <n v="100784"/>
    <n v="70"/>
    <n v="92600"/>
    <x v="1"/>
    <n v="34100"/>
    <n v="128000"/>
    <x v="3"/>
    <x v="0"/>
    <x v="1"/>
    <d v="2024-10-26T00:00:00"/>
    <n v="162100"/>
    <x v="1"/>
  </r>
  <r>
    <n v="100785"/>
    <n v="65"/>
    <n v="55800"/>
    <x v="0"/>
    <n v="0"/>
    <n v="242000"/>
    <x v="2"/>
    <x v="0"/>
    <x v="1"/>
    <d v="2024-05-05T00:00:00"/>
    <n v="242000"/>
    <x v="0"/>
  </r>
  <r>
    <n v="100786"/>
    <n v="74"/>
    <n v="41300"/>
    <x v="2"/>
    <n v="0"/>
    <n v="298000"/>
    <x v="7"/>
    <x v="1"/>
    <x v="1"/>
    <d v="2025-06-01T00:00:00"/>
    <n v="298000"/>
    <x v="0"/>
  </r>
  <r>
    <n v="100787"/>
    <n v="30"/>
    <n v="33100"/>
    <x v="1"/>
    <n v="0"/>
    <n v="0"/>
    <x v="3"/>
    <x v="1"/>
    <x v="1"/>
    <d v="2026-02-10T00:00:00"/>
    <n v="0"/>
    <x v="0"/>
  </r>
  <r>
    <n v="100788"/>
    <n v="53"/>
    <n v="54500"/>
    <x v="1"/>
    <n v="0"/>
    <n v="0"/>
    <x v="1"/>
    <x v="0"/>
    <x v="1"/>
    <d v="2026-05-22T00:00:00"/>
    <n v="0"/>
    <x v="0"/>
  </r>
  <r>
    <n v="100789"/>
    <n v="53"/>
    <n v="85000"/>
    <x v="1"/>
    <n v="16300"/>
    <n v="288000"/>
    <x v="0"/>
    <x v="2"/>
    <x v="1"/>
    <d v="2026-03-01T00:00:00"/>
    <n v="304300"/>
    <x v="1"/>
  </r>
  <r>
    <n v="100790"/>
    <n v="30"/>
    <n v="55300"/>
    <x v="1"/>
    <n v="67800"/>
    <n v="224000"/>
    <x v="5"/>
    <x v="1"/>
    <x v="1"/>
    <d v="2025-12-18T00:00:00"/>
    <n v="291800"/>
    <x v="0"/>
  </r>
  <r>
    <n v="100791"/>
    <n v="55"/>
    <n v="94700"/>
    <x v="0"/>
    <n v="25500"/>
    <n v="0"/>
    <x v="4"/>
    <x v="1"/>
    <x v="1"/>
    <d v="2024-07-29T00:00:00"/>
    <n v="25500"/>
    <x v="1"/>
  </r>
  <r>
    <n v="100792"/>
    <n v="54"/>
    <n v="69200"/>
    <x v="0"/>
    <n v="25600"/>
    <n v="0"/>
    <x v="1"/>
    <x v="0"/>
    <x v="1"/>
    <d v="2024-03-27T00:00:00"/>
    <n v="25600"/>
    <x v="0"/>
  </r>
  <r>
    <n v="100793"/>
    <n v="22"/>
    <n v="62500"/>
    <x v="1"/>
    <n v="62400"/>
    <n v="0"/>
    <x v="5"/>
    <x v="2"/>
    <x v="1"/>
    <d v="2024-11-15T00:00:00"/>
    <n v="62400"/>
    <x v="0"/>
  </r>
  <r>
    <n v="100794"/>
    <n v="53"/>
    <n v="49400"/>
    <x v="0"/>
    <n v="61800"/>
    <n v="0"/>
    <x v="5"/>
    <x v="2"/>
    <x v="1"/>
    <d v="2026-01-13T00:00:00"/>
    <n v="61800"/>
    <x v="0"/>
  </r>
  <r>
    <n v="100795"/>
    <n v="47"/>
    <n v="118700"/>
    <x v="1"/>
    <n v="27000"/>
    <n v="0"/>
    <x v="2"/>
    <x v="2"/>
    <x v="1"/>
    <d v="2026-08-21T00:00:00"/>
    <n v="27000"/>
    <x v="1"/>
  </r>
  <r>
    <n v="100796"/>
    <n v="27"/>
    <n v="56300"/>
    <x v="0"/>
    <n v="25300"/>
    <n v="0"/>
    <x v="3"/>
    <x v="1"/>
    <x v="1"/>
    <d v="2026-03-14T00:00:00"/>
    <n v="25300"/>
    <x v="0"/>
  </r>
  <r>
    <n v="100797"/>
    <n v="72"/>
    <n v="77000"/>
    <x v="0"/>
    <n v="34800"/>
    <n v="0"/>
    <x v="2"/>
    <x v="1"/>
    <x v="1"/>
    <d v="2026-03-08T00:00:00"/>
    <n v="34800"/>
    <x v="1"/>
  </r>
  <r>
    <n v="100798"/>
    <n v="43"/>
    <n v="56700"/>
    <x v="1"/>
    <n v="29000"/>
    <n v="192000"/>
    <x v="4"/>
    <x v="1"/>
    <x v="1"/>
    <d v="2025-01-13T00:00:00"/>
    <n v="221000"/>
    <x v="0"/>
  </r>
  <r>
    <n v="100799"/>
    <n v="63"/>
    <n v="61700"/>
    <x v="0"/>
    <n v="28100"/>
    <n v="0"/>
    <x v="7"/>
    <x v="1"/>
    <x v="1"/>
    <d v="2025-12-06T00:00:00"/>
    <n v="28100"/>
    <x v="0"/>
  </r>
  <r>
    <n v="100800"/>
    <n v="51"/>
    <n v="78600"/>
    <x v="1"/>
    <n v="34000"/>
    <n v="0"/>
    <x v="7"/>
    <x v="2"/>
    <x v="1"/>
    <d v="2026-06-02T00:00:00"/>
    <n v="34000"/>
    <x v="1"/>
  </r>
  <r>
    <n v="100801"/>
    <n v="53"/>
    <n v="35800"/>
    <x v="1"/>
    <n v="44800"/>
    <n v="0"/>
    <x v="2"/>
    <x v="3"/>
    <x v="0"/>
    <d v="2026-05-22T00:00:00"/>
    <n v="44800"/>
    <x v="0"/>
  </r>
  <r>
    <n v="100802"/>
    <n v="46"/>
    <n v="35200"/>
    <x v="1"/>
    <n v="35000"/>
    <n v="170000"/>
    <x v="2"/>
    <x v="1"/>
    <x v="1"/>
    <d v="2026-03-21T00:00:00"/>
    <n v="205000"/>
    <x v="0"/>
  </r>
  <r>
    <n v="100803"/>
    <n v="29"/>
    <n v="37500"/>
    <x v="0"/>
    <n v="46900"/>
    <n v="0"/>
    <x v="3"/>
    <x v="1"/>
    <x v="1"/>
    <d v="2024-01-03T00:00:00"/>
    <n v="46900"/>
    <x v="0"/>
  </r>
  <r>
    <n v="100804"/>
    <n v="27"/>
    <n v="63200"/>
    <x v="1"/>
    <n v="32700"/>
    <n v="0"/>
    <x v="7"/>
    <x v="0"/>
    <x v="1"/>
    <d v="2025-05-01T00:00:00"/>
    <n v="32700"/>
    <x v="0"/>
  </r>
  <r>
    <n v="100805"/>
    <n v="73"/>
    <n v="77500"/>
    <x v="0"/>
    <n v="0"/>
    <n v="0"/>
    <x v="7"/>
    <x v="1"/>
    <x v="1"/>
    <d v="2025-11-14T00:00:00"/>
    <n v="0"/>
    <x v="1"/>
  </r>
  <r>
    <n v="100806"/>
    <n v="48"/>
    <n v="38000"/>
    <x v="0"/>
    <n v="41200"/>
    <n v="0"/>
    <x v="1"/>
    <x v="1"/>
    <x v="1"/>
    <d v="2025-07-07T00:00:00"/>
    <n v="41200"/>
    <x v="0"/>
  </r>
  <r>
    <n v="100807"/>
    <n v="22"/>
    <n v="109700"/>
    <x v="2"/>
    <n v="0"/>
    <n v="0"/>
    <x v="4"/>
    <x v="1"/>
    <x v="1"/>
    <d v="2025-08-08T00:00:00"/>
    <n v="0"/>
    <x v="1"/>
  </r>
  <r>
    <n v="100808"/>
    <n v="60"/>
    <n v="85200"/>
    <x v="0"/>
    <n v="15200"/>
    <n v="0"/>
    <x v="3"/>
    <x v="0"/>
    <x v="1"/>
    <d v="2026-02-14T00:00:00"/>
    <n v="15200"/>
    <x v="1"/>
  </r>
  <r>
    <n v="100809"/>
    <n v="23"/>
    <n v="109500"/>
    <x v="0"/>
    <n v="0"/>
    <n v="0"/>
    <x v="6"/>
    <x v="2"/>
    <x v="1"/>
    <d v="2026-08-16T00:00:00"/>
    <n v="0"/>
    <x v="1"/>
  </r>
  <r>
    <n v="100810"/>
    <n v="54"/>
    <n v="40000"/>
    <x v="1"/>
    <n v="0"/>
    <n v="0"/>
    <x v="7"/>
    <x v="2"/>
    <x v="1"/>
    <d v="2025-06-30T00:00:00"/>
    <n v="0"/>
    <x v="0"/>
  </r>
  <r>
    <n v="100811"/>
    <n v="58"/>
    <n v="48200"/>
    <x v="0"/>
    <n v="60200"/>
    <n v="0"/>
    <x v="4"/>
    <x v="1"/>
    <x v="1"/>
    <d v="2024-11-20T00:00:00"/>
    <n v="60200"/>
    <x v="0"/>
  </r>
  <r>
    <n v="100812"/>
    <n v="44"/>
    <n v="44400"/>
    <x v="1"/>
    <n v="17400"/>
    <n v="161000"/>
    <x v="0"/>
    <x v="1"/>
    <x v="1"/>
    <d v="2025-11-25T00:00:00"/>
    <n v="178400"/>
    <x v="0"/>
  </r>
  <r>
    <n v="100813"/>
    <n v="30"/>
    <n v="30600"/>
    <x v="2"/>
    <n v="38200"/>
    <n v="0"/>
    <x v="0"/>
    <x v="1"/>
    <x v="1"/>
    <d v="2024-11-27T00:00:00"/>
    <n v="38200"/>
    <x v="0"/>
  </r>
  <r>
    <n v="100814"/>
    <n v="36"/>
    <n v="51500"/>
    <x v="2"/>
    <n v="18900"/>
    <n v="0"/>
    <x v="3"/>
    <x v="1"/>
    <x v="1"/>
    <d v="2025-01-29T00:00:00"/>
    <n v="18900"/>
    <x v="0"/>
  </r>
  <r>
    <n v="100815"/>
    <n v="27"/>
    <n v="45100"/>
    <x v="1"/>
    <n v="11600"/>
    <n v="238000"/>
    <x v="6"/>
    <x v="2"/>
    <x v="1"/>
    <d v="2025-11-22T00:00:00"/>
    <n v="249600"/>
    <x v="0"/>
  </r>
  <r>
    <n v="100816"/>
    <n v="26"/>
    <n v="43800"/>
    <x v="0"/>
    <n v="0"/>
    <n v="0"/>
    <x v="1"/>
    <x v="1"/>
    <x v="1"/>
    <d v="2026-05-16T00:00:00"/>
    <n v="0"/>
    <x v="0"/>
  </r>
  <r>
    <n v="100817"/>
    <n v="60"/>
    <n v="59800"/>
    <x v="0"/>
    <n v="36000"/>
    <n v="159000"/>
    <x v="1"/>
    <x v="3"/>
    <x v="1"/>
    <d v="2024-02-12T00:00:00"/>
    <n v="195000"/>
    <x v="0"/>
  </r>
  <r>
    <n v="100818"/>
    <n v="20"/>
    <n v="87000"/>
    <x v="2"/>
    <n v="43100"/>
    <n v="109000"/>
    <x v="7"/>
    <x v="2"/>
    <x v="1"/>
    <d v="2025-11-27T00:00:00"/>
    <n v="152100"/>
    <x v="1"/>
  </r>
  <r>
    <n v="100819"/>
    <n v="44"/>
    <n v="127300"/>
    <x v="2"/>
    <n v="58200"/>
    <n v="0"/>
    <x v="4"/>
    <x v="1"/>
    <x v="1"/>
    <d v="2024-11-03T00:00:00"/>
    <n v="58200"/>
    <x v="1"/>
  </r>
  <r>
    <n v="100820"/>
    <n v="25"/>
    <n v="52800"/>
    <x v="1"/>
    <n v="37000"/>
    <n v="0"/>
    <x v="1"/>
    <x v="2"/>
    <x v="1"/>
    <d v="2026-04-01T00:00:00"/>
    <n v="37000"/>
    <x v="0"/>
  </r>
  <r>
    <n v="100821"/>
    <n v="40"/>
    <n v="96200"/>
    <x v="2"/>
    <n v="78600"/>
    <n v="0"/>
    <x v="5"/>
    <x v="2"/>
    <x v="1"/>
    <d v="2024-12-15T00:00:00"/>
    <n v="78600"/>
    <x v="1"/>
  </r>
  <r>
    <n v="100822"/>
    <n v="33"/>
    <n v="57000"/>
    <x v="0"/>
    <n v="45800"/>
    <n v="0"/>
    <x v="6"/>
    <x v="1"/>
    <x v="0"/>
    <d v="2024-01-10T00:00:00"/>
    <n v="45800"/>
    <x v="0"/>
  </r>
  <r>
    <n v="100823"/>
    <n v="63"/>
    <n v="39600"/>
    <x v="0"/>
    <n v="33100"/>
    <n v="0"/>
    <x v="0"/>
    <x v="0"/>
    <x v="1"/>
    <d v="2024-03-20T00:00:00"/>
    <n v="33100"/>
    <x v="0"/>
  </r>
  <r>
    <n v="100824"/>
    <n v="54"/>
    <n v="27100"/>
    <x v="2"/>
    <n v="33900"/>
    <n v="0"/>
    <x v="1"/>
    <x v="0"/>
    <x v="1"/>
    <d v="2024-06-30T00:00:00"/>
    <n v="33900"/>
    <x v="0"/>
  </r>
  <r>
    <n v="100825"/>
    <n v="73"/>
    <n v="82200"/>
    <x v="0"/>
    <n v="31700"/>
    <n v="0"/>
    <x v="7"/>
    <x v="2"/>
    <x v="1"/>
    <d v="2026-02-15T00:00:00"/>
    <n v="31700"/>
    <x v="1"/>
  </r>
  <r>
    <n v="100826"/>
    <n v="37"/>
    <n v="73900"/>
    <x v="0"/>
    <n v="55900"/>
    <n v="0"/>
    <x v="3"/>
    <x v="2"/>
    <x v="1"/>
    <d v="2025-01-06T00:00:00"/>
    <n v="55900"/>
    <x v="1"/>
  </r>
  <r>
    <n v="100827"/>
    <n v="22"/>
    <n v="45800"/>
    <x v="2"/>
    <n v="19200"/>
    <n v="293000"/>
    <x v="1"/>
    <x v="2"/>
    <x v="1"/>
    <d v="2025-05-27T00:00:00"/>
    <n v="312200"/>
    <x v="0"/>
  </r>
  <r>
    <n v="100828"/>
    <n v="51"/>
    <n v="39400"/>
    <x v="1"/>
    <n v="0"/>
    <n v="0"/>
    <x v="4"/>
    <x v="2"/>
    <x v="1"/>
    <d v="2024-05-11T00:00:00"/>
    <n v="0"/>
    <x v="0"/>
  </r>
  <r>
    <n v="100829"/>
    <n v="67"/>
    <n v="31200"/>
    <x v="1"/>
    <n v="20100"/>
    <n v="0"/>
    <x v="5"/>
    <x v="1"/>
    <x v="1"/>
    <d v="2025-12-10T00:00:00"/>
    <n v="20100"/>
    <x v="0"/>
  </r>
  <r>
    <n v="100830"/>
    <n v="63"/>
    <n v="62200"/>
    <x v="1"/>
    <n v="31200"/>
    <n v="0"/>
    <x v="6"/>
    <x v="0"/>
    <x v="1"/>
    <d v="2026-05-14T00:00:00"/>
    <n v="31200"/>
    <x v="0"/>
  </r>
  <r>
    <n v="100831"/>
    <n v="46"/>
    <n v="45400"/>
    <x v="0"/>
    <n v="26400"/>
    <n v="0"/>
    <x v="3"/>
    <x v="2"/>
    <x v="1"/>
    <d v="2025-06-29T00:00:00"/>
    <n v="26400"/>
    <x v="0"/>
  </r>
  <r>
    <n v="100832"/>
    <n v="48"/>
    <n v="47900"/>
    <x v="1"/>
    <n v="59900"/>
    <n v="0"/>
    <x v="3"/>
    <x v="3"/>
    <x v="1"/>
    <d v="2024-03-17T00:00:00"/>
    <n v="59900"/>
    <x v="0"/>
  </r>
  <r>
    <n v="100833"/>
    <n v="35"/>
    <n v="41000"/>
    <x v="1"/>
    <n v="41300"/>
    <n v="194000"/>
    <x v="6"/>
    <x v="0"/>
    <x v="1"/>
    <d v="2024-12-08T00:00:00"/>
    <n v="235300"/>
    <x v="0"/>
  </r>
  <r>
    <n v="100834"/>
    <n v="73"/>
    <n v="44000"/>
    <x v="1"/>
    <n v="25400"/>
    <n v="175000"/>
    <x v="3"/>
    <x v="3"/>
    <x v="1"/>
    <d v="2025-09-26T00:00:00"/>
    <n v="200400"/>
    <x v="0"/>
  </r>
  <r>
    <n v="100835"/>
    <n v="48"/>
    <n v="81800"/>
    <x v="0"/>
    <n v="13000"/>
    <n v="96000"/>
    <x v="2"/>
    <x v="0"/>
    <x v="1"/>
    <d v="2026-03-12T00:00:00"/>
    <n v="109000"/>
    <x v="1"/>
  </r>
  <r>
    <n v="100836"/>
    <n v="28"/>
    <n v="30900"/>
    <x v="0"/>
    <n v="38600"/>
    <n v="0"/>
    <x v="0"/>
    <x v="0"/>
    <x v="1"/>
    <d v="2024-10-28T00:00:00"/>
    <n v="38600"/>
    <x v="0"/>
  </r>
  <r>
    <n v="100837"/>
    <n v="74"/>
    <n v="51900"/>
    <x v="1"/>
    <n v="0"/>
    <n v="0"/>
    <x v="6"/>
    <x v="1"/>
    <x v="1"/>
    <d v="2025-04-20T00:00:00"/>
    <n v="0"/>
    <x v="0"/>
  </r>
  <r>
    <n v="100838"/>
    <n v="70"/>
    <n v="54900"/>
    <x v="0"/>
    <n v="43000"/>
    <n v="0"/>
    <x v="6"/>
    <x v="1"/>
    <x v="1"/>
    <d v="2024-07-16T00:00:00"/>
    <n v="43000"/>
    <x v="0"/>
  </r>
  <r>
    <n v="100839"/>
    <n v="26"/>
    <n v="34600"/>
    <x v="0"/>
    <n v="43200"/>
    <n v="0"/>
    <x v="4"/>
    <x v="0"/>
    <x v="1"/>
    <d v="2025-03-07T00:00:00"/>
    <n v="43200"/>
    <x v="0"/>
  </r>
  <r>
    <n v="100840"/>
    <n v="50"/>
    <n v="77900"/>
    <x v="1"/>
    <n v="54100"/>
    <n v="171000"/>
    <x v="1"/>
    <x v="1"/>
    <x v="1"/>
    <d v="2025-01-01T00:00:00"/>
    <n v="225100"/>
    <x v="1"/>
  </r>
  <r>
    <n v="100841"/>
    <n v="39"/>
    <n v="65900"/>
    <x v="0"/>
    <n v="32000"/>
    <n v="0"/>
    <x v="5"/>
    <x v="1"/>
    <x v="0"/>
    <d v="2025-08-23T00:00:00"/>
    <n v="32000"/>
    <x v="0"/>
  </r>
  <r>
    <n v="100842"/>
    <n v="62"/>
    <n v="73700"/>
    <x v="1"/>
    <n v="57700"/>
    <n v="0"/>
    <x v="1"/>
    <x v="1"/>
    <x v="1"/>
    <d v="2025-10-17T00:00:00"/>
    <n v="57700"/>
    <x v="1"/>
  </r>
  <r>
    <n v="100843"/>
    <n v="32"/>
    <n v="84000"/>
    <x v="1"/>
    <n v="46000"/>
    <n v="0"/>
    <x v="2"/>
    <x v="0"/>
    <x v="1"/>
    <d v="2024-12-09T00:00:00"/>
    <n v="46000"/>
    <x v="1"/>
  </r>
  <r>
    <n v="100844"/>
    <n v="59"/>
    <n v="46900"/>
    <x v="1"/>
    <n v="58600"/>
    <n v="0"/>
    <x v="7"/>
    <x v="2"/>
    <x v="0"/>
    <d v="2024-08-16T00:00:00"/>
    <n v="58600"/>
    <x v="0"/>
  </r>
  <r>
    <n v="100845"/>
    <n v="64"/>
    <n v="42900"/>
    <x v="0"/>
    <n v="49000"/>
    <n v="0"/>
    <x v="2"/>
    <x v="0"/>
    <x v="1"/>
    <d v="2025-02-13T00:00:00"/>
    <n v="49000"/>
    <x v="0"/>
  </r>
  <r>
    <n v="100846"/>
    <n v="31"/>
    <n v="88600"/>
    <x v="1"/>
    <n v="26200"/>
    <n v="0"/>
    <x v="4"/>
    <x v="2"/>
    <x v="1"/>
    <d v="2025-08-22T00:00:00"/>
    <n v="26200"/>
    <x v="1"/>
  </r>
  <r>
    <n v="100847"/>
    <n v="68"/>
    <n v="50600"/>
    <x v="2"/>
    <n v="22700"/>
    <n v="162000"/>
    <x v="4"/>
    <x v="1"/>
    <x v="1"/>
    <d v="2024-07-01T00:00:00"/>
    <n v="184700"/>
    <x v="0"/>
  </r>
  <r>
    <n v="100848"/>
    <n v="32"/>
    <n v="25600"/>
    <x v="2"/>
    <n v="0"/>
    <n v="250000"/>
    <x v="1"/>
    <x v="0"/>
    <x v="1"/>
    <d v="2026-06-25T00:00:00"/>
    <n v="250000"/>
    <x v="0"/>
  </r>
  <r>
    <n v="100849"/>
    <n v="27"/>
    <n v="49200"/>
    <x v="1"/>
    <n v="26800"/>
    <n v="0"/>
    <x v="4"/>
    <x v="3"/>
    <x v="1"/>
    <d v="2025-09-30T00:00:00"/>
    <n v="26800"/>
    <x v="0"/>
  </r>
  <r>
    <n v="100850"/>
    <n v="47"/>
    <n v="95400"/>
    <x v="1"/>
    <n v="68100"/>
    <n v="0"/>
    <x v="3"/>
    <x v="1"/>
    <x v="1"/>
    <d v="2024-11-21T00:00:00"/>
    <n v="68100"/>
    <x v="1"/>
  </r>
  <r>
    <n v="100851"/>
    <n v="58"/>
    <n v="55000"/>
    <x v="0"/>
    <n v="0"/>
    <n v="0"/>
    <x v="3"/>
    <x v="0"/>
    <x v="1"/>
    <d v="2024-10-28T00:00:00"/>
    <n v="0"/>
    <x v="0"/>
  </r>
  <r>
    <n v="100852"/>
    <n v="70"/>
    <n v="38000"/>
    <x v="1"/>
    <n v="22500"/>
    <n v="0"/>
    <x v="7"/>
    <x v="1"/>
    <x v="1"/>
    <d v="2025-04-26T00:00:00"/>
    <n v="22500"/>
    <x v="0"/>
  </r>
  <r>
    <n v="100853"/>
    <n v="70"/>
    <n v="72400"/>
    <x v="1"/>
    <n v="50300"/>
    <n v="0"/>
    <x v="2"/>
    <x v="1"/>
    <x v="1"/>
    <d v="2024-11-25T00:00:00"/>
    <n v="50300"/>
    <x v="1"/>
  </r>
  <r>
    <n v="100854"/>
    <n v="65"/>
    <n v="51400"/>
    <x v="0"/>
    <n v="33400"/>
    <n v="0"/>
    <x v="1"/>
    <x v="1"/>
    <x v="1"/>
    <d v="2025-10-27T00:00:00"/>
    <n v="33400"/>
    <x v="0"/>
  </r>
  <r>
    <n v="100855"/>
    <n v="22"/>
    <n v="41600"/>
    <x v="2"/>
    <n v="20400"/>
    <n v="0"/>
    <x v="1"/>
    <x v="3"/>
    <x v="1"/>
    <d v="2026-08-15T00:00:00"/>
    <n v="20400"/>
    <x v="0"/>
  </r>
  <r>
    <n v="100856"/>
    <n v="73"/>
    <n v="51500"/>
    <x v="0"/>
    <n v="12900"/>
    <n v="0"/>
    <x v="2"/>
    <x v="2"/>
    <x v="1"/>
    <d v="2025-06-08T00:00:00"/>
    <n v="12900"/>
    <x v="0"/>
  </r>
  <r>
    <n v="100857"/>
    <n v="59"/>
    <n v="49100"/>
    <x v="1"/>
    <n v="26700"/>
    <n v="0"/>
    <x v="5"/>
    <x v="1"/>
    <x v="1"/>
    <d v="2024-08-27T00:00:00"/>
    <n v="26700"/>
    <x v="0"/>
  </r>
  <r>
    <n v="100858"/>
    <n v="36"/>
    <n v="70900"/>
    <x v="1"/>
    <n v="58400"/>
    <n v="0"/>
    <x v="0"/>
    <x v="0"/>
    <x v="1"/>
    <d v="2024-04-10T00:00:00"/>
    <n v="58400"/>
    <x v="1"/>
  </r>
  <r>
    <n v="100859"/>
    <n v="27"/>
    <n v="31800"/>
    <x v="1"/>
    <n v="18700"/>
    <n v="0"/>
    <x v="5"/>
    <x v="0"/>
    <x v="1"/>
    <d v="2026-05-15T00:00:00"/>
    <n v="18700"/>
    <x v="0"/>
  </r>
  <r>
    <n v="100860"/>
    <n v="37"/>
    <n v="40600"/>
    <x v="0"/>
    <n v="50800"/>
    <n v="0"/>
    <x v="5"/>
    <x v="2"/>
    <x v="1"/>
    <d v="2026-04-22T00:00:00"/>
    <n v="50800"/>
    <x v="0"/>
  </r>
  <r>
    <n v="100861"/>
    <n v="42"/>
    <n v="83800"/>
    <x v="1"/>
    <n v="38400"/>
    <n v="0"/>
    <x v="7"/>
    <x v="1"/>
    <x v="1"/>
    <d v="2024-06-01T00:00:00"/>
    <n v="38400"/>
    <x v="1"/>
  </r>
  <r>
    <n v="100862"/>
    <n v="75"/>
    <n v="52900"/>
    <x v="1"/>
    <n v="0"/>
    <n v="0"/>
    <x v="7"/>
    <x v="0"/>
    <x v="1"/>
    <d v="2025-04-17T00:00:00"/>
    <n v="0"/>
    <x v="0"/>
  </r>
  <r>
    <n v="100863"/>
    <n v="41"/>
    <n v="84700"/>
    <x v="1"/>
    <n v="51800"/>
    <n v="0"/>
    <x v="3"/>
    <x v="2"/>
    <x v="1"/>
    <d v="2024-01-31T00:00:00"/>
    <n v="51800"/>
    <x v="1"/>
  </r>
  <r>
    <n v="100864"/>
    <n v="43"/>
    <n v="37300"/>
    <x v="2"/>
    <n v="46600"/>
    <n v="0"/>
    <x v="2"/>
    <x v="1"/>
    <x v="1"/>
    <d v="2025-12-03T00:00:00"/>
    <n v="46600"/>
    <x v="0"/>
  </r>
  <r>
    <n v="100865"/>
    <n v="68"/>
    <n v="53300"/>
    <x v="0"/>
    <n v="24700"/>
    <n v="281000"/>
    <x v="4"/>
    <x v="2"/>
    <x v="1"/>
    <d v="2024-12-04T00:00:00"/>
    <n v="305700"/>
    <x v="0"/>
  </r>
  <r>
    <n v="100866"/>
    <n v="56"/>
    <n v="69600"/>
    <x v="0"/>
    <n v="61000"/>
    <n v="0"/>
    <x v="3"/>
    <x v="3"/>
    <x v="0"/>
    <d v="2025-01-30T00:00:00"/>
    <n v="61000"/>
    <x v="0"/>
  </r>
  <r>
    <n v="100867"/>
    <n v="32"/>
    <n v="58100"/>
    <x v="1"/>
    <n v="0"/>
    <n v="0"/>
    <x v="5"/>
    <x v="2"/>
    <x v="1"/>
    <d v="2024-04-16T00:00:00"/>
    <n v="0"/>
    <x v="0"/>
  </r>
  <r>
    <n v="100868"/>
    <n v="63"/>
    <n v="63600"/>
    <x v="1"/>
    <n v="33100"/>
    <n v="112000"/>
    <x v="1"/>
    <x v="2"/>
    <x v="1"/>
    <d v="2025-11-06T00:00:00"/>
    <n v="145100"/>
    <x v="0"/>
  </r>
  <r>
    <n v="100869"/>
    <n v="53"/>
    <n v="31700"/>
    <x v="1"/>
    <n v="17600"/>
    <n v="0"/>
    <x v="1"/>
    <x v="1"/>
    <x v="1"/>
    <d v="2024-05-12T00:00:00"/>
    <n v="17600"/>
    <x v="0"/>
  </r>
  <r>
    <n v="100870"/>
    <n v="54"/>
    <n v="54300"/>
    <x v="0"/>
    <n v="65300"/>
    <n v="312000"/>
    <x v="5"/>
    <x v="1"/>
    <x v="1"/>
    <d v="2025-05-01T00:00:00"/>
    <n v="377300"/>
    <x v="0"/>
  </r>
  <r>
    <n v="100871"/>
    <n v="30"/>
    <n v="67500"/>
    <x v="2"/>
    <n v="33900"/>
    <n v="0"/>
    <x v="5"/>
    <x v="2"/>
    <x v="1"/>
    <d v="2025-04-01T00:00:00"/>
    <n v="33900"/>
    <x v="0"/>
  </r>
  <r>
    <n v="100872"/>
    <n v="24"/>
    <n v="88400"/>
    <x v="0"/>
    <n v="24800"/>
    <n v="0"/>
    <x v="7"/>
    <x v="2"/>
    <x v="1"/>
    <d v="2026-01-24T00:00:00"/>
    <n v="24800"/>
    <x v="1"/>
  </r>
  <r>
    <n v="100873"/>
    <n v="25"/>
    <n v="46200"/>
    <x v="2"/>
    <n v="46400"/>
    <n v="0"/>
    <x v="5"/>
    <x v="1"/>
    <x v="1"/>
    <d v="2026-05-20T00:00:00"/>
    <n v="46400"/>
    <x v="0"/>
  </r>
  <r>
    <n v="100874"/>
    <n v="31"/>
    <n v="54100"/>
    <x v="1"/>
    <n v="30000"/>
    <n v="0"/>
    <x v="4"/>
    <x v="1"/>
    <x v="1"/>
    <d v="2025-12-16T00:00:00"/>
    <n v="30000"/>
    <x v="0"/>
  </r>
  <r>
    <n v="100875"/>
    <n v="22"/>
    <n v="43400"/>
    <x v="2"/>
    <n v="41500"/>
    <n v="0"/>
    <x v="0"/>
    <x v="0"/>
    <x v="1"/>
    <d v="2024-08-10T00:00:00"/>
    <n v="41500"/>
    <x v="0"/>
  </r>
  <r>
    <n v="100876"/>
    <n v="51"/>
    <n v="53800"/>
    <x v="0"/>
    <n v="26800"/>
    <n v="0"/>
    <x v="2"/>
    <x v="1"/>
    <x v="1"/>
    <d v="2024-07-31T00:00:00"/>
    <n v="26800"/>
    <x v="0"/>
  </r>
  <r>
    <n v="100877"/>
    <n v="52"/>
    <n v="29000"/>
    <x v="1"/>
    <n v="36200"/>
    <n v="0"/>
    <x v="2"/>
    <x v="0"/>
    <x v="1"/>
    <d v="2025-02-10T00:00:00"/>
    <n v="36200"/>
    <x v="0"/>
  </r>
  <r>
    <n v="100878"/>
    <n v="22"/>
    <n v="23400"/>
    <x v="1"/>
    <n v="0"/>
    <n v="0"/>
    <x v="7"/>
    <x v="1"/>
    <x v="1"/>
    <d v="2024-03-10T00:00:00"/>
    <n v="0"/>
    <x v="0"/>
  </r>
  <r>
    <n v="100879"/>
    <n v="25"/>
    <n v="63300"/>
    <x v="1"/>
    <n v="0"/>
    <n v="293000"/>
    <x v="4"/>
    <x v="2"/>
    <x v="1"/>
    <d v="2024-01-19T00:00:00"/>
    <n v="293000"/>
    <x v="0"/>
  </r>
  <r>
    <n v="100880"/>
    <n v="58"/>
    <n v="34400"/>
    <x v="1"/>
    <n v="27900"/>
    <n v="274000"/>
    <x v="5"/>
    <x v="1"/>
    <x v="1"/>
    <d v="2024-08-09T00:00:00"/>
    <n v="301900"/>
    <x v="0"/>
  </r>
  <r>
    <n v="100881"/>
    <n v="65"/>
    <n v="27600"/>
    <x v="0"/>
    <n v="34500"/>
    <n v="0"/>
    <x v="0"/>
    <x v="1"/>
    <x v="1"/>
    <d v="2024-02-23T00:00:00"/>
    <n v="34500"/>
    <x v="0"/>
  </r>
  <r>
    <n v="100882"/>
    <n v="58"/>
    <n v="21500"/>
    <x v="0"/>
    <n v="0"/>
    <n v="0"/>
    <x v="2"/>
    <x v="3"/>
    <x v="1"/>
    <d v="2024-07-23T00:00:00"/>
    <n v="0"/>
    <x v="0"/>
  </r>
  <r>
    <n v="100883"/>
    <n v="25"/>
    <n v="24600"/>
    <x v="1"/>
    <n v="30800"/>
    <n v="0"/>
    <x v="0"/>
    <x v="1"/>
    <x v="1"/>
    <d v="2026-03-27T00:00:00"/>
    <n v="30800"/>
    <x v="0"/>
  </r>
  <r>
    <n v="100884"/>
    <n v="73"/>
    <n v="89100"/>
    <x v="1"/>
    <n v="29200"/>
    <n v="174000"/>
    <x v="3"/>
    <x v="1"/>
    <x v="1"/>
    <d v="2025-02-08T00:00:00"/>
    <n v="203200"/>
    <x v="1"/>
  </r>
  <r>
    <n v="100885"/>
    <n v="47"/>
    <n v="36000"/>
    <x v="1"/>
    <n v="17600"/>
    <n v="0"/>
    <x v="2"/>
    <x v="2"/>
    <x v="1"/>
    <d v="2024-08-13T00:00:00"/>
    <n v="17600"/>
    <x v="0"/>
  </r>
  <r>
    <n v="100886"/>
    <n v="24"/>
    <n v="71900"/>
    <x v="1"/>
    <n v="9900"/>
    <n v="0"/>
    <x v="1"/>
    <x v="1"/>
    <x v="1"/>
    <d v="2024-04-14T00:00:00"/>
    <n v="9900"/>
    <x v="1"/>
  </r>
  <r>
    <n v="100887"/>
    <n v="65"/>
    <n v="62400"/>
    <x v="2"/>
    <n v="0"/>
    <n v="359000"/>
    <x v="2"/>
    <x v="3"/>
    <x v="1"/>
    <d v="2025-12-14T00:00:00"/>
    <n v="359000"/>
    <x v="0"/>
  </r>
  <r>
    <n v="100888"/>
    <n v="44"/>
    <n v="73700"/>
    <x v="2"/>
    <n v="24900"/>
    <n v="0"/>
    <x v="2"/>
    <x v="3"/>
    <x v="1"/>
    <d v="2024-03-10T00:00:00"/>
    <n v="24900"/>
    <x v="1"/>
  </r>
  <r>
    <n v="100889"/>
    <n v="41"/>
    <n v="24900"/>
    <x v="2"/>
    <n v="31100"/>
    <n v="0"/>
    <x v="6"/>
    <x v="1"/>
    <x v="1"/>
    <d v="2026-07-07T00:00:00"/>
    <n v="31100"/>
    <x v="0"/>
  </r>
  <r>
    <n v="100890"/>
    <n v="27"/>
    <n v="47500"/>
    <x v="0"/>
    <n v="0"/>
    <n v="0"/>
    <x v="6"/>
    <x v="2"/>
    <x v="1"/>
    <d v="2025-05-25T00:00:00"/>
    <n v="0"/>
    <x v="0"/>
  </r>
  <r>
    <n v="100891"/>
    <n v="38"/>
    <n v="41300"/>
    <x v="1"/>
    <n v="20500"/>
    <n v="0"/>
    <x v="7"/>
    <x v="0"/>
    <x v="1"/>
    <d v="2024-10-11T00:00:00"/>
    <n v="20500"/>
    <x v="0"/>
  </r>
  <r>
    <n v="100892"/>
    <n v="40"/>
    <n v="70700"/>
    <x v="0"/>
    <n v="78100"/>
    <n v="0"/>
    <x v="5"/>
    <x v="0"/>
    <x v="1"/>
    <d v="2026-01-20T00:00:00"/>
    <n v="78100"/>
    <x v="1"/>
  </r>
  <r>
    <n v="100893"/>
    <n v="41"/>
    <n v="49500"/>
    <x v="1"/>
    <n v="61900"/>
    <n v="0"/>
    <x v="3"/>
    <x v="1"/>
    <x v="1"/>
    <d v="2024-11-25T00:00:00"/>
    <n v="61900"/>
    <x v="0"/>
  </r>
  <r>
    <n v="100894"/>
    <n v="31"/>
    <n v="55900"/>
    <x v="1"/>
    <n v="0"/>
    <n v="147000"/>
    <x v="4"/>
    <x v="0"/>
    <x v="1"/>
    <d v="2024-05-08T00:00:00"/>
    <n v="147000"/>
    <x v="0"/>
  </r>
  <r>
    <n v="100895"/>
    <n v="25"/>
    <n v="39600"/>
    <x v="0"/>
    <n v="0"/>
    <n v="0"/>
    <x v="0"/>
    <x v="1"/>
    <x v="1"/>
    <d v="2025-04-23T00:00:00"/>
    <n v="0"/>
    <x v="0"/>
  </r>
  <r>
    <n v="100896"/>
    <n v="39"/>
    <n v="39000"/>
    <x v="1"/>
    <n v="40000"/>
    <n v="0"/>
    <x v="7"/>
    <x v="3"/>
    <x v="0"/>
    <d v="2026-06-02T00:00:00"/>
    <n v="40000"/>
    <x v="0"/>
  </r>
  <r>
    <n v="100897"/>
    <n v="70"/>
    <n v="58500"/>
    <x v="2"/>
    <n v="27200"/>
    <n v="0"/>
    <x v="1"/>
    <x v="1"/>
    <x v="1"/>
    <d v="2026-02-17T00:00:00"/>
    <n v="27200"/>
    <x v="0"/>
  </r>
  <r>
    <n v="100898"/>
    <n v="29"/>
    <n v="87800"/>
    <x v="0"/>
    <n v="27400"/>
    <n v="0"/>
    <x v="5"/>
    <x v="1"/>
    <x v="1"/>
    <d v="2026-01-14T00:00:00"/>
    <n v="27400"/>
    <x v="1"/>
  </r>
  <r>
    <n v="100899"/>
    <n v="31"/>
    <n v="44400"/>
    <x v="1"/>
    <n v="27100"/>
    <n v="0"/>
    <x v="0"/>
    <x v="1"/>
    <x v="1"/>
    <d v="2024-07-19T00:00:00"/>
    <n v="27100"/>
    <x v="0"/>
  </r>
  <r>
    <n v="100900"/>
    <n v="29"/>
    <n v="101200"/>
    <x v="1"/>
    <n v="0"/>
    <n v="0"/>
    <x v="2"/>
    <x v="2"/>
    <x v="1"/>
    <d v="2026-08-05T00:00:00"/>
    <n v="0"/>
    <x v="1"/>
  </r>
  <r>
    <n v="100901"/>
    <n v="46"/>
    <n v="105700"/>
    <x v="2"/>
    <n v="33100"/>
    <n v="0"/>
    <x v="0"/>
    <x v="2"/>
    <x v="1"/>
    <d v="2026-08-01T00:00:00"/>
    <n v="33100"/>
    <x v="1"/>
  </r>
  <r>
    <n v="100902"/>
    <n v="27"/>
    <n v="52100"/>
    <x v="0"/>
    <n v="30200"/>
    <n v="0"/>
    <x v="2"/>
    <x v="1"/>
    <x v="1"/>
    <d v="2025-12-06T00:00:00"/>
    <n v="30200"/>
    <x v="0"/>
  </r>
  <r>
    <n v="100903"/>
    <n v="43"/>
    <n v="75300"/>
    <x v="0"/>
    <n v="0"/>
    <n v="0"/>
    <x v="3"/>
    <x v="2"/>
    <x v="1"/>
    <d v="2026-08-01T00:00:00"/>
    <n v="0"/>
    <x v="1"/>
  </r>
  <r>
    <n v="100904"/>
    <n v="72"/>
    <n v="50700"/>
    <x v="0"/>
    <n v="44000"/>
    <n v="232000"/>
    <x v="4"/>
    <x v="2"/>
    <x v="1"/>
    <d v="2025-11-09T00:00:00"/>
    <n v="276000"/>
    <x v="0"/>
  </r>
  <r>
    <n v="100905"/>
    <n v="73"/>
    <n v="38800"/>
    <x v="1"/>
    <n v="47300"/>
    <n v="0"/>
    <x v="0"/>
    <x v="1"/>
    <x v="1"/>
    <d v="2025-03-09T00:00:00"/>
    <n v="47300"/>
    <x v="0"/>
  </r>
  <r>
    <n v="100906"/>
    <n v="30"/>
    <n v="89000"/>
    <x v="1"/>
    <n v="75700"/>
    <n v="0"/>
    <x v="1"/>
    <x v="1"/>
    <x v="1"/>
    <d v="2026-02-09T00:00:00"/>
    <n v="75700"/>
    <x v="1"/>
  </r>
  <r>
    <n v="100907"/>
    <n v="66"/>
    <n v="94100"/>
    <x v="1"/>
    <n v="54200"/>
    <n v="0"/>
    <x v="5"/>
    <x v="1"/>
    <x v="1"/>
    <d v="2025-02-11T00:00:00"/>
    <n v="54200"/>
    <x v="1"/>
  </r>
  <r>
    <n v="100908"/>
    <n v="64"/>
    <n v="47400"/>
    <x v="2"/>
    <n v="0"/>
    <n v="113000"/>
    <x v="1"/>
    <x v="1"/>
    <x v="1"/>
    <d v="2025-11-01T00:00:00"/>
    <n v="113000"/>
    <x v="0"/>
  </r>
  <r>
    <n v="100909"/>
    <n v="38"/>
    <n v="78700"/>
    <x v="1"/>
    <n v="46700"/>
    <n v="145000"/>
    <x v="0"/>
    <x v="2"/>
    <x v="1"/>
    <d v="2024-07-09T00:00:00"/>
    <n v="191700"/>
    <x v="1"/>
  </r>
  <r>
    <n v="100910"/>
    <n v="32"/>
    <n v="30600"/>
    <x v="1"/>
    <n v="0"/>
    <n v="0"/>
    <x v="1"/>
    <x v="1"/>
    <x v="1"/>
    <d v="2026-07-23T00:00:00"/>
    <n v="0"/>
    <x v="0"/>
  </r>
  <r>
    <n v="100911"/>
    <n v="59"/>
    <n v="35100"/>
    <x v="0"/>
    <n v="13000"/>
    <n v="0"/>
    <x v="0"/>
    <x v="1"/>
    <x v="1"/>
    <d v="2025-05-04T00:00:00"/>
    <n v="13000"/>
    <x v="0"/>
  </r>
  <r>
    <n v="100912"/>
    <n v="51"/>
    <n v="73200"/>
    <x v="1"/>
    <n v="50300"/>
    <n v="226000"/>
    <x v="6"/>
    <x v="2"/>
    <x v="1"/>
    <d v="2024-01-08T00:00:00"/>
    <n v="276300"/>
    <x v="1"/>
  </r>
  <r>
    <n v="100913"/>
    <n v="44"/>
    <n v="67400"/>
    <x v="2"/>
    <n v="0"/>
    <n v="0"/>
    <x v="7"/>
    <x v="0"/>
    <x v="1"/>
    <d v="2025-09-10T00:00:00"/>
    <n v="0"/>
    <x v="0"/>
  </r>
  <r>
    <n v="100914"/>
    <n v="47"/>
    <n v="49100"/>
    <x v="0"/>
    <n v="24100"/>
    <n v="180000"/>
    <x v="1"/>
    <x v="1"/>
    <x v="1"/>
    <d v="2024-12-30T00:00:00"/>
    <n v="204100"/>
    <x v="0"/>
  </r>
  <r>
    <n v="100915"/>
    <n v="75"/>
    <n v="48800"/>
    <x v="1"/>
    <n v="46300"/>
    <n v="0"/>
    <x v="4"/>
    <x v="2"/>
    <x v="1"/>
    <d v="2025-06-27T00:00:00"/>
    <n v="46300"/>
    <x v="0"/>
  </r>
  <r>
    <n v="100916"/>
    <n v="37"/>
    <n v="108000"/>
    <x v="0"/>
    <n v="31100"/>
    <n v="0"/>
    <x v="7"/>
    <x v="1"/>
    <x v="1"/>
    <d v="2024-01-04T00:00:00"/>
    <n v="31100"/>
    <x v="1"/>
  </r>
  <r>
    <n v="100917"/>
    <n v="60"/>
    <n v="109500"/>
    <x v="0"/>
    <n v="26300"/>
    <n v="288000"/>
    <x v="2"/>
    <x v="1"/>
    <x v="1"/>
    <d v="2025-05-11T00:00:00"/>
    <n v="314300"/>
    <x v="1"/>
  </r>
  <r>
    <n v="100918"/>
    <n v="45"/>
    <n v="79300"/>
    <x v="0"/>
    <n v="70400"/>
    <n v="0"/>
    <x v="7"/>
    <x v="3"/>
    <x v="1"/>
    <d v="2026-07-15T00:00:00"/>
    <n v="70400"/>
    <x v="1"/>
  </r>
  <r>
    <n v="100919"/>
    <n v="26"/>
    <n v="78800"/>
    <x v="1"/>
    <n v="16200"/>
    <n v="0"/>
    <x v="6"/>
    <x v="2"/>
    <x v="1"/>
    <d v="2024-11-04T00:00:00"/>
    <n v="16200"/>
    <x v="1"/>
  </r>
  <r>
    <n v="100920"/>
    <n v="73"/>
    <n v="73200"/>
    <x v="0"/>
    <n v="0"/>
    <n v="197000"/>
    <x v="0"/>
    <x v="1"/>
    <x v="1"/>
    <d v="2025-07-07T00:00:00"/>
    <n v="197000"/>
    <x v="1"/>
  </r>
  <r>
    <n v="100921"/>
    <n v="35"/>
    <n v="43600"/>
    <x v="1"/>
    <n v="0"/>
    <n v="0"/>
    <x v="0"/>
    <x v="1"/>
    <x v="1"/>
    <d v="2026-01-02T00:00:00"/>
    <n v="0"/>
    <x v="0"/>
  </r>
  <r>
    <n v="100922"/>
    <n v="21"/>
    <n v="38800"/>
    <x v="2"/>
    <n v="0"/>
    <n v="0"/>
    <x v="3"/>
    <x v="0"/>
    <x v="1"/>
    <d v="2025-11-12T00:00:00"/>
    <n v="0"/>
    <x v="0"/>
  </r>
  <r>
    <n v="100923"/>
    <n v="50"/>
    <n v="108100"/>
    <x v="0"/>
    <n v="67900"/>
    <n v="0"/>
    <x v="7"/>
    <x v="2"/>
    <x v="1"/>
    <d v="2026-06-11T00:00:00"/>
    <n v="67900"/>
    <x v="1"/>
  </r>
  <r>
    <n v="100924"/>
    <n v="34"/>
    <n v="104100"/>
    <x v="0"/>
    <n v="42500"/>
    <n v="0"/>
    <x v="1"/>
    <x v="1"/>
    <x v="1"/>
    <d v="2026-05-26T00:00:00"/>
    <n v="42500"/>
    <x v="1"/>
  </r>
  <r>
    <n v="100925"/>
    <n v="47"/>
    <n v="86500"/>
    <x v="1"/>
    <n v="13100"/>
    <n v="267000"/>
    <x v="3"/>
    <x v="1"/>
    <x v="1"/>
    <d v="2025-01-11T00:00:00"/>
    <n v="280100"/>
    <x v="1"/>
  </r>
  <r>
    <n v="100926"/>
    <n v="28"/>
    <n v="92000"/>
    <x v="2"/>
    <n v="3500"/>
    <n v="216000"/>
    <x v="1"/>
    <x v="3"/>
    <x v="1"/>
    <d v="2025-01-08T00:00:00"/>
    <n v="219500"/>
    <x v="1"/>
  </r>
  <r>
    <n v="100927"/>
    <n v="71"/>
    <n v="73800"/>
    <x v="0"/>
    <n v="39800"/>
    <n v="0"/>
    <x v="1"/>
    <x v="2"/>
    <x v="1"/>
    <d v="2024-11-19T00:00:00"/>
    <n v="39800"/>
    <x v="1"/>
  </r>
  <r>
    <n v="100928"/>
    <n v="29"/>
    <n v="87400"/>
    <x v="1"/>
    <n v="45000"/>
    <n v="166000"/>
    <x v="6"/>
    <x v="1"/>
    <x v="1"/>
    <d v="2025-12-06T00:00:00"/>
    <n v="211000"/>
    <x v="1"/>
  </r>
  <r>
    <n v="100929"/>
    <n v="27"/>
    <n v="45400"/>
    <x v="2"/>
    <n v="41700"/>
    <n v="167000"/>
    <x v="1"/>
    <x v="2"/>
    <x v="1"/>
    <d v="2024-06-05T00:00:00"/>
    <n v="208700"/>
    <x v="0"/>
  </r>
  <r>
    <n v="100930"/>
    <n v="72"/>
    <n v="77200"/>
    <x v="2"/>
    <n v="0"/>
    <n v="0"/>
    <x v="6"/>
    <x v="0"/>
    <x v="1"/>
    <d v="2026-03-05T00:00:00"/>
    <n v="0"/>
    <x v="1"/>
  </r>
  <r>
    <n v="100931"/>
    <n v="31"/>
    <n v="92400"/>
    <x v="0"/>
    <n v="55800"/>
    <n v="0"/>
    <x v="4"/>
    <x v="3"/>
    <x v="1"/>
    <d v="2024-12-11T00:00:00"/>
    <n v="55800"/>
    <x v="1"/>
  </r>
  <r>
    <n v="100932"/>
    <n v="47"/>
    <n v="73700"/>
    <x v="2"/>
    <n v="0"/>
    <n v="0"/>
    <x v="5"/>
    <x v="2"/>
    <x v="1"/>
    <d v="2026-08-03T00:00:00"/>
    <n v="0"/>
    <x v="1"/>
  </r>
  <r>
    <n v="100933"/>
    <n v="32"/>
    <n v="75700"/>
    <x v="0"/>
    <n v="24500"/>
    <n v="0"/>
    <x v="6"/>
    <x v="0"/>
    <x v="1"/>
    <d v="2025-04-13T00:00:00"/>
    <n v="24500"/>
    <x v="1"/>
  </r>
  <r>
    <n v="100934"/>
    <n v="61"/>
    <n v="39000"/>
    <x v="1"/>
    <n v="23000"/>
    <n v="0"/>
    <x v="3"/>
    <x v="0"/>
    <x v="1"/>
    <d v="2025-10-28T00:00:00"/>
    <n v="23000"/>
    <x v="0"/>
  </r>
  <r>
    <n v="100935"/>
    <n v="20"/>
    <n v="50700"/>
    <x v="2"/>
    <n v="53100"/>
    <n v="0"/>
    <x v="1"/>
    <x v="3"/>
    <x v="1"/>
    <d v="2026-05-11T00:00:00"/>
    <n v="53100"/>
    <x v="0"/>
  </r>
  <r>
    <n v="100936"/>
    <n v="30"/>
    <n v="103000"/>
    <x v="1"/>
    <n v="0"/>
    <n v="106000"/>
    <x v="2"/>
    <x v="1"/>
    <x v="1"/>
    <d v="2024-06-01T00:00:00"/>
    <n v="106000"/>
    <x v="1"/>
  </r>
  <r>
    <n v="100937"/>
    <n v="60"/>
    <n v="77700"/>
    <x v="1"/>
    <n v="28200"/>
    <n v="0"/>
    <x v="4"/>
    <x v="1"/>
    <x v="1"/>
    <d v="2025-12-09T00:00:00"/>
    <n v="28200"/>
    <x v="1"/>
  </r>
  <r>
    <n v="100938"/>
    <n v="70"/>
    <n v="73000"/>
    <x v="1"/>
    <n v="56100"/>
    <n v="0"/>
    <x v="7"/>
    <x v="1"/>
    <x v="1"/>
    <d v="2024-03-25T00:00:00"/>
    <n v="56100"/>
    <x v="1"/>
  </r>
  <r>
    <n v="100939"/>
    <n v="27"/>
    <n v="59000"/>
    <x v="0"/>
    <n v="7700"/>
    <n v="0"/>
    <x v="7"/>
    <x v="2"/>
    <x v="1"/>
    <d v="2026-03-24T00:00:00"/>
    <n v="7700"/>
    <x v="0"/>
  </r>
  <r>
    <n v="100940"/>
    <n v="57"/>
    <n v="40100"/>
    <x v="1"/>
    <n v="30100"/>
    <n v="0"/>
    <x v="0"/>
    <x v="1"/>
    <x v="1"/>
    <d v="2026-06-01T00:00:00"/>
    <n v="30100"/>
    <x v="0"/>
  </r>
  <r>
    <n v="100941"/>
    <n v="70"/>
    <n v="62500"/>
    <x v="1"/>
    <n v="28000"/>
    <n v="0"/>
    <x v="7"/>
    <x v="2"/>
    <x v="1"/>
    <d v="2025-07-05T00:00:00"/>
    <n v="28000"/>
    <x v="0"/>
  </r>
  <r>
    <n v="100942"/>
    <n v="65"/>
    <n v="87700"/>
    <x v="0"/>
    <n v="0"/>
    <n v="245000"/>
    <x v="0"/>
    <x v="2"/>
    <x v="1"/>
    <d v="2025-09-05T00:00:00"/>
    <n v="245000"/>
    <x v="1"/>
  </r>
  <r>
    <n v="100943"/>
    <n v="64"/>
    <n v="40000"/>
    <x v="0"/>
    <n v="0"/>
    <n v="0"/>
    <x v="4"/>
    <x v="0"/>
    <x v="1"/>
    <d v="2025-10-30T00:00:00"/>
    <n v="0"/>
    <x v="0"/>
  </r>
  <r>
    <n v="100944"/>
    <n v="30"/>
    <n v="33400"/>
    <x v="1"/>
    <n v="0"/>
    <n v="130000"/>
    <x v="5"/>
    <x v="1"/>
    <x v="1"/>
    <d v="2025-07-11T00:00:00"/>
    <n v="130000"/>
    <x v="0"/>
  </r>
  <r>
    <n v="100945"/>
    <n v="30"/>
    <n v="54600"/>
    <x v="2"/>
    <n v="23400"/>
    <n v="0"/>
    <x v="5"/>
    <x v="1"/>
    <x v="1"/>
    <d v="2025-08-13T00:00:00"/>
    <n v="23400"/>
    <x v="0"/>
  </r>
  <r>
    <n v="100946"/>
    <n v="51"/>
    <n v="75200"/>
    <x v="0"/>
    <n v="0"/>
    <n v="0"/>
    <x v="3"/>
    <x v="1"/>
    <x v="1"/>
    <d v="2025-11-09T00:00:00"/>
    <n v="0"/>
    <x v="1"/>
  </r>
  <r>
    <n v="100947"/>
    <n v="72"/>
    <n v="29000"/>
    <x v="1"/>
    <n v="36200"/>
    <n v="0"/>
    <x v="4"/>
    <x v="0"/>
    <x v="1"/>
    <d v="2025-01-02T00:00:00"/>
    <n v="36200"/>
    <x v="0"/>
  </r>
  <r>
    <n v="100948"/>
    <n v="37"/>
    <n v="36600"/>
    <x v="0"/>
    <n v="21300"/>
    <n v="0"/>
    <x v="4"/>
    <x v="1"/>
    <x v="1"/>
    <d v="2024-09-17T00:00:00"/>
    <n v="21300"/>
    <x v="0"/>
  </r>
  <r>
    <n v="100949"/>
    <n v="63"/>
    <n v="54700"/>
    <x v="0"/>
    <n v="12000"/>
    <n v="0"/>
    <x v="3"/>
    <x v="1"/>
    <x v="1"/>
    <d v="2025-10-25T00:00:00"/>
    <n v="12000"/>
    <x v="0"/>
  </r>
  <r>
    <n v="100950"/>
    <n v="72"/>
    <n v="60600"/>
    <x v="1"/>
    <n v="0"/>
    <n v="0"/>
    <x v="1"/>
    <x v="1"/>
    <x v="1"/>
    <d v="2025-09-10T00:00:00"/>
    <n v="0"/>
    <x v="0"/>
  </r>
  <r>
    <n v="100951"/>
    <n v="35"/>
    <n v="32400"/>
    <x v="1"/>
    <n v="36500"/>
    <n v="240000"/>
    <x v="2"/>
    <x v="3"/>
    <x v="1"/>
    <d v="2024-05-29T00:00:00"/>
    <n v="276500"/>
    <x v="0"/>
  </r>
  <r>
    <n v="100952"/>
    <n v="75"/>
    <n v="85400"/>
    <x v="1"/>
    <n v="78600"/>
    <n v="0"/>
    <x v="0"/>
    <x v="1"/>
    <x v="1"/>
    <d v="2025-06-23T00:00:00"/>
    <n v="78600"/>
    <x v="1"/>
  </r>
  <r>
    <n v="100953"/>
    <n v="66"/>
    <n v="95000"/>
    <x v="0"/>
    <n v="0"/>
    <n v="178000"/>
    <x v="5"/>
    <x v="1"/>
    <x v="1"/>
    <d v="2025-09-14T00:00:00"/>
    <n v="178000"/>
    <x v="1"/>
  </r>
  <r>
    <n v="100954"/>
    <n v="26"/>
    <n v="98100"/>
    <x v="1"/>
    <n v="0"/>
    <n v="0"/>
    <x v="2"/>
    <x v="1"/>
    <x v="1"/>
    <d v="2025-11-25T00:00:00"/>
    <n v="0"/>
    <x v="1"/>
  </r>
  <r>
    <n v="100955"/>
    <n v="70"/>
    <n v="62100"/>
    <x v="0"/>
    <n v="0"/>
    <n v="0"/>
    <x v="4"/>
    <x v="2"/>
    <x v="1"/>
    <d v="2025-12-04T00:00:00"/>
    <n v="0"/>
    <x v="0"/>
  </r>
  <r>
    <n v="100956"/>
    <n v="52"/>
    <n v="76800"/>
    <x v="0"/>
    <n v="37700"/>
    <n v="334000"/>
    <x v="2"/>
    <x v="1"/>
    <x v="1"/>
    <d v="2025-09-15T00:00:00"/>
    <n v="371700"/>
    <x v="1"/>
  </r>
  <r>
    <n v="100957"/>
    <n v="46"/>
    <n v="76200"/>
    <x v="1"/>
    <n v="0"/>
    <n v="0"/>
    <x v="5"/>
    <x v="2"/>
    <x v="1"/>
    <d v="2025-03-14T00:00:00"/>
    <n v="0"/>
    <x v="1"/>
  </r>
  <r>
    <n v="100958"/>
    <n v="53"/>
    <n v="106000"/>
    <x v="2"/>
    <n v="0"/>
    <n v="0"/>
    <x v="0"/>
    <x v="0"/>
    <x v="1"/>
    <d v="2025-02-20T00:00:00"/>
    <n v="0"/>
    <x v="1"/>
  </r>
  <r>
    <n v="100959"/>
    <n v="69"/>
    <n v="47700"/>
    <x v="1"/>
    <n v="48600"/>
    <n v="0"/>
    <x v="4"/>
    <x v="1"/>
    <x v="1"/>
    <d v="2024-10-19T00:00:00"/>
    <n v="48600"/>
    <x v="0"/>
  </r>
  <r>
    <n v="100960"/>
    <n v="55"/>
    <n v="103700"/>
    <x v="0"/>
    <n v="71900"/>
    <n v="0"/>
    <x v="4"/>
    <x v="2"/>
    <x v="1"/>
    <d v="2025-11-24T00:00:00"/>
    <n v="71900"/>
    <x v="1"/>
  </r>
  <r>
    <n v="100961"/>
    <n v="54"/>
    <n v="75400"/>
    <x v="1"/>
    <n v="66200"/>
    <n v="0"/>
    <x v="1"/>
    <x v="1"/>
    <x v="1"/>
    <d v="2024-09-07T00:00:00"/>
    <n v="66200"/>
    <x v="1"/>
  </r>
  <r>
    <n v="100962"/>
    <n v="67"/>
    <n v="72200"/>
    <x v="2"/>
    <n v="0"/>
    <n v="0"/>
    <x v="6"/>
    <x v="1"/>
    <x v="1"/>
    <d v="2024-06-21T00:00:00"/>
    <n v="0"/>
    <x v="1"/>
  </r>
  <r>
    <n v="100963"/>
    <n v="63"/>
    <n v="103800"/>
    <x v="0"/>
    <n v="0"/>
    <n v="181000"/>
    <x v="4"/>
    <x v="1"/>
    <x v="1"/>
    <d v="2024-02-22T00:00:00"/>
    <n v="181000"/>
    <x v="1"/>
  </r>
  <r>
    <n v="100964"/>
    <n v="47"/>
    <n v="59500"/>
    <x v="1"/>
    <n v="0"/>
    <n v="0"/>
    <x v="3"/>
    <x v="0"/>
    <x v="1"/>
    <d v="2026-05-21T00:00:00"/>
    <n v="0"/>
    <x v="0"/>
  </r>
  <r>
    <n v="100965"/>
    <n v="69"/>
    <n v="92600"/>
    <x v="1"/>
    <n v="21700"/>
    <n v="238000"/>
    <x v="1"/>
    <x v="2"/>
    <x v="1"/>
    <d v="2026-08-13T00:00:00"/>
    <n v="259700"/>
    <x v="1"/>
  </r>
  <r>
    <n v="100966"/>
    <n v="61"/>
    <n v="60900"/>
    <x v="2"/>
    <n v="0"/>
    <n v="0"/>
    <x v="7"/>
    <x v="2"/>
    <x v="1"/>
    <d v="2024-01-07T00:00:00"/>
    <n v="0"/>
    <x v="0"/>
  </r>
  <r>
    <n v="100967"/>
    <n v="59"/>
    <n v="57100"/>
    <x v="1"/>
    <n v="25800"/>
    <n v="0"/>
    <x v="1"/>
    <x v="1"/>
    <x v="1"/>
    <d v="2025-05-18T00:00:00"/>
    <n v="25800"/>
    <x v="0"/>
  </r>
  <r>
    <n v="100968"/>
    <n v="32"/>
    <n v="33100"/>
    <x v="0"/>
    <n v="15200"/>
    <n v="0"/>
    <x v="4"/>
    <x v="0"/>
    <x v="1"/>
    <d v="2025-04-26T00:00:00"/>
    <n v="15200"/>
    <x v="0"/>
  </r>
  <r>
    <n v="100969"/>
    <n v="45"/>
    <n v="51500"/>
    <x v="1"/>
    <n v="0"/>
    <n v="0"/>
    <x v="5"/>
    <x v="2"/>
    <x v="1"/>
    <d v="2025-03-25T00:00:00"/>
    <n v="0"/>
    <x v="0"/>
  </r>
  <r>
    <n v="100970"/>
    <n v="62"/>
    <n v="90200"/>
    <x v="1"/>
    <n v="30100"/>
    <n v="0"/>
    <x v="3"/>
    <x v="2"/>
    <x v="1"/>
    <d v="2024-05-16T00:00:00"/>
    <n v="30100"/>
    <x v="1"/>
  </r>
  <r>
    <n v="100971"/>
    <n v="45"/>
    <n v="54500"/>
    <x v="1"/>
    <n v="44000"/>
    <n v="0"/>
    <x v="5"/>
    <x v="2"/>
    <x v="1"/>
    <d v="2025-05-22T00:00:00"/>
    <n v="44000"/>
    <x v="0"/>
  </r>
  <r>
    <n v="100972"/>
    <n v="71"/>
    <n v="74000"/>
    <x v="1"/>
    <n v="0"/>
    <n v="0"/>
    <x v="1"/>
    <x v="1"/>
    <x v="1"/>
    <d v="2026-08-03T00:00:00"/>
    <n v="0"/>
    <x v="1"/>
  </r>
  <r>
    <n v="100973"/>
    <n v="67"/>
    <n v="90700"/>
    <x v="1"/>
    <n v="14300"/>
    <n v="138000"/>
    <x v="6"/>
    <x v="1"/>
    <x v="1"/>
    <d v="2025-11-25T00:00:00"/>
    <n v="152300"/>
    <x v="1"/>
  </r>
  <r>
    <n v="100974"/>
    <n v="73"/>
    <n v="49500"/>
    <x v="2"/>
    <n v="0"/>
    <n v="0"/>
    <x v="5"/>
    <x v="2"/>
    <x v="1"/>
    <d v="2024-03-25T00:00:00"/>
    <n v="0"/>
    <x v="0"/>
  </r>
  <r>
    <n v="100975"/>
    <n v="68"/>
    <n v="55000"/>
    <x v="0"/>
    <n v="0"/>
    <n v="166000"/>
    <x v="0"/>
    <x v="0"/>
    <x v="1"/>
    <d v="2025-12-18T00:00:00"/>
    <n v="166000"/>
    <x v="0"/>
  </r>
  <r>
    <n v="100976"/>
    <n v="35"/>
    <n v="72700"/>
    <x v="1"/>
    <n v="52900"/>
    <n v="264000"/>
    <x v="4"/>
    <x v="2"/>
    <x v="1"/>
    <d v="2025-10-06T00:00:00"/>
    <n v="316900"/>
    <x v="1"/>
  </r>
  <r>
    <n v="100977"/>
    <n v="60"/>
    <n v="38000"/>
    <x v="1"/>
    <n v="22200"/>
    <n v="0"/>
    <x v="4"/>
    <x v="1"/>
    <x v="1"/>
    <d v="2024-04-03T00:00:00"/>
    <n v="22200"/>
    <x v="0"/>
  </r>
  <r>
    <n v="100978"/>
    <n v="75"/>
    <n v="29700"/>
    <x v="1"/>
    <n v="37100"/>
    <n v="0"/>
    <x v="2"/>
    <x v="1"/>
    <x v="1"/>
    <d v="2025-03-13T00:00:00"/>
    <n v="37100"/>
    <x v="0"/>
  </r>
  <r>
    <n v="100979"/>
    <n v="61"/>
    <n v="29800"/>
    <x v="1"/>
    <n v="37200"/>
    <n v="0"/>
    <x v="3"/>
    <x v="1"/>
    <x v="0"/>
    <d v="2024-02-11T00:00:00"/>
    <n v="37200"/>
    <x v="0"/>
  </r>
  <r>
    <n v="100980"/>
    <n v="20"/>
    <n v="29800"/>
    <x v="0"/>
    <n v="32200"/>
    <n v="0"/>
    <x v="0"/>
    <x v="1"/>
    <x v="1"/>
    <d v="2025-05-18T00:00:00"/>
    <n v="32200"/>
    <x v="0"/>
  </r>
  <r>
    <n v="100981"/>
    <n v="43"/>
    <n v="49000"/>
    <x v="1"/>
    <n v="45200"/>
    <n v="0"/>
    <x v="4"/>
    <x v="1"/>
    <x v="1"/>
    <d v="2025-01-05T00:00:00"/>
    <n v="45200"/>
    <x v="0"/>
  </r>
  <r>
    <n v="100982"/>
    <n v="67"/>
    <n v="83300"/>
    <x v="0"/>
    <n v="42900"/>
    <n v="185000"/>
    <x v="0"/>
    <x v="2"/>
    <x v="1"/>
    <d v="2024-05-03T00:00:00"/>
    <n v="227900"/>
    <x v="1"/>
  </r>
  <r>
    <n v="100983"/>
    <n v="22"/>
    <n v="66200"/>
    <x v="2"/>
    <n v="18400"/>
    <n v="0"/>
    <x v="0"/>
    <x v="2"/>
    <x v="1"/>
    <d v="2024-12-17T00:00:00"/>
    <n v="18400"/>
    <x v="0"/>
  </r>
  <r>
    <n v="100984"/>
    <n v="39"/>
    <n v="78000"/>
    <x v="2"/>
    <n v="47900"/>
    <n v="147000"/>
    <x v="5"/>
    <x v="0"/>
    <x v="1"/>
    <d v="2026-05-16T00:00:00"/>
    <n v="194900"/>
    <x v="1"/>
  </r>
  <r>
    <n v="100985"/>
    <n v="55"/>
    <n v="114300"/>
    <x v="2"/>
    <n v="47700"/>
    <n v="0"/>
    <x v="0"/>
    <x v="2"/>
    <x v="1"/>
    <d v="2025-05-30T00:00:00"/>
    <n v="47700"/>
    <x v="1"/>
  </r>
  <r>
    <n v="100986"/>
    <n v="70"/>
    <n v="25700"/>
    <x v="0"/>
    <n v="15500"/>
    <n v="222000"/>
    <x v="3"/>
    <x v="0"/>
    <x v="1"/>
    <d v="2025-12-02T00:00:00"/>
    <n v="237500"/>
    <x v="0"/>
  </r>
  <r>
    <n v="100987"/>
    <n v="54"/>
    <n v="94200"/>
    <x v="2"/>
    <n v="50300"/>
    <n v="0"/>
    <x v="1"/>
    <x v="2"/>
    <x v="1"/>
    <d v="2024-07-07T00:00:00"/>
    <n v="50300"/>
    <x v="1"/>
  </r>
  <r>
    <n v="100988"/>
    <n v="20"/>
    <n v="38700"/>
    <x v="1"/>
    <n v="48400"/>
    <n v="0"/>
    <x v="7"/>
    <x v="1"/>
    <x v="1"/>
    <d v="2024-09-22T00:00:00"/>
    <n v="48400"/>
    <x v="0"/>
  </r>
  <r>
    <n v="100989"/>
    <n v="39"/>
    <n v="91900"/>
    <x v="1"/>
    <n v="14900"/>
    <n v="215000"/>
    <x v="5"/>
    <x v="2"/>
    <x v="1"/>
    <d v="2026-06-23T00:00:00"/>
    <n v="229900"/>
    <x v="1"/>
  </r>
  <r>
    <n v="100990"/>
    <n v="37"/>
    <n v="103200"/>
    <x v="1"/>
    <n v="0"/>
    <n v="0"/>
    <x v="3"/>
    <x v="3"/>
    <x v="1"/>
    <d v="2024-08-03T00:00:00"/>
    <n v="0"/>
    <x v="1"/>
  </r>
  <r>
    <n v="100991"/>
    <n v="54"/>
    <n v="35700"/>
    <x v="0"/>
    <n v="44600"/>
    <n v="0"/>
    <x v="5"/>
    <x v="0"/>
    <x v="1"/>
    <d v="2025-09-18T00:00:00"/>
    <n v="44600"/>
    <x v="0"/>
  </r>
  <r>
    <n v="100992"/>
    <n v="38"/>
    <n v="48400"/>
    <x v="1"/>
    <n v="0"/>
    <n v="0"/>
    <x v="3"/>
    <x v="0"/>
    <x v="1"/>
    <d v="2024-10-13T00:00:00"/>
    <n v="0"/>
    <x v="0"/>
  </r>
  <r>
    <n v="100993"/>
    <n v="31"/>
    <n v="44400"/>
    <x v="1"/>
    <n v="55500"/>
    <n v="0"/>
    <x v="0"/>
    <x v="0"/>
    <x v="1"/>
    <d v="2026-08-26T00:00:00"/>
    <n v="55500"/>
    <x v="0"/>
  </r>
  <r>
    <n v="100994"/>
    <n v="61"/>
    <n v="44400"/>
    <x v="0"/>
    <n v="19100"/>
    <n v="0"/>
    <x v="2"/>
    <x v="1"/>
    <x v="1"/>
    <d v="2026-04-07T00:00:00"/>
    <n v="19100"/>
    <x v="0"/>
  </r>
  <r>
    <n v="100995"/>
    <n v="74"/>
    <n v="80600"/>
    <x v="1"/>
    <n v="48400"/>
    <n v="0"/>
    <x v="7"/>
    <x v="2"/>
    <x v="1"/>
    <d v="2024-07-08T00:00:00"/>
    <n v="48400"/>
    <x v="1"/>
  </r>
  <r>
    <n v="100996"/>
    <n v="72"/>
    <n v="93200"/>
    <x v="1"/>
    <n v="48600"/>
    <n v="0"/>
    <x v="6"/>
    <x v="2"/>
    <x v="1"/>
    <d v="2026-04-17T00:00:00"/>
    <n v="48600"/>
    <x v="1"/>
  </r>
  <r>
    <n v="100997"/>
    <n v="45"/>
    <n v="74500"/>
    <x v="1"/>
    <n v="29700"/>
    <n v="0"/>
    <x v="1"/>
    <x v="2"/>
    <x v="1"/>
    <d v="2026-01-14T00:00:00"/>
    <n v="29700"/>
    <x v="1"/>
  </r>
  <r>
    <n v="100998"/>
    <n v="68"/>
    <n v="86500"/>
    <x v="0"/>
    <n v="7400"/>
    <n v="0"/>
    <x v="6"/>
    <x v="2"/>
    <x v="1"/>
    <d v="2024-10-01T00:00:00"/>
    <n v="7400"/>
    <x v="1"/>
  </r>
  <r>
    <n v="100999"/>
    <n v="29"/>
    <n v="105400"/>
    <x v="0"/>
    <n v="0"/>
    <n v="283000"/>
    <x v="2"/>
    <x v="0"/>
    <x v="1"/>
    <d v="2024-03-28T00:00:00"/>
    <n v="283000"/>
    <x v="1"/>
  </r>
  <r>
    <n v="101000"/>
    <n v="32"/>
    <n v="37300"/>
    <x v="0"/>
    <n v="0"/>
    <n v="0"/>
    <x v="5"/>
    <x v="1"/>
    <x v="1"/>
    <d v="2024-06-07T00:00:00"/>
    <n v="0"/>
    <x v="0"/>
  </r>
  <r>
    <n v="101001"/>
    <n v="35"/>
    <n v="30300"/>
    <x v="0"/>
    <n v="15200"/>
    <n v="0"/>
    <x v="0"/>
    <x v="0"/>
    <x v="0"/>
    <d v="2026-06-26T00:00:00"/>
    <n v="15200"/>
    <x v="0"/>
  </r>
  <r>
    <n v="101002"/>
    <n v="73"/>
    <n v="54100"/>
    <x v="1"/>
    <n v="20000"/>
    <n v="0"/>
    <x v="2"/>
    <x v="1"/>
    <x v="1"/>
    <d v="2026-06-19T00:00:00"/>
    <n v="20000"/>
    <x v="0"/>
  </r>
  <r>
    <n v="101003"/>
    <n v="63"/>
    <n v="52100"/>
    <x v="2"/>
    <n v="0"/>
    <n v="142000"/>
    <x v="0"/>
    <x v="2"/>
    <x v="1"/>
    <d v="2024-10-15T00:00:00"/>
    <n v="142000"/>
    <x v="0"/>
  </r>
  <r>
    <n v="101004"/>
    <n v="42"/>
    <n v="32300"/>
    <x v="1"/>
    <n v="40400"/>
    <n v="101000"/>
    <x v="4"/>
    <x v="1"/>
    <x v="1"/>
    <d v="2025-09-06T00:00:00"/>
    <n v="141400"/>
    <x v="0"/>
  </r>
  <r>
    <n v="101005"/>
    <n v="31"/>
    <n v="73800"/>
    <x v="1"/>
    <n v="23500"/>
    <n v="0"/>
    <x v="2"/>
    <x v="0"/>
    <x v="1"/>
    <d v="2025-05-26T00:00:00"/>
    <n v="23500"/>
    <x v="1"/>
  </r>
  <r>
    <n v="101006"/>
    <n v="62"/>
    <n v="51100"/>
    <x v="1"/>
    <n v="0"/>
    <n v="0"/>
    <x v="6"/>
    <x v="0"/>
    <x v="1"/>
    <d v="2024-06-01T00:00:00"/>
    <n v="0"/>
    <x v="0"/>
  </r>
  <r>
    <n v="101007"/>
    <n v="69"/>
    <n v="71800"/>
    <x v="1"/>
    <n v="48000"/>
    <n v="0"/>
    <x v="7"/>
    <x v="0"/>
    <x v="1"/>
    <d v="2025-03-13T00:00:00"/>
    <n v="48000"/>
    <x v="1"/>
  </r>
  <r>
    <n v="101008"/>
    <n v="66"/>
    <n v="45700"/>
    <x v="1"/>
    <n v="0"/>
    <n v="185000"/>
    <x v="2"/>
    <x v="1"/>
    <x v="1"/>
    <d v="2025-05-07T00:00:00"/>
    <n v="185000"/>
    <x v="0"/>
  </r>
  <r>
    <n v="101009"/>
    <n v="64"/>
    <n v="113600"/>
    <x v="0"/>
    <n v="16000"/>
    <n v="0"/>
    <x v="3"/>
    <x v="2"/>
    <x v="1"/>
    <d v="2025-07-05T00:00:00"/>
    <n v="16000"/>
    <x v="1"/>
  </r>
  <r>
    <n v="101010"/>
    <n v="54"/>
    <n v="59300"/>
    <x v="0"/>
    <n v="12900"/>
    <n v="0"/>
    <x v="3"/>
    <x v="1"/>
    <x v="1"/>
    <d v="2024-01-03T00:00:00"/>
    <n v="12900"/>
    <x v="0"/>
  </r>
  <r>
    <n v="101011"/>
    <n v="33"/>
    <n v="122200"/>
    <x v="1"/>
    <n v="73600"/>
    <n v="0"/>
    <x v="6"/>
    <x v="0"/>
    <x v="1"/>
    <d v="2026-05-19T00:00:00"/>
    <n v="73600"/>
    <x v="1"/>
  </r>
  <r>
    <n v="101012"/>
    <n v="75"/>
    <n v="83300"/>
    <x v="1"/>
    <n v="57700"/>
    <n v="0"/>
    <x v="1"/>
    <x v="2"/>
    <x v="1"/>
    <d v="2024-02-27T00:00:00"/>
    <n v="57700"/>
    <x v="1"/>
  </r>
  <r>
    <n v="101013"/>
    <n v="67"/>
    <n v="37200"/>
    <x v="2"/>
    <n v="27200"/>
    <n v="364000"/>
    <x v="2"/>
    <x v="2"/>
    <x v="1"/>
    <d v="2025-08-18T00:00:00"/>
    <n v="391200"/>
    <x v="0"/>
  </r>
  <r>
    <n v="101014"/>
    <n v="24"/>
    <n v="58200"/>
    <x v="0"/>
    <n v="16400"/>
    <n v="159000"/>
    <x v="6"/>
    <x v="1"/>
    <x v="1"/>
    <d v="2024-06-02T00:00:00"/>
    <n v="175400"/>
    <x v="0"/>
  </r>
  <r>
    <n v="101015"/>
    <n v="68"/>
    <n v="40100"/>
    <x v="0"/>
    <n v="0"/>
    <n v="0"/>
    <x v="5"/>
    <x v="1"/>
    <x v="1"/>
    <d v="2026-01-09T00:00:00"/>
    <n v="0"/>
    <x v="0"/>
  </r>
  <r>
    <n v="101016"/>
    <n v="41"/>
    <n v="56000"/>
    <x v="0"/>
    <n v="14500"/>
    <n v="241000"/>
    <x v="4"/>
    <x v="1"/>
    <x v="0"/>
    <d v="2026-05-02T00:00:00"/>
    <n v="255500"/>
    <x v="0"/>
  </r>
  <r>
    <n v="101017"/>
    <n v="47"/>
    <n v="73800"/>
    <x v="2"/>
    <n v="57100"/>
    <n v="0"/>
    <x v="5"/>
    <x v="1"/>
    <x v="1"/>
    <d v="2024-06-09T00:00:00"/>
    <n v="57100"/>
    <x v="1"/>
  </r>
  <r>
    <n v="101018"/>
    <n v="37"/>
    <n v="113700"/>
    <x v="0"/>
    <n v="0"/>
    <n v="152000"/>
    <x v="6"/>
    <x v="2"/>
    <x v="1"/>
    <d v="2024-07-07T00:00:00"/>
    <n v="152000"/>
    <x v="1"/>
  </r>
  <r>
    <n v="101019"/>
    <n v="72"/>
    <n v="80000"/>
    <x v="0"/>
    <n v="0"/>
    <n v="0"/>
    <x v="7"/>
    <x v="2"/>
    <x v="1"/>
    <d v="2025-10-30T00:00:00"/>
    <n v="0"/>
    <x v="1"/>
  </r>
  <r>
    <n v="101020"/>
    <n v="61"/>
    <n v="53400"/>
    <x v="1"/>
    <n v="26900"/>
    <n v="0"/>
    <x v="5"/>
    <x v="2"/>
    <x v="1"/>
    <d v="2025-09-09T00:00:00"/>
    <n v="26900"/>
    <x v="0"/>
  </r>
  <r>
    <n v="101021"/>
    <n v="69"/>
    <n v="91100"/>
    <x v="1"/>
    <n v="36100"/>
    <n v="230000"/>
    <x v="5"/>
    <x v="2"/>
    <x v="1"/>
    <d v="2026-08-09T00:00:00"/>
    <n v="266100"/>
    <x v="1"/>
  </r>
  <r>
    <n v="101022"/>
    <n v="22"/>
    <n v="43500"/>
    <x v="1"/>
    <n v="9900"/>
    <n v="0"/>
    <x v="7"/>
    <x v="2"/>
    <x v="1"/>
    <d v="2026-08-24T00:00:00"/>
    <n v="9900"/>
    <x v="0"/>
  </r>
  <r>
    <n v="101023"/>
    <n v="39"/>
    <n v="22800"/>
    <x v="1"/>
    <n v="28200"/>
    <n v="0"/>
    <x v="1"/>
    <x v="0"/>
    <x v="1"/>
    <d v="2025-12-20T00:00:00"/>
    <n v="28200"/>
    <x v="0"/>
  </r>
  <r>
    <n v="101024"/>
    <n v="63"/>
    <n v="34200"/>
    <x v="1"/>
    <n v="0"/>
    <n v="288000"/>
    <x v="4"/>
    <x v="2"/>
    <x v="1"/>
    <d v="2026-03-26T00:00:00"/>
    <n v="288000"/>
    <x v="0"/>
  </r>
  <r>
    <n v="101025"/>
    <n v="44"/>
    <n v="58200"/>
    <x v="2"/>
    <n v="17100"/>
    <n v="0"/>
    <x v="0"/>
    <x v="0"/>
    <x v="0"/>
    <d v="2026-01-05T00:00:00"/>
    <n v="17100"/>
    <x v="0"/>
  </r>
  <r>
    <n v="101026"/>
    <n v="34"/>
    <n v="96200"/>
    <x v="0"/>
    <n v="51700"/>
    <n v="363000"/>
    <x v="2"/>
    <x v="2"/>
    <x v="1"/>
    <d v="2024-10-24T00:00:00"/>
    <n v="414700"/>
    <x v="1"/>
  </r>
  <r>
    <n v="101027"/>
    <n v="43"/>
    <n v="69100"/>
    <x v="2"/>
    <n v="47300"/>
    <n v="0"/>
    <x v="3"/>
    <x v="2"/>
    <x v="1"/>
    <d v="2024-03-17T00:00:00"/>
    <n v="47300"/>
    <x v="0"/>
  </r>
  <r>
    <n v="101028"/>
    <n v="29"/>
    <n v="64700"/>
    <x v="2"/>
    <n v="6600"/>
    <n v="0"/>
    <x v="5"/>
    <x v="1"/>
    <x v="1"/>
    <d v="2026-03-11T00:00:00"/>
    <n v="6600"/>
    <x v="0"/>
  </r>
  <r>
    <n v="101029"/>
    <n v="25"/>
    <n v="59700"/>
    <x v="1"/>
    <n v="23200"/>
    <n v="225000"/>
    <x v="2"/>
    <x v="2"/>
    <x v="1"/>
    <d v="2026-03-01T00:00:00"/>
    <n v="248200"/>
    <x v="0"/>
  </r>
  <r>
    <n v="101030"/>
    <n v="49"/>
    <n v="44500"/>
    <x v="1"/>
    <n v="55600"/>
    <n v="0"/>
    <x v="4"/>
    <x v="3"/>
    <x v="1"/>
    <d v="2025-05-14T00:00:00"/>
    <n v="55600"/>
    <x v="0"/>
  </r>
  <r>
    <n v="101031"/>
    <n v="22"/>
    <n v="50800"/>
    <x v="1"/>
    <n v="40900"/>
    <n v="0"/>
    <x v="7"/>
    <x v="1"/>
    <x v="1"/>
    <d v="2024-11-17T00:00:00"/>
    <n v="40900"/>
    <x v="0"/>
  </r>
  <r>
    <n v="101032"/>
    <n v="43"/>
    <n v="33000"/>
    <x v="1"/>
    <n v="41200"/>
    <n v="0"/>
    <x v="6"/>
    <x v="0"/>
    <x v="1"/>
    <d v="2026-01-28T00:00:00"/>
    <n v="41200"/>
    <x v="0"/>
  </r>
  <r>
    <n v="101033"/>
    <n v="70"/>
    <n v="43700"/>
    <x v="2"/>
    <n v="54600"/>
    <n v="0"/>
    <x v="4"/>
    <x v="0"/>
    <x v="1"/>
    <d v="2024-08-16T00:00:00"/>
    <n v="54600"/>
    <x v="0"/>
  </r>
  <r>
    <n v="101034"/>
    <n v="44"/>
    <n v="94800"/>
    <x v="0"/>
    <n v="32000"/>
    <n v="0"/>
    <x v="7"/>
    <x v="2"/>
    <x v="1"/>
    <d v="2024-04-20T00:00:00"/>
    <n v="32000"/>
    <x v="1"/>
  </r>
  <r>
    <n v="101035"/>
    <n v="45"/>
    <n v="82200"/>
    <x v="1"/>
    <n v="24200"/>
    <n v="0"/>
    <x v="7"/>
    <x v="2"/>
    <x v="1"/>
    <d v="2024-04-27T00:00:00"/>
    <n v="24200"/>
    <x v="1"/>
  </r>
  <r>
    <n v="101036"/>
    <n v="37"/>
    <n v="56700"/>
    <x v="0"/>
    <n v="0"/>
    <n v="152000"/>
    <x v="6"/>
    <x v="3"/>
    <x v="1"/>
    <d v="2026-03-03T00:00:00"/>
    <n v="152000"/>
    <x v="0"/>
  </r>
  <r>
    <n v="101037"/>
    <n v="44"/>
    <n v="31000"/>
    <x v="0"/>
    <n v="0"/>
    <n v="0"/>
    <x v="3"/>
    <x v="2"/>
    <x v="1"/>
    <d v="2026-06-07T00:00:00"/>
    <n v="0"/>
    <x v="0"/>
  </r>
  <r>
    <n v="101038"/>
    <n v="21"/>
    <n v="108400"/>
    <x v="0"/>
    <n v="42000"/>
    <n v="112000"/>
    <x v="1"/>
    <x v="2"/>
    <x v="1"/>
    <d v="2025-04-07T00:00:00"/>
    <n v="154000"/>
    <x v="1"/>
  </r>
  <r>
    <n v="101039"/>
    <n v="75"/>
    <n v="54400"/>
    <x v="1"/>
    <n v="0"/>
    <n v="106000"/>
    <x v="1"/>
    <x v="1"/>
    <x v="1"/>
    <d v="2026-02-10T00:00:00"/>
    <n v="106000"/>
    <x v="0"/>
  </r>
  <r>
    <n v="101040"/>
    <n v="39"/>
    <n v="39000"/>
    <x v="1"/>
    <n v="32400"/>
    <n v="0"/>
    <x v="4"/>
    <x v="3"/>
    <x v="1"/>
    <d v="2026-07-23T00:00:00"/>
    <n v="32400"/>
    <x v="0"/>
  </r>
  <r>
    <n v="101041"/>
    <n v="64"/>
    <n v="64900"/>
    <x v="2"/>
    <n v="64100"/>
    <n v="262000"/>
    <x v="4"/>
    <x v="1"/>
    <x v="1"/>
    <d v="2026-08-19T00:00:00"/>
    <n v="326100"/>
    <x v="0"/>
  </r>
  <r>
    <n v="101042"/>
    <n v="66"/>
    <n v="79700"/>
    <x v="0"/>
    <n v="16600"/>
    <n v="0"/>
    <x v="4"/>
    <x v="2"/>
    <x v="1"/>
    <d v="2026-03-22T00:00:00"/>
    <n v="16600"/>
    <x v="1"/>
  </r>
  <r>
    <n v="101043"/>
    <n v="63"/>
    <n v="53500"/>
    <x v="0"/>
    <n v="31000"/>
    <n v="0"/>
    <x v="4"/>
    <x v="1"/>
    <x v="1"/>
    <d v="2025-08-15T00:00:00"/>
    <n v="31000"/>
    <x v="0"/>
  </r>
  <r>
    <n v="101044"/>
    <n v="26"/>
    <n v="27900"/>
    <x v="0"/>
    <n v="34900"/>
    <n v="0"/>
    <x v="1"/>
    <x v="1"/>
    <x v="1"/>
    <d v="2024-07-14T00:00:00"/>
    <n v="34900"/>
    <x v="0"/>
  </r>
  <r>
    <n v="101045"/>
    <n v="63"/>
    <n v="65400"/>
    <x v="1"/>
    <n v="0"/>
    <n v="324000"/>
    <x v="0"/>
    <x v="1"/>
    <x v="1"/>
    <d v="2025-10-26T00:00:00"/>
    <n v="324000"/>
    <x v="0"/>
  </r>
  <r>
    <n v="101046"/>
    <n v="49"/>
    <n v="54000"/>
    <x v="1"/>
    <n v="0"/>
    <n v="0"/>
    <x v="2"/>
    <x v="2"/>
    <x v="1"/>
    <d v="2024-06-29T00:00:00"/>
    <n v="0"/>
    <x v="0"/>
  </r>
  <r>
    <n v="101047"/>
    <n v="49"/>
    <n v="54900"/>
    <x v="1"/>
    <n v="36200"/>
    <n v="0"/>
    <x v="1"/>
    <x v="1"/>
    <x v="1"/>
    <d v="2026-08-18T00:00:00"/>
    <n v="36200"/>
    <x v="0"/>
  </r>
  <r>
    <n v="101048"/>
    <n v="74"/>
    <n v="34300"/>
    <x v="1"/>
    <n v="0"/>
    <n v="86000"/>
    <x v="1"/>
    <x v="2"/>
    <x v="1"/>
    <d v="2026-02-06T00:00:00"/>
    <n v="86000"/>
    <x v="0"/>
  </r>
  <r>
    <n v="101049"/>
    <n v="68"/>
    <n v="69100"/>
    <x v="0"/>
    <n v="33900"/>
    <n v="0"/>
    <x v="5"/>
    <x v="0"/>
    <x v="1"/>
    <d v="2026-03-06T00:00:00"/>
    <n v="33900"/>
    <x v="0"/>
  </r>
  <r>
    <n v="101050"/>
    <n v="49"/>
    <n v="63500"/>
    <x v="1"/>
    <n v="0"/>
    <n v="0"/>
    <x v="2"/>
    <x v="3"/>
    <x v="1"/>
    <d v="2026-07-24T00:00:00"/>
    <n v="0"/>
    <x v="0"/>
  </r>
  <r>
    <n v="101051"/>
    <n v="49"/>
    <n v="53900"/>
    <x v="2"/>
    <n v="49500"/>
    <n v="183000"/>
    <x v="3"/>
    <x v="1"/>
    <x v="1"/>
    <d v="2025-11-05T00:00:00"/>
    <n v="232500"/>
    <x v="0"/>
  </r>
  <r>
    <n v="101052"/>
    <n v="36"/>
    <n v="47400"/>
    <x v="2"/>
    <n v="0"/>
    <n v="0"/>
    <x v="6"/>
    <x v="0"/>
    <x v="1"/>
    <d v="2025-02-28T00:00:00"/>
    <n v="0"/>
    <x v="0"/>
  </r>
  <r>
    <n v="101053"/>
    <n v="22"/>
    <n v="24500"/>
    <x v="1"/>
    <n v="30600"/>
    <n v="0"/>
    <x v="2"/>
    <x v="1"/>
    <x v="1"/>
    <d v="2025-03-16T00:00:00"/>
    <n v="30600"/>
    <x v="0"/>
  </r>
  <r>
    <n v="101054"/>
    <n v="35"/>
    <n v="63800"/>
    <x v="1"/>
    <n v="28000"/>
    <n v="342000"/>
    <x v="1"/>
    <x v="2"/>
    <x v="1"/>
    <d v="2026-01-15T00:00:00"/>
    <n v="370000"/>
    <x v="0"/>
  </r>
  <r>
    <n v="101055"/>
    <n v="31"/>
    <n v="53300"/>
    <x v="1"/>
    <n v="20200"/>
    <n v="0"/>
    <x v="4"/>
    <x v="1"/>
    <x v="1"/>
    <d v="2026-03-14T00:00:00"/>
    <n v="20200"/>
    <x v="0"/>
  </r>
  <r>
    <n v="101056"/>
    <n v="45"/>
    <n v="90700"/>
    <x v="0"/>
    <n v="36800"/>
    <n v="0"/>
    <x v="3"/>
    <x v="2"/>
    <x v="1"/>
    <d v="2024-01-12T00:00:00"/>
    <n v="36800"/>
    <x v="1"/>
  </r>
  <r>
    <n v="101057"/>
    <n v="60"/>
    <n v="82400"/>
    <x v="1"/>
    <n v="36200"/>
    <n v="0"/>
    <x v="1"/>
    <x v="2"/>
    <x v="1"/>
    <d v="2025-04-09T00:00:00"/>
    <n v="36200"/>
    <x v="1"/>
  </r>
  <r>
    <n v="101058"/>
    <n v="60"/>
    <n v="69700"/>
    <x v="1"/>
    <n v="64600"/>
    <n v="0"/>
    <x v="3"/>
    <x v="0"/>
    <x v="1"/>
    <d v="2025-01-22T00:00:00"/>
    <n v="64600"/>
    <x v="0"/>
  </r>
  <r>
    <n v="101059"/>
    <n v="69"/>
    <n v="44600"/>
    <x v="1"/>
    <n v="16200"/>
    <n v="383000"/>
    <x v="0"/>
    <x v="2"/>
    <x v="1"/>
    <d v="2024-05-05T00:00:00"/>
    <n v="399200"/>
    <x v="0"/>
  </r>
  <r>
    <n v="101060"/>
    <n v="26"/>
    <n v="37500"/>
    <x v="1"/>
    <n v="12400"/>
    <n v="0"/>
    <x v="3"/>
    <x v="1"/>
    <x v="1"/>
    <d v="2024-01-23T00:00:00"/>
    <n v="12400"/>
    <x v="0"/>
  </r>
  <r>
    <n v="101061"/>
    <n v="46"/>
    <n v="32100"/>
    <x v="2"/>
    <n v="40100"/>
    <n v="0"/>
    <x v="2"/>
    <x v="0"/>
    <x v="1"/>
    <d v="2024-06-13T00:00:00"/>
    <n v="40100"/>
    <x v="0"/>
  </r>
  <r>
    <n v="101062"/>
    <n v="31"/>
    <n v="46900"/>
    <x v="2"/>
    <n v="41700"/>
    <n v="0"/>
    <x v="0"/>
    <x v="3"/>
    <x v="1"/>
    <d v="2025-05-10T00:00:00"/>
    <n v="41700"/>
    <x v="0"/>
  </r>
  <r>
    <n v="101063"/>
    <n v="59"/>
    <n v="67200"/>
    <x v="1"/>
    <n v="21300"/>
    <n v="232000"/>
    <x v="6"/>
    <x v="1"/>
    <x v="1"/>
    <d v="2024-08-09T00:00:00"/>
    <n v="253300"/>
    <x v="0"/>
  </r>
  <r>
    <n v="101064"/>
    <n v="75"/>
    <n v="50900"/>
    <x v="2"/>
    <n v="16000"/>
    <n v="253000"/>
    <x v="4"/>
    <x v="2"/>
    <x v="1"/>
    <d v="2024-04-04T00:00:00"/>
    <n v="269000"/>
    <x v="0"/>
  </r>
  <r>
    <n v="101065"/>
    <n v="42"/>
    <n v="76400"/>
    <x v="0"/>
    <n v="55200"/>
    <n v="0"/>
    <x v="1"/>
    <x v="0"/>
    <x v="1"/>
    <d v="2024-07-21T00:00:00"/>
    <n v="55200"/>
    <x v="1"/>
  </r>
  <r>
    <n v="101066"/>
    <n v="63"/>
    <n v="91000"/>
    <x v="0"/>
    <n v="0"/>
    <n v="284000"/>
    <x v="5"/>
    <x v="2"/>
    <x v="1"/>
    <d v="2024-07-29T00:00:00"/>
    <n v="284000"/>
    <x v="1"/>
  </r>
  <r>
    <n v="101067"/>
    <n v="66"/>
    <n v="59000"/>
    <x v="2"/>
    <n v="50000"/>
    <n v="0"/>
    <x v="0"/>
    <x v="1"/>
    <x v="1"/>
    <d v="2025-08-03T00:00:00"/>
    <n v="50000"/>
    <x v="0"/>
  </r>
  <r>
    <n v="101068"/>
    <n v="42"/>
    <n v="51400"/>
    <x v="0"/>
    <n v="17300"/>
    <n v="210000"/>
    <x v="1"/>
    <x v="2"/>
    <x v="1"/>
    <d v="2025-10-22T00:00:00"/>
    <n v="227300"/>
    <x v="0"/>
  </r>
  <r>
    <n v="101069"/>
    <n v="53"/>
    <n v="50100"/>
    <x v="1"/>
    <n v="24500"/>
    <n v="0"/>
    <x v="2"/>
    <x v="2"/>
    <x v="1"/>
    <d v="2025-01-15T00:00:00"/>
    <n v="24500"/>
    <x v="0"/>
  </r>
  <r>
    <n v="101070"/>
    <n v="43"/>
    <n v="37700"/>
    <x v="1"/>
    <n v="45600"/>
    <n v="0"/>
    <x v="3"/>
    <x v="1"/>
    <x v="1"/>
    <d v="2026-07-09T00:00:00"/>
    <n v="45600"/>
    <x v="0"/>
  </r>
  <r>
    <n v="101071"/>
    <n v="34"/>
    <n v="64300"/>
    <x v="1"/>
    <n v="35300"/>
    <n v="165000"/>
    <x v="0"/>
    <x v="1"/>
    <x v="1"/>
    <d v="2025-11-29T00:00:00"/>
    <n v="200300"/>
    <x v="0"/>
  </r>
  <r>
    <n v="101072"/>
    <n v="68"/>
    <n v="55400"/>
    <x v="0"/>
    <n v="10400"/>
    <n v="0"/>
    <x v="6"/>
    <x v="3"/>
    <x v="1"/>
    <d v="2024-05-07T00:00:00"/>
    <n v="10400"/>
    <x v="0"/>
  </r>
  <r>
    <n v="101073"/>
    <n v="48"/>
    <n v="39400"/>
    <x v="1"/>
    <n v="38200"/>
    <n v="0"/>
    <x v="6"/>
    <x v="3"/>
    <x v="1"/>
    <d v="2026-05-11T00:00:00"/>
    <n v="38200"/>
    <x v="0"/>
  </r>
  <r>
    <n v="101074"/>
    <n v="45"/>
    <n v="28000"/>
    <x v="0"/>
    <n v="25200"/>
    <n v="202000"/>
    <x v="1"/>
    <x v="0"/>
    <x v="1"/>
    <d v="2026-02-10T00:00:00"/>
    <n v="227200"/>
    <x v="0"/>
  </r>
  <r>
    <n v="101075"/>
    <n v="42"/>
    <n v="53100"/>
    <x v="0"/>
    <n v="40400"/>
    <n v="0"/>
    <x v="7"/>
    <x v="1"/>
    <x v="1"/>
    <d v="2026-07-21T00:00:00"/>
    <n v="40400"/>
    <x v="0"/>
  </r>
  <r>
    <n v="101076"/>
    <n v="27"/>
    <n v="90700"/>
    <x v="2"/>
    <n v="19900"/>
    <n v="0"/>
    <x v="4"/>
    <x v="2"/>
    <x v="1"/>
    <d v="2025-12-05T00:00:00"/>
    <n v="19900"/>
    <x v="1"/>
  </r>
  <r>
    <n v="101077"/>
    <n v="66"/>
    <n v="55400"/>
    <x v="1"/>
    <n v="65100"/>
    <n v="0"/>
    <x v="6"/>
    <x v="0"/>
    <x v="1"/>
    <d v="2024-09-22T00:00:00"/>
    <n v="65100"/>
    <x v="0"/>
  </r>
  <r>
    <n v="101078"/>
    <n v="70"/>
    <n v="28800"/>
    <x v="1"/>
    <n v="21700"/>
    <n v="0"/>
    <x v="1"/>
    <x v="1"/>
    <x v="1"/>
    <d v="2024-05-21T00:00:00"/>
    <n v="21700"/>
    <x v="0"/>
  </r>
  <r>
    <n v="101079"/>
    <n v="57"/>
    <n v="57100"/>
    <x v="1"/>
    <n v="0"/>
    <n v="0"/>
    <x v="1"/>
    <x v="1"/>
    <x v="1"/>
    <d v="2025-11-15T00:00:00"/>
    <n v="0"/>
    <x v="0"/>
  </r>
  <r>
    <n v="101080"/>
    <n v="27"/>
    <n v="61300"/>
    <x v="1"/>
    <n v="33200"/>
    <n v="0"/>
    <x v="7"/>
    <x v="2"/>
    <x v="1"/>
    <d v="2024-10-30T00:00:00"/>
    <n v="33200"/>
    <x v="0"/>
  </r>
  <r>
    <n v="101081"/>
    <n v="65"/>
    <n v="32900"/>
    <x v="0"/>
    <n v="0"/>
    <n v="0"/>
    <x v="3"/>
    <x v="0"/>
    <x v="1"/>
    <d v="2024-03-17T00:00:00"/>
    <n v="0"/>
    <x v="0"/>
  </r>
  <r>
    <n v="101082"/>
    <n v="51"/>
    <n v="30700"/>
    <x v="1"/>
    <n v="38400"/>
    <n v="0"/>
    <x v="0"/>
    <x v="1"/>
    <x v="1"/>
    <d v="2026-02-18T00:00:00"/>
    <n v="38400"/>
    <x v="0"/>
  </r>
  <r>
    <n v="101083"/>
    <n v="53"/>
    <n v="60800"/>
    <x v="1"/>
    <n v="0"/>
    <n v="0"/>
    <x v="4"/>
    <x v="0"/>
    <x v="1"/>
    <d v="2024-04-18T00:00:00"/>
    <n v="0"/>
    <x v="0"/>
  </r>
  <r>
    <n v="101084"/>
    <n v="28"/>
    <n v="42300"/>
    <x v="1"/>
    <n v="0"/>
    <n v="0"/>
    <x v="3"/>
    <x v="0"/>
    <x v="1"/>
    <d v="2024-07-11T00:00:00"/>
    <n v="0"/>
    <x v="0"/>
  </r>
  <r>
    <n v="101085"/>
    <n v="24"/>
    <n v="45600"/>
    <x v="1"/>
    <n v="57000"/>
    <n v="0"/>
    <x v="4"/>
    <x v="1"/>
    <x v="1"/>
    <d v="2024-04-22T00:00:00"/>
    <n v="57000"/>
    <x v="0"/>
  </r>
  <r>
    <n v="101086"/>
    <n v="35"/>
    <n v="24700"/>
    <x v="1"/>
    <n v="30900"/>
    <n v="0"/>
    <x v="2"/>
    <x v="1"/>
    <x v="1"/>
    <d v="2024-03-27T00:00:00"/>
    <n v="30900"/>
    <x v="0"/>
  </r>
  <r>
    <n v="101087"/>
    <n v="42"/>
    <n v="55100"/>
    <x v="1"/>
    <n v="34200"/>
    <n v="164000"/>
    <x v="0"/>
    <x v="2"/>
    <x v="1"/>
    <d v="2026-08-08T00:00:00"/>
    <n v="198200"/>
    <x v="0"/>
  </r>
  <r>
    <n v="101088"/>
    <n v="47"/>
    <n v="40800"/>
    <x v="1"/>
    <n v="22300"/>
    <n v="0"/>
    <x v="1"/>
    <x v="2"/>
    <x v="1"/>
    <d v="2024-09-11T00:00:00"/>
    <n v="22300"/>
    <x v="0"/>
  </r>
  <r>
    <n v="101089"/>
    <n v="27"/>
    <n v="42300"/>
    <x v="1"/>
    <n v="21800"/>
    <n v="123000"/>
    <x v="3"/>
    <x v="3"/>
    <x v="1"/>
    <d v="2025-02-18T00:00:00"/>
    <n v="144800"/>
    <x v="0"/>
  </r>
  <r>
    <n v="101090"/>
    <n v="45"/>
    <n v="52600"/>
    <x v="1"/>
    <n v="0"/>
    <n v="0"/>
    <x v="7"/>
    <x v="2"/>
    <x v="1"/>
    <d v="2026-03-15T00:00:00"/>
    <n v="0"/>
    <x v="0"/>
  </r>
  <r>
    <n v="101091"/>
    <n v="33"/>
    <n v="49800"/>
    <x v="1"/>
    <n v="48900"/>
    <n v="209000"/>
    <x v="7"/>
    <x v="0"/>
    <x v="1"/>
    <d v="2025-12-05T00:00:00"/>
    <n v="257900"/>
    <x v="0"/>
  </r>
  <r>
    <n v="101092"/>
    <n v="35"/>
    <n v="39400"/>
    <x v="0"/>
    <n v="25000"/>
    <n v="0"/>
    <x v="6"/>
    <x v="0"/>
    <x v="1"/>
    <d v="2024-01-22T00:00:00"/>
    <n v="25000"/>
    <x v="0"/>
  </r>
  <r>
    <n v="101093"/>
    <n v="31"/>
    <n v="114100"/>
    <x v="2"/>
    <n v="51000"/>
    <n v="179000"/>
    <x v="7"/>
    <x v="1"/>
    <x v="1"/>
    <d v="2024-09-10T00:00:00"/>
    <n v="230000"/>
    <x v="1"/>
  </r>
  <r>
    <n v="101094"/>
    <n v="50"/>
    <n v="35100"/>
    <x v="0"/>
    <n v="43900"/>
    <n v="0"/>
    <x v="4"/>
    <x v="0"/>
    <x v="1"/>
    <d v="2024-04-12T00:00:00"/>
    <n v="43900"/>
    <x v="0"/>
  </r>
  <r>
    <n v="101095"/>
    <n v="39"/>
    <n v="86000"/>
    <x v="1"/>
    <n v="25900"/>
    <n v="0"/>
    <x v="7"/>
    <x v="2"/>
    <x v="1"/>
    <d v="2026-04-27T00:00:00"/>
    <n v="25900"/>
    <x v="1"/>
  </r>
  <r>
    <n v="101096"/>
    <n v="42"/>
    <n v="47000"/>
    <x v="1"/>
    <n v="43900"/>
    <n v="0"/>
    <x v="7"/>
    <x v="2"/>
    <x v="1"/>
    <d v="2026-01-15T00:00:00"/>
    <n v="43900"/>
    <x v="0"/>
  </r>
  <r>
    <n v="101097"/>
    <n v="60"/>
    <n v="25500"/>
    <x v="2"/>
    <n v="0"/>
    <n v="0"/>
    <x v="4"/>
    <x v="1"/>
    <x v="1"/>
    <d v="2024-02-01T00:00:00"/>
    <n v="0"/>
    <x v="0"/>
  </r>
  <r>
    <n v="101098"/>
    <n v="35"/>
    <n v="65500"/>
    <x v="0"/>
    <n v="19100"/>
    <n v="335000"/>
    <x v="1"/>
    <x v="1"/>
    <x v="1"/>
    <d v="2026-06-17T00:00:00"/>
    <n v="354100"/>
    <x v="0"/>
  </r>
  <r>
    <n v="101099"/>
    <n v="60"/>
    <n v="73700"/>
    <x v="2"/>
    <n v="73700"/>
    <n v="0"/>
    <x v="5"/>
    <x v="0"/>
    <x v="1"/>
    <d v="2024-12-05T00:00:00"/>
    <n v="73700"/>
    <x v="1"/>
  </r>
  <r>
    <n v="101100"/>
    <n v="45"/>
    <n v="66400"/>
    <x v="2"/>
    <n v="18400"/>
    <n v="0"/>
    <x v="2"/>
    <x v="0"/>
    <x v="1"/>
    <d v="2026-03-25T00:00:00"/>
    <n v="18400"/>
    <x v="0"/>
  </r>
  <r>
    <n v="101101"/>
    <n v="49"/>
    <n v="64600"/>
    <x v="0"/>
    <n v="14500"/>
    <n v="339000"/>
    <x v="4"/>
    <x v="1"/>
    <x v="1"/>
    <d v="2024-10-23T00:00:00"/>
    <n v="353500"/>
    <x v="0"/>
  </r>
  <r>
    <n v="101102"/>
    <n v="59"/>
    <n v="64000"/>
    <x v="1"/>
    <n v="11500"/>
    <n v="0"/>
    <x v="7"/>
    <x v="2"/>
    <x v="1"/>
    <d v="2025-08-30T00:00:00"/>
    <n v="11500"/>
    <x v="0"/>
  </r>
  <r>
    <n v="101103"/>
    <n v="27"/>
    <n v="30000"/>
    <x v="1"/>
    <n v="37500"/>
    <n v="160000"/>
    <x v="2"/>
    <x v="3"/>
    <x v="1"/>
    <d v="2025-05-29T00:00:00"/>
    <n v="197500"/>
    <x v="0"/>
  </r>
  <r>
    <n v="101104"/>
    <n v="62"/>
    <n v="109800"/>
    <x v="0"/>
    <n v="0"/>
    <n v="0"/>
    <x v="4"/>
    <x v="3"/>
    <x v="1"/>
    <d v="2024-07-20T00:00:00"/>
    <n v="0"/>
    <x v="1"/>
  </r>
  <r>
    <n v="101105"/>
    <n v="47"/>
    <n v="66100"/>
    <x v="1"/>
    <n v="32200"/>
    <n v="0"/>
    <x v="1"/>
    <x v="1"/>
    <x v="1"/>
    <d v="2024-04-10T00:00:00"/>
    <n v="32200"/>
    <x v="0"/>
  </r>
  <r>
    <n v="101106"/>
    <n v="36"/>
    <n v="102000"/>
    <x v="0"/>
    <n v="30200"/>
    <n v="0"/>
    <x v="4"/>
    <x v="1"/>
    <x v="1"/>
    <d v="2024-05-18T00:00:00"/>
    <n v="30200"/>
    <x v="1"/>
  </r>
  <r>
    <n v="101107"/>
    <n v="46"/>
    <n v="63700"/>
    <x v="1"/>
    <n v="37600"/>
    <n v="0"/>
    <x v="4"/>
    <x v="1"/>
    <x v="1"/>
    <d v="2025-03-23T00:00:00"/>
    <n v="37600"/>
    <x v="0"/>
  </r>
  <r>
    <n v="101108"/>
    <n v="26"/>
    <n v="37300"/>
    <x v="1"/>
    <n v="46600"/>
    <n v="0"/>
    <x v="7"/>
    <x v="1"/>
    <x v="1"/>
    <d v="2025-02-24T00:00:00"/>
    <n v="46600"/>
    <x v="0"/>
  </r>
  <r>
    <n v="101109"/>
    <n v="49"/>
    <n v="26600"/>
    <x v="0"/>
    <n v="0"/>
    <n v="0"/>
    <x v="4"/>
    <x v="0"/>
    <x v="1"/>
    <d v="2024-11-05T00:00:00"/>
    <n v="0"/>
    <x v="0"/>
  </r>
  <r>
    <n v="101110"/>
    <n v="70"/>
    <n v="43600"/>
    <x v="0"/>
    <n v="36200"/>
    <n v="0"/>
    <x v="5"/>
    <x v="2"/>
    <x v="1"/>
    <d v="2024-05-08T00:00:00"/>
    <n v="36200"/>
    <x v="0"/>
  </r>
  <r>
    <n v="101111"/>
    <n v="45"/>
    <n v="73000"/>
    <x v="1"/>
    <n v="0"/>
    <n v="0"/>
    <x v="6"/>
    <x v="2"/>
    <x v="1"/>
    <d v="2024-10-03T00:00:00"/>
    <n v="0"/>
    <x v="1"/>
  </r>
  <r>
    <n v="101112"/>
    <n v="73"/>
    <n v="118300"/>
    <x v="1"/>
    <n v="56400"/>
    <n v="0"/>
    <x v="2"/>
    <x v="0"/>
    <x v="1"/>
    <d v="2025-08-21T00:00:00"/>
    <n v="56400"/>
    <x v="1"/>
  </r>
  <r>
    <n v="101113"/>
    <n v="63"/>
    <n v="60600"/>
    <x v="0"/>
    <n v="34600"/>
    <n v="0"/>
    <x v="7"/>
    <x v="2"/>
    <x v="1"/>
    <d v="2025-10-17T00:00:00"/>
    <n v="34600"/>
    <x v="0"/>
  </r>
  <r>
    <n v="101114"/>
    <n v="74"/>
    <n v="38400"/>
    <x v="0"/>
    <n v="48000"/>
    <n v="0"/>
    <x v="3"/>
    <x v="2"/>
    <x v="0"/>
    <d v="2025-09-10T00:00:00"/>
    <n v="48000"/>
    <x v="0"/>
  </r>
  <r>
    <n v="101115"/>
    <n v="27"/>
    <n v="61200"/>
    <x v="1"/>
    <n v="7900"/>
    <n v="0"/>
    <x v="1"/>
    <x v="2"/>
    <x v="1"/>
    <d v="2025-02-18T00:00:00"/>
    <n v="7900"/>
    <x v="0"/>
  </r>
  <r>
    <n v="101116"/>
    <n v="50"/>
    <n v="116900"/>
    <x v="2"/>
    <n v="0"/>
    <n v="0"/>
    <x v="7"/>
    <x v="0"/>
    <x v="1"/>
    <d v="2025-09-23T00:00:00"/>
    <n v="0"/>
    <x v="1"/>
  </r>
  <r>
    <n v="101117"/>
    <n v="27"/>
    <n v="55200"/>
    <x v="0"/>
    <n v="56100"/>
    <n v="0"/>
    <x v="4"/>
    <x v="1"/>
    <x v="1"/>
    <d v="2024-07-24T00:00:00"/>
    <n v="56100"/>
    <x v="0"/>
  </r>
  <r>
    <n v="101118"/>
    <n v="50"/>
    <n v="58400"/>
    <x v="1"/>
    <n v="39000"/>
    <n v="0"/>
    <x v="5"/>
    <x v="1"/>
    <x v="1"/>
    <d v="2024-04-19T00:00:00"/>
    <n v="39000"/>
    <x v="0"/>
  </r>
  <r>
    <n v="101119"/>
    <n v="49"/>
    <n v="54200"/>
    <x v="1"/>
    <n v="31300"/>
    <n v="0"/>
    <x v="6"/>
    <x v="1"/>
    <x v="0"/>
    <d v="2025-10-28T00:00:00"/>
    <n v="31300"/>
    <x v="0"/>
  </r>
  <r>
    <n v="101120"/>
    <n v="62"/>
    <n v="68800"/>
    <x v="1"/>
    <n v="0"/>
    <n v="0"/>
    <x v="7"/>
    <x v="0"/>
    <x v="1"/>
    <d v="2025-04-14T00:00:00"/>
    <n v="0"/>
    <x v="0"/>
  </r>
  <r>
    <n v="101121"/>
    <n v="37"/>
    <n v="23000"/>
    <x v="1"/>
    <n v="28800"/>
    <n v="0"/>
    <x v="1"/>
    <x v="1"/>
    <x v="1"/>
    <d v="2024-06-04T00:00:00"/>
    <n v="28800"/>
    <x v="0"/>
  </r>
  <r>
    <n v="101122"/>
    <n v="42"/>
    <n v="71800"/>
    <x v="0"/>
    <n v="60100"/>
    <n v="281000"/>
    <x v="5"/>
    <x v="0"/>
    <x v="0"/>
    <d v="2026-05-09T00:00:00"/>
    <n v="341100"/>
    <x v="1"/>
  </r>
  <r>
    <n v="101123"/>
    <n v="61"/>
    <n v="58700"/>
    <x v="2"/>
    <n v="17900"/>
    <n v="0"/>
    <x v="5"/>
    <x v="2"/>
    <x v="1"/>
    <d v="2025-08-17T00:00:00"/>
    <n v="17900"/>
    <x v="0"/>
  </r>
  <r>
    <n v="101124"/>
    <n v="42"/>
    <n v="66000"/>
    <x v="2"/>
    <n v="8400"/>
    <n v="0"/>
    <x v="3"/>
    <x v="2"/>
    <x v="1"/>
    <d v="2026-08-14T00:00:00"/>
    <n v="8400"/>
    <x v="0"/>
  </r>
  <r>
    <n v="101125"/>
    <n v="63"/>
    <n v="58200"/>
    <x v="0"/>
    <n v="0"/>
    <n v="0"/>
    <x v="3"/>
    <x v="2"/>
    <x v="1"/>
    <d v="2026-06-20T00:00:00"/>
    <n v="0"/>
    <x v="0"/>
  </r>
  <r>
    <n v="101126"/>
    <n v="31"/>
    <n v="78200"/>
    <x v="1"/>
    <n v="0"/>
    <n v="0"/>
    <x v="6"/>
    <x v="1"/>
    <x v="1"/>
    <d v="2024-04-27T00:00:00"/>
    <n v="0"/>
    <x v="1"/>
  </r>
  <r>
    <n v="101127"/>
    <n v="22"/>
    <n v="91100"/>
    <x v="1"/>
    <n v="0"/>
    <n v="0"/>
    <x v="6"/>
    <x v="0"/>
    <x v="1"/>
    <d v="2024-11-24T00:00:00"/>
    <n v="0"/>
    <x v="1"/>
  </r>
  <r>
    <n v="101128"/>
    <n v="26"/>
    <n v="75500"/>
    <x v="1"/>
    <n v="0"/>
    <n v="0"/>
    <x v="3"/>
    <x v="2"/>
    <x v="1"/>
    <d v="2025-05-17T00:00:00"/>
    <n v="0"/>
    <x v="1"/>
  </r>
  <r>
    <n v="101129"/>
    <n v="48"/>
    <n v="73700"/>
    <x v="1"/>
    <n v="0"/>
    <n v="0"/>
    <x v="3"/>
    <x v="2"/>
    <x v="1"/>
    <d v="2024-01-25T00:00:00"/>
    <n v="0"/>
    <x v="1"/>
  </r>
  <r>
    <n v="101130"/>
    <n v="60"/>
    <n v="110100"/>
    <x v="1"/>
    <n v="16100"/>
    <n v="278000"/>
    <x v="0"/>
    <x v="2"/>
    <x v="1"/>
    <d v="2026-07-21T00:00:00"/>
    <n v="294100"/>
    <x v="1"/>
  </r>
  <r>
    <n v="101131"/>
    <n v="66"/>
    <n v="70600"/>
    <x v="1"/>
    <n v="0"/>
    <n v="0"/>
    <x v="7"/>
    <x v="1"/>
    <x v="1"/>
    <d v="2024-12-31T00:00:00"/>
    <n v="0"/>
    <x v="1"/>
  </r>
  <r>
    <n v="101132"/>
    <n v="59"/>
    <n v="98600"/>
    <x v="2"/>
    <n v="0"/>
    <n v="0"/>
    <x v="1"/>
    <x v="0"/>
    <x v="1"/>
    <d v="2025-08-05T00:00:00"/>
    <n v="0"/>
    <x v="1"/>
  </r>
  <r>
    <n v="101133"/>
    <n v="25"/>
    <n v="36500"/>
    <x v="0"/>
    <n v="33600"/>
    <n v="217000"/>
    <x v="6"/>
    <x v="1"/>
    <x v="1"/>
    <d v="2026-08-02T00:00:00"/>
    <n v="250600"/>
    <x v="0"/>
  </r>
  <r>
    <n v="101134"/>
    <n v="73"/>
    <n v="44100"/>
    <x v="0"/>
    <n v="55100"/>
    <n v="0"/>
    <x v="0"/>
    <x v="0"/>
    <x v="1"/>
    <d v="2025-06-14T00:00:00"/>
    <n v="55100"/>
    <x v="0"/>
  </r>
  <r>
    <n v="101135"/>
    <n v="59"/>
    <n v="59800"/>
    <x v="1"/>
    <n v="46200"/>
    <n v="202000"/>
    <x v="5"/>
    <x v="1"/>
    <x v="0"/>
    <d v="2025-03-07T00:00:00"/>
    <n v="248200"/>
    <x v="0"/>
  </r>
  <r>
    <n v="101136"/>
    <n v="36"/>
    <n v="41200"/>
    <x v="2"/>
    <n v="19000"/>
    <n v="0"/>
    <x v="2"/>
    <x v="3"/>
    <x v="1"/>
    <d v="2026-06-18T00:00:00"/>
    <n v="19000"/>
    <x v="0"/>
  </r>
  <r>
    <n v="101137"/>
    <n v="23"/>
    <n v="43200"/>
    <x v="1"/>
    <n v="0"/>
    <n v="0"/>
    <x v="6"/>
    <x v="1"/>
    <x v="1"/>
    <d v="2024-03-13T00:00:00"/>
    <n v="0"/>
    <x v="0"/>
  </r>
  <r>
    <n v="101138"/>
    <n v="46"/>
    <n v="67100"/>
    <x v="0"/>
    <n v="36700"/>
    <n v="0"/>
    <x v="5"/>
    <x v="0"/>
    <x v="0"/>
    <d v="2025-05-23T00:00:00"/>
    <n v="36700"/>
    <x v="0"/>
  </r>
  <r>
    <n v="101139"/>
    <n v="52"/>
    <n v="42600"/>
    <x v="1"/>
    <n v="52800"/>
    <n v="0"/>
    <x v="3"/>
    <x v="2"/>
    <x v="1"/>
    <d v="2026-03-03T00:00:00"/>
    <n v="52800"/>
    <x v="0"/>
  </r>
  <r>
    <n v="101140"/>
    <n v="70"/>
    <n v="86900"/>
    <x v="0"/>
    <n v="0"/>
    <n v="0"/>
    <x v="6"/>
    <x v="1"/>
    <x v="1"/>
    <d v="2024-02-23T00:00:00"/>
    <n v="0"/>
    <x v="1"/>
  </r>
  <r>
    <n v="101141"/>
    <n v="44"/>
    <n v="81900"/>
    <x v="0"/>
    <n v="29700"/>
    <n v="195000"/>
    <x v="2"/>
    <x v="2"/>
    <x v="1"/>
    <d v="2026-07-29T00:00:00"/>
    <n v="224700"/>
    <x v="1"/>
  </r>
  <r>
    <n v="101142"/>
    <n v="23"/>
    <n v="43300"/>
    <x v="1"/>
    <n v="29000"/>
    <n v="0"/>
    <x v="6"/>
    <x v="3"/>
    <x v="0"/>
    <d v="2026-01-07T00:00:00"/>
    <n v="29000"/>
    <x v="0"/>
  </r>
  <r>
    <n v="101143"/>
    <n v="35"/>
    <n v="87000"/>
    <x v="1"/>
    <n v="17900"/>
    <n v="178000"/>
    <x v="3"/>
    <x v="3"/>
    <x v="0"/>
    <d v="2025-02-11T00:00:00"/>
    <n v="195900"/>
    <x v="1"/>
  </r>
  <r>
    <n v="101144"/>
    <n v="50"/>
    <n v="71900"/>
    <x v="0"/>
    <n v="70200"/>
    <n v="257000"/>
    <x v="2"/>
    <x v="0"/>
    <x v="1"/>
    <d v="2025-03-30T00:00:00"/>
    <n v="327200"/>
    <x v="1"/>
  </r>
  <r>
    <n v="101145"/>
    <n v="65"/>
    <n v="47100"/>
    <x v="1"/>
    <n v="58900"/>
    <n v="0"/>
    <x v="5"/>
    <x v="1"/>
    <x v="1"/>
    <d v="2024-04-16T00:00:00"/>
    <n v="58900"/>
    <x v="0"/>
  </r>
  <r>
    <n v="101146"/>
    <n v="23"/>
    <n v="49800"/>
    <x v="1"/>
    <n v="0"/>
    <n v="0"/>
    <x v="0"/>
    <x v="2"/>
    <x v="1"/>
    <d v="2024-05-20T00:00:00"/>
    <n v="0"/>
    <x v="0"/>
  </r>
  <r>
    <n v="101147"/>
    <n v="73"/>
    <n v="114600"/>
    <x v="1"/>
    <n v="0"/>
    <n v="182000"/>
    <x v="4"/>
    <x v="2"/>
    <x v="1"/>
    <d v="2024-08-28T00:00:00"/>
    <n v="182000"/>
    <x v="1"/>
  </r>
  <r>
    <n v="101148"/>
    <n v="64"/>
    <n v="55700"/>
    <x v="0"/>
    <n v="0"/>
    <n v="299000"/>
    <x v="5"/>
    <x v="2"/>
    <x v="1"/>
    <d v="2025-01-28T00:00:00"/>
    <n v="299000"/>
    <x v="0"/>
  </r>
  <r>
    <n v="101149"/>
    <n v="39"/>
    <n v="88700"/>
    <x v="1"/>
    <n v="40300"/>
    <n v="0"/>
    <x v="1"/>
    <x v="2"/>
    <x v="1"/>
    <d v="2024-07-29T00:00:00"/>
    <n v="40300"/>
    <x v="1"/>
  </r>
  <r>
    <n v="101150"/>
    <n v="44"/>
    <n v="40300"/>
    <x v="1"/>
    <n v="23600"/>
    <n v="0"/>
    <x v="2"/>
    <x v="3"/>
    <x v="1"/>
    <d v="2026-02-11T00:00:00"/>
    <n v="23600"/>
    <x v="0"/>
  </r>
  <r>
    <n v="101151"/>
    <n v="41"/>
    <n v="102400"/>
    <x v="2"/>
    <n v="0"/>
    <n v="0"/>
    <x v="6"/>
    <x v="2"/>
    <x v="1"/>
    <d v="2026-04-29T00:00:00"/>
    <n v="0"/>
    <x v="1"/>
  </r>
  <r>
    <n v="101152"/>
    <n v="59"/>
    <n v="55300"/>
    <x v="1"/>
    <n v="0"/>
    <n v="0"/>
    <x v="6"/>
    <x v="0"/>
    <x v="1"/>
    <d v="2025-07-20T00:00:00"/>
    <n v="0"/>
    <x v="0"/>
  </r>
  <r>
    <n v="101153"/>
    <n v="44"/>
    <n v="108400"/>
    <x v="2"/>
    <n v="82400"/>
    <n v="0"/>
    <x v="1"/>
    <x v="1"/>
    <x v="1"/>
    <d v="2025-06-15T00:00:00"/>
    <n v="82400"/>
    <x v="1"/>
  </r>
  <r>
    <n v="101154"/>
    <n v="36"/>
    <n v="38900"/>
    <x v="1"/>
    <n v="0"/>
    <n v="0"/>
    <x v="4"/>
    <x v="3"/>
    <x v="1"/>
    <d v="2024-10-14T00:00:00"/>
    <n v="0"/>
    <x v="0"/>
  </r>
  <r>
    <n v="101155"/>
    <n v="71"/>
    <n v="74100"/>
    <x v="1"/>
    <n v="0"/>
    <n v="0"/>
    <x v="5"/>
    <x v="1"/>
    <x v="1"/>
    <d v="2025-02-08T00:00:00"/>
    <n v="0"/>
    <x v="1"/>
  </r>
  <r>
    <n v="101156"/>
    <n v="22"/>
    <n v="68400"/>
    <x v="1"/>
    <n v="52900"/>
    <n v="0"/>
    <x v="6"/>
    <x v="2"/>
    <x v="1"/>
    <d v="2024-11-24T00:00:00"/>
    <n v="52900"/>
    <x v="0"/>
  </r>
  <r>
    <n v="101157"/>
    <n v="73"/>
    <n v="44900"/>
    <x v="1"/>
    <n v="30400"/>
    <n v="0"/>
    <x v="2"/>
    <x v="1"/>
    <x v="1"/>
    <d v="2024-08-11T00:00:00"/>
    <n v="30400"/>
    <x v="0"/>
  </r>
  <r>
    <n v="101158"/>
    <n v="46"/>
    <n v="30500"/>
    <x v="2"/>
    <n v="38100"/>
    <n v="0"/>
    <x v="0"/>
    <x v="1"/>
    <x v="1"/>
    <d v="2026-03-16T00:00:00"/>
    <n v="38100"/>
    <x v="0"/>
  </r>
  <r>
    <n v="101159"/>
    <n v="37"/>
    <n v="44600"/>
    <x v="1"/>
    <n v="17700"/>
    <n v="0"/>
    <x v="6"/>
    <x v="1"/>
    <x v="1"/>
    <d v="2024-07-07T00:00:00"/>
    <n v="17700"/>
    <x v="0"/>
  </r>
  <r>
    <n v="101160"/>
    <n v="63"/>
    <n v="60300"/>
    <x v="1"/>
    <n v="36800"/>
    <n v="0"/>
    <x v="5"/>
    <x v="3"/>
    <x v="0"/>
    <d v="2026-05-15T00:00:00"/>
    <n v="36800"/>
    <x v="0"/>
  </r>
  <r>
    <n v="101161"/>
    <n v="74"/>
    <n v="91500"/>
    <x v="0"/>
    <n v="20400"/>
    <n v="209000"/>
    <x v="0"/>
    <x v="1"/>
    <x v="1"/>
    <d v="2024-11-29T00:00:00"/>
    <n v="229400"/>
    <x v="1"/>
  </r>
  <r>
    <n v="101162"/>
    <n v="56"/>
    <n v="51300"/>
    <x v="2"/>
    <n v="42400"/>
    <n v="0"/>
    <x v="4"/>
    <x v="2"/>
    <x v="1"/>
    <d v="2025-01-03T00:00:00"/>
    <n v="42400"/>
    <x v="0"/>
  </r>
  <r>
    <n v="101163"/>
    <n v="41"/>
    <n v="114300"/>
    <x v="2"/>
    <n v="70900"/>
    <n v="0"/>
    <x v="6"/>
    <x v="2"/>
    <x v="1"/>
    <d v="2026-08-10T00:00:00"/>
    <n v="70900"/>
    <x v="1"/>
  </r>
  <r>
    <n v="101164"/>
    <n v="29"/>
    <n v="100500"/>
    <x v="1"/>
    <n v="55100"/>
    <n v="0"/>
    <x v="2"/>
    <x v="0"/>
    <x v="1"/>
    <d v="2025-08-19T00:00:00"/>
    <n v="55100"/>
    <x v="1"/>
  </r>
  <r>
    <n v="101165"/>
    <n v="22"/>
    <n v="71900"/>
    <x v="1"/>
    <n v="0"/>
    <n v="0"/>
    <x v="0"/>
    <x v="3"/>
    <x v="1"/>
    <d v="2024-08-17T00:00:00"/>
    <n v="0"/>
    <x v="1"/>
  </r>
  <r>
    <n v="101166"/>
    <n v="56"/>
    <n v="60000"/>
    <x v="0"/>
    <n v="29300"/>
    <n v="0"/>
    <x v="6"/>
    <x v="1"/>
    <x v="1"/>
    <d v="2025-06-16T00:00:00"/>
    <n v="29300"/>
    <x v="0"/>
  </r>
  <r>
    <n v="101167"/>
    <n v="48"/>
    <n v="47900"/>
    <x v="1"/>
    <n v="59900"/>
    <n v="0"/>
    <x v="2"/>
    <x v="2"/>
    <x v="1"/>
    <d v="2024-04-28T00:00:00"/>
    <n v="59900"/>
    <x v="0"/>
  </r>
  <r>
    <n v="101168"/>
    <n v="64"/>
    <n v="43500"/>
    <x v="0"/>
    <n v="0"/>
    <n v="0"/>
    <x v="2"/>
    <x v="0"/>
    <x v="1"/>
    <d v="2024-03-19T00:00:00"/>
    <n v="0"/>
    <x v="0"/>
  </r>
  <r>
    <n v="101169"/>
    <n v="43"/>
    <n v="71500"/>
    <x v="0"/>
    <n v="29300"/>
    <n v="0"/>
    <x v="4"/>
    <x v="0"/>
    <x v="1"/>
    <d v="2026-07-20T00:00:00"/>
    <n v="29300"/>
    <x v="1"/>
  </r>
  <r>
    <n v="101170"/>
    <n v="46"/>
    <n v="73300"/>
    <x v="0"/>
    <n v="54000"/>
    <n v="0"/>
    <x v="0"/>
    <x v="2"/>
    <x v="1"/>
    <d v="2024-05-31T00:00:00"/>
    <n v="54000"/>
    <x v="1"/>
  </r>
  <r>
    <n v="101171"/>
    <n v="56"/>
    <n v="59400"/>
    <x v="2"/>
    <n v="17900"/>
    <n v="0"/>
    <x v="4"/>
    <x v="2"/>
    <x v="1"/>
    <d v="2025-07-21T00:00:00"/>
    <n v="17900"/>
    <x v="0"/>
  </r>
  <r>
    <n v="101172"/>
    <n v="65"/>
    <n v="103800"/>
    <x v="0"/>
    <n v="8900"/>
    <n v="0"/>
    <x v="4"/>
    <x v="3"/>
    <x v="0"/>
    <d v="2026-06-06T00:00:00"/>
    <n v="8900"/>
    <x v="1"/>
  </r>
  <r>
    <n v="101173"/>
    <n v="53"/>
    <n v="101700"/>
    <x v="2"/>
    <n v="28500"/>
    <n v="0"/>
    <x v="5"/>
    <x v="2"/>
    <x v="1"/>
    <d v="2026-07-08T00:00:00"/>
    <n v="28500"/>
    <x v="1"/>
  </r>
  <r>
    <n v="101174"/>
    <n v="41"/>
    <n v="66500"/>
    <x v="0"/>
    <n v="0"/>
    <n v="267000"/>
    <x v="2"/>
    <x v="3"/>
    <x v="1"/>
    <d v="2026-07-21T00:00:00"/>
    <n v="267000"/>
    <x v="0"/>
  </r>
  <r>
    <n v="101175"/>
    <n v="46"/>
    <n v="69700"/>
    <x v="0"/>
    <n v="50800"/>
    <n v="0"/>
    <x v="4"/>
    <x v="0"/>
    <x v="1"/>
    <d v="2026-04-19T00:00:00"/>
    <n v="50800"/>
    <x v="0"/>
  </r>
  <r>
    <n v="101176"/>
    <n v="52"/>
    <n v="33000"/>
    <x v="2"/>
    <n v="26800"/>
    <n v="0"/>
    <x v="1"/>
    <x v="1"/>
    <x v="1"/>
    <d v="2026-01-09T00:00:00"/>
    <n v="26800"/>
    <x v="0"/>
  </r>
  <r>
    <n v="101177"/>
    <n v="57"/>
    <n v="45700"/>
    <x v="0"/>
    <n v="33300"/>
    <n v="212000"/>
    <x v="1"/>
    <x v="2"/>
    <x v="1"/>
    <d v="2026-02-14T00:00:00"/>
    <n v="245300"/>
    <x v="0"/>
  </r>
  <r>
    <n v="101178"/>
    <n v="31"/>
    <n v="108600"/>
    <x v="1"/>
    <n v="0"/>
    <n v="0"/>
    <x v="3"/>
    <x v="2"/>
    <x v="1"/>
    <d v="2024-10-11T00:00:00"/>
    <n v="0"/>
    <x v="1"/>
  </r>
  <r>
    <n v="101179"/>
    <n v="56"/>
    <n v="95500"/>
    <x v="1"/>
    <n v="17300"/>
    <n v="0"/>
    <x v="7"/>
    <x v="2"/>
    <x v="1"/>
    <d v="2024-10-22T00:00:00"/>
    <n v="17300"/>
    <x v="1"/>
  </r>
  <r>
    <n v="101180"/>
    <n v="36"/>
    <n v="119500"/>
    <x v="0"/>
    <n v="0"/>
    <n v="0"/>
    <x v="4"/>
    <x v="2"/>
    <x v="1"/>
    <d v="2025-07-19T00:00:00"/>
    <n v="0"/>
    <x v="1"/>
  </r>
  <r>
    <n v="101181"/>
    <n v="73"/>
    <n v="60400"/>
    <x v="1"/>
    <n v="9500"/>
    <n v="0"/>
    <x v="3"/>
    <x v="2"/>
    <x v="1"/>
    <d v="2024-01-27T00:00:00"/>
    <n v="9500"/>
    <x v="0"/>
  </r>
  <r>
    <n v="101182"/>
    <n v="43"/>
    <n v="41400"/>
    <x v="2"/>
    <n v="48800"/>
    <n v="0"/>
    <x v="7"/>
    <x v="1"/>
    <x v="1"/>
    <d v="2025-12-24T00:00:00"/>
    <n v="48800"/>
    <x v="0"/>
  </r>
  <r>
    <n v="101183"/>
    <n v="74"/>
    <n v="36000"/>
    <x v="2"/>
    <n v="13100"/>
    <n v="0"/>
    <x v="5"/>
    <x v="0"/>
    <x v="1"/>
    <d v="2024-12-28T00:00:00"/>
    <n v="13100"/>
    <x v="0"/>
  </r>
  <r>
    <n v="101184"/>
    <n v="71"/>
    <n v="32600"/>
    <x v="0"/>
    <n v="0"/>
    <n v="0"/>
    <x v="2"/>
    <x v="1"/>
    <x v="1"/>
    <d v="2025-10-07T00:00:00"/>
    <n v="0"/>
    <x v="0"/>
  </r>
  <r>
    <n v="101185"/>
    <n v="67"/>
    <n v="60700"/>
    <x v="0"/>
    <n v="24100"/>
    <n v="0"/>
    <x v="1"/>
    <x v="2"/>
    <x v="1"/>
    <d v="2025-06-17T00:00:00"/>
    <n v="24100"/>
    <x v="0"/>
  </r>
  <r>
    <n v="101186"/>
    <n v="40"/>
    <n v="40600"/>
    <x v="0"/>
    <n v="0"/>
    <n v="0"/>
    <x v="6"/>
    <x v="1"/>
    <x v="1"/>
    <d v="2025-08-23T00:00:00"/>
    <n v="0"/>
    <x v="0"/>
  </r>
  <r>
    <n v="101187"/>
    <n v="44"/>
    <n v="94500"/>
    <x v="1"/>
    <n v="32100"/>
    <n v="0"/>
    <x v="4"/>
    <x v="1"/>
    <x v="1"/>
    <d v="2024-07-22T00:00:00"/>
    <n v="32100"/>
    <x v="1"/>
  </r>
  <r>
    <n v="101188"/>
    <n v="60"/>
    <n v="95000"/>
    <x v="2"/>
    <n v="0"/>
    <n v="0"/>
    <x v="6"/>
    <x v="2"/>
    <x v="1"/>
    <d v="2025-05-17T00:00:00"/>
    <n v="0"/>
    <x v="1"/>
  </r>
  <r>
    <n v="101189"/>
    <n v="55"/>
    <n v="68100"/>
    <x v="0"/>
    <n v="45500"/>
    <n v="0"/>
    <x v="3"/>
    <x v="1"/>
    <x v="1"/>
    <d v="2025-11-03T00:00:00"/>
    <n v="45500"/>
    <x v="0"/>
  </r>
  <r>
    <n v="101190"/>
    <n v="31"/>
    <n v="95300"/>
    <x v="2"/>
    <n v="0"/>
    <n v="0"/>
    <x v="7"/>
    <x v="1"/>
    <x v="1"/>
    <d v="2025-02-05T00:00:00"/>
    <n v="0"/>
    <x v="1"/>
  </r>
  <r>
    <n v="101191"/>
    <n v="58"/>
    <n v="50400"/>
    <x v="1"/>
    <n v="14600"/>
    <n v="0"/>
    <x v="5"/>
    <x v="1"/>
    <x v="1"/>
    <d v="2024-09-10T00:00:00"/>
    <n v="14600"/>
    <x v="0"/>
  </r>
  <r>
    <n v="101192"/>
    <n v="62"/>
    <n v="54700"/>
    <x v="1"/>
    <n v="0"/>
    <n v="0"/>
    <x v="2"/>
    <x v="1"/>
    <x v="1"/>
    <d v="2025-12-22T00:00:00"/>
    <n v="0"/>
    <x v="0"/>
  </r>
  <r>
    <n v="101193"/>
    <n v="28"/>
    <n v="82800"/>
    <x v="1"/>
    <n v="0"/>
    <n v="0"/>
    <x v="1"/>
    <x v="1"/>
    <x v="1"/>
    <d v="2024-01-30T00:00:00"/>
    <n v="0"/>
    <x v="1"/>
  </r>
  <r>
    <n v="101194"/>
    <n v="38"/>
    <n v="45100"/>
    <x v="1"/>
    <n v="0"/>
    <n v="0"/>
    <x v="2"/>
    <x v="2"/>
    <x v="1"/>
    <d v="2024-11-21T00:00:00"/>
    <n v="0"/>
    <x v="0"/>
  </r>
  <r>
    <n v="101195"/>
    <n v="46"/>
    <n v="52500"/>
    <x v="1"/>
    <n v="65600"/>
    <n v="264000"/>
    <x v="2"/>
    <x v="1"/>
    <x v="0"/>
    <d v="2025-04-03T00:00:00"/>
    <n v="329600"/>
    <x v="0"/>
  </r>
  <r>
    <n v="101196"/>
    <n v="46"/>
    <n v="42400"/>
    <x v="2"/>
    <n v="52600"/>
    <n v="367000"/>
    <x v="2"/>
    <x v="2"/>
    <x v="1"/>
    <d v="2026-08-31T00:00:00"/>
    <n v="419600"/>
    <x v="0"/>
  </r>
  <r>
    <n v="101197"/>
    <n v="66"/>
    <n v="25500"/>
    <x v="1"/>
    <n v="0"/>
    <n v="0"/>
    <x v="2"/>
    <x v="0"/>
    <x v="1"/>
    <d v="2025-07-20T00:00:00"/>
    <n v="0"/>
    <x v="0"/>
  </r>
  <r>
    <n v="101198"/>
    <n v="24"/>
    <n v="71700"/>
    <x v="0"/>
    <n v="18700"/>
    <n v="216000"/>
    <x v="3"/>
    <x v="2"/>
    <x v="1"/>
    <d v="2025-01-17T00:00:00"/>
    <n v="234700"/>
    <x v="1"/>
  </r>
  <r>
    <n v="101199"/>
    <n v="41"/>
    <n v="54000"/>
    <x v="0"/>
    <n v="6400"/>
    <n v="0"/>
    <x v="0"/>
    <x v="1"/>
    <x v="1"/>
    <d v="2024-02-13T00:00:00"/>
    <n v="6400"/>
    <x v="0"/>
  </r>
  <r>
    <n v="101200"/>
    <n v="30"/>
    <n v="45900"/>
    <x v="1"/>
    <n v="45500"/>
    <n v="270000"/>
    <x v="1"/>
    <x v="1"/>
    <x v="1"/>
    <d v="2026-01-28T00:00:00"/>
    <n v="315500"/>
    <x v="0"/>
  </r>
  <r>
    <n v="101201"/>
    <n v="37"/>
    <n v="93100"/>
    <x v="1"/>
    <n v="46700"/>
    <n v="0"/>
    <x v="6"/>
    <x v="2"/>
    <x v="1"/>
    <d v="2025-09-11T00:00:00"/>
    <n v="46700"/>
    <x v="1"/>
  </r>
  <r>
    <n v="101202"/>
    <n v="29"/>
    <n v="34000"/>
    <x v="0"/>
    <n v="42500"/>
    <n v="0"/>
    <x v="2"/>
    <x v="1"/>
    <x v="1"/>
    <d v="2024-11-05T00:00:00"/>
    <n v="42500"/>
    <x v="0"/>
  </r>
  <r>
    <n v="101203"/>
    <n v="37"/>
    <n v="57000"/>
    <x v="1"/>
    <n v="0"/>
    <n v="0"/>
    <x v="1"/>
    <x v="2"/>
    <x v="1"/>
    <d v="2024-04-05T00:00:00"/>
    <n v="0"/>
    <x v="0"/>
  </r>
  <r>
    <n v="101204"/>
    <n v="34"/>
    <n v="111900"/>
    <x v="0"/>
    <n v="65800"/>
    <n v="0"/>
    <x v="3"/>
    <x v="2"/>
    <x v="1"/>
    <d v="2026-01-15T00:00:00"/>
    <n v="65800"/>
    <x v="1"/>
  </r>
  <r>
    <n v="101205"/>
    <n v="45"/>
    <n v="108100"/>
    <x v="0"/>
    <n v="31100"/>
    <n v="0"/>
    <x v="6"/>
    <x v="2"/>
    <x v="1"/>
    <d v="2025-01-13T00:00:00"/>
    <n v="31100"/>
    <x v="1"/>
  </r>
  <r>
    <n v="101206"/>
    <n v="50"/>
    <n v="64400"/>
    <x v="0"/>
    <n v="55300"/>
    <n v="0"/>
    <x v="0"/>
    <x v="1"/>
    <x v="1"/>
    <d v="2026-08-22T00:00:00"/>
    <n v="55300"/>
    <x v="0"/>
  </r>
  <r>
    <n v="101207"/>
    <n v="51"/>
    <n v="66700"/>
    <x v="1"/>
    <n v="58000"/>
    <n v="0"/>
    <x v="3"/>
    <x v="2"/>
    <x v="1"/>
    <d v="2025-02-25T00:00:00"/>
    <n v="58000"/>
    <x v="0"/>
  </r>
  <r>
    <n v="101208"/>
    <n v="39"/>
    <n v="79400"/>
    <x v="2"/>
    <n v="45600"/>
    <n v="0"/>
    <x v="6"/>
    <x v="2"/>
    <x v="1"/>
    <d v="2025-07-29T00:00:00"/>
    <n v="45600"/>
    <x v="1"/>
  </r>
  <r>
    <n v="101209"/>
    <n v="70"/>
    <n v="59000"/>
    <x v="1"/>
    <n v="0"/>
    <n v="0"/>
    <x v="7"/>
    <x v="1"/>
    <x v="1"/>
    <d v="2025-06-10T00:00:00"/>
    <n v="0"/>
    <x v="0"/>
  </r>
  <r>
    <n v="101210"/>
    <n v="55"/>
    <n v="92700"/>
    <x v="2"/>
    <n v="14200"/>
    <n v="0"/>
    <x v="1"/>
    <x v="2"/>
    <x v="0"/>
    <d v="2025-06-16T00:00:00"/>
    <n v="14200"/>
    <x v="1"/>
  </r>
  <r>
    <n v="101211"/>
    <n v="67"/>
    <n v="36100"/>
    <x v="1"/>
    <n v="0"/>
    <n v="318000"/>
    <x v="7"/>
    <x v="1"/>
    <x v="1"/>
    <d v="2026-04-02T00:00:00"/>
    <n v="318000"/>
    <x v="0"/>
  </r>
  <r>
    <n v="101212"/>
    <n v="53"/>
    <n v="58900"/>
    <x v="0"/>
    <n v="28300"/>
    <n v="0"/>
    <x v="1"/>
    <x v="3"/>
    <x v="1"/>
    <d v="2026-06-20T00:00:00"/>
    <n v="28300"/>
    <x v="0"/>
  </r>
  <r>
    <n v="101213"/>
    <n v="63"/>
    <n v="45200"/>
    <x v="1"/>
    <n v="0"/>
    <n v="0"/>
    <x v="4"/>
    <x v="2"/>
    <x v="1"/>
    <d v="2025-06-19T00:00:00"/>
    <n v="0"/>
    <x v="0"/>
  </r>
  <r>
    <n v="101214"/>
    <n v="63"/>
    <n v="41400"/>
    <x v="0"/>
    <n v="34800"/>
    <n v="0"/>
    <x v="7"/>
    <x v="1"/>
    <x v="1"/>
    <d v="2026-02-03T00:00:00"/>
    <n v="34800"/>
    <x v="0"/>
  </r>
  <r>
    <n v="101215"/>
    <n v="66"/>
    <n v="123900"/>
    <x v="2"/>
    <n v="47500"/>
    <n v="0"/>
    <x v="2"/>
    <x v="2"/>
    <x v="1"/>
    <d v="2024-03-09T00:00:00"/>
    <n v="47500"/>
    <x v="1"/>
  </r>
  <r>
    <n v="101216"/>
    <n v="20"/>
    <n v="47600"/>
    <x v="1"/>
    <n v="35900"/>
    <n v="0"/>
    <x v="6"/>
    <x v="1"/>
    <x v="1"/>
    <d v="2024-03-09T00:00:00"/>
    <n v="35900"/>
    <x v="0"/>
  </r>
  <r>
    <n v="101217"/>
    <n v="42"/>
    <n v="70100"/>
    <x v="2"/>
    <n v="6500"/>
    <n v="166000"/>
    <x v="1"/>
    <x v="1"/>
    <x v="1"/>
    <d v="2025-10-01T00:00:00"/>
    <n v="172500"/>
    <x v="1"/>
  </r>
  <r>
    <n v="101218"/>
    <n v="69"/>
    <n v="53300"/>
    <x v="1"/>
    <n v="43500"/>
    <n v="138000"/>
    <x v="3"/>
    <x v="2"/>
    <x v="1"/>
    <d v="2024-04-14T00:00:00"/>
    <n v="181500"/>
    <x v="0"/>
  </r>
  <r>
    <n v="101219"/>
    <n v="28"/>
    <n v="85300"/>
    <x v="0"/>
    <n v="0"/>
    <n v="0"/>
    <x v="5"/>
    <x v="3"/>
    <x v="1"/>
    <d v="2026-01-24T00:00:00"/>
    <n v="0"/>
    <x v="1"/>
  </r>
  <r>
    <n v="101220"/>
    <n v="75"/>
    <n v="68500"/>
    <x v="2"/>
    <n v="3900"/>
    <n v="0"/>
    <x v="3"/>
    <x v="2"/>
    <x v="1"/>
    <d v="2024-05-30T00:00:00"/>
    <n v="3900"/>
    <x v="0"/>
  </r>
  <r>
    <n v="101221"/>
    <n v="29"/>
    <n v="39000"/>
    <x v="2"/>
    <n v="48800"/>
    <n v="210000"/>
    <x v="7"/>
    <x v="1"/>
    <x v="1"/>
    <d v="2024-11-05T00:00:00"/>
    <n v="258800"/>
    <x v="0"/>
  </r>
  <r>
    <n v="101222"/>
    <n v="52"/>
    <n v="81400"/>
    <x v="1"/>
    <n v="52200"/>
    <n v="0"/>
    <x v="2"/>
    <x v="2"/>
    <x v="1"/>
    <d v="2025-06-27T00:00:00"/>
    <n v="52200"/>
    <x v="1"/>
  </r>
  <r>
    <n v="101223"/>
    <n v="25"/>
    <n v="96100"/>
    <x v="2"/>
    <n v="0"/>
    <n v="0"/>
    <x v="5"/>
    <x v="1"/>
    <x v="1"/>
    <d v="2026-05-10T00:00:00"/>
    <n v="0"/>
    <x v="1"/>
  </r>
  <r>
    <n v="101224"/>
    <n v="47"/>
    <n v="64200"/>
    <x v="1"/>
    <n v="0"/>
    <n v="0"/>
    <x v="1"/>
    <x v="1"/>
    <x v="1"/>
    <d v="2024-07-01T00:00:00"/>
    <n v="0"/>
    <x v="0"/>
  </r>
  <r>
    <n v="101225"/>
    <n v="21"/>
    <n v="93700"/>
    <x v="2"/>
    <n v="0"/>
    <n v="0"/>
    <x v="1"/>
    <x v="2"/>
    <x v="1"/>
    <d v="2025-07-27T00:00:00"/>
    <n v="0"/>
    <x v="1"/>
  </r>
  <r>
    <n v="101226"/>
    <n v="32"/>
    <n v="52000"/>
    <x v="1"/>
    <n v="0"/>
    <n v="196000"/>
    <x v="3"/>
    <x v="2"/>
    <x v="1"/>
    <d v="2024-11-13T00:00:00"/>
    <n v="196000"/>
    <x v="0"/>
  </r>
  <r>
    <n v="101227"/>
    <n v="41"/>
    <n v="33900"/>
    <x v="1"/>
    <n v="42400"/>
    <n v="0"/>
    <x v="6"/>
    <x v="0"/>
    <x v="1"/>
    <d v="2025-02-11T00:00:00"/>
    <n v="42400"/>
    <x v="0"/>
  </r>
  <r>
    <n v="101228"/>
    <n v="22"/>
    <n v="123500"/>
    <x v="0"/>
    <n v="11000"/>
    <n v="0"/>
    <x v="6"/>
    <x v="0"/>
    <x v="1"/>
    <d v="2025-09-14T00:00:00"/>
    <n v="11000"/>
    <x v="1"/>
  </r>
  <r>
    <n v="101229"/>
    <n v="60"/>
    <n v="56700"/>
    <x v="1"/>
    <n v="0"/>
    <n v="0"/>
    <x v="0"/>
    <x v="2"/>
    <x v="1"/>
    <d v="2024-01-30T00:00:00"/>
    <n v="0"/>
    <x v="0"/>
  </r>
  <r>
    <n v="101230"/>
    <n v="59"/>
    <n v="97700"/>
    <x v="1"/>
    <n v="0"/>
    <n v="0"/>
    <x v="4"/>
    <x v="2"/>
    <x v="1"/>
    <d v="2026-05-04T00:00:00"/>
    <n v="0"/>
    <x v="1"/>
  </r>
  <r>
    <n v="101231"/>
    <n v="74"/>
    <n v="35900"/>
    <x v="1"/>
    <n v="24100"/>
    <n v="0"/>
    <x v="5"/>
    <x v="3"/>
    <x v="0"/>
    <d v="2025-09-20T00:00:00"/>
    <n v="24100"/>
    <x v="0"/>
  </r>
  <r>
    <n v="101232"/>
    <n v="67"/>
    <n v="24700"/>
    <x v="2"/>
    <n v="0"/>
    <n v="0"/>
    <x v="4"/>
    <x v="3"/>
    <x v="1"/>
    <d v="2025-08-23T00:00:00"/>
    <n v="0"/>
    <x v="0"/>
  </r>
  <r>
    <n v="101233"/>
    <n v="66"/>
    <n v="106600"/>
    <x v="0"/>
    <n v="0"/>
    <n v="0"/>
    <x v="6"/>
    <x v="2"/>
    <x v="1"/>
    <d v="2026-04-24T00:00:00"/>
    <n v="0"/>
    <x v="1"/>
  </r>
  <r>
    <n v="101234"/>
    <n v="68"/>
    <n v="59900"/>
    <x v="0"/>
    <n v="30600"/>
    <n v="0"/>
    <x v="3"/>
    <x v="1"/>
    <x v="1"/>
    <d v="2025-10-12T00:00:00"/>
    <n v="30600"/>
    <x v="0"/>
  </r>
  <r>
    <n v="101235"/>
    <n v="67"/>
    <n v="90600"/>
    <x v="2"/>
    <n v="37200"/>
    <n v="201000"/>
    <x v="0"/>
    <x v="1"/>
    <x v="1"/>
    <d v="2024-04-29T00:00:00"/>
    <n v="238200"/>
    <x v="1"/>
  </r>
  <r>
    <n v="101236"/>
    <n v="25"/>
    <n v="40100"/>
    <x v="1"/>
    <n v="41400"/>
    <n v="142000"/>
    <x v="6"/>
    <x v="1"/>
    <x v="1"/>
    <d v="2024-03-24T00:00:00"/>
    <n v="183400"/>
    <x v="0"/>
  </r>
  <r>
    <n v="101237"/>
    <n v="66"/>
    <n v="106300"/>
    <x v="1"/>
    <n v="70900"/>
    <n v="0"/>
    <x v="4"/>
    <x v="2"/>
    <x v="1"/>
    <d v="2024-10-20T00:00:00"/>
    <n v="70900"/>
    <x v="1"/>
  </r>
  <r>
    <n v="101238"/>
    <n v="31"/>
    <n v="45700"/>
    <x v="0"/>
    <n v="57100"/>
    <n v="149000"/>
    <x v="5"/>
    <x v="2"/>
    <x v="1"/>
    <d v="2024-04-04T00:00:00"/>
    <n v="206100"/>
    <x v="0"/>
  </r>
  <r>
    <n v="101239"/>
    <n v="51"/>
    <n v="50300"/>
    <x v="1"/>
    <n v="0"/>
    <n v="0"/>
    <x v="4"/>
    <x v="2"/>
    <x v="1"/>
    <d v="2026-05-04T00:00:00"/>
    <n v="0"/>
    <x v="0"/>
  </r>
  <r>
    <n v="101240"/>
    <n v="57"/>
    <n v="52200"/>
    <x v="0"/>
    <n v="46600"/>
    <n v="0"/>
    <x v="5"/>
    <x v="2"/>
    <x v="1"/>
    <d v="2025-05-30T00:00:00"/>
    <n v="46600"/>
    <x v="0"/>
  </r>
  <r>
    <n v="101241"/>
    <n v="55"/>
    <n v="89000"/>
    <x v="0"/>
    <n v="52100"/>
    <n v="201000"/>
    <x v="6"/>
    <x v="0"/>
    <x v="1"/>
    <d v="2025-10-08T00:00:00"/>
    <n v="253100"/>
    <x v="1"/>
  </r>
  <r>
    <n v="101242"/>
    <n v="31"/>
    <n v="58100"/>
    <x v="1"/>
    <n v="37400"/>
    <n v="0"/>
    <x v="6"/>
    <x v="1"/>
    <x v="1"/>
    <d v="2025-01-02T00:00:00"/>
    <n v="37400"/>
    <x v="0"/>
  </r>
  <r>
    <n v="101243"/>
    <n v="75"/>
    <n v="98800"/>
    <x v="1"/>
    <n v="25200"/>
    <n v="0"/>
    <x v="4"/>
    <x v="0"/>
    <x v="1"/>
    <d v="2025-04-23T00:00:00"/>
    <n v="25200"/>
    <x v="1"/>
  </r>
  <r>
    <n v="101244"/>
    <n v="54"/>
    <n v="40400"/>
    <x v="1"/>
    <n v="0"/>
    <n v="0"/>
    <x v="1"/>
    <x v="0"/>
    <x v="1"/>
    <d v="2025-04-29T00:00:00"/>
    <n v="0"/>
    <x v="0"/>
  </r>
  <r>
    <n v="101245"/>
    <n v="73"/>
    <n v="43700"/>
    <x v="0"/>
    <n v="32700"/>
    <n v="0"/>
    <x v="6"/>
    <x v="3"/>
    <x v="1"/>
    <d v="2026-02-20T00:00:00"/>
    <n v="32700"/>
    <x v="0"/>
  </r>
  <r>
    <n v="101246"/>
    <n v="52"/>
    <n v="35000"/>
    <x v="1"/>
    <n v="38300"/>
    <n v="0"/>
    <x v="4"/>
    <x v="1"/>
    <x v="1"/>
    <d v="2026-06-26T00:00:00"/>
    <n v="38300"/>
    <x v="0"/>
  </r>
  <r>
    <n v="101247"/>
    <n v="58"/>
    <n v="111500"/>
    <x v="2"/>
    <n v="76800"/>
    <n v="0"/>
    <x v="4"/>
    <x v="1"/>
    <x v="1"/>
    <d v="2024-02-25T00:00:00"/>
    <n v="76800"/>
    <x v="1"/>
  </r>
  <r>
    <n v="101248"/>
    <n v="25"/>
    <n v="47500"/>
    <x v="0"/>
    <n v="0"/>
    <n v="0"/>
    <x v="4"/>
    <x v="1"/>
    <x v="1"/>
    <d v="2025-11-05T00:00:00"/>
    <n v="0"/>
    <x v="0"/>
  </r>
  <r>
    <n v="101249"/>
    <n v="29"/>
    <n v="41200"/>
    <x v="1"/>
    <n v="18100"/>
    <n v="0"/>
    <x v="1"/>
    <x v="2"/>
    <x v="1"/>
    <d v="2025-12-02T00:00:00"/>
    <n v="18100"/>
    <x v="0"/>
  </r>
  <r>
    <n v="101250"/>
    <n v="55"/>
    <n v="91000"/>
    <x v="1"/>
    <n v="25600"/>
    <n v="0"/>
    <x v="1"/>
    <x v="1"/>
    <x v="1"/>
    <d v="2025-11-15T00:00:00"/>
    <n v="25600"/>
    <x v="1"/>
  </r>
  <r>
    <n v="101251"/>
    <n v="44"/>
    <n v="89200"/>
    <x v="0"/>
    <n v="0"/>
    <n v="131000"/>
    <x v="4"/>
    <x v="2"/>
    <x v="1"/>
    <d v="2024-11-30T00:00:00"/>
    <n v="131000"/>
    <x v="1"/>
  </r>
  <r>
    <n v="101252"/>
    <n v="38"/>
    <n v="87900"/>
    <x v="0"/>
    <n v="28000"/>
    <n v="205000"/>
    <x v="6"/>
    <x v="2"/>
    <x v="1"/>
    <d v="2026-02-25T00:00:00"/>
    <n v="233000"/>
    <x v="1"/>
  </r>
  <r>
    <n v="101253"/>
    <n v="35"/>
    <n v="51100"/>
    <x v="1"/>
    <n v="0"/>
    <n v="0"/>
    <x v="1"/>
    <x v="0"/>
    <x v="1"/>
    <d v="2025-10-23T00:00:00"/>
    <n v="0"/>
    <x v="0"/>
  </r>
  <r>
    <n v="101254"/>
    <n v="34"/>
    <n v="37300"/>
    <x v="1"/>
    <n v="30200"/>
    <n v="0"/>
    <x v="4"/>
    <x v="1"/>
    <x v="1"/>
    <d v="2025-01-31T00:00:00"/>
    <n v="30200"/>
    <x v="0"/>
  </r>
  <r>
    <n v="101255"/>
    <n v="63"/>
    <n v="88000"/>
    <x v="1"/>
    <n v="0"/>
    <n v="0"/>
    <x v="4"/>
    <x v="2"/>
    <x v="1"/>
    <d v="2025-06-13T00:00:00"/>
    <n v="0"/>
    <x v="1"/>
  </r>
  <r>
    <n v="101256"/>
    <n v="73"/>
    <n v="34900"/>
    <x v="0"/>
    <n v="43600"/>
    <n v="0"/>
    <x v="1"/>
    <x v="0"/>
    <x v="0"/>
    <d v="2024-11-22T00:00:00"/>
    <n v="43600"/>
    <x v="0"/>
  </r>
  <r>
    <n v="101257"/>
    <n v="28"/>
    <n v="65300"/>
    <x v="1"/>
    <n v="32900"/>
    <n v="0"/>
    <x v="1"/>
    <x v="1"/>
    <x v="0"/>
    <d v="2025-03-11T00:00:00"/>
    <n v="32900"/>
    <x v="0"/>
  </r>
  <r>
    <n v="101258"/>
    <n v="36"/>
    <n v="79600"/>
    <x v="1"/>
    <n v="0"/>
    <n v="0"/>
    <x v="2"/>
    <x v="1"/>
    <x v="1"/>
    <d v="2025-12-30T00:00:00"/>
    <n v="0"/>
    <x v="1"/>
  </r>
  <r>
    <n v="101259"/>
    <n v="41"/>
    <n v="90800"/>
    <x v="2"/>
    <n v="17900"/>
    <n v="0"/>
    <x v="1"/>
    <x v="0"/>
    <x v="0"/>
    <d v="2024-01-08T00:00:00"/>
    <n v="17900"/>
    <x v="1"/>
  </r>
  <r>
    <n v="101260"/>
    <n v="41"/>
    <n v="107400"/>
    <x v="0"/>
    <n v="34600"/>
    <n v="0"/>
    <x v="7"/>
    <x v="2"/>
    <x v="1"/>
    <d v="2024-02-10T00:00:00"/>
    <n v="34600"/>
    <x v="1"/>
  </r>
  <r>
    <n v="101261"/>
    <n v="27"/>
    <n v="93900"/>
    <x v="1"/>
    <n v="39600"/>
    <n v="0"/>
    <x v="1"/>
    <x v="2"/>
    <x v="1"/>
    <d v="2026-04-18T00:00:00"/>
    <n v="39600"/>
    <x v="1"/>
  </r>
  <r>
    <n v="101262"/>
    <n v="21"/>
    <n v="62900"/>
    <x v="1"/>
    <n v="7000"/>
    <n v="0"/>
    <x v="6"/>
    <x v="1"/>
    <x v="1"/>
    <d v="2024-02-07T00:00:00"/>
    <n v="7000"/>
    <x v="0"/>
  </r>
  <r>
    <n v="101263"/>
    <n v="54"/>
    <n v="79200"/>
    <x v="1"/>
    <n v="13500"/>
    <n v="0"/>
    <x v="7"/>
    <x v="2"/>
    <x v="1"/>
    <d v="2025-04-14T00:00:00"/>
    <n v="13500"/>
    <x v="1"/>
  </r>
  <r>
    <n v="101264"/>
    <n v="64"/>
    <n v="68600"/>
    <x v="2"/>
    <n v="0"/>
    <n v="0"/>
    <x v="7"/>
    <x v="2"/>
    <x v="1"/>
    <d v="2024-11-30T00:00:00"/>
    <n v="0"/>
    <x v="0"/>
  </r>
  <r>
    <n v="101265"/>
    <n v="43"/>
    <n v="28100"/>
    <x v="0"/>
    <n v="0"/>
    <n v="0"/>
    <x v="0"/>
    <x v="1"/>
    <x v="1"/>
    <d v="2026-01-12T00:00:00"/>
    <n v="0"/>
    <x v="0"/>
  </r>
  <r>
    <n v="101266"/>
    <n v="25"/>
    <n v="49200"/>
    <x v="0"/>
    <n v="28400"/>
    <n v="269000"/>
    <x v="0"/>
    <x v="0"/>
    <x v="1"/>
    <d v="2024-04-29T00:00:00"/>
    <n v="297400"/>
    <x v="0"/>
  </r>
  <r>
    <n v="101267"/>
    <n v="70"/>
    <n v="40700"/>
    <x v="1"/>
    <n v="34500"/>
    <n v="0"/>
    <x v="3"/>
    <x v="0"/>
    <x v="0"/>
    <d v="2025-08-10T00:00:00"/>
    <n v="34500"/>
    <x v="0"/>
  </r>
  <r>
    <n v="101268"/>
    <n v="50"/>
    <n v="42100"/>
    <x v="2"/>
    <n v="45600"/>
    <n v="0"/>
    <x v="6"/>
    <x v="0"/>
    <x v="1"/>
    <d v="2025-11-25T00:00:00"/>
    <n v="45600"/>
    <x v="0"/>
  </r>
  <r>
    <n v="101269"/>
    <n v="38"/>
    <n v="45300"/>
    <x v="1"/>
    <n v="29100"/>
    <n v="163000"/>
    <x v="2"/>
    <x v="2"/>
    <x v="1"/>
    <d v="2025-12-27T00:00:00"/>
    <n v="192100"/>
    <x v="0"/>
  </r>
  <r>
    <n v="101270"/>
    <n v="40"/>
    <n v="42400"/>
    <x v="0"/>
    <n v="0"/>
    <n v="0"/>
    <x v="7"/>
    <x v="0"/>
    <x v="1"/>
    <d v="2025-10-12T00:00:00"/>
    <n v="0"/>
    <x v="0"/>
  </r>
  <r>
    <n v="101271"/>
    <n v="58"/>
    <n v="48700"/>
    <x v="1"/>
    <n v="0"/>
    <n v="176000"/>
    <x v="2"/>
    <x v="0"/>
    <x v="1"/>
    <d v="2024-06-04T00:00:00"/>
    <n v="176000"/>
    <x v="0"/>
  </r>
  <r>
    <n v="101272"/>
    <n v="49"/>
    <n v="92100"/>
    <x v="1"/>
    <n v="17500"/>
    <n v="0"/>
    <x v="1"/>
    <x v="2"/>
    <x v="1"/>
    <d v="2024-03-21T00:00:00"/>
    <n v="17500"/>
    <x v="1"/>
  </r>
  <r>
    <n v="101273"/>
    <n v="60"/>
    <n v="58900"/>
    <x v="2"/>
    <n v="50000"/>
    <n v="0"/>
    <x v="5"/>
    <x v="2"/>
    <x v="1"/>
    <d v="2025-11-21T00:00:00"/>
    <n v="50000"/>
    <x v="0"/>
  </r>
  <r>
    <n v="101274"/>
    <n v="49"/>
    <n v="26900"/>
    <x v="0"/>
    <n v="25900"/>
    <n v="0"/>
    <x v="6"/>
    <x v="0"/>
    <x v="1"/>
    <d v="2026-01-31T00:00:00"/>
    <n v="25900"/>
    <x v="0"/>
  </r>
  <r>
    <n v="101275"/>
    <n v="51"/>
    <n v="119900"/>
    <x v="1"/>
    <n v="27200"/>
    <n v="0"/>
    <x v="0"/>
    <x v="2"/>
    <x v="1"/>
    <d v="2024-04-23T00:00:00"/>
    <n v="27200"/>
    <x v="1"/>
  </r>
  <r>
    <n v="101276"/>
    <n v="56"/>
    <n v="46300"/>
    <x v="2"/>
    <n v="0"/>
    <n v="0"/>
    <x v="1"/>
    <x v="1"/>
    <x v="1"/>
    <d v="2024-12-26T00:00:00"/>
    <n v="0"/>
    <x v="0"/>
  </r>
  <r>
    <n v="101277"/>
    <n v="68"/>
    <n v="42200"/>
    <x v="2"/>
    <n v="51900"/>
    <n v="0"/>
    <x v="2"/>
    <x v="1"/>
    <x v="1"/>
    <d v="2024-08-18T00:00:00"/>
    <n v="51900"/>
    <x v="0"/>
  </r>
  <r>
    <n v="101278"/>
    <n v="74"/>
    <n v="53400"/>
    <x v="0"/>
    <n v="66800"/>
    <n v="313000"/>
    <x v="1"/>
    <x v="2"/>
    <x v="1"/>
    <d v="2024-12-08T00:00:00"/>
    <n v="379800"/>
    <x v="0"/>
  </r>
  <r>
    <n v="101279"/>
    <n v="68"/>
    <n v="57300"/>
    <x v="1"/>
    <n v="0"/>
    <n v="0"/>
    <x v="1"/>
    <x v="3"/>
    <x v="1"/>
    <d v="2025-02-24T00:00:00"/>
    <n v="0"/>
    <x v="0"/>
  </r>
  <r>
    <n v="101280"/>
    <n v="32"/>
    <n v="70100"/>
    <x v="0"/>
    <n v="40900"/>
    <n v="0"/>
    <x v="1"/>
    <x v="3"/>
    <x v="1"/>
    <d v="2024-09-12T00:00:00"/>
    <n v="40900"/>
    <x v="1"/>
  </r>
  <r>
    <n v="101281"/>
    <n v="30"/>
    <n v="64800"/>
    <x v="1"/>
    <n v="26800"/>
    <n v="0"/>
    <x v="1"/>
    <x v="1"/>
    <x v="1"/>
    <d v="2026-05-20T00:00:00"/>
    <n v="26800"/>
    <x v="0"/>
  </r>
  <r>
    <n v="101282"/>
    <n v="30"/>
    <n v="56900"/>
    <x v="0"/>
    <n v="32200"/>
    <n v="0"/>
    <x v="3"/>
    <x v="1"/>
    <x v="1"/>
    <d v="2026-07-04T00:00:00"/>
    <n v="32200"/>
    <x v="0"/>
  </r>
  <r>
    <n v="101283"/>
    <n v="21"/>
    <n v="41600"/>
    <x v="1"/>
    <n v="39900"/>
    <n v="0"/>
    <x v="4"/>
    <x v="3"/>
    <x v="1"/>
    <d v="2024-04-23T00:00:00"/>
    <n v="39900"/>
    <x v="0"/>
  </r>
  <r>
    <n v="101284"/>
    <n v="71"/>
    <n v="67500"/>
    <x v="1"/>
    <n v="0"/>
    <n v="200000"/>
    <x v="0"/>
    <x v="2"/>
    <x v="1"/>
    <d v="2024-02-03T00:00:00"/>
    <n v="200000"/>
    <x v="0"/>
  </r>
  <r>
    <n v="101285"/>
    <n v="63"/>
    <n v="73600"/>
    <x v="2"/>
    <n v="0"/>
    <n v="0"/>
    <x v="0"/>
    <x v="0"/>
    <x v="1"/>
    <d v="2024-09-23T00:00:00"/>
    <n v="0"/>
    <x v="1"/>
  </r>
  <r>
    <n v="101286"/>
    <n v="65"/>
    <n v="62500"/>
    <x v="0"/>
    <n v="78100"/>
    <n v="0"/>
    <x v="7"/>
    <x v="1"/>
    <x v="1"/>
    <d v="2024-10-26T00:00:00"/>
    <n v="78100"/>
    <x v="0"/>
  </r>
  <r>
    <n v="101287"/>
    <n v="71"/>
    <n v="53000"/>
    <x v="2"/>
    <n v="0"/>
    <n v="0"/>
    <x v="7"/>
    <x v="1"/>
    <x v="1"/>
    <d v="2024-05-07T00:00:00"/>
    <n v="0"/>
    <x v="0"/>
  </r>
  <r>
    <n v="101288"/>
    <n v="26"/>
    <n v="37800"/>
    <x v="1"/>
    <n v="0"/>
    <n v="0"/>
    <x v="0"/>
    <x v="0"/>
    <x v="1"/>
    <d v="2025-01-10T00:00:00"/>
    <n v="0"/>
    <x v="0"/>
  </r>
  <r>
    <n v="101289"/>
    <n v="46"/>
    <n v="71800"/>
    <x v="1"/>
    <n v="32700"/>
    <n v="174000"/>
    <x v="0"/>
    <x v="1"/>
    <x v="1"/>
    <d v="2026-02-09T00:00:00"/>
    <n v="206700"/>
    <x v="1"/>
  </r>
  <r>
    <n v="101290"/>
    <n v="35"/>
    <n v="81100"/>
    <x v="1"/>
    <n v="24900"/>
    <n v="0"/>
    <x v="5"/>
    <x v="1"/>
    <x v="1"/>
    <d v="2026-02-18T00:00:00"/>
    <n v="24900"/>
    <x v="1"/>
  </r>
  <r>
    <n v="101291"/>
    <n v="28"/>
    <n v="37900"/>
    <x v="1"/>
    <n v="26900"/>
    <n v="0"/>
    <x v="5"/>
    <x v="1"/>
    <x v="1"/>
    <d v="2025-08-04T00:00:00"/>
    <n v="26900"/>
    <x v="0"/>
  </r>
  <r>
    <n v="101292"/>
    <n v="60"/>
    <n v="47200"/>
    <x v="0"/>
    <n v="16700"/>
    <n v="0"/>
    <x v="4"/>
    <x v="2"/>
    <x v="1"/>
    <d v="2025-01-28T00:00:00"/>
    <n v="16700"/>
    <x v="0"/>
  </r>
  <r>
    <n v="101293"/>
    <n v="36"/>
    <n v="70200"/>
    <x v="1"/>
    <n v="23500"/>
    <n v="0"/>
    <x v="5"/>
    <x v="1"/>
    <x v="1"/>
    <d v="2026-06-10T00:00:00"/>
    <n v="23500"/>
    <x v="1"/>
  </r>
  <r>
    <n v="101294"/>
    <n v="53"/>
    <n v="53500"/>
    <x v="0"/>
    <n v="25500"/>
    <n v="305000"/>
    <x v="2"/>
    <x v="1"/>
    <x v="1"/>
    <d v="2026-08-06T00:00:00"/>
    <n v="330500"/>
    <x v="0"/>
  </r>
  <r>
    <n v="101295"/>
    <n v="51"/>
    <n v="71100"/>
    <x v="2"/>
    <n v="32800"/>
    <n v="0"/>
    <x v="0"/>
    <x v="1"/>
    <x v="1"/>
    <d v="2024-08-17T00:00:00"/>
    <n v="32800"/>
    <x v="1"/>
  </r>
  <r>
    <n v="101296"/>
    <n v="29"/>
    <n v="45700"/>
    <x v="0"/>
    <n v="0"/>
    <n v="0"/>
    <x v="2"/>
    <x v="1"/>
    <x v="1"/>
    <d v="2025-08-06T00:00:00"/>
    <n v="0"/>
    <x v="0"/>
  </r>
  <r>
    <n v="101297"/>
    <n v="60"/>
    <n v="99600"/>
    <x v="2"/>
    <n v="0"/>
    <n v="0"/>
    <x v="3"/>
    <x v="1"/>
    <x v="1"/>
    <d v="2025-01-07T00:00:00"/>
    <n v="0"/>
    <x v="1"/>
  </r>
  <r>
    <n v="101298"/>
    <n v="62"/>
    <n v="27400"/>
    <x v="0"/>
    <n v="0"/>
    <n v="0"/>
    <x v="5"/>
    <x v="0"/>
    <x v="1"/>
    <d v="2025-07-01T00:00:00"/>
    <n v="0"/>
    <x v="0"/>
  </r>
  <r>
    <n v="101299"/>
    <n v="74"/>
    <n v="79500"/>
    <x v="2"/>
    <n v="0"/>
    <n v="223000"/>
    <x v="3"/>
    <x v="2"/>
    <x v="1"/>
    <d v="2026-03-27T00:00:00"/>
    <n v="223000"/>
    <x v="1"/>
  </r>
  <r>
    <n v="101300"/>
    <n v="67"/>
    <n v="40200"/>
    <x v="2"/>
    <n v="0"/>
    <n v="0"/>
    <x v="7"/>
    <x v="1"/>
    <x v="1"/>
    <d v="2025-09-15T00:00:00"/>
    <n v="0"/>
    <x v="0"/>
  </r>
  <r>
    <n v="101301"/>
    <n v="37"/>
    <n v="63500"/>
    <x v="1"/>
    <n v="57200"/>
    <n v="327000"/>
    <x v="5"/>
    <x v="2"/>
    <x v="1"/>
    <d v="2025-08-22T00:00:00"/>
    <n v="384200"/>
    <x v="0"/>
  </r>
  <r>
    <n v="101302"/>
    <n v="68"/>
    <n v="65800"/>
    <x v="1"/>
    <n v="52800"/>
    <n v="0"/>
    <x v="0"/>
    <x v="2"/>
    <x v="1"/>
    <d v="2024-03-26T00:00:00"/>
    <n v="52800"/>
    <x v="0"/>
  </r>
  <r>
    <n v="101303"/>
    <n v="50"/>
    <n v="41000"/>
    <x v="0"/>
    <n v="33000"/>
    <n v="0"/>
    <x v="1"/>
    <x v="0"/>
    <x v="1"/>
    <d v="2026-06-26T00:00:00"/>
    <n v="33000"/>
    <x v="0"/>
  </r>
  <r>
    <n v="101304"/>
    <n v="48"/>
    <n v="83200"/>
    <x v="1"/>
    <n v="0"/>
    <n v="0"/>
    <x v="7"/>
    <x v="3"/>
    <x v="1"/>
    <d v="2024-09-14T00:00:00"/>
    <n v="0"/>
    <x v="1"/>
  </r>
  <r>
    <n v="101305"/>
    <n v="68"/>
    <n v="53600"/>
    <x v="1"/>
    <n v="24800"/>
    <n v="0"/>
    <x v="5"/>
    <x v="3"/>
    <x v="1"/>
    <d v="2026-06-07T00:00:00"/>
    <n v="24800"/>
    <x v="0"/>
  </r>
  <r>
    <n v="101306"/>
    <n v="54"/>
    <n v="44000"/>
    <x v="1"/>
    <n v="23800"/>
    <n v="0"/>
    <x v="4"/>
    <x v="1"/>
    <x v="1"/>
    <d v="2025-06-05T00:00:00"/>
    <n v="23800"/>
    <x v="0"/>
  </r>
  <r>
    <n v="101307"/>
    <n v="50"/>
    <n v="59500"/>
    <x v="1"/>
    <n v="0"/>
    <n v="0"/>
    <x v="0"/>
    <x v="0"/>
    <x v="1"/>
    <d v="2025-03-29T00:00:00"/>
    <n v="0"/>
    <x v="0"/>
  </r>
  <r>
    <n v="101308"/>
    <n v="41"/>
    <n v="70300"/>
    <x v="0"/>
    <n v="52600"/>
    <n v="0"/>
    <x v="3"/>
    <x v="1"/>
    <x v="1"/>
    <d v="2026-02-23T00:00:00"/>
    <n v="52600"/>
    <x v="1"/>
  </r>
  <r>
    <n v="101309"/>
    <n v="53"/>
    <n v="57900"/>
    <x v="0"/>
    <n v="0"/>
    <n v="248000"/>
    <x v="2"/>
    <x v="2"/>
    <x v="1"/>
    <d v="2026-02-23T00:00:00"/>
    <n v="248000"/>
    <x v="0"/>
  </r>
  <r>
    <n v="101310"/>
    <n v="45"/>
    <n v="84100"/>
    <x v="2"/>
    <n v="16900"/>
    <n v="0"/>
    <x v="7"/>
    <x v="1"/>
    <x v="1"/>
    <d v="2026-03-09T00:00:00"/>
    <n v="16900"/>
    <x v="1"/>
  </r>
  <r>
    <n v="101311"/>
    <n v="66"/>
    <n v="45100"/>
    <x v="2"/>
    <n v="56400"/>
    <n v="0"/>
    <x v="4"/>
    <x v="1"/>
    <x v="1"/>
    <d v="2026-04-29T00:00:00"/>
    <n v="56400"/>
    <x v="0"/>
  </r>
  <r>
    <n v="101312"/>
    <n v="67"/>
    <n v="47900"/>
    <x v="1"/>
    <n v="51200"/>
    <n v="347000"/>
    <x v="6"/>
    <x v="3"/>
    <x v="1"/>
    <d v="2026-04-04T00:00:00"/>
    <n v="398200"/>
    <x v="0"/>
  </r>
  <r>
    <n v="101313"/>
    <n v="28"/>
    <n v="114300"/>
    <x v="0"/>
    <n v="46700"/>
    <n v="260000"/>
    <x v="5"/>
    <x v="0"/>
    <x v="0"/>
    <d v="2025-03-13T00:00:00"/>
    <n v="306700"/>
    <x v="1"/>
  </r>
  <r>
    <n v="101314"/>
    <n v="70"/>
    <n v="52000"/>
    <x v="0"/>
    <n v="0"/>
    <n v="0"/>
    <x v="7"/>
    <x v="0"/>
    <x v="1"/>
    <d v="2024-04-19T00:00:00"/>
    <n v="0"/>
    <x v="0"/>
  </r>
  <r>
    <n v="101315"/>
    <n v="24"/>
    <n v="43600"/>
    <x v="1"/>
    <n v="48000"/>
    <n v="0"/>
    <x v="6"/>
    <x v="0"/>
    <x v="1"/>
    <d v="2026-07-19T00:00:00"/>
    <n v="48000"/>
    <x v="0"/>
  </r>
  <r>
    <n v="101316"/>
    <n v="65"/>
    <n v="58900"/>
    <x v="1"/>
    <n v="27100"/>
    <n v="240000"/>
    <x v="5"/>
    <x v="1"/>
    <x v="1"/>
    <d v="2024-10-18T00:00:00"/>
    <n v="267100"/>
    <x v="0"/>
  </r>
  <r>
    <n v="101317"/>
    <n v="27"/>
    <n v="57900"/>
    <x v="2"/>
    <n v="72400"/>
    <n v="0"/>
    <x v="4"/>
    <x v="0"/>
    <x v="1"/>
    <d v="2025-08-10T00:00:00"/>
    <n v="72400"/>
    <x v="0"/>
  </r>
  <r>
    <n v="101318"/>
    <n v="32"/>
    <n v="64300"/>
    <x v="1"/>
    <n v="36400"/>
    <n v="0"/>
    <x v="5"/>
    <x v="1"/>
    <x v="1"/>
    <d v="2026-02-27T00:00:00"/>
    <n v="36400"/>
    <x v="0"/>
  </r>
  <r>
    <n v="101319"/>
    <n v="24"/>
    <n v="94300"/>
    <x v="0"/>
    <n v="0"/>
    <n v="0"/>
    <x v="2"/>
    <x v="0"/>
    <x v="1"/>
    <d v="2025-04-01T00:00:00"/>
    <n v="0"/>
    <x v="1"/>
  </r>
  <r>
    <n v="101320"/>
    <n v="67"/>
    <n v="96300"/>
    <x v="1"/>
    <n v="31600"/>
    <n v="0"/>
    <x v="5"/>
    <x v="2"/>
    <x v="1"/>
    <d v="2024-01-24T00:00:00"/>
    <n v="31600"/>
    <x v="1"/>
  </r>
  <r>
    <n v="101321"/>
    <n v="28"/>
    <n v="35900"/>
    <x v="1"/>
    <n v="33000"/>
    <n v="214000"/>
    <x v="2"/>
    <x v="2"/>
    <x v="1"/>
    <d v="2024-02-02T00:00:00"/>
    <n v="247000"/>
    <x v="0"/>
  </r>
  <r>
    <n v="101322"/>
    <n v="52"/>
    <n v="94600"/>
    <x v="1"/>
    <n v="22600"/>
    <n v="0"/>
    <x v="0"/>
    <x v="1"/>
    <x v="1"/>
    <d v="2025-07-25T00:00:00"/>
    <n v="22600"/>
    <x v="1"/>
  </r>
  <r>
    <n v="101323"/>
    <n v="69"/>
    <n v="35400"/>
    <x v="1"/>
    <n v="44200"/>
    <n v="0"/>
    <x v="7"/>
    <x v="0"/>
    <x v="1"/>
    <d v="2026-02-08T00:00:00"/>
    <n v="44200"/>
    <x v="0"/>
  </r>
  <r>
    <n v="101324"/>
    <n v="24"/>
    <n v="82100"/>
    <x v="1"/>
    <n v="31000"/>
    <n v="0"/>
    <x v="4"/>
    <x v="1"/>
    <x v="1"/>
    <d v="2025-10-25T00:00:00"/>
    <n v="31000"/>
    <x v="1"/>
  </r>
  <r>
    <n v="101325"/>
    <n v="56"/>
    <n v="49300"/>
    <x v="0"/>
    <n v="56200"/>
    <n v="0"/>
    <x v="6"/>
    <x v="1"/>
    <x v="1"/>
    <d v="2025-09-30T00:00:00"/>
    <n v="56200"/>
    <x v="0"/>
  </r>
  <r>
    <n v="101326"/>
    <n v="73"/>
    <n v="52500"/>
    <x v="1"/>
    <n v="16600"/>
    <n v="0"/>
    <x v="2"/>
    <x v="1"/>
    <x v="1"/>
    <d v="2024-07-24T00:00:00"/>
    <n v="16600"/>
    <x v="0"/>
  </r>
  <r>
    <n v="101327"/>
    <n v="69"/>
    <n v="88100"/>
    <x v="2"/>
    <n v="0"/>
    <n v="0"/>
    <x v="4"/>
    <x v="2"/>
    <x v="1"/>
    <d v="2024-05-31T00:00:00"/>
    <n v="0"/>
    <x v="1"/>
  </r>
  <r>
    <n v="101328"/>
    <n v="33"/>
    <n v="47400"/>
    <x v="1"/>
    <n v="59200"/>
    <n v="131000"/>
    <x v="2"/>
    <x v="3"/>
    <x v="1"/>
    <d v="2024-11-18T00:00:00"/>
    <n v="190200"/>
    <x v="0"/>
  </r>
  <r>
    <n v="101329"/>
    <n v="34"/>
    <n v="72000"/>
    <x v="1"/>
    <n v="82500"/>
    <n v="335000"/>
    <x v="2"/>
    <x v="2"/>
    <x v="1"/>
    <d v="2026-08-25T00:00:00"/>
    <n v="417500"/>
    <x v="1"/>
  </r>
  <r>
    <n v="101330"/>
    <n v="48"/>
    <n v="36200"/>
    <x v="2"/>
    <n v="45200"/>
    <n v="0"/>
    <x v="3"/>
    <x v="1"/>
    <x v="1"/>
    <d v="2025-02-12T00:00:00"/>
    <n v="45200"/>
    <x v="0"/>
  </r>
  <r>
    <n v="101331"/>
    <n v="32"/>
    <n v="41500"/>
    <x v="1"/>
    <n v="0"/>
    <n v="143000"/>
    <x v="0"/>
    <x v="1"/>
    <x v="1"/>
    <d v="2024-08-02T00:00:00"/>
    <n v="143000"/>
    <x v="0"/>
  </r>
  <r>
    <n v="101332"/>
    <n v="27"/>
    <n v="105800"/>
    <x v="0"/>
    <n v="84600"/>
    <n v="0"/>
    <x v="3"/>
    <x v="3"/>
    <x v="1"/>
    <d v="2025-01-03T00:00:00"/>
    <n v="84600"/>
    <x v="1"/>
  </r>
  <r>
    <n v="101333"/>
    <n v="50"/>
    <n v="44300"/>
    <x v="1"/>
    <n v="5200"/>
    <n v="0"/>
    <x v="1"/>
    <x v="3"/>
    <x v="0"/>
    <d v="2025-01-04T00:00:00"/>
    <n v="5200"/>
    <x v="0"/>
  </r>
  <r>
    <n v="101334"/>
    <n v="39"/>
    <n v="89900"/>
    <x v="1"/>
    <n v="0"/>
    <n v="0"/>
    <x v="0"/>
    <x v="1"/>
    <x v="1"/>
    <d v="2026-04-09T00:00:00"/>
    <n v="0"/>
    <x v="1"/>
  </r>
  <r>
    <n v="101335"/>
    <n v="44"/>
    <n v="95000"/>
    <x v="1"/>
    <n v="0"/>
    <n v="0"/>
    <x v="2"/>
    <x v="2"/>
    <x v="1"/>
    <d v="2026-05-17T00:00:00"/>
    <n v="0"/>
    <x v="1"/>
  </r>
  <r>
    <n v="101336"/>
    <n v="35"/>
    <n v="39800"/>
    <x v="1"/>
    <n v="16100"/>
    <n v="0"/>
    <x v="6"/>
    <x v="2"/>
    <x v="1"/>
    <d v="2026-06-06T00:00:00"/>
    <n v="16100"/>
    <x v="0"/>
  </r>
  <r>
    <n v="101337"/>
    <n v="67"/>
    <n v="72200"/>
    <x v="1"/>
    <n v="16900"/>
    <n v="344000"/>
    <x v="4"/>
    <x v="0"/>
    <x v="1"/>
    <d v="2024-07-04T00:00:00"/>
    <n v="360900"/>
    <x v="1"/>
  </r>
  <r>
    <n v="101338"/>
    <n v="43"/>
    <n v="95500"/>
    <x v="1"/>
    <n v="33600"/>
    <n v="0"/>
    <x v="2"/>
    <x v="0"/>
    <x v="1"/>
    <d v="2024-11-24T00:00:00"/>
    <n v="33600"/>
    <x v="1"/>
  </r>
  <r>
    <n v="101339"/>
    <n v="21"/>
    <n v="83800"/>
    <x v="1"/>
    <n v="0"/>
    <n v="313000"/>
    <x v="1"/>
    <x v="2"/>
    <x v="1"/>
    <d v="2025-01-21T00:00:00"/>
    <n v="313000"/>
    <x v="1"/>
  </r>
  <r>
    <n v="101340"/>
    <n v="68"/>
    <n v="67100"/>
    <x v="0"/>
    <n v="6600"/>
    <n v="0"/>
    <x v="0"/>
    <x v="1"/>
    <x v="1"/>
    <d v="2025-05-02T00:00:00"/>
    <n v="6600"/>
    <x v="0"/>
  </r>
  <r>
    <n v="101341"/>
    <n v="49"/>
    <n v="117200"/>
    <x v="2"/>
    <n v="15800"/>
    <n v="0"/>
    <x v="6"/>
    <x v="2"/>
    <x v="1"/>
    <d v="2026-07-13T00:00:00"/>
    <n v="15800"/>
    <x v="1"/>
  </r>
  <r>
    <n v="101342"/>
    <n v="36"/>
    <n v="36600"/>
    <x v="0"/>
    <n v="40500"/>
    <n v="0"/>
    <x v="7"/>
    <x v="1"/>
    <x v="1"/>
    <d v="2025-08-07T00:00:00"/>
    <n v="40500"/>
    <x v="0"/>
  </r>
  <r>
    <n v="101343"/>
    <n v="32"/>
    <n v="36400"/>
    <x v="0"/>
    <n v="0"/>
    <n v="245000"/>
    <x v="0"/>
    <x v="0"/>
    <x v="1"/>
    <d v="2024-10-16T00:00:00"/>
    <n v="245000"/>
    <x v="0"/>
  </r>
  <r>
    <n v="101344"/>
    <n v="59"/>
    <n v="34800"/>
    <x v="1"/>
    <n v="43500"/>
    <n v="0"/>
    <x v="7"/>
    <x v="0"/>
    <x v="1"/>
    <d v="2025-08-14T00:00:00"/>
    <n v="43500"/>
    <x v="0"/>
  </r>
  <r>
    <n v="101345"/>
    <n v="37"/>
    <n v="81400"/>
    <x v="1"/>
    <n v="43700"/>
    <n v="0"/>
    <x v="6"/>
    <x v="1"/>
    <x v="1"/>
    <d v="2025-10-09T00:00:00"/>
    <n v="43700"/>
    <x v="1"/>
  </r>
  <r>
    <n v="101346"/>
    <n v="23"/>
    <n v="85000"/>
    <x v="2"/>
    <n v="41900"/>
    <n v="0"/>
    <x v="3"/>
    <x v="2"/>
    <x v="1"/>
    <d v="2025-08-08T00:00:00"/>
    <n v="41900"/>
    <x v="1"/>
  </r>
  <r>
    <n v="101347"/>
    <n v="50"/>
    <n v="58700"/>
    <x v="1"/>
    <n v="55900"/>
    <n v="0"/>
    <x v="7"/>
    <x v="3"/>
    <x v="1"/>
    <d v="2024-09-26T00:00:00"/>
    <n v="55900"/>
    <x v="0"/>
  </r>
  <r>
    <n v="101348"/>
    <n v="54"/>
    <n v="55700"/>
    <x v="0"/>
    <n v="34500"/>
    <n v="0"/>
    <x v="4"/>
    <x v="2"/>
    <x v="1"/>
    <d v="2025-05-14T00:00:00"/>
    <n v="34500"/>
    <x v="0"/>
  </r>
  <r>
    <n v="101349"/>
    <n v="69"/>
    <n v="63300"/>
    <x v="0"/>
    <n v="25400"/>
    <n v="0"/>
    <x v="0"/>
    <x v="0"/>
    <x v="1"/>
    <d v="2024-01-27T00:00:00"/>
    <n v="25400"/>
    <x v="0"/>
  </r>
  <r>
    <n v="101350"/>
    <n v="54"/>
    <n v="36400"/>
    <x v="1"/>
    <n v="14500"/>
    <n v="0"/>
    <x v="5"/>
    <x v="2"/>
    <x v="1"/>
    <d v="2025-04-08T00:00:00"/>
    <n v="14500"/>
    <x v="0"/>
  </r>
  <r>
    <n v="101351"/>
    <n v="47"/>
    <n v="63600"/>
    <x v="2"/>
    <n v="0"/>
    <n v="0"/>
    <x v="4"/>
    <x v="1"/>
    <x v="1"/>
    <d v="2026-08-21T00:00:00"/>
    <n v="0"/>
    <x v="0"/>
  </r>
  <r>
    <n v="101352"/>
    <n v="52"/>
    <n v="40900"/>
    <x v="2"/>
    <n v="6900"/>
    <n v="0"/>
    <x v="2"/>
    <x v="1"/>
    <x v="1"/>
    <d v="2025-07-30T00:00:00"/>
    <n v="6900"/>
    <x v="0"/>
  </r>
  <r>
    <n v="101353"/>
    <n v="75"/>
    <n v="62000"/>
    <x v="1"/>
    <n v="36000"/>
    <n v="0"/>
    <x v="4"/>
    <x v="1"/>
    <x v="1"/>
    <d v="2024-06-18T00:00:00"/>
    <n v="36000"/>
    <x v="0"/>
  </r>
  <r>
    <n v="101354"/>
    <n v="60"/>
    <n v="70000"/>
    <x v="0"/>
    <n v="0"/>
    <n v="0"/>
    <x v="4"/>
    <x v="1"/>
    <x v="1"/>
    <d v="2025-09-16T00:00:00"/>
    <n v="0"/>
    <x v="1"/>
  </r>
  <r>
    <n v="101355"/>
    <n v="47"/>
    <n v="92600"/>
    <x v="1"/>
    <n v="0"/>
    <n v="0"/>
    <x v="5"/>
    <x v="2"/>
    <x v="1"/>
    <d v="2025-06-18T00:00:00"/>
    <n v="0"/>
    <x v="1"/>
  </r>
  <r>
    <n v="101356"/>
    <n v="46"/>
    <n v="97600"/>
    <x v="1"/>
    <n v="70200"/>
    <n v="160000"/>
    <x v="5"/>
    <x v="2"/>
    <x v="1"/>
    <d v="2025-08-31T00:00:00"/>
    <n v="230200"/>
    <x v="1"/>
  </r>
  <r>
    <n v="101357"/>
    <n v="24"/>
    <n v="30600"/>
    <x v="1"/>
    <n v="38200"/>
    <n v="0"/>
    <x v="3"/>
    <x v="1"/>
    <x v="1"/>
    <d v="2025-03-05T00:00:00"/>
    <n v="38200"/>
    <x v="0"/>
  </r>
  <r>
    <n v="101358"/>
    <n v="45"/>
    <n v="66500"/>
    <x v="1"/>
    <n v="20000"/>
    <n v="0"/>
    <x v="4"/>
    <x v="0"/>
    <x v="1"/>
    <d v="2026-01-27T00:00:00"/>
    <n v="20000"/>
    <x v="0"/>
  </r>
  <r>
    <n v="101359"/>
    <n v="57"/>
    <n v="106600"/>
    <x v="1"/>
    <n v="44400"/>
    <n v="0"/>
    <x v="6"/>
    <x v="1"/>
    <x v="1"/>
    <d v="2025-06-20T00:00:00"/>
    <n v="44400"/>
    <x v="1"/>
  </r>
  <r>
    <n v="101360"/>
    <n v="26"/>
    <n v="82600"/>
    <x v="0"/>
    <n v="30300"/>
    <n v="0"/>
    <x v="7"/>
    <x v="2"/>
    <x v="1"/>
    <d v="2026-02-11T00:00:00"/>
    <n v="30300"/>
    <x v="1"/>
  </r>
  <r>
    <n v="101361"/>
    <n v="66"/>
    <n v="49400"/>
    <x v="1"/>
    <n v="0"/>
    <n v="0"/>
    <x v="5"/>
    <x v="2"/>
    <x v="1"/>
    <d v="2025-04-22T00:00:00"/>
    <n v="0"/>
    <x v="0"/>
  </r>
  <r>
    <n v="101362"/>
    <n v="47"/>
    <n v="66000"/>
    <x v="2"/>
    <n v="53900"/>
    <n v="0"/>
    <x v="3"/>
    <x v="1"/>
    <x v="1"/>
    <d v="2026-01-19T00:00:00"/>
    <n v="53900"/>
    <x v="0"/>
  </r>
  <r>
    <n v="101363"/>
    <n v="58"/>
    <n v="110100"/>
    <x v="2"/>
    <n v="59200"/>
    <n v="0"/>
    <x v="1"/>
    <x v="2"/>
    <x v="1"/>
    <d v="2026-06-04T00:00:00"/>
    <n v="59200"/>
    <x v="1"/>
  </r>
  <r>
    <n v="101364"/>
    <n v="69"/>
    <n v="45800"/>
    <x v="0"/>
    <n v="21100"/>
    <n v="0"/>
    <x v="1"/>
    <x v="1"/>
    <x v="1"/>
    <d v="2024-12-31T00:00:00"/>
    <n v="21100"/>
    <x v="0"/>
  </r>
  <r>
    <n v="101365"/>
    <n v="25"/>
    <n v="23900"/>
    <x v="0"/>
    <n v="29900"/>
    <n v="0"/>
    <x v="1"/>
    <x v="0"/>
    <x v="0"/>
    <d v="2026-03-10T00:00:00"/>
    <n v="29900"/>
    <x v="0"/>
  </r>
  <r>
    <n v="101366"/>
    <n v="72"/>
    <n v="76400"/>
    <x v="0"/>
    <n v="0"/>
    <n v="0"/>
    <x v="1"/>
    <x v="2"/>
    <x v="1"/>
    <d v="2024-04-20T00:00:00"/>
    <n v="0"/>
    <x v="1"/>
  </r>
  <r>
    <n v="101367"/>
    <n v="57"/>
    <n v="90100"/>
    <x v="0"/>
    <n v="13600"/>
    <n v="0"/>
    <x v="3"/>
    <x v="2"/>
    <x v="1"/>
    <d v="2026-07-14T00:00:00"/>
    <n v="13600"/>
    <x v="1"/>
  </r>
  <r>
    <n v="101368"/>
    <n v="58"/>
    <n v="54500"/>
    <x v="1"/>
    <n v="0"/>
    <n v="0"/>
    <x v="7"/>
    <x v="0"/>
    <x v="1"/>
    <d v="2025-08-10T00:00:00"/>
    <n v="0"/>
    <x v="0"/>
  </r>
  <r>
    <n v="101369"/>
    <n v="75"/>
    <n v="61400"/>
    <x v="2"/>
    <n v="0"/>
    <n v="0"/>
    <x v="1"/>
    <x v="1"/>
    <x v="1"/>
    <d v="2024-01-27T00:00:00"/>
    <n v="0"/>
    <x v="0"/>
  </r>
  <r>
    <n v="101370"/>
    <n v="33"/>
    <n v="64700"/>
    <x v="1"/>
    <n v="0"/>
    <n v="336000"/>
    <x v="6"/>
    <x v="0"/>
    <x v="1"/>
    <d v="2026-05-19T00:00:00"/>
    <n v="336000"/>
    <x v="0"/>
  </r>
  <r>
    <n v="101371"/>
    <n v="36"/>
    <n v="50500"/>
    <x v="0"/>
    <n v="63100"/>
    <n v="280000"/>
    <x v="2"/>
    <x v="1"/>
    <x v="1"/>
    <d v="2024-09-26T00:00:00"/>
    <n v="343100"/>
    <x v="0"/>
  </r>
  <r>
    <n v="101372"/>
    <n v="69"/>
    <n v="84900"/>
    <x v="1"/>
    <n v="0"/>
    <n v="0"/>
    <x v="2"/>
    <x v="1"/>
    <x v="1"/>
    <d v="2026-02-10T00:00:00"/>
    <n v="0"/>
    <x v="1"/>
  </r>
  <r>
    <n v="101373"/>
    <n v="42"/>
    <n v="83500"/>
    <x v="1"/>
    <n v="13200"/>
    <n v="0"/>
    <x v="3"/>
    <x v="2"/>
    <x v="1"/>
    <d v="2026-07-25T00:00:00"/>
    <n v="13200"/>
    <x v="1"/>
  </r>
  <r>
    <n v="101374"/>
    <n v="66"/>
    <n v="33600"/>
    <x v="1"/>
    <n v="42000"/>
    <n v="0"/>
    <x v="3"/>
    <x v="1"/>
    <x v="1"/>
    <d v="2024-12-25T00:00:00"/>
    <n v="42000"/>
    <x v="0"/>
  </r>
  <r>
    <n v="101375"/>
    <n v="41"/>
    <n v="86300"/>
    <x v="2"/>
    <n v="0"/>
    <n v="0"/>
    <x v="2"/>
    <x v="2"/>
    <x v="1"/>
    <d v="2024-07-13T00:00:00"/>
    <n v="0"/>
    <x v="1"/>
  </r>
  <r>
    <n v="101376"/>
    <n v="57"/>
    <n v="47600"/>
    <x v="0"/>
    <n v="23200"/>
    <n v="0"/>
    <x v="4"/>
    <x v="1"/>
    <x v="1"/>
    <d v="2024-07-22T00:00:00"/>
    <n v="23200"/>
    <x v="0"/>
  </r>
  <r>
    <n v="101377"/>
    <n v="25"/>
    <n v="33600"/>
    <x v="0"/>
    <n v="0"/>
    <n v="0"/>
    <x v="5"/>
    <x v="2"/>
    <x v="1"/>
    <d v="2024-12-14T00:00:00"/>
    <n v="0"/>
    <x v="0"/>
  </r>
  <r>
    <n v="101378"/>
    <n v="54"/>
    <n v="50200"/>
    <x v="1"/>
    <n v="58700"/>
    <n v="0"/>
    <x v="5"/>
    <x v="1"/>
    <x v="1"/>
    <d v="2024-11-27T00:00:00"/>
    <n v="58700"/>
    <x v="0"/>
  </r>
  <r>
    <n v="101379"/>
    <n v="34"/>
    <n v="55900"/>
    <x v="1"/>
    <n v="44100"/>
    <n v="207000"/>
    <x v="3"/>
    <x v="2"/>
    <x v="1"/>
    <d v="2025-10-25T00:00:00"/>
    <n v="251100"/>
    <x v="0"/>
  </r>
  <r>
    <n v="101380"/>
    <n v="71"/>
    <n v="42100"/>
    <x v="1"/>
    <n v="7400"/>
    <n v="0"/>
    <x v="7"/>
    <x v="1"/>
    <x v="1"/>
    <d v="2025-08-04T00:00:00"/>
    <n v="7400"/>
    <x v="0"/>
  </r>
  <r>
    <n v="101381"/>
    <n v="32"/>
    <n v="53900"/>
    <x v="2"/>
    <n v="41400"/>
    <n v="0"/>
    <x v="1"/>
    <x v="0"/>
    <x v="1"/>
    <d v="2025-01-07T00:00:00"/>
    <n v="41400"/>
    <x v="0"/>
  </r>
  <r>
    <n v="101382"/>
    <n v="71"/>
    <n v="85800"/>
    <x v="1"/>
    <n v="68300"/>
    <n v="0"/>
    <x v="2"/>
    <x v="2"/>
    <x v="1"/>
    <d v="2024-11-25T00:00:00"/>
    <n v="68300"/>
    <x v="1"/>
  </r>
  <r>
    <n v="101383"/>
    <n v="75"/>
    <n v="88800"/>
    <x v="0"/>
    <n v="0"/>
    <n v="0"/>
    <x v="0"/>
    <x v="3"/>
    <x v="1"/>
    <d v="2026-03-14T00:00:00"/>
    <n v="0"/>
    <x v="1"/>
  </r>
  <r>
    <n v="101384"/>
    <n v="52"/>
    <n v="76400"/>
    <x v="0"/>
    <n v="56800"/>
    <n v="178000"/>
    <x v="3"/>
    <x v="2"/>
    <x v="1"/>
    <d v="2024-02-24T00:00:00"/>
    <n v="234800"/>
    <x v="1"/>
  </r>
  <r>
    <n v="101385"/>
    <n v="49"/>
    <n v="68700"/>
    <x v="1"/>
    <n v="72800"/>
    <n v="221000"/>
    <x v="6"/>
    <x v="0"/>
    <x v="1"/>
    <d v="2025-12-24T00:00:00"/>
    <n v="293800"/>
    <x v="0"/>
  </r>
  <r>
    <n v="101386"/>
    <n v="29"/>
    <n v="31100"/>
    <x v="1"/>
    <n v="0"/>
    <n v="0"/>
    <x v="5"/>
    <x v="3"/>
    <x v="1"/>
    <d v="2026-01-15T00:00:00"/>
    <n v="0"/>
    <x v="0"/>
  </r>
  <r>
    <n v="101387"/>
    <n v="21"/>
    <n v="76900"/>
    <x v="1"/>
    <n v="71000"/>
    <n v="0"/>
    <x v="3"/>
    <x v="1"/>
    <x v="1"/>
    <d v="2025-12-14T00:00:00"/>
    <n v="71000"/>
    <x v="1"/>
  </r>
  <r>
    <n v="101388"/>
    <n v="63"/>
    <n v="47200"/>
    <x v="1"/>
    <n v="0"/>
    <n v="0"/>
    <x v="1"/>
    <x v="2"/>
    <x v="1"/>
    <d v="2025-07-06T00:00:00"/>
    <n v="0"/>
    <x v="0"/>
  </r>
  <r>
    <n v="101389"/>
    <n v="63"/>
    <n v="66200"/>
    <x v="2"/>
    <n v="0"/>
    <n v="271000"/>
    <x v="0"/>
    <x v="0"/>
    <x v="1"/>
    <d v="2024-03-13T00:00:00"/>
    <n v="271000"/>
    <x v="0"/>
  </r>
  <r>
    <n v="101390"/>
    <n v="59"/>
    <n v="31100"/>
    <x v="1"/>
    <n v="18600"/>
    <n v="0"/>
    <x v="4"/>
    <x v="0"/>
    <x v="0"/>
    <d v="2026-08-09T00:00:00"/>
    <n v="18600"/>
    <x v="0"/>
  </r>
  <r>
    <n v="101391"/>
    <n v="51"/>
    <n v="78300"/>
    <x v="1"/>
    <n v="28500"/>
    <n v="0"/>
    <x v="1"/>
    <x v="1"/>
    <x v="1"/>
    <d v="2025-04-30T00:00:00"/>
    <n v="28500"/>
    <x v="1"/>
  </r>
  <r>
    <n v="101392"/>
    <n v="28"/>
    <n v="91200"/>
    <x v="1"/>
    <n v="17800"/>
    <n v="0"/>
    <x v="5"/>
    <x v="2"/>
    <x v="1"/>
    <d v="2025-02-15T00:00:00"/>
    <n v="17800"/>
    <x v="1"/>
  </r>
  <r>
    <n v="101393"/>
    <n v="32"/>
    <n v="42700"/>
    <x v="2"/>
    <n v="25300"/>
    <n v="0"/>
    <x v="5"/>
    <x v="2"/>
    <x v="1"/>
    <d v="2025-07-24T00:00:00"/>
    <n v="25300"/>
    <x v="0"/>
  </r>
  <r>
    <n v="101394"/>
    <n v="23"/>
    <n v="74100"/>
    <x v="1"/>
    <n v="80300"/>
    <n v="174000"/>
    <x v="5"/>
    <x v="2"/>
    <x v="1"/>
    <d v="2025-07-30T00:00:00"/>
    <n v="254300"/>
    <x v="1"/>
  </r>
  <r>
    <n v="101395"/>
    <n v="43"/>
    <n v="92800"/>
    <x v="2"/>
    <n v="41000"/>
    <n v="153000"/>
    <x v="2"/>
    <x v="2"/>
    <x v="1"/>
    <d v="2024-06-07T00:00:00"/>
    <n v="194000"/>
    <x v="1"/>
  </r>
  <r>
    <n v="101396"/>
    <n v="58"/>
    <n v="51500"/>
    <x v="1"/>
    <n v="58800"/>
    <n v="0"/>
    <x v="4"/>
    <x v="0"/>
    <x v="1"/>
    <d v="2025-09-29T00:00:00"/>
    <n v="58800"/>
    <x v="0"/>
  </r>
  <r>
    <n v="101397"/>
    <n v="22"/>
    <n v="104700"/>
    <x v="2"/>
    <n v="0"/>
    <n v="343000"/>
    <x v="5"/>
    <x v="2"/>
    <x v="1"/>
    <d v="2025-11-30T00:00:00"/>
    <n v="343000"/>
    <x v="1"/>
  </r>
  <r>
    <n v="101398"/>
    <n v="31"/>
    <n v="66400"/>
    <x v="1"/>
    <n v="18500"/>
    <n v="233000"/>
    <x v="2"/>
    <x v="0"/>
    <x v="1"/>
    <d v="2025-07-15T00:00:00"/>
    <n v="251500"/>
    <x v="0"/>
  </r>
  <r>
    <n v="101399"/>
    <n v="73"/>
    <n v="52400"/>
    <x v="1"/>
    <n v="36900"/>
    <n v="0"/>
    <x v="2"/>
    <x v="2"/>
    <x v="1"/>
    <d v="2025-05-17T00:00:00"/>
    <n v="36900"/>
    <x v="0"/>
  </r>
  <r>
    <n v="101400"/>
    <n v="32"/>
    <n v="84900"/>
    <x v="1"/>
    <n v="79400"/>
    <n v="0"/>
    <x v="0"/>
    <x v="0"/>
    <x v="0"/>
    <d v="2025-11-01T00:00:00"/>
    <n v="79400"/>
    <x v="1"/>
  </r>
  <r>
    <n v="101401"/>
    <n v="40"/>
    <n v="100500"/>
    <x v="0"/>
    <n v="34900"/>
    <n v="0"/>
    <x v="3"/>
    <x v="2"/>
    <x v="1"/>
    <d v="2026-02-20T00:00:00"/>
    <n v="34900"/>
    <x v="1"/>
  </r>
  <r>
    <n v="101402"/>
    <n v="32"/>
    <n v="46500"/>
    <x v="0"/>
    <n v="27200"/>
    <n v="0"/>
    <x v="7"/>
    <x v="2"/>
    <x v="1"/>
    <d v="2025-09-16T00:00:00"/>
    <n v="27200"/>
    <x v="0"/>
  </r>
  <r>
    <n v="101403"/>
    <n v="44"/>
    <n v="47300"/>
    <x v="2"/>
    <n v="0"/>
    <n v="0"/>
    <x v="6"/>
    <x v="1"/>
    <x v="1"/>
    <d v="2024-02-12T00:00:00"/>
    <n v="0"/>
    <x v="0"/>
  </r>
  <r>
    <n v="101404"/>
    <n v="32"/>
    <n v="107100"/>
    <x v="1"/>
    <n v="64900"/>
    <n v="0"/>
    <x v="2"/>
    <x v="1"/>
    <x v="1"/>
    <d v="2024-02-18T00:00:00"/>
    <n v="64900"/>
    <x v="1"/>
  </r>
  <r>
    <n v="101405"/>
    <n v="39"/>
    <n v="52100"/>
    <x v="1"/>
    <n v="56600"/>
    <n v="0"/>
    <x v="1"/>
    <x v="0"/>
    <x v="1"/>
    <d v="2024-07-01T00:00:00"/>
    <n v="56600"/>
    <x v="0"/>
  </r>
  <r>
    <n v="101406"/>
    <n v="52"/>
    <n v="51300"/>
    <x v="0"/>
    <n v="0"/>
    <n v="353000"/>
    <x v="3"/>
    <x v="1"/>
    <x v="1"/>
    <d v="2024-03-15T00:00:00"/>
    <n v="353000"/>
    <x v="0"/>
  </r>
  <r>
    <n v="101407"/>
    <n v="65"/>
    <n v="41400"/>
    <x v="1"/>
    <n v="6700"/>
    <n v="0"/>
    <x v="3"/>
    <x v="3"/>
    <x v="0"/>
    <d v="2024-10-24T00:00:00"/>
    <n v="6700"/>
    <x v="0"/>
  </r>
  <r>
    <n v="101408"/>
    <n v="20"/>
    <n v="99300"/>
    <x v="0"/>
    <n v="0"/>
    <n v="0"/>
    <x v="4"/>
    <x v="3"/>
    <x v="1"/>
    <d v="2026-04-26T00:00:00"/>
    <n v="0"/>
    <x v="1"/>
  </r>
  <r>
    <n v="101409"/>
    <n v="34"/>
    <n v="51300"/>
    <x v="2"/>
    <n v="16100"/>
    <n v="247000"/>
    <x v="1"/>
    <x v="1"/>
    <x v="1"/>
    <d v="2026-07-12T00:00:00"/>
    <n v="263100"/>
    <x v="0"/>
  </r>
  <r>
    <n v="101410"/>
    <n v="60"/>
    <n v="47500"/>
    <x v="2"/>
    <n v="59400"/>
    <n v="0"/>
    <x v="6"/>
    <x v="1"/>
    <x v="1"/>
    <d v="2024-10-11T00:00:00"/>
    <n v="59400"/>
    <x v="0"/>
  </r>
  <r>
    <n v="101411"/>
    <n v="73"/>
    <n v="98800"/>
    <x v="0"/>
    <n v="39700"/>
    <n v="0"/>
    <x v="1"/>
    <x v="2"/>
    <x v="1"/>
    <d v="2024-05-11T00:00:00"/>
    <n v="39700"/>
    <x v="1"/>
  </r>
  <r>
    <n v="101412"/>
    <n v="62"/>
    <n v="74700"/>
    <x v="1"/>
    <n v="17000"/>
    <n v="0"/>
    <x v="0"/>
    <x v="2"/>
    <x v="1"/>
    <d v="2026-08-24T00:00:00"/>
    <n v="17000"/>
    <x v="1"/>
  </r>
  <r>
    <n v="101413"/>
    <n v="67"/>
    <n v="44400"/>
    <x v="0"/>
    <n v="0"/>
    <n v="0"/>
    <x v="5"/>
    <x v="1"/>
    <x v="1"/>
    <d v="2025-08-06T00:00:00"/>
    <n v="0"/>
    <x v="0"/>
  </r>
  <r>
    <n v="101414"/>
    <n v="36"/>
    <n v="35100"/>
    <x v="1"/>
    <n v="0"/>
    <n v="0"/>
    <x v="0"/>
    <x v="0"/>
    <x v="1"/>
    <d v="2025-05-24T00:00:00"/>
    <n v="0"/>
    <x v="0"/>
  </r>
  <r>
    <n v="101415"/>
    <n v="32"/>
    <n v="36500"/>
    <x v="2"/>
    <n v="14400"/>
    <n v="0"/>
    <x v="1"/>
    <x v="1"/>
    <x v="1"/>
    <d v="2026-04-05T00:00:00"/>
    <n v="14400"/>
    <x v="0"/>
  </r>
  <r>
    <n v="101416"/>
    <n v="24"/>
    <n v="43600"/>
    <x v="0"/>
    <n v="16200"/>
    <n v="0"/>
    <x v="6"/>
    <x v="0"/>
    <x v="1"/>
    <d v="2024-07-12T00:00:00"/>
    <n v="16200"/>
    <x v="0"/>
  </r>
  <r>
    <n v="101417"/>
    <n v="69"/>
    <n v="41800"/>
    <x v="1"/>
    <n v="52200"/>
    <n v="0"/>
    <x v="5"/>
    <x v="3"/>
    <x v="1"/>
    <d v="2024-07-24T00:00:00"/>
    <n v="52200"/>
    <x v="0"/>
  </r>
  <r>
    <n v="101418"/>
    <n v="61"/>
    <n v="30300"/>
    <x v="1"/>
    <n v="0"/>
    <n v="0"/>
    <x v="3"/>
    <x v="1"/>
    <x v="1"/>
    <d v="2024-07-18T00:00:00"/>
    <n v="0"/>
    <x v="0"/>
  </r>
  <r>
    <n v="101419"/>
    <n v="41"/>
    <n v="71900"/>
    <x v="1"/>
    <n v="0"/>
    <n v="159000"/>
    <x v="5"/>
    <x v="1"/>
    <x v="1"/>
    <d v="2024-05-26T00:00:00"/>
    <n v="159000"/>
    <x v="1"/>
  </r>
  <r>
    <n v="101420"/>
    <n v="55"/>
    <n v="111200"/>
    <x v="1"/>
    <n v="28900"/>
    <n v="0"/>
    <x v="4"/>
    <x v="1"/>
    <x v="1"/>
    <d v="2024-02-09T00:00:00"/>
    <n v="28900"/>
    <x v="1"/>
  </r>
  <r>
    <n v="101421"/>
    <n v="29"/>
    <n v="98800"/>
    <x v="0"/>
    <n v="4200"/>
    <n v="185000"/>
    <x v="0"/>
    <x v="0"/>
    <x v="1"/>
    <d v="2024-02-06T00:00:00"/>
    <n v="189200"/>
    <x v="1"/>
  </r>
  <r>
    <n v="101422"/>
    <n v="56"/>
    <n v="63100"/>
    <x v="1"/>
    <n v="0"/>
    <n v="0"/>
    <x v="1"/>
    <x v="2"/>
    <x v="1"/>
    <d v="2025-09-22T00:00:00"/>
    <n v="0"/>
    <x v="0"/>
  </r>
  <r>
    <n v="101423"/>
    <n v="44"/>
    <n v="56400"/>
    <x v="0"/>
    <n v="40500"/>
    <n v="0"/>
    <x v="7"/>
    <x v="1"/>
    <x v="1"/>
    <d v="2025-04-10T00:00:00"/>
    <n v="40500"/>
    <x v="0"/>
  </r>
  <r>
    <n v="101424"/>
    <n v="54"/>
    <n v="95500"/>
    <x v="1"/>
    <n v="48700"/>
    <n v="0"/>
    <x v="1"/>
    <x v="3"/>
    <x v="1"/>
    <d v="2025-01-11T00:00:00"/>
    <n v="48700"/>
    <x v="1"/>
  </r>
  <r>
    <n v="101425"/>
    <n v="67"/>
    <n v="25500"/>
    <x v="0"/>
    <n v="31500"/>
    <n v="0"/>
    <x v="3"/>
    <x v="3"/>
    <x v="0"/>
    <d v="2025-10-03T00:00:00"/>
    <n v="31500"/>
    <x v="0"/>
  </r>
  <r>
    <n v="101426"/>
    <n v="42"/>
    <n v="41700"/>
    <x v="1"/>
    <n v="0"/>
    <n v="0"/>
    <x v="7"/>
    <x v="1"/>
    <x v="1"/>
    <d v="2025-02-01T00:00:00"/>
    <n v="0"/>
    <x v="0"/>
  </r>
  <r>
    <n v="101427"/>
    <n v="49"/>
    <n v="50800"/>
    <x v="1"/>
    <n v="48100"/>
    <n v="153000"/>
    <x v="3"/>
    <x v="1"/>
    <x v="1"/>
    <d v="2026-01-16T00:00:00"/>
    <n v="201100"/>
    <x v="0"/>
  </r>
  <r>
    <n v="101428"/>
    <n v="62"/>
    <n v="83900"/>
    <x v="1"/>
    <n v="60500"/>
    <n v="0"/>
    <x v="2"/>
    <x v="1"/>
    <x v="1"/>
    <d v="2024-05-24T00:00:00"/>
    <n v="60500"/>
    <x v="1"/>
  </r>
  <r>
    <n v="101429"/>
    <n v="50"/>
    <n v="35100"/>
    <x v="0"/>
    <n v="43900"/>
    <n v="0"/>
    <x v="1"/>
    <x v="2"/>
    <x v="1"/>
    <d v="2025-07-18T00:00:00"/>
    <n v="43900"/>
    <x v="0"/>
  </r>
  <r>
    <n v="101430"/>
    <n v="30"/>
    <n v="72100"/>
    <x v="2"/>
    <n v="71000"/>
    <n v="150000"/>
    <x v="4"/>
    <x v="2"/>
    <x v="1"/>
    <d v="2025-07-30T00:00:00"/>
    <n v="221000"/>
    <x v="1"/>
  </r>
  <r>
    <n v="101431"/>
    <n v="69"/>
    <n v="38500"/>
    <x v="1"/>
    <n v="0"/>
    <n v="0"/>
    <x v="1"/>
    <x v="1"/>
    <x v="1"/>
    <d v="2024-09-08T00:00:00"/>
    <n v="0"/>
    <x v="0"/>
  </r>
  <r>
    <n v="101432"/>
    <n v="75"/>
    <n v="79200"/>
    <x v="0"/>
    <n v="40300"/>
    <n v="0"/>
    <x v="6"/>
    <x v="1"/>
    <x v="1"/>
    <d v="2024-03-28T00:00:00"/>
    <n v="40300"/>
    <x v="1"/>
  </r>
  <r>
    <n v="101433"/>
    <n v="21"/>
    <n v="22800"/>
    <x v="2"/>
    <n v="28500"/>
    <n v="0"/>
    <x v="2"/>
    <x v="1"/>
    <x v="1"/>
    <d v="2024-08-06T00:00:00"/>
    <n v="28500"/>
    <x v="0"/>
  </r>
  <r>
    <n v="101434"/>
    <n v="39"/>
    <n v="90400"/>
    <x v="1"/>
    <n v="0"/>
    <n v="0"/>
    <x v="7"/>
    <x v="2"/>
    <x v="1"/>
    <d v="2025-12-21T00:00:00"/>
    <n v="0"/>
    <x v="1"/>
  </r>
  <r>
    <n v="101435"/>
    <n v="31"/>
    <n v="46300"/>
    <x v="1"/>
    <n v="57900"/>
    <n v="191000"/>
    <x v="1"/>
    <x v="2"/>
    <x v="1"/>
    <d v="2025-04-25T00:00:00"/>
    <n v="248900"/>
    <x v="0"/>
  </r>
  <r>
    <n v="101436"/>
    <n v="64"/>
    <n v="117200"/>
    <x v="0"/>
    <n v="0"/>
    <n v="0"/>
    <x v="4"/>
    <x v="0"/>
    <x v="1"/>
    <d v="2024-04-09T00:00:00"/>
    <n v="0"/>
    <x v="1"/>
  </r>
  <r>
    <n v="101437"/>
    <n v="68"/>
    <n v="28300"/>
    <x v="2"/>
    <n v="32400"/>
    <n v="0"/>
    <x v="2"/>
    <x v="3"/>
    <x v="1"/>
    <d v="2024-07-05T00:00:00"/>
    <n v="32400"/>
    <x v="0"/>
  </r>
  <r>
    <n v="101438"/>
    <n v="48"/>
    <n v="97700"/>
    <x v="2"/>
    <n v="0"/>
    <n v="0"/>
    <x v="2"/>
    <x v="3"/>
    <x v="1"/>
    <d v="2026-06-26T00:00:00"/>
    <n v="0"/>
    <x v="1"/>
  </r>
  <r>
    <n v="101439"/>
    <n v="43"/>
    <n v="31600"/>
    <x v="1"/>
    <n v="28000"/>
    <n v="395000"/>
    <x v="3"/>
    <x v="3"/>
    <x v="1"/>
    <d v="2025-12-29T00:00:00"/>
    <n v="423000"/>
    <x v="0"/>
  </r>
  <r>
    <n v="101440"/>
    <n v="70"/>
    <n v="107500"/>
    <x v="1"/>
    <n v="54300"/>
    <n v="321000"/>
    <x v="1"/>
    <x v="3"/>
    <x v="1"/>
    <d v="2024-09-15T00:00:00"/>
    <n v="375300"/>
    <x v="1"/>
  </r>
  <r>
    <n v="101441"/>
    <n v="32"/>
    <n v="60700"/>
    <x v="2"/>
    <n v="0"/>
    <n v="172000"/>
    <x v="4"/>
    <x v="2"/>
    <x v="1"/>
    <d v="2024-09-01T00:00:00"/>
    <n v="172000"/>
    <x v="0"/>
  </r>
  <r>
    <n v="101442"/>
    <n v="64"/>
    <n v="47300"/>
    <x v="1"/>
    <n v="9500"/>
    <n v="0"/>
    <x v="7"/>
    <x v="1"/>
    <x v="1"/>
    <d v="2024-02-02T00:00:00"/>
    <n v="9500"/>
    <x v="0"/>
  </r>
  <r>
    <n v="101443"/>
    <n v="28"/>
    <n v="94500"/>
    <x v="2"/>
    <n v="38000"/>
    <n v="0"/>
    <x v="3"/>
    <x v="0"/>
    <x v="1"/>
    <d v="2024-02-06T00:00:00"/>
    <n v="38000"/>
    <x v="1"/>
  </r>
  <r>
    <n v="101444"/>
    <n v="64"/>
    <n v="73100"/>
    <x v="0"/>
    <n v="54700"/>
    <n v="0"/>
    <x v="1"/>
    <x v="1"/>
    <x v="1"/>
    <d v="2026-08-23T00:00:00"/>
    <n v="54700"/>
    <x v="1"/>
  </r>
  <r>
    <n v="101445"/>
    <n v="42"/>
    <n v="77400"/>
    <x v="0"/>
    <n v="21800"/>
    <n v="0"/>
    <x v="0"/>
    <x v="1"/>
    <x v="1"/>
    <d v="2026-06-01T00:00:00"/>
    <n v="21800"/>
    <x v="1"/>
  </r>
  <r>
    <n v="101446"/>
    <n v="52"/>
    <n v="98000"/>
    <x v="1"/>
    <n v="51200"/>
    <n v="144000"/>
    <x v="0"/>
    <x v="2"/>
    <x v="1"/>
    <d v="2026-03-08T00:00:00"/>
    <n v="195200"/>
    <x v="1"/>
  </r>
  <r>
    <n v="101447"/>
    <n v="25"/>
    <n v="93300"/>
    <x v="1"/>
    <n v="55000"/>
    <n v="0"/>
    <x v="0"/>
    <x v="2"/>
    <x v="1"/>
    <d v="2026-06-11T00:00:00"/>
    <n v="55000"/>
    <x v="1"/>
  </r>
  <r>
    <n v="101448"/>
    <n v="49"/>
    <n v="69700"/>
    <x v="1"/>
    <n v="40500"/>
    <n v="134000"/>
    <x v="0"/>
    <x v="2"/>
    <x v="1"/>
    <d v="2024-04-03T00:00:00"/>
    <n v="174500"/>
    <x v="0"/>
  </r>
  <r>
    <n v="101449"/>
    <n v="20"/>
    <n v="55200"/>
    <x v="0"/>
    <n v="47700"/>
    <n v="0"/>
    <x v="3"/>
    <x v="1"/>
    <x v="1"/>
    <d v="2025-05-22T00:00:00"/>
    <n v="47700"/>
    <x v="0"/>
  </r>
  <r>
    <n v="101450"/>
    <n v="58"/>
    <n v="76200"/>
    <x v="1"/>
    <n v="0"/>
    <n v="0"/>
    <x v="6"/>
    <x v="2"/>
    <x v="1"/>
    <d v="2025-06-03T00:00:00"/>
    <n v="0"/>
    <x v="1"/>
  </r>
  <r>
    <n v="101451"/>
    <n v="20"/>
    <n v="32600"/>
    <x v="2"/>
    <n v="40800"/>
    <n v="0"/>
    <x v="3"/>
    <x v="0"/>
    <x v="1"/>
    <d v="2024-03-18T00:00:00"/>
    <n v="40800"/>
    <x v="0"/>
  </r>
  <r>
    <n v="101452"/>
    <n v="32"/>
    <n v="40400"/>
    <x v="1"/>
    <n v="0"/>
    <n v="239000"/>
    <x v="5"/>
    <x v="0"/>
    <x v="1"/>
    <d v="2025-06-02T00:00:00"/>
    <n v="239000"/>
    <x v="0"/>
  </r>
  <r>
    <n v="101453"/>
    <n v="60"/>
    <n v="46100"/>
    <x v="1"/>
    <n v="0"/>
    <n v="0"/>
    <x v="6"/>
    <x v="1"/>
    <x v="1"/>
    <d v="2025-11-30T00:00:00"/>
    <n v="0"/>
    <x v="0"/>
  </r>
  <r>
    <n v="101454"/>
    <n v="36"/>
    <n v="45800"/>
    <x v="1"/>
    <n v="33400"/>
    <n v="0"/>
    <x v="6"/>
    <x v="1"/>
    <x v="1"/>
    <d v="2024-03-22T00:00:00"/>
    <n v="33400"/>
    <x v="0"/>
  </r>
  <r>
    <n v="101455"/>
    <n v="63"/>
    <n v="81800"/>
    <x v="0"/>
    <n v="49700"/>
    <n v="227000"/>
    <x v="2"/>
    <x v="1"/>
    <x v="1"/>
    <d v="2024-03-08T00:00:00"/>
    <n v="276700"/>
    <x v="1"/>
  </r>
  <r>
    <n v="101456"/>
    <n v="56"/>
    <n v="44700"/>
    <x v="2"/>
    <n v="49600"/>
    <n v="0"/>
    <x v="7"/>
    <x v="1"/>
    <x v="1"/>
    <d v="2025-07-13T00:00:00"/>
    <n v="49600"/>
    <x v="0"/>
  </r>
  <r>
    <n v="101457"/>
    <n v="67"/>
    <n v="40600"/>
    <x v="0"/>
    <n v="26000"/>
    <n v="0"/>
    <x v="7"/>
    <x v="1"/>
    <x v="1"/>
    <d v="2026-08-25T00:00:00"/>
    <n v="26000"/>
    <x v="0"/>
  </r>
  <r>
    <n v="101458"/>
    <n v="45"/>
    <n v="57300"/>
    <x v="2"/>
    <n v="16100"/>
    <n v="0"/>
    <x v="1"/>
    <x v="3"/>
    <x v="1"/>
    <d v="2026-03-18T00:00:00"/>
    <n v="16100"/>
    <x v="0"/>
  </r>
  <r>
    <n v="101459"/>
    <n v="40"/>
    <n v="51900"/>
    <x v="2"/>
    <n v="26600"/>
    <n v="0"/>
    <x v="4"/>
    <x v="2"/>
    <x v="1"/>
    <d v="2024-08-10T00:00:00"/>
    <n v="26600"/>
    <x v="0"/>
  </r>
  <r>
    <n v="101460"/>
    <n v="26"/>
    <n v="24600"/>
    <x v="1"/>
    <n v="18700"/>
    <n v="0"/>
    <x v="4"/>
    <x v="1"/>
    <x v="1"/>
    <d v="2025-07-16T00:00:00"/>
    <n v="18700"/>
    <x v="0"/>
  </r>
  <r>
    <n v="101461"/>
    <n v="37"/>
    <n v="42800"/>
    <x v="1"/>
    <n v="0"/>
    <n v="0"/>
    <x v="4"/>
    <x v="1"/>
    <x v="1"/>
    <d v="2025-11-12T00:00:00"/>
    <n v="0"/>
    <x v="0"/>
  </r>
  <r>
    <n v="101462"/>
    <n v="23"/>
    <n v="50200"/>
    <x v="1"/>
    <n v="0"/>
    <n v="0"/>
    <x v="5"/>
    <x v="2"/>
    <x v="1"/>
    <d v="2025-06-15T00:00:00"/>
    <n v="0"/>
    <x v="0"/>
  </r>
  <r>
    <n v="101463"/>
    <n v="51"/>
    <n v="86000"/>
    <x v="1"/>
    <n v="23800"/>
    <n v="238000"/>
    <x v="1"/>
    <x v="1"/>
    <x v="1"/>
    <d v="2025-06-26T00:00:00"/>
    <n v="261800"/>
    <x v="1"/>
  </r>
  <r>
    <n v="101464"/>
    <n v="38"/>
    <n v="49400"/>
    <x v="1"/>
    <n v="15400"/>
    <n v="0"/>
    <x v="7"/>
    <x v="2"/>
    <x v="1"/>
    <d v="2025-03-03T00:00:00"/>
    <n v="15400"/>
    <x v="0"/>
  </r>
  <r>
    <n v="101465"/>
    <n v="35"/>
    <n v="41700"/>
    <x v="1"/>
    <n v="52100"/>
    <n v="0"/>
    <x v="7"/>
    <x v="0"/>
    <x v="1"/>
    <d v="2025-08-14T00:00:00"/>
    <n v="52100"/>
    <x v="0"/>
  </r>
  <r>
    <n v="101466"/>
    <n v="70"/>
    <n v="48800"/>
    <x v="1"/>
    <n v="24400"/>
    <n v="0"/>
    <x v="3"/>
    <x v="1"/>
    <x v="1"/>
    <d v="2026-04-12T00:00:00"/>
    <n v="24400"/>
    <x v="0"/>
  </r>
  <r>
    <n v="101467"/>
    <n v="72"/>
    <n v="44000"/>
    <x v="0"/>
    <n v="0"/>
    <n v="0"/>
    <x v="0"/>
    <x v="1"/>
    <x v="1"/>
    <d v="2024-05-31T00:00:00"/>
    <n v="0"/>
    <x v="0"/>
  </r>
  <r>
    <n v="101468"/>
    <n v="59"/>
    <n v="48200"/>
    <x v="0"/>
    <n v="60200"/>
    <n v="0"/>
    <x v="5"/>
    <x v="2"/>
    <x v="1"/>
    <d v="2024-07-16T00:00:00"/>
    <n v="60200"/>
    <x v="0"/>
  </r>
  <r>
    <n v="101469"/>
    <n v="70"/>
    <n v="82400"/>
    <x v="0"/>
    <n v="52500"/>
    <n v="0"/>
    <x v="3"/>
    <x v="1"/>
    <x v="1"/>
    <d v="2026-04-24T00:00:00"/>
    <n v="52500"/>
    <x v="1"/>
  </r>
  <r>
    <n v="101470"/>
    <n v="59"/>
    <n v="58600"/>
    <x v="1"/>
    <n v="24400"/>
    <n v="0"/>
    <x v="3"/>
    <x v="0"/>
    <x v="1"/>
    <d v="2026-08-03T00:00:00"/>
    <n v="24400"/>
    <x v="0"/>
  </r>
  <r>
    <n v="101471"/>
    <n v="58"/>
    <n v="67600"/>
    <x v="1"/>
    <n v="63000"/>
    <n v="0"/>
    <x v="5"/>
    <x v="2"/>
    <x v="1"/>
    <d v="2025-12-18T00:00:00"/>
    <n v="63000"/>
    <x v="0"/>
  </r>
  <r>
    <n v="101472"/>
    <n v="72"/>
    <n v="91900"/>
    <x v="1"/>
    <n v="23200"/>
    <n v="241000"/>
    <x v="1"/>
    <x v="2"/>
    <x v="1"/>
    <d v="2026-07-20T00:00:00"/>
    <n v="264200"/>
    <x v="1"/>
  </r>
  <r>
    <n v="101473"/>
    <n v="29"/>
    <n v="56200"/>
    <x v="1"/>
    <n v="30700"/>
    <n v="0"/>
    <x v="5"/>
    <x v="1"/>
    <x v="1"/>
    <d v="2025-09-13T00:00:00"/>
    <n v="30700"/>
    <x v="0"/>
  </r>
  <r>
    <n v="101474"/>
    <n v="49"/>
    <n v="46000"/>
    <x v="0"/>
    <n v="6900"/>
    <n v="174000"/>
    <x v="7"/>
    <x v="1"/>
    <x v="1"/>
    <d v="2026-01-07T00:00:00"/>
    <n v="180900"/>
    <x v="0"/>
  </r>
  <r>
    <n v="101475"/>
    <n v="44"/>
    <n v="63400"/>
    <x v="0"/>
    <n v="28100"/>
    <n v="0"/>
    <x v="6"/>
    <x v="1"/>
    <x v="1"/>
    <d v="2026-02-13T00:00:00"/>
    <n v="28100"/>
    <x v="0"/>
  </r>
  <r>
    <n v="101476"/>
    <n v="56"/>
    <n v="28300"/>
    <x v="0"/>
    <n v="0"/>
    <n v="0"/>
    <x v="7"/>
    <x v="2"/>
    <x v="1"/>
    <d v="2024-03-10T00:00:00"/>
    <n v="0"/>
    <x v="0"/>
  </r>
  <r>
    <n v="101477"/>
    <n v="28"/>
    <n v="38200"/>
    <x v="0"/>
    <n v="0"/>
    <n v="0"/>
    <x v="2"/>
    <x v="3"/>
    <x v="1"/>
    <d v="2024-12-12T00:00:00"/>
    <n v="0"/>
    <x v="0"/>
  </r>
  <r>
    <n v="101478"/>
    <n v="25"/>
    <n v="53900"/>
    <x v="0"/>
    <n v="36300"/>
    <n v="0"/>
    <x v="1"/>
    <x v="1"/>
    <x v="1"/>
    <d v="2024-04-01T00:00:00"/>
    <n v="36300"/>
    <x v="0"/>
  </r>
  <r>
    <n v="101479"/>
    <n v="72"/>
    <n v="41600"/>
    <x v="1"/>
    <n v="0"/>
    <n v="0"/>
    <x v="3"/>
    <x v="1"/>
    <x v="1"/>
    <d v="2025-10-22T00:00:00"/>
    <n v="0"/>
    <x v="0"/>
  </r>
  <r>
    <n v="101480"/>
    <n v="63"/>
    <n v="64000"/>
    <x v="1"/>
    <n v="0"/>
    <n v="0"/>
    <x v="6"/>
    <x v="2"/>
    <x v="1"/>
    <d v="2026-02-15T00:00:00"/>
    <n v="0"/>
    <x v="0"/>
  </r>
  <r>
    <n v="101481"/>
    <n v="34"/>
    <n v="107800"/>
    <x v="2"/>
    <n v="24300"/>
    <n v="0"/>
    <x v="1"/>
    <x v="2"/>
    <x v="1"/>
    <d v="2025-05-19T00:00:00"/>
    <n v="24300"/>
    <x v="1"/>
  </r>
  <r>
    <n v="101482"/>
    <n v="21"/>
    <n v="72900"/>
    <x v="0"/>
    <n v="9500"/>
    <n v="0"/>
    <x v="3"/>
    <x v="2"/>
    <x v="1"/>
    <d v="2024-12-23T00:00:00"/>
    <n v="9500"/>
    <x v="1"/>
  </r>
  <r>
    <n v="101483"/>
    <n v="64"/>
    <n v="32700"/>
    <x v="2"/>
    <n v="40900"/>
    <n v="0"/>
    <x v="4"/>
    <x v="0"/>
    <x v="1"/>
    <d v="2026-02-01T00:00:00"/>
    <n v="40900"/>
    <x v="0"/>
  </r>
  <r>
    <n v="101484"/>
    <n v="59"/>
    <n v="45800"/>
    <x v="0"/>
    <n v="17000"/>
    <n v="232000"/>
    <x v="2"/>
    <x v="2"/>
    <x v="1"/>
    <d v="2025-02-06T00:00:00"/>
    <n v="249000"/>
    <x v="0"/>
  </r>
  <r>
    <n v="101485"/>
    <n v="27"/>
    <n v="71300"/>
    <x v="1"/>
    <n v="75700"/>
    <n v="0"/>
    <x v="1"/>
    <x v="2"/>
    <x v="1"/>
    <d v="2025-01-31T00:00:00"/>
    <n v="75700"/>
    <x v="1"/>
  </r>
  <r>
    <n v="101486"/>
    <n v="71"/>
    <n v="34900"/>
    <x v="2"/>
    <n v="43600"/>
    <n v="0"/>
    <x v="5"/>
    <x v="0"/>
    <x v="1"/>
    <d v="2026-06-26T00:00:00"/>
    <n v="43600"/>
    <x v="0"/>
  </r>
  <r>
    <n v="101487"/>
    <n v="57"/>
    <n v="87600"/>
    <x v="1"/>
    <n v="41300"/>
    <n v="0"/>
    <x v="5"/>
    <x v="2"/>
    <x v="0"/>
    <d v="2024-01-13T00:00:00"/>
    <n v="41300"/>
    <x v="1"/>
  </r>
  <r>
    <n v="101488"/>
    <n v="33"/>
    <n v="89000"/>
    <x v="2"/>
    <n v="71600"/>
    <n v="0"/>
    <x v="2"/>
    <x v="2"/>
    <x v="1"/>
    <d v="2026-02-10T00:00:00"/>
    <n v="71600"/>
    <x v="1"/>
  </r>
  <r>
    <n v="101489"/>
    <n v="30"/>
    <n v="102100"/>
    <x v="1"/>
    <n v="54000"/>
    <n v="0"/>
    <x v="3"/>
    <x v="2"/>
    <x v="1"/>
    <d v="2024-01-01T00:00:00"/>
    <n v="54000"/>
    <x v="1"/>
  </r>
  <r>
    <n v="101490"/>
    <n v="74"/>
    <n v="27200"/>
    <x v="1"/>
    <n v="22200"/>
    <n v="197000"/>
    <x v="4"/>
    <x v="2"/>
    <x v="1"/>
    <d v="2025-10-23T00:00:00"/>
    <n v="219200"/>
    <x v="0"/>
  </r>
  <r>
    <n v="101491"/>
    <n v="32"/>
    <n v="113100"/>
    <x v="0"/>
    <n v="22500"/>
    <n v="0"/>
    <x v="5"/>
    <x v="1"/>
    <x v="1"/>
    <d v="2024-11-05T00:00:00"/>
    <n v="22500"/>
    <x v="1"/>
  </r>
  <r>
    <n v="101492"/>
    <n v="29"/>
    <n v="44800"/>
    <x v="2"/>
    <n v="0"/>
    <n v="0"/>
    <x v="3"/>
    <x v="2"/>
    <x v="1"/>
    <d v="2025-10-13T00:00:00"/>
    <n v="0"/>
    <x v="0"/>
  </r>
  <r>
    <n v="101493"/>
    <n v="67"/>
    <n v="108300"/>
    <x v="0"/>
    <n v="0"/>
    <n v="0"/>
    <x v="4"/>
    <x v="2"/>
    <x v="1"/>
    <d v="2024-03-29T00:00:00"/>
    <n v="0"/>
    <x v="1"/>
  </r>
  <r>
    <n v="101494"/>
    <n v="66"/>
    <n v="43200"/>
    <x v="2"/>
    <n v="37000"/>
    <n v="0"/>
    <x v="7"/>
    <x v="2"/>
    <x v="1"/>
    <d v="2024-08-08T00:00:00"/>
    <n v="37000"/>
    <x v="0"/>
  </r>
  <r>
    <n v="101495"/>
    <n v="24"/>
    <n v="52900"/>
    <x v="1"/>
    <n v="30000"/>
    <n v="0"/>
    <x v="4"/>
    <x v="3"/>
    <x v="1"/>
    <d v="2024-02-15T00:00:00"/>
    <n v="30000"/>
    <x v="0"/>
  </r>
  <r>
    <n v="101496"/>
    <n v="62"/>
    <n v="31000"/>
    <x v="0"/>
    <n v="22500"/>
    <n v="0"/>
    <x v="5"/>
    <x v="2"/>
    <x v="1"/>
    <d v="2026-06-11T00:00:00"/>
    <n v="22500"/>
    <x v="0"/>
  </r>
  <r>
    <n v="101497"/>
    <n v="32"/>
    <n v="43200"/>
    <x v="1"/>
    <n v="42900"/>
    <n v="0"/>
    <x v="1"/>
    <x v="0"/>
    <x v="1"/>
    <d v="2026-03-21T00:00:00"/>
    <n v="42900"/>
    <x v="0"/>
  </r>
  <r>
    <n v="101498"/>
    <n v="34"/>
    <n v="77100"/>
    <x v="0"/>
    <n v="13200"/>
    <n v="0"/>
    <x v="7"/>
    <x v="1"/>
    <x v="1"/>
    <d v="2026-07-12T00:00:00"/>
    <n v="13200"/>
    <x v="1"/>
  </r>
  <r>
    <n v="101499"/>
    <n v="43"/>
    <n v="78100"/>
    <x v="0"/>
    <n v="42200"/>
    <n v="0"/>
    <x v="1"/>
    <x v="2"/>
    <x v="1"/>
    <d v="2026-02-24T00:00:00"/>
    <n v="42200"/>
    <x v="1"/>
  </r>
  <r>
    <n v="101500"/>
    <n v="38"/>
    <n v="37900"/>
    <x v="0"/>
    <n v="0"/>
    <n v="0"/>
    <x v="1"/>
    <x v="1"/>
    <x v="1"/>
    <d v="2025-03-18T00:00:00"/>
    <n v="0"/>
    <x v="0"/>
  </r>
  <r>
    <n v="101501"/>
    <n v="25"/>
    <n v="67400"/>
    <x v="2"/>
    <n v="26300"/>
    <n v="0"/>
    <x v="4"/>
    <x v="0"/>
    <x v="1"/>
    <d v="2026-07-29T00:00:00"/>
    <n v="26300"/>
    <x v="0"/>
  </r>
  <r>
    <n v="101502"/>
    <n v="75"/>
    <n v="116900"/>
    <x v="1"/>
    <n v="41800"/>
    <n v="0"/>
    <x v="4"/>
    <x v="3"/>
    <x v="1"/>
    <d v="2026-04-24T00:00:00"/>
    <n v="41800"/>
    <x v="1"/>
  </r>
  <r>
    <n v="101503"/>
    <n v="64"/>
    <n v="52900"/>
    <x v="2"/>
    <n v="0"/>
    <n v="0"/>
    <x v="6"/>
    <x v="1"/>
    <x v="1"/>
    <d v="2025-08-12T00:00:00"/>
    <n v="0"/>
    <x v="0"/>
  </r>
  <r>
    <n v="101504"/>
    <n v="20"/>
    <n v="44300"/>
    <x v="0"/>
    <n v="0"/>
    <n v="0"/>
    <x v="2"/>
    <x v="1"/>
    <x v="1"/>
    <d v="2024-11-29T00:00:00"/>
    <n v="0"/>
    <x v="0"/>
  </r>
  <r>
    <n v="101505"/>
    <n v="66"/>
    <n v="89900"/>
    <x v="1"/>
    <n v="0"/>
    <n v="0"/>
    <x v="1"/>
    <x v="2"/>
    <x v="1"/>
    <d v="2024-12-25T00:00:00"/>
    <n v="0"/>
    <x v="1"/>
  </r>
  <r>
    <n v="101506"/>
    <n v="67"/>
    <n v="53600"/>
    <x v="0"/>
    <n v="42300"/>
    <n v="0"/>
    <x v="3"/>
    <x v="1"/>
    <x v="1"/>
    <d v="2025-05-31T00:00:00"/>
    <n v="42300"/>
    <x v="0"/>
  </r>
  <r>
    <n v="101507"/>
    <n v="71"/>
    <n v="35000"/>
    <x v="1"/>
    <n v="43800"/>
    <n v="0"/>
    <x v="1"/>
    <x v="1"/>
    <x v="1"/>
    <d v="2025-10-15T00:00:00"/>
    <n v="43800"/>
    <x v="0"/>
  </r>
  <r>
    <n v="101508"/>
    <n v="26"/>
    <n v="108100"/>
    <x v="1"/>
    <n v="23200"/>
    <n v="295000"/>
    <x v="0"/>
    <x v="2"/>
    <x v="1"/>
    <d v="2024-05-01T00:00:00"/>
    <n v="318200"/>
    <x v="1"/>
  </r>
  <r>
    <n v="101509"/>
    <n v="47"/>
    <n v="106700"/>
    <x v="0"/>
    <n v="39500"/>
    <n v="0"/>
    <x v="2"/>
    <x v="2"/>
    <x v="1"/>
    <d v="2025-08-26T00:00:00"/>
    <n v="39500"/>
    <x v="1"/>
  </r>
  <r>
    <n v="101510"/>
    <n v="50"/>
    <n v="70000"/>
    <x v="0"/>
    <n v="77900"/>
    <n v="0"/>
    <x v="2"/>
    <x v="2"/>
    <x v="1"/>
    <d v="2026-05-31T00:00:00"/>
    <n v="77900"/>
    <x v="1"/>
  </r>
  <r>
    <n v="101511"/>
    <n v="71"/>
    <n v="52100"/>
    <x v="0"/>
    <n v="45600"/>
    <n v="0"/>
    <x v="2"/>
    <x v="3"/>
    <x v="1"/>
    <d v="2024-01-28T00:00:00"/>
    <n v="45600"/>
    <x v="0"/>
  </r>
  <r>
    <n v="101512"/>
    <n v="44"/>
    <n v="28200"/>
    <x v="1"/>
    <n v="0"/>
    <n v="0"/>
    <x v="0"/>
    <x v="2"/>
    <x v="1"/>
    <d v="2026-01-11T00:00:00"/>
    <n v="0"/>
    <x v="0"/>
  </r>
  <r>
    <n v="101513"/>
    <n v="73"/>
    <n v="77100"/>
    <x v="2"/>
    <n v="50100"/>
    <n v="0"/>
    <x v="7"/>
    <x v="2"/>
    <x v="1"/>
    <d v="2026-03-06T00:00:00"/>
    <n v="50100"/>
    <x v="1"/>
  </r>
  <r>
    <n v="101514"/>
    <n v="65"/>
    <n v="92100"/>
    <x v="1"/>
    <n v="5800"/>
    <n v="309000"/>
    <x v="6"/>
    <x v="0"/>
    <x v="1"/>
    <d v="2025-05-29T00:00:00"/>
    <n v="314800"/>
    <x v="1"/>
  </r>
  <r>
    <n v="101515"/>
    <n v="31"/>
    <n v="57300"/>
    <x v="0"/>
    <n v="68200"/>
    <n v="0"/>
    <x v="6"/>
    <x v="2"/>
    <x v="1"/>
    <d v="2025-06-13T00:00:00"/>
    <n v="68200"/>
    <x v="0"/>
  </r>
  <r>
    <n v="101516"/>
    <n v="51"/>
    <n v="39600"/>
    <x v="1"/>
    <n v="0"/>
    <n v="231000"/>
    <x v="1"/>
    <x v="2"/>
    <x v="1"/>
    <d v="2024-06-07T00:00:00"/>
    <n v="231000"/>
    <x v="0"/>
  </r>
  <r>
    <n v="101517"/>
    <n v="73"/>
    <n v="32400"/>
    <x v="1"/>
    <n v="27700"/>
    <n v="0"/>
    <x v="4"/>
    <x v="0"/>
    <x v="0"/>
    <d v="2024-07-06T00:00:00"/>
    <n v="27700"/>
    <x v="0"/>
  </r>
  <r>
    <n v="101518"/>
    <n v="34"/>
    <n v="49400"/>
    <x v="0"/>
    <n v="0"/>
    <n v="196000"/>
    <x v="0"/>
    <x v="2"/>
    <x v="1"/>
    <d v="2024-05-22T00:00:00"/>
    <n v="196000"/>
    <x v="0"/>
  </r>
  <r>
    <n v="101519"/>
    <n v="28"/>
    <n v="79400"/>
    <x v="2"/>
    <n v="30300"/>
    <n v="0"/>
    <x v="1"/>
    <x v="2"/>
    <x v="1"/>
    <d v="2025-12-11T00:00:00"/>
    <n v="30300"/>
    <x v="1"/>
  </r>
  <r>
    <n v="101520"/>
    <n v="43"/>
    <n v="70000"/>
    <x v="1"/>
    <n v="22400"/>
    <n v="0"/>
    <x v="1"/>
    <x v="2"/>
    <x v="1"/>
    <d v="2026-06-17T00:00:00"/>
    <n v="22400"/>
    <x v="1"/>
  </r>
  <r>
    <n v="101521"/>
    <n v="62"/>
    <n v="50400"/>
    <x v="1"/>
    <n v="0"/>
    <n v="0"/>
    <x v="4"/>
    <x v="2"/>
    <x v="1"/>
    <d v="2024-06-14T00:00:00"/>
    <n v="0"/>
    <x v="0"/>
  </r>
  <r>
    <n v="101522"/>
    <n v="25"/>
    <n v="64900"/>
    <x v="0"/>
    <n v="81100"/>
    <n v="0"/>
    <x v="5"/>
    <x v="1"/>
    <x v="1"/>
    <d v="2025-11-03T00:00:00"/>
    <n v="81100"/>
    <x v="0"/>
  </r>
  <r>
    <n v="101523"/>
    <n v="31"/>
    <n v="65800"/>
    <x v="1"/>
    <n v="18900"/>
    <n v="0"/>
    <x v="1"/>
    <x v="2"/>
    <x v="1"/>
    <d v="2026-03-18T00:00:00"/>
    <n v="18900"/>
    <x v="0"/>
  </r>
  <r>
    <n v="101524"/>
    <n v="20"/>
    <n v="35400"/>
    <x v="0"/>
    <n v="5500"/>
    <n v="0"/>
    <x v="4"/>
    <x v="1"/>
    <x v="1"/>
    <d v="2025-05-06T00:00:00"/>
    <n v="5500"/>
    <x v="0"/>
  </r>
  <r>
    <n v="101525"/>
    <n v="71"/>
    <n v="42000"/>
    <x v="0"/>
    <n v="19400"/>
    <n v="0"/>
    <x v="0"/>
    <x v="2"/>
    <x v="1"/>
    <d v="2025-06-06T00:00:00"/>
    <n v="19400"/>
    <x v="0"/>
  </r>
  <r>
    <n v="101526"/>
    <n v="29"/>
    <n v="93000"/>
    <x v="1"/>
    <n v="81100"/>
    <n v="0"/>
    <x v="3"/>
    <x v="1"/>
    <x v="1"/>
    <d v="2025-10-02T00:00:00"/>
    <n v="81100"/>
    <x v="1"/>
  </r>
  <r>
    <n v="101527"/>
    <n v="43"/>
    <n v="105200"/>
    <x v="2"/>
    <n v="50400"/>
    <n v="173000"/>
    <x v="1"/>
    <x v="2"/>
    <x v="1"/>
    <d v="2026-08-11T00:00:00"/>
    <n v="223400"/>
    <x v="1"/>
  </r>
  <r>
    <n v="101528"/>
    <n v="43"/>
    <n v="52500"/>
    <x v="0"/>
    <n v="0"/>
    <n v="0"/>
    <x v="4"/>
    <x v="1"/>
    <x v="1"/>
    <d v="2026-08-30T00:00:00"/>
    <n v="0"/>
    <x v="0"/>
  </r>
  <r>
    <n v="101529"/>
    <n v="70"/>
    <n v="60500"/>
    <x v="1"/>
    <n v="0"/>
    <n v="0"/>
    <x v="3"/>
    <x v="1"/>
    <x v="1"/>
    <d v="2024-10-21T00:00:00"/>
    <n v="0"/>
    <x v="0"/>
  </r>
  <r>
    <n v="101530"/>
    <n v="51"/>
    <n v="82700"/>
    <x v="1"/>
    <n v="11700"/>
    <n v="321000"/>
    <x v="4"/>
    <x v="1"/>
    <x v="0"/>
    <d v="2024-10-11T00:00:00"/>
    <n v="332700"/>
    <x v="1"/>
  </r>
  <r>
    <n v="101531"/>
    <n v="45"/>
    <n v="45800"/>
    <x v="0"/>
    <n v="0"/>
    <n v="0"/>
    <x v="2"/>
    <x v="0"/>
    <x v="1"/>
    <d v="2026-05-25T00:00:00"/>
    <n v="0"/>
    <x v="0"/>
  </r>
  <r>
    <n v="101532"/>
    <n v="50"/>
    <n v="60600"/>
    <x v="1"/>
    <n v="0"/>
    <n v="0"/>
    <x v="4"/>
    <x v="1"/>
    <x v="1"/>
    <d v="2024-04-03T00:00:00"/>
    <n v="0"/>
    <x v="0"/>
  </r>
  <r>
    <n v="101533"/>
    <n v="64"/>
    <n v="59100"/>
    <x v="1"/>
    <n v="41700"/>
    <n v="0"/>
    <x v="5"/>
    <x v="0"/>
    <x v="1"/>
    <d v="2025-08-31T00:00:00"/>
    <n v="41700"/>
    <x v="0"/>
  </r>
  <r>
    <n v="101534"/>
    <n v="52"/>
    <n v="42800"/>
    <x v="2"/>
    <n v="20600"/>
    <n v="0"/>
    <x v="5"/>
    <x v="1"/>
    <x v="1"/>
    <d v="2025-11-23T00:00:00"/>
    <n v="20600"/>
    <x v="0"/>
  </r>
  <r>
    <n v="101535"/>
    <n v="46"/>
    <n v="45700"/>
    <x v="0"/>
    <n v="18300"/>
    <n v="0"/>
    <x v="4"/>
    <x v="0"/>
    <x v="1"/>
    <d v="2024-07-13T00:00:00"/>
    <n v="18300"/>
    <x v="0"/>
  </r>
  <r>
    <n v="101536"/>
    <n v="63"/>
    <n v="74400"/>
    <x v="0"/>
    <n v="19000"/>
    <n v="0"/>
    <x v="4"/>
    <x v="2"/>
    <x v="1"/>
    <d v="2024-10-25T00:00:00"/>
    <n v="19000"/>
    <x v="1"/>
  </r>
  <r>
    <n v="101537"/>
    <n v="60"/>
    <n v="43900"/>
    <x v="0"/>
    <n v="25200"/>
    <n v="0"/>
    <x v="7"/>
    <x v="1"/>
    <x v="1"/>
    <d v="2026-01-04T00:00:00"/>
    <n v="25200"/>
    <x v="0"/>
  </r>
  <r>
    <n v="101538"/>
    <n v="37"/>
    <n v="104200"/>
    <x v="1"/>
    <n v="21300"/>
    <n v="130000"/>
    <x v="1"/>
    <x v="1"/>
    <x v="1"/>
    <d v="2024-01-04T00:00:00"/>
    <n v="151300"/>
    <x v="1"/>
  </r>
  <r>
    <n v="101539"/>
    <n v="24"/>
    <n v="40500"/>
    <x v="2"/>
    <n v="0"/>
    <n v="0"/>
    <x v="5"/>
    <x v="1"/>
    <x v="1"/>
    <d v="2025-03-06T00:00:00"/>
    <n v="0"/>
    <x v="0"/>
  </r>
  <r>
    <n v="101540"/>
    <n v="32"/>
    <n v="44900"/>
    <x v="2"/>
    <n v="33100"/>
    <n v="195000"/>
    <x v="2"/>
    <x v="2"/>
    <x v="1"/>
    <d v="2025-01-05T00:00:00"/>
    <n v="228100"/>
    <x v="0"/>
  </r>
  <r>
    <n v="101541"/>
    <n v="68"/>
    <n v="85700"/>
    <x v="1"/>
    <n v="0"/>
    <n v="0"/>
    <x v="5"/>
    <x v="2"/>
    <x v="1"/>
    <d v="2024-04-08T00:00:00"/>
    <n v="0"/>
    <x v="1"/>
  </r>
  <r>
    <n v="101542"/>
    <n v="67"/>
    <n v="74400"/>
    <x v="1"/>
    <n v="0"/>
    <n v="0"/>
    <x v="6"/>
    <x v="2"/>
    <x v="1"/>
    <d v="2025-10-01T00:00:00"/>
    <n v="0"/>
    <x v="1"/>
  </r>
  <r>
    <n v="101543"/>
    <n v="66"/>
    <n v="45600"/>
    <x v="1"/>
    <n v="40800"/>
    <n v="0"/>
    <x v="5"/>
    <x v="0"/>
    <x v="1"/>
    <d v="2024-08-30T00:00:00"/>
    <n v="40800"/>
    <x v="0"/>
  </r>
  <r>
    <n v="101544"/>
    <n v="29"/>
    <n v="25900"/>
    <x v="0"/>
    <n v="0"/>
    <n v="365000"/>
    <x v="1"/>
    <x v="1"/>
    <x v="1"/>
    <d v="2025-09-23T00:00:00"/>
    <n v="365000"/>
    <x v="0"/>
  </r>
  <r>
    <n v="101545"/>
    <n v="21"/>
    <n v="108800"/>
    <x v="1"/>
    <n v="0"/>
    <n v="0"/>
    <x v="5"/>
    <x v="1"/>
    <x v="1"/>
    <d v="2024-05-07T00:00:00"/>
    <n v="0"/>
    <x v="1"/>
  </r>
  <r>
    <n v="101546"/>
    <n v="26"/>
    <n v="43800"/>
    <x v="1"/>
    <n v="40300"/>
    <n v="0"/>
    <x v="3"/>
    <x v="1"/>
    <x v="0"/>
    <d v="2025-11-18T00:00:00"/>
    <n v="40300"/>
    <x v="0"/>
  </r>
  <r>
    <n v="101547"/>
    <n v="39"/>
    <n v="55400"/>
    <x v="2"/>
    <n v="0"/>
    <n v="0"/>
    <x v="3"/>
    <x v="2"/>
    <x v="1"/>
    <d v="2024-03-24T00:00:00"/>
    <n v="0"/>
    <x v="0"/>
  </r>
  <r>
    <n v="101548"/>
    <n v="46"/>
    <n v="76800"/>
    <x v="1"/>
    <n v="0"/>
    <n v="0"/>
    <x v="1"/>
    <x v="2"/>
    <x v="1"/>
    <d v="2026-02-22T00:00:00"/>
    <n v="0"/>
    <x v="1"/>
  </r>
  <r>
    <n v="101549"/>
    <n v="37"/>
    <n v="41500"/>
    <x v="0"/>
    <n v="51900"/>
    <n v="0"/>
    <x v="6"/>
    <x v="1"/>
    <x v="1"/>
    <d v="2026-05-08T00:00:00"/>
    <n v="51900"/>
    <x v="0"/>
  </r>
  <r>
    <n v="101550"/>
    <n v="48"/>
    <n v="67700"/>
    <x v="1"/>
    <n v="39700"/>
    <n v="0"/>
    <x v="1"/>
    <x v="2"/>
    <x v="1"/>
    <d v="2024-08-11T00:00:00"/>
    <n v="39700"/>
    <x v="0"/>
  </r>
  <r>
    <n v="101551"/>
    <n v="40"/>
    <n v="50200"/>
    <x v="1"/>
    <n v="62800"/>
    <n v="0"/>
    <x v="7"/>
    <x v="3"/>
    <x v="1"/>
    <d v="2025-07-30T00:00:00"/>
    <n v="62800"/>
    <x v="0"/>
  </r>
  <r>
    <n v="101552"/>
    <n v="35"/>
    <n v="70900"/>
    <x v="1"/>
    <n v="7600"/>
    <n v="0"/>
    <x v="2"/>
    <x v="1"/>
    <x v="1"/>
    <d v="2026-01-11T00:00:00"/>
    <n v="7600"/>
    <x v="1"/>
  </r>
  <r>
    <n v="101553"/>
    <n v="48"/>
    <n v="100100"/>
    <x v="1"/>
    <n v="20100"/>
    <n v="0"/>
    <x v="5"/>
    <x v="2"/>
    <x v="1"/>
    <d v="2026-05-24T00:00:00"/>
    <n v="20100"/>
    <x v="1"/>
  </r>
  <r>
    <n v="101554"/>
    <n v="57"/>
    <n v="70800"/>
    <x v="0"/>
    <n v="0"/>
    <n v="0"/>
    <x v="1"/>
    <x v="1"/>
    <x v="1"/>
    <d v="2026-02-17T00:00:00"/>
    <n v="0"/>
    <x v="1"/>
  </r>
  <r>
    <n v="101555"/>
    <n v="34"/>
    <n v="33600"/>
    <x v="2"/>
    <n v="42000"/>
    <n v="116000"/>
    <x v="5"/>
    <x v="1"/>
    <x v="1"/>
    <d v="2026-05-29T00:00:00"/>
    <n v="158000"/>
    <x v="0"/>
  </r>
  <r>
    <n v="101556"/>
    <n v="47"/>
    <n v="45700"/>
    <x v="2"/>
    <n v="24000"/>
    <n v="0"/>
    <x v="3"/>
    <x v="0"/>
    <x v="1"/>
    <d v="2025-08-09T00:00:00"/>
    <n v="24000"/>
    <x v="0"/>
  </r>
  <r>
    <n v="101557"/>
    <n v="61"/>
    <n v="83800"/>
    <x v="2"/>
    <n v="0"/>
    <n v="0"/>
    <x v="5"/>
    <x v="1"/>
    <x v="1"/>
    <d v="2026-08-22T00:00:00"/>
    <n v="0"/>
    <x v="1"/>
  </r>
  <r>
    <n v="101558"/>
    <n v="47"/>
    <n v="97800"/>
    <x v="1"/>
    <n v="0"/>
    <n v="259000"/>
    <x v="0"/>
    <x v="1"/>
    <x v="1"/>
    <d v="2024-10-02T00:00:00"/>
    <n v="259000"/>
    <x v="1"/>
  </r>
  <r>
    <n v="101559"/>
    <n v="72"/>
    <n v="83800"/>
    <x v="0"/>
    <n v="0"/>
    <n v="0"/>
    <x v="2"/>
    <x v="1"/>
    <x v="1"/>
    <d v="2024-06-05T00:00:00"/>
    <n v="0"/>
    <x v="1"/>
  </r>
  <r>
    <n v="101560"/>
    <n v="54"/>
    <n v="104100"/>
    <x v="1"/>
    <n v="59700"/>
    <n v="0"/>
    <x v="6"/>
    <x v="1"/>
    <x v="1"/>
    <d v="2025-02-07T00:00:00"/>
    <n v="59700"/>
    <x v="1"/>
  </r>
  <r>
    <n v="101561"/>
    <n v="28"/>
    <n v="39200"/>
    <x v="1"/>
    <n v="0"/>
    <n v="0"/>
    <x v="2"/>
    <x v="0"/>
    <x v="1"/>
    <d v="2024-10-12T00:00:00"/>
    <n v="0"/>
    <x v="0"/>
  </r>
  <r>
    <n v="101562"/>
    <n v="49"/>
    <n v="43800"/>
    <x v="1"/>
    <n v="21000"/>
    <n v="0"/>
    <x v="6"/>
    <x v="2"/>
    <x v="1"/>
    <d v="2024-01-01T00:00:00"/>
    <n v="21000"/>
    <x v="0"/>
  </r>
  <r>
    <n v="101563"/>
    <n v="38"/>
    <n v="57100"/>
    <x v="0"/>
    <n v="28100"/>
    <n v="0"/>
    <x v="1"/>
    <x v="0"/>
    <x v="1"/>
    <d v="2025-10-24T00:00:00"/>
    <n v="28100"/>
    <x v="0"/>
  </r>
  <r>
    <n v="101564"/>
    <n v="53"/>
    <n v="50200"/>
    <x v="0"/>
    <n v="50100"/>
    <n v="0"/>
    <x v="1"/>
    <x v="2"/>
    <x v="1"/>
    <d v="2024-05-09T00:00:00"/>
    <n v="50100"/>
    <x v="0"/>
  </r>
  <r>
    <n v="101565"/>
    <n v="71"/>
    <n v="27900"/>
    <x v="1"/>
    <n v="0"/>
    <n v="0"/>
    <x v="0"/>
    <x v="0"/>
    <x v="1"/>
    <d v="2025-02-26T00:00:00"/>
    <n v="0"/>
    <x v="0"/>
  </r>
  <r>
    <n v="101566"/>
    <n v="44"/>
    <n v="51600"/>
    <x v="1"/>
    <n v="18700"/>
    <n v="195000"/>
    <x v="4"/>
    <x v="1"/>
    <x v="1"/>
    <d v="2026-02-15T00:00:00"/>
    <n v="213700"/>
    <x v="0"/>
  </r>
  <r>
    <n v="101567"/>
    <n v="67"/>
    <n v="37400"/>
    <x v="0"/>
    <n v="16200"/>
    <n v="0"/>
    <x v="7"/>
    <x v="1"/>
    <x v="1"/>
    <d v="2025-12-30T00:00:00"/>
    <n v="16200"/>
    <x v="0"/>
  </r>
  <r>
    <n v="101568"/>
    <n v="49"/>
    <n v="51300"/>
    <x v="1"/>
    <n v="64100"/>
    <n v="136000"/>
    <x v="0"/>
    <x v="2"/>
    <x v="1"/>
    <d v="2025-04-21T00:00:00"/>
    <n v="200100"/>
    <x v="0"/>
  </r>
  <r>
    <n v="101569"/>
    <n v="44"/>
    <n v="96600"/>
    <x v="2"/>
    <n v="23100"/>
    <n v="0"/>
    <x v="7"/>
    <x v="2"/>
    <x v="1"/>
    <d v="2026-05-17T00:00:00"/>
    <n v="23100"/>
    <x v="1"/>
  </r>
  <r>
    <n v="101570"/>
    <n v="50"/>
    <n v="31500"/>
    <x v="1"/>
    <n v="34100"/>
    <n v="123000"/>
    <x v="5"/>
    <x v="2"/>
    <x v="1"/>
    <d v="2025-10-07T00:00:00"/>
    <n v="157100"/>
    <x v="0"/>
  </r>
  <r>
    <n v="101571"/>
    <n v="53"/>
    <n v="51300"/>
    <x v="1"/>
    <n v="40500"/>
    <n v="0"/>
    <x v="2"/>
    <x v="2"/>
    <x v="1"/>
    <d v="2025-06-13T00:00:00"/>
    <n v="40500"/>
    <x v="0"/>
  </r>
  <r>
    <n v="101572"/>
    <n v="57"/>
    <n v="36200"/>
    <x v="1"/>
    <n v="45200"/>
    <n v="279000"/>
    <x v="0"/>
    <x v="3"/>
    <x v="0"/>
    <d v="2026-04-24T00:00:00"/>
    <n v="324200"/>
    <x v="0"/>
  </r>
  <r>
    <n v="101573"/>
    <n v="44"/>
    <n v="48700"/>
    <x v="0"/>
    <n v="0"/>
    <n v="0"/>
    <x v="4"/>
    <x v="2"/>
    <x v="1"/>
    <d v="2026-07-25T00:00:00"/>
    <n v="0"/>
    <x v="0"/>
  </r>
  <r>
    <n v="101574"/>
    <n v="32"/>
    <n v="33800"/>
    <x v="1"/>
    <n v="9700"/>
    <n v="0"/>
    <x v="4"/>
    <x v="1"/>
    <x v="1"/>
    <d v="2025-03-03T00:00:00"/>
    <n v="9700"/>
    <x v="0"/>
  </r>
  <r>
    <n v="101575"/>
    <n v="71"/>
    <n v="88600"/>
    <x v="1"/>
    <n v="21300"/>
    <n v="0"/>
    <x v="6"/>
    <x v="3"/>
    <x v="0"/>
    <d v="2024-02-08T00:00:00"/>
    <n v="21300"/>
    <x v="1"/>
  </r>
  <r>
    <n v="101576"/>
    <n v="36"/>
    <n v="78200"/>
    <x v="0"/>
    <n v="66800"/>
    <n v="248000"/>
    <x v="0"/>
    <x v="2"/>
    <x v="1"/>
    <d v="2026-07-09T00:00:00"/>
    <n v="314800"/>
    <x v="1"/>
  </r>
  <r>
    <n v="101577"/>
    <n v="41"/>
    <n v="68500"/>
    <x v="2"/>
    <n v="0"/>
    <n v="0"/>
    <x v="5"/>
    <x v="1"/>
    <x v="1"/>
    <d v="2025-07-15T00:00:00"/>
    <n v="0"/>
    <x v="0"/>
  </r>
  <r>
    <n v="101578"/>
    <n v="72"/>
    <n v="79600"/>
    <x v="0"/>
    <n v="16800"/>
    <n v="0"/>
    <x v="5"/>
    <x v="1"/>
    <x v="1"/>
    <d v="2024-09-08T00:00:00"/>
    <n v="16800"/>
    <x v="1"/>
  </r>
  <r>
    <n v="101579"/>
    <n v="34"/>
    <n v="87300"/>
    <x v="1"/>
    <n v="70500"/>
    <n v="0"/>
    <x v="1"/>
    <x v="2"/>
    <x v="1"/>
    <d v="2026-03-31T00:00:00"/>
    <n v="70500"/>
    <x v="1"/>
  </r>
  <r>
    <n v="101580"/>
    <n v="75"/>
    <n v="44500"/>
    <x v="2"/>
    <n v="55600"/>
    <n v="0"/>
    <x v="3"/>
    <x v="1"/>
    <x v="1"/>
    <d v="2024-04-10T00:00:00"/>
    <n v="55600"/>
    <x v="0"/>
  </r>
  <r>
    <n v="101581"/>
    <n v="64"/>
    <n v="62800"/>
    <x v="1"/>
    <n v="0"/>
    <n v="0"/>
    <x v="2"/>
    <x v="2"/>
    <x v="1"/>
    <d v="2024-09-05T00:00:00"/>
    <n v="0"/>
    <x v="0"/>
  </r>
  <r>
    <n v="101582"/>
    <n v="30"/>
    <n v="69000"/>
    <x v="2"/>
    <n v="52200"/>
    <n v="0"/>
    <x v="6"/>
    <x v="1"/>
    <x v="1"/>
    <d v="2024-06-06T00:00:00"/>
    <n v="52200"/>
    <x v="0"/>
  </r>
  <r>
    <n v="101583"/>
    <n v="46"/>
    <n v="57900"/>
    <x v="1"/>
    <n v="0"/>
    <n v="157000"/>
    <x v="7"/>
    <x v="0"/>
    <x v="1"/>
    <d v="2025-02-09T00:00:00"/>
    <n v="157000"/>
    <x v="0"/>
  </r>
  <r>
    <n v="101584"/>
    <n v="57"/>
    <n v="42000"/>
    <x v="1"/>
    <n v="20800"/>
    <n v="0"/>
    <x v="2"/>
    <x v="1"/>
    <x v="1"/>
    <d v="2025-01-20T00:00:00"/>
    <n v="20800"/>
    <x v="0"/>
  </r>
  <r>
    <n v="101585"/>
    <n v="74"/>
    <n v="32900"/>
    <x v="1"/>
    <n v="0"/>
    <n v="217000"/>
    <x v="7"/>
    <x v="3"/>
    <x v="1"/>
    <d v="2026-08-14T00:00:00"/>
    <n v="217000"/>
    <x v="0"/>
  </r>
  <r>
    <n v="101586"/>
    <n v="70"/>
    <n v="86500"/>
    <x v="0"/>
    <n v="0"/>
    <n v="144000"/>
    <x v="4"/>
    <x v="2"/>
    <x v="1"/>
    <d v="2026-05-13T00:00:00"/>
    <n v="144000"/>
    <x v="1"/>
  </r>
  <r>
    <n v="101587"/>
    <n v="43"/>
    <n v="73700"/>
    <x v="2"/>
    <n v="44000"/>
    <n v="141000"/>
    <x v="5"/>
    <x v="1"/>
    <x v="0"/>
    <d v="2025-08-19T00:00:00"/>
    <n v="185000"/>
    <x v="1"/>
  </r>
  <r>
    <n v="101588"/>
    <n v="25"/>
    <n v="119200"/>
    <x v="0"/>
    <n v="0"/>
    <n v="142000"/>
    <x v="1"/>
    <x v="0"/>
    <x v="1"/>
    <d v="2025-05-17T00:00:00"/>
    <n v="142000"/>
    <x v="1"/>
  </r>
  <r>
    <n v="101589"/>
    <n v="26"/>
    <n v="45000"/>
    <x v="1"/>
    <n v="0"/>
    <n v="233000"/>
    <x v="4"/>
    <x v="2"/>
    <x v="1"/>
    <d v="2025-09-12T00:00:00"/>
    <n v="233000"/>
    <x v="0"/>
  </r>
  <r>
    <n v="101590"/>
    <n v="74"/>
    <n v="44600"/>
    <x v="0"/>
    <n v="13600"/>
    <n v="0"/>
    <x v="5"/>
    <x v="2"/>
    <x v="1"/>
    <d v="2025-11-11T00:00:00"/>
    <n v="13600"/>
    <x v="0"/>
  </r>
  <r>
    <n v="101591"/>
    <n v="30"/>
    <n v="75200"/>
    <x v="0"/>
    <n v="34200"/>
    <n v="0"/>
    <x v="1"/>
    <x v="2"/>
    <x v="1"/>
    <d v="2026-03-24T00:00:00"/>
    <n v="34200"/>
    <x v="1"/>
  </r>
  <r>
    <n v="101592"/>
    <n v="74"/>
    <n v="47500"/>
    <x v="1"/>
    <n v="16500"/>
    <n v="116000"/>
    <x v="0"/>
    <x v="2"/>
    <x v="1"/>
    <d v="2024-05-09T00:00:00"/>
    <n v="132500"/>
    <x v="0"/>
  </r>
  <r>
    <n v="101593"/>
    <n v="29"/>
    <n v="77700"/>
    <x v="1"/>
    <n v="24400"/>
    <n v="204000"/>
    <x v="1"/>
    <x v="2"/>
    <x v="1"/>
    <d v="2026-08-23T00:00:00"/>
    <n v="228400"/>
    <x v="1"/>
  </r>
  <r>
    <n v="101594"/>
    <n v="62"/>
    <n v="63600"/>
    <x v="0"/>
    <n v="0"/>
    <n v="202000"/>
    <x v="6"/>
    <x v="1"/>
    <x v="1"/>
    <d v="2025-02-04T00:00:00"/>
    <n v="202000"/>
    <x v="0"/>
  </r>
  <r>
    <n v="101595"/>
    <n v="32"/>
    <n v="49700"/>
    <x v="1"/>
    <n v="0"/>
    <n v="0"/>
    <x v="1"/>
    <x v="2"/>
    <x v="1"/>
    <d v="2025-05-24T00:00:00"/>
    <n v="0"/>
    <x v="0"/>
  </r>
  <r>
    <n v="101596"/>
    <n v="49"/>
    <n v="72000"/>
    <x v="1"/>
    <n v="24500"/>
    <n v="174000"/>
    <x v="1"/>
    <x v="1"/>
    <x v="1"/>
    <d v="2026-02-08T00:00:00"/>
    <n v="198500"/>
    <x v="1"/>
  </r>
  <r>
    <n v="101597"/>
    <n v="56"/>
    <n v="93900"/>
    <x v="1"/>
    <n v="0"/>
    <n v="160000"/>
    <x v="0"/>
    <x v="2"/>
    <x v="1"/>
    <d v="2024-12-08T00:00:00"/>
    <n v="160000"/>
    <x v="1"/>
  </r>
  <r>
    <n v="101598"/>
    <n v="29"/>
    <n v="28600"/>
    <x v="1"/>
    <n v="33500"/>
    <n v="0"/>
    <x v="3"/>
    <x v="0"/>
    <x v="1"/>
    <d v="2026-02-28T00:00:00"/>
    <n v="33500"/>
    <x v="0"/>
  </r>
  <r>
    <n v="101599"/>
    <n v="20"/>
    <n v="69700"/>
    <x v="0"/>
    <n v="0"/>
    <n v="0"/>
    <x v="6"/>
    <x v="2"/>
    <x v="1"/>
    <d v="2026-03-01T00:00:00"/>
    <n v="0"/>
    <x v="0"/>
  </r>
  <r>
    <n v="101600"/>
    <n v="72"/>
    <n v="112600"/>
    <x v="1"/>
    <n v="45000"/>
    <n v="0"/>
    <x v="5"/>
    <x v="1"/>
    <x v="1"/>
    <d v="2025-08-27T00:00:00"/>
    <n v="45000"/>
    <x v="1"/>
  </r>
  <r>
    <n v="101601"/>
    <n v="59"/>
    <n v="103100"/>
    <x v="1"/>
    <n v="0"/>
    <n v="0"/>
    <x v="6"/>
    <x v="2"/>
    <x v="1"/>
    <d v="2026-01-06T00:00:00"/>
    <n v="0"/>
    <x v="1"/>
  </r>
  <r>
    <n v="101602"/>
    <n v="57"/>
    <n v="63200"/>
    <x v="0"/>
    <n v="0"/>
    <n v="175000"/>
    <x v="1"/>
    <x v="1"/>
    <x v="1"/>
    <d v="2026-03-21T00:00:00"/>
    <n v="175000"/>
    <x v="0"/>
  </r>
  <r>
    <n v="101603"/>
    <n v="24"/>
    <n v="58000"/>
    <x v="2"/>
    <n v="0"/>
    <n v="0"/>
    <x v="3"/>
    <x v="0"/>
    <x v="1"/>
    <d v="2026-05-04T00:00:00"/>
    <n v="0"/>
    <x v="0"/>
  </r>
  <r>
    <n v="101604"/>
    <n v="57"/>
    <n v="42500"/>
    <x v="1"/>
    <n v="0"/>
    <n v="0"/>
    <x v="3"/>
    <x v="0"/>
    <x v="1"/>
    <d v="2025-08-16T00:00:00"/>
    <n v="0"/>
    <x v="0"/>
  </r>
  <r>
    <n v="101605"/>
    <n v="36"/>
    <n v="52800"/>
    <x v="1"/>
    <n v="19800"/>
    <n v="0"/>
    <x v="3"/>
    <x v="1"/>
    <x v="1"/>
    <d v="2024-03-18T00:00:00"/>
    <n v="19800"/>
    <x v="0"/>
  </r>
  <r>
    <n v="101606"/>
    <n v="71"/>
    <n v="86000"/>
    <x v="0"/>
    <n v="0"/>
    <n v="0"/>
    <x v="6"/>
    <x v="1"/>
    <x v="1"/>
    <d v="2026-01-20T00:00:00"/>
    <n v="0"/>
    <x v="1"/>
  </r>
  <r>
    <n v="101607"/>
    <n v="70"/>
    <n v="82100"/>
    <x v="0"/>
    <n v="0"/>
    <n v="0"/>
    <x v="7"/>
    <x v="3"/>
    <x v="1"/>
    <d v="2024-08-06T00:00:00"/>
    <n v="0"/>
    <x v="1"/>
  </r>
  <r>
    <n v="101608"/>
    <n v="54"/>
    <n v="72200"/>
    <x v="1"/>
    <n v="20400"/>
    <n v="0"/>
    <x v="2"/>
    <x v="2"/>
    <x v="1"/>
    <d v="2024-01-15T00:00:00"/>
    <n v="20400"/>
    <x v="1"/>
  </r>
  <r>
    <n v="101609"/>
    <n v="63"/>
    <n v="55000"/>
    <x v="1"/>
    <n v="32600"/>
    <n v="341000"/>
    <x v="5"/>
    <x v="2"/>
    <x v="1"/>
    <d v="2024-09-20T00:00:00"/>
    <n v="373600"/>
    <x v="0"/>
  </r>
  <r>
    <n v="101610"/>
    <n v="46"/>
    <n v="38900"/>
    <x v="1"/>
    <n v="0"/>
    <n v="0"/>
    <x v="5"/>
    <x v="1"/>
    <x v="1"/>
    <d v="2025-07-09T00:00:00"/>
    <n v="0"/>
    <x v="0"/>
  </r>
  <r>
    <n v="101611"/>
    <n v="64"/>
    <n v="63300"/>
    <x v="1"/>
    <n v="0"/>
    <n v="0"/>
    <x v="6"/>
    <x v="3"/>
    <x v="1"/>
    <d v="2024-03-08T00:00:00"/>
    <n v="0"/>
    <x v="0"/>
  </r>
  <r>
    <n v="101612"/>
    <n v="69"/>
    <n v="82400"/>
    <x v="0"/>
    <n v="17900"/>
    <n v="0"/>
    <x v="2"/>
    <x v="2"/>
    <x v="1"/>
    <d v="2026-03-09T00:00:00"/>
    <n v="17900"/>
    <x v="1"/>
  </r>
  <r>
    <n v="101613"/>
    <n v="54"/>
    <n v="57400"/>
    <x v="1"/>
    <n v="22400"/>
    <n v="282000"/>
    <x v="2"/>
    <x v="2"/>
    <x v="1"/>
    <d v="2025-07-12T00:00:00"/>
    <n v="304400"/>
    <x v="0"/>
  </r>
  <r>
    <n v="101614"/>
    <n v="36"/>
    <n v="78000"/>
    <x v="2"/>
    <n v="76100"/>
    <n v="0"/>
    <x v="0"/>
    <x v="2"/>
    <x v="1"/>
    <d v="2025-06-18T00:00:00"/>
    <n v="76100"/>
    <x v="1"/>
  </r>
  <r>
    <n v="101615"/>
    <n v="72"/>
    <n v="74700"/>
    <x v="1"/>
    <n v="0"/>
    <n v="0"/>
    <x v="2"/>
    <x v="2"/>
    <x v="1"/>
    <d v="2026-05-23T00:00:00"/>
    <n v="0"/>
    <x v="1"/>
  </r>
  <r>
    <n v="101616"/>
    <n v="44"/>
    <n v="84800"/>
    <x v="1"/>
    <n v="0"/>
    <n v="0"/>
    <x v="1"/>
    <x v="2"/>
    <x v="1"/>
    <d v="2024-07-13T00:00:00"/>
    <n v="0"/>
    <x v="1"/>
  </r>
  <r>
    <n v="101617"/>
    <n v="59"/>
    <n v="70200"/>
    <x v="0"/>
    <n v="0"/>
    <n v="395000"/>
    <x v="3"/>
    <x v="0"/>
    <x v="1"/>
    <d v="2026-08-14T00:00:00"/>
    <n v="395000"/>
    <x v="1"/>
  </r>
  <r>
    <n v="101618"/>
    <n v="69"/>
    <n v="59400"/>
    <x v="0"/>
    <n v="42400"/>
    <n v="101000"/>
    <x v="7"/>
    <x v="2"/>
    <x v="1"/>
    <d v="2024-01-18T00:00:00"/>
    <n v="143400"/>
    <x v="0"/>
  </r>
  <r>
    <n v="101619"/>
    <n v="62"/>
    <n v="104500"/>
    <x v="0"/>
    <n v="57900"/>
    <n v="0"/>
    <x v="7"/>
    <x v="2"/>
    <x v="1"/>
    <d v="2025-08-31T00:00:00"/>
    <n v="57900"/>
    <x v="1"/>
  </r>
  <r>
    <n v="101620"/>
    <n v="53"/>
    <n v="64300"/>
    <x v="1"/>
    <n v="33400"/>
    <n v="0"/>
    <x v="2"/>
    <x v="2"/>
    <x v="1"/>
    <d v="2026-03-16T00:00:00"/>
    <n v="33400"/>
    <x v="0"/>
  </r>
  <r>
    <n v="101621"/>
    <n v="73"/>
    <n v="70300"/>
    <x v="1"/>
    <n v="29700"/>
    <n v="125000"/>
    <x v="5"/>
    <x v="1"/>
    <x v="1"/>
    <d v="2025-12-13T00:00:00"/>
    <n v="154700"/>
    <x v="1"/>
  </r>
  <r>
    <n v="101622"/>
    <n v="36"/>
    <n v="87400"/>
    <x v="2"/>
    <n v="59100"/>
    <n v="0"/>
    <x v="2"/>
    <x v="2"/>
    <x v="1"/>
    <d v="2024-11-03T00:00:00"/>
    <n v="59100"/>
    <x v="1"/>
  </r>
  <r>
    <n v="101623"/>
    <n v="46"/>
    <n v="25800"/>
    <x v="2"/>
    <n v="32200"/>
    <n v="0"/>
    <x v="0"/>
    <x v="1"/>
    <x v="1"/>
    <d v="2024-09-27T00:00:00"/>
    <n v="32200"/>
    <x v="0"/>
  </r>
  <r>
    <n v="101624"/>
    <n v="69"/>
    <n v="49000"/>
    <x v="2"/>
    <n v="19400"/>
    <n v="0"/>
    <x v="3"/>
    <x v="2"/>
    <x v="1"/>
    <d v="2026-02-17T00:00:00"/>
    <n v="19400"/>
    <x v="0"/>
  </r>
  <r>
    <n v="101625"/>
    <n v="55"/>
    <n v="80800"/>
    <x v="2"/>
    <n v="47300"/>
    <n v="0"/>
    <x v="5"/>
    <x v="0"/>
    <x v="1"/>
    <d v="2024-04-12T00:00:00"/>
    <n v="47300"/>
    <x v="1"/>
  </r>
  <r>
    <n v="101626"/>
    <n v="45"/>
    <n v="80600"/>
    <x v="1"/>
    <n v="0"/>
    <n v="0"/>
    <x v="2"/>
    <x v="2"/>
    <x v="1"/>
    <d v="2024-02-23T00:00:00"/>
    <n v="0"/>
    <x v="1"/>
  </r>
  <r>
    <n v="101627"/>
    <n v="28"/>
    <n v="31600"/>
    <x v="2"/>
    <n v="14300"/>
    <n v="0"/>
    <x v="7"/>
    <x v="0"/>
    <x v="1"/>
    <d v="2024-04-19T00:00:00"/>
    <n v="14300"/>
    <x v="0"/>
  </r>
  <r>
    <n v="101628"/>
    <n v="36"/>
    <n v="38700"/>
    <x v="2"/>
    <n v="0"/>
    <n v="0"/>
    <x v="2"/>
    <x v="1"/>
    <x v="1"/>
    <d v="2025-10-26T00:00:00"/>
    <n v="0"/>
    <x v="0"/>
  </r>
  <r>
    <n v="101629"/>
    <n v="56"/>
    <n v="75700"/>
    <x v="1"/>
    <n v="0"/>
    <n v="0"/>
    <x v="4"/>
    <x v="2"/>
    <x v="1"/>
    <d v="2026-04-21T00:00:00"/>
    <n v="0"/>
    <x v="1"/>
  </r>
  <r>
    <n v="101630"/>
    <n v="75"/>
    <n v="74100"/>
    <x v="1"/>
    <n v="45100"/>
    <n v="0"/>
    <x v="3"/>
    <x v="1"/>
    <x v="1"/>
    <d v="2025-03-16T00:00:00"/>
    <n v="45100"/>
    <x v="1"/>
  </r>
  <r>
    <n v="101631"/>
    <n v="33"/>
    <n v="68300"/>
    <x v="1"/>
    <n v="0"/>
    <n v="0"/>
    <x v="4"/>
    <x v="1"/>
    <x v="1"/>
    <d v="2025-08-27T00:00:00"/>
    <n v="0"/>
    <x v="0"/>
  </r>
  <r>
    <n v="101632"/>
    <n v="46"/>
    <n v="100300"/>
    <x v="1"/>
    <n v="59800"/>
    <n v="192000"/>
    <x v="7"/>
    <x v="2"/>
    <x v="1"/>
    <d v="2025-08-27T00:00:00"/>
    <n v="251800"/>
    <x v="1"/>
  </r>
  <r>
    <n v="101633"/>
    <n v="32"/>
    <n v="80000"/>
    <x v="0"/>
    <n v="55700"/>
    <n v="0"/>
    <x v="3"/>
    <x v="2"/>
    <x v="1"/>
    <d v="2024-09-12T00:00:00"/>
    <n v="55700"/>
    <x v="1"/>
  </r>
  <r>
    <n v="101634"/>
    <n v="67"/>
    <n v="29200"/>
    <x v="1"/>
    <n v="36500"/>
    <n v="0"/>
    <x v="0"/>
    <x v="0"/>
    <x v="1"/>
    <d v="2026-01-04T00:00:00"/>
    <n v="36500"/>
    <x v="0"/>
  </r>
  <r>
    <n v="101635"/>
    <n v="27"/>
    <n v="89100"/>
    <x v="1"/>
    <n v="19100"/>
    <n v="262000"/>
    <x v="0"/>
    <x v="0"/>
    <x v="1"/>
    <d v="2025-02-24T00:00:00"/>
    <n v="281100"/>
    <x v="1"/>
  </r>
  <r>
    <n v="101636"/>
    <n v="44"/>
    <n v="72100"/>
    <x v="0"/>
    <n v="18900"/>
    <n v="0"/>
    <x v="3"/>
    <x v="1"/>
    <x v="1"/>
    <d v="2025-11-12T00:00:00"/>
    <n v="18900"/>
    <x v="1"/>
  </r>
  <r>
    <n v="101637"/>
    <n v="74"/>
    <n v="107100"/>
    <x v="1"/>
    <n v="22200"/>
    <n v="71000"/>
    <x v="7"/>
    <x v="2"/>
    <x v="1"/>
    <d v="2026-05-03T00:00:00"/>
    <n v="93200"/>
    <x v="1"/>
  </r>
  <r>
    <n v="101638"/>
    <n v="23"/>
    <n v="80200"/>
    <x v="0"/>
    <n v="14500"/>
    <n v="0"/>
    <x v="5"/>
    <x v="2"/>
    <x v="1"/>
    <d v="2024-01-15T00:00:00"/>
    <n v="14500"/>
    <x v="1"/>
  </r>
  <r>
    <n v="101639"/>
    <n v="50"/>
    <n v="84000"/>
    <x v="0"/>
    <n v="25700"/>
    <n v="0"/>
    <x v="7"/>
    <x v="2"/>
    <x v="1"/>
    <d v="2026-05-09T00:00:00"/>
    <n v="25700"/>
    <x v="1"/>
  </r>
  <r>
    <n v="101640"/>
    <n v="50"/>
    <n v="111000"/>
    <x v="1"/>
    <n v="30300"/>
    <n v="280000"/>
    <x v="7"/>
    <x v="2"/>
    <x v="1"/>
    <d v="2025-07-18T00:00:00"/>
    <n v="310300"/>
    <x v="1"/>
  </r>
  <r>
    <n v="101641"/>
    <n v="52"/>
    <n v="70600"/>
    <x v="1"/>
    <n v="26900"/>
    <n v="123000"/>
    <x v="5"/>
    <x v="0"/>
    <x v="0"/>
    <d v="2025-08-03T00:00:00"/>
    <n v="149900"/>
    <x v="1"/>
  </r>
  <r>
    <n v="101642"/>
    <n v="26"/>
    <n v="43500"/>
    <x v="1"/>
    <n v="0"/>
    <n v="0"/>
    <x v="4"/>
    <x v="0"/>
    <x v="1"/>
    <d v="2025-06-25T00:00:00"/>
    <n v="0"/>
    <x v="0"/>
  </r>
  <r>
    <n v="101643"/>
    <n v="20"/>
    <n v="38000"/>
    <x v="1"/>
    <n v="0"/>
    <n v="0"/>
    <x v="1"/>
    <x v="0"/>
    <x v="1"/>
    <d v="2024-01-02T00:00:00"/>
    <n v="0"/>
    <x v="0"/>
  </r>
  <r>
    <n v="101644"/>
    <n v="50"/>
    <n v="40800"/>
    <x v="1"/>
    <n v="51000"/>
    <n v="0"/>
    <x v="5"/>
    <x v="0"/>
    <x v="1"/>
    <d v="2025-11-16T00:00:00"/>
    <n v="51000"/>
    <x v="0"/>
  </r>
  <r>
    <n v="101645"/>
    <n v="73"/>
    <n v="110300"/>
    <x v="0"/>
    <n v="27300"/>
    <n v="0"/>
    <x v="3"/>
    <x v="2"/>
    <x v="1"/>
    <d v="2024-12-31T00:00:00"/>
    <n v="27300"/>
    <x v="1"/>
  </r>
  <r>
    <n v="101646"/>
    <n v="50"/>
    <n v="81300"/>
    <x v="0"/>
    <n v="29900"/>
    <n v="0"/>
    <x v="0"/>
    <x v="2"/>
    <x v="1"/>
    <d v="2024-08-24T00:00:00"/>
    <n v="29900"/>
    <x v="1"/>
  </r>
  <r>
    <n v="101647"/>
    <n v="46"/>
    <n v="93700"/>
    <x v="1"/>
    <n v="84900"/>
    <n v="251000"/>
    <x v="7"/>
    <x v="1"/>
    <x v="1"/>
    <d v="2024-08-07T00:00:00"/>
    <n v="335900"/>
    <x v="1"/>
  </r>
  <r>
    <n v="101648"/>
    <n v="33"/>
    <n v="51300"/>
    <x v="1"/>
    <n v="38900"/>
    <n v="165000"/>
    <x v="7"/>
    <x v="0"/>
    <x v="0"/>
    <d v="2026-08-03T00:00:00"/>
    <n v="203900"/>
    <x v="0"/>
  </r>
  <r>
    <n v="101649"/>
    <n v="35"/>
    <n v="68100"/>
    <x v="1"/>
    <n v="39600"/>
    <n v="0"/>
    <x v="3"/>
    <x v="2"/>
    <x v="1"/>
    <d v="2025-07-08T00:00:00"/>
    <n v="39600"/>
    <x v="0"/>
  </r>
  <r>
    <n v="101650"/>
    <n v="30"/>
    <n v="71900"/>
    <x v="0"/>
    <n v="58400"/>
    <n v="0"/>
    <x v="3"/>
    <x v="0"/>
    <x v="1"/>
    <d v="2024-04-12T00:00:00"/>
    <n v="58400"/>
    <x v="1"/>
  </r>
  <r>
    <n v="101651"/>
    <n v="25"/>
    <n v="60100"/>
    <x v="1"/>
    <n v="2400"/>
    <n v="0"/>
    <x v="2"/>
    <x v="0"/>
    <x v="1"/>
    <d v="2024-06-17T00:00:00"/>
    <n v="2400"/>
    <x v="0"/>
  </r>
  <r>
    <n v="101652"/>
    <n v="21"/>
    <n v="79300"/>
    <x v="2"/>
    <n v="44100"/>
    <n v="294000"/>
    <x v="3"/>
    <x v="1"/>
    <x v="1"/>
    <d v="2024-07-19T00:00:00"/>
    <n v="338100"/>
    <x v="1"/>
  </r>
  <r>
    <n v="101653"/>
    <n v="72"/>
    <n v="41700"/>
    <x v="1"/>
    <n v="43700"/>
    <n v="0"/>
    <x v="4"/>
    <x v="2"/>
    <x v="1"/>
    <d v="2026-01-11T00:00:00"/>
    <n v="43700"/>
    <x v="0"/>
  </r>
  <r>
    <n v="101654"/>
    <n v="33"/>
    <n v="51000"/>
    <x v="0"/>
    <n v="0"/>
    <n v="0"/>
    <x v="1"/>
    <x v="2"/>
    <x v="1"/>
    <d v="2024-03-05T00:00:00"/>
    <n v="0"/>
    <x v="0"/>
  </r>
  <r>
    <n v="101655"/>
    <n v="73"/>
    <n v="98800"/>
    <x v="1"/>
    <n v="27000"/>
    <n v="0"/>
    <x v="1"/>
    <x v="2"/>
    <x v="1"/>
    <d v="2024-08-04T00:00:00"/>
    <n v="27000"/>
    <x v="1"/>
  </r>
  <r>
    <n v="101656"/>
    <n v="24"/>
    <n v="38300"/>
    <x v="1"/>
    <n v="47900"/>
    <n v="0"/>
    <x v="2"/>
    <x v="3"/>
    <x v="0"/>
    <d v="2025-08-31T00:00:00"/>
    <n v="47900"/>
    <x v="0"/>
  </r>
  <r>
    <n v="101657"/>
    <n v="54"/>
    <n v="72200"/>
    <x v="1"/>
    <n v="17600"/>
    <n v="0"/>
    <x v="7"/>
    <x v="2"/>
    <x v="1"/>
    <d v="2024-08-07T00:00:00"/>
    <n v="17600"/>
    <x v="1"/>
  </r>
  <r>
    <n v="101658"/>
    <n v="66"/>
    <n v="85400"/>
    <x v="2"/>
    <n v="23200"/>
    <n v="0"/>
    <x v="7"/>
    <x v="0"/>
    <x v="1"/>
    <d v="2024-04-28T00:00:00"/>
    <n v="23200"/>
    <x v="1"/>
  </r>
  <r>
    <n v="101659"/>
    <n v="70"/>
    <n v="75100"/>
    <x v="2"/>
    <n v="46400"/>
    <n v="0"/>
    <x v="0"/>
    <x v="1"/>
    <x v="1"/>
    <d v="2025-10-27T00:00:00"/>
    <n v="46400"/>
    <x v="1"/>
  </r>
  <r>
    <n v="101660"/>
    <n v="57"/>
    <n v="76800"/>
    <x v="0"/>
    <n v="17900"/>
    <n v="0"/>
    <x v="4"/>
    <x v="2"/>
    <x v="1"/>
    <d v="2026-05-28T00:00:00"/>
    <n v="17900"/>
    <x v="1"/>
  </r>
  <r>
    <n v="101661"/>
    <n v="58"/>
    <n v="62900"/>
    <x v="1"/>
    <n v="12800"/>
    <n v="0"/>
    <x v="0"/>
    <x v="2"/>
    <x v="1"/>
    <d v="2024-05-19T00:00:00"/>
    <n v="12800"/>
    <x v="0"/>
  </r>
  <r>
    <n v="101662"/>
    <n v="72"/>
    <n v="39900"/>
    <x v="1"/>
    <n v="0"/>
    <n v="0"/>
    <x v="3"/>
    <x v="0"/>
    <x v="1"/>
    <d v="2024-04-01T00:00:00"/>
    <n v="0"/>
    <x v="0"/>
  </r>
  <r>
    <n v="101663"/>
    <n v="53"/>
    <n v="37900"/>
    <x v="1"/>
    <n v="41800"/>
    <n v="273000"/>
    <x v="7"/>
    <x v="1"/>
    <x v="1"/>
    <d v="2026-05-17T00:00:00"/>
    <n v="314800"/>
    <x v="0"/>
  </r>
  <r>
    <n v="101664"/>
    <n v="41"/>
    <n v="27000"/>
    <x v="0"/>
    <n v="0"/>
    <n v="0"/>
    <x v="6"/>
    <x v="0"/>
    <x v="1"/>
    <d v="2026-01-10T00:00:00"/>
    <n v="0"/>
    <x v="0"/>
  </r>
  <r>
    <n v="101665"/>
    <n v="21"/>
    <n v="33000"/>
    <x v="1"/>
    <n v="0"/>
    <n v="0"/>
    <x v="0"/>
    <x v="2"/>
    <x v="1"/>
    <d v="2024-07-13T00:00:00"/>
    <n v="0"/>
    <x v="0"/>
  </r>
  <r>
    <n v="101666"/>
    <n v="50"/>
    <n v="108500"/>
    <x v="1"/>
    <n v="0"/>
    <n v="0"/>
    <x v="2"/>
    <x v="2"/>
    <x v="1"/>
    <d v="2025-10-07T00:00:00"/>
    <n v="0"/>
    <x v="1"/>
  </r>
  <r>
    <n v="101667"/>
    <n v="67"/>
    <n v="112400"/>
    <x v="1"/>
    <n v="26000"/>
    <n v="0"/>
    <x v="0"/>
    <x v="1"/>
    <x v="1"/>
    <d v="2024-10-23T00:00:00"/>
    <n v="26000"/>
    <x v="1"/>
  </r>
  <r>
    <n v="101668"/>
    <n v="68"/>
    <n v="46500"/>
    <x v="1"/>
    <n v="16400"/>
    <n v="0"/>
    <x v="7"/>
    <x v="2"/>
    <x v="1"/>
    <d v="2026-02-25T00:00:00"/>
    <n v="16400"/>
    <x v="0"/>
  </r>
  <r>
    <n v="101669"/>
    <n v="24"/>
    <n v="38100"/>
    <x v="2"/>
    <n v="41000"/>
    <n v="184000"/>
    <x v="6"/>
    <x v="1"/>
    <x v="1"/>
    <d v="2024-02-15T00:00:00"/>
    <n v="225000"/>
    <x v="0"/>
  </r>
  <r>
    <n v="101670"/>
    <n v="58"/>
    <n v="29500"/>
    <x v="0"/>
    <n v="0"/>
    <n v="0"/>
    <x v="2"/>
    <x v="2"/>
    <x v="1"/>
    <d v="2026-01-11T00:00:00"/>
    <n v="0"/>
    <x v="0"/>
  </r>
  <r>
    <n v="101671"/>
    <n v="53"/>
    <n v="45500"/>
    <x v="1"/>
    <n v="15200"/>
    <n v="0"/>
    <x v="5"/>
    <x v="1"/>
    <x v="1"/>
    <d v="2025-01-13T00:00:00"/>
    <n v="15200"/>
    <x v="0"/>
  </r>
  <r>
    <n v="101672"/>
    <n v="62"/>
    <n v="29500"/>
    <x v="1"/>
    <n v="36900"/>
    <n v="0"/>
    <x v="6"/>
    <x v="0"/>
    <x v="0"/>
    <d v="2024-07-31T00:00:00"/>
    <n v="36900"/>
    <x v="0"/>
  </r>
  <r>
    <n v="101673"/>
    <n v="35"/>
    <n v="53800"/>
    <x v="2"/>
    <n v="40800"/>
    <n v="0"/>
    <x v="6"/>
    <x v="0"/>
    <x v="1"/>
    <d v="2026-08-19T00:00:00"/>
    <n v="40800"/>
    <x v="0"/>
  </r>
  <r>
    <n v="101674"/>
    <n v="74"/>
    <n v="102700"/>
    <x v="1"/>
    <n v="21900"/>
    <n v="130000"/>
    <x v="1"/>
    <x v="2"/>
    <x v="1"/>
    <d v="2026-06-30T00:00:00"/>
    <n v="151900"/>
    <x v="1"/>
  </r>
  <r>
    <n v="101675"/>
    <n v="55"/>
    <n v="101100"/>
    <x v="0"/>
    <n v="48900"/>
    <n v="0"/>
    <x v="4"/>
    <x v="1"/>
    <x v="1"/>
    <d v="2026-06-20T00:00:00"/>
    <n v="48900"/>
    <x v="1"/>
  </r>
  <r>
    <n v="101676"/>
    <n v="35"/>
    <n v="60900"/>
    <x v="1"/>
    <n v="0"/>
    <n v="0"/>
    <x v="0"/>
    <x v="1"/>
    <x v="1"/>
    <d v="2024-09-05T00:00:00"/>
    <n v="0"/>
    <x v="0"/>
  </r>
  <r>
    <n v="101677"/>
    <n v="29"/>
    <n v="73200"/>
    <x v="1"/>
    <n v="44800"/>
    <n v="0"/>
    <x v="5"/>
    <x v="1"/>
    <x v="1"/>
    <d v="2024-09-05T00:00:00"/>
    <n v="44800"/>
    <x v="1"/>
  </r>
  <r>
    <n v="101678"/>
    <n v="46"/>
    <n v="81000"/>
    <x v="1"/>
    <n v="0"/>
    <n v="0"/>
    <x v="1"/>
    <x v="2"/>
    <x v="1"/>
    <d v="2024-11-13T00:00:00"/>
    <n v="0"/>
    <x v="1"/>
  </r>
  <r>
    <n v="101679"/>
    <n v="69"/>
    <n v="44100"/>
    <x v="1"/>
    <n v="27800"/>
    <n v="0"/>
    <x v="1"/>
    <x v="1"/>
    <x v="1"/>
    <d v="2025-01-17T00:00:00"/>
    <n v="27800"/>
    <x v="0"/>
  </r>
  <r>
    <n v="101680"/>
    <n v="68"/>
    <n v="46400"/>
    <x v="2"/>
    <n v="53400"/>
    <n v="0"/>
    <x v="2"/>
    <x v="1"/>
    <x v="1"/>
    <d v="2024-10-27T00:00:00"/>
    <n v="53400"/>
    <x v="0"/>
  </r>
  <r>
    <n v="101681"/>
    <n v="32"/>
    <n v="110000"/>
    <x v="2"/>
    <n v="12900"/>
    <n v="0"/>
    <x v="1"/>
    <x v="1"/>
    <x v="1"/>
    <d v="2025-06-09T00:00:00"/>
    <n v="12900"/>
    <x v="1"/>
  </r>
  <r>
    <n v="101682"/>
    <n v="56"/>
    <n v="110100"/>
    <x v="0"/>
    <n v="0"/>
    <n v="155000"/>
    <x v="0"/>
    <x v="2"/>
    <x v="1"/>
    <d v="2025-07-23T00:00:00"/>
    <n v="155000"/>
    <x v="1"/>
  </r>
  <r>
    <n v="101683"/>
    <n v="64"/>
    <n v="59900"/>
    <x v="1"/>
    <n v="0"/>
    <n v="0"/>
    <x v="4"/>
    <x v="1"/>
    <x v="1"/>
    <d v="2026-05-01T00:00:00"/>
    <n v="0"/>
    <x v="0"/>
  </r>
  <r>
    <n v="101684"/>
    <n v="64"/>
    <n v="30900"/>
    <x v="0"/>
    <n v="38600"/>
    <n v="305000"/>
    <x v="3"/>
    <x v="1"/>
    <x v="1"/>
    <d v="2026-02-22T00:00:00"/>
    <n v="343600"/>
    <x v="0"/>
  </r>
  <r>
    <n v="101685"/>
    <n v="72"/>
    <n v="50300"/>
    <x v="2"/>
    <n v="24100"/>
    <n v="0"/>
    <x v="1"/>
    <x v="0"/>
    <x v="1"/>
    <d v="2026-04-05T00:00:00"/>
    <n v="24100"/>
    <x v="0"/>
  </r>
  <r>
    <n v="101686"/>
    <n v="26"/>
    <n v="33600"/>
    <x v="0"/>
    <n v="31900"/>
    <n v="0"/>
    <x v="0"/>
    <x v="0"/>
    <x v="1"/>
    <d v="2024-07-22T00:00:00"/>
    <n v="31900"/>
    <x v="0"/>
  </r>
  <r>
    <n v="101687"/>
    <n v="35"/>
    <n v="66700"/>
    <x v="0"/>
    <n v="19600"/>
    <n v="0"/>
    <x v="2"/>
    <x v="3"/>
    <x v="0"/>
    <d v="2025-02-20T00:00:00"/>
    <n v="19600"/>
    <x v="0"/>
  </r>
  <r>
    <n v="101688"/>
    <n v="74"/>
    <n v="27700"/>
    <x v="1"/>
    <n v="34600"/>
    <n v="0"/>
    <x v="7"/>
    <x v="0"/>
    <x v="1"/>
    <d v="2025-02-02T00:00:00"/>
    <n v="34600"/>
    <x v="0"/>
  </r>
  <r>
    <n v="101689"/>
    <n v="26"/>
    <n v="57200"/>
    <x v="0"/>
    <n v="36800"/>
    <n v="0"/>
    <x v="6"/>
    <x v="2"/>
    <x v="1"/>
    <d v="2026-04-20T00:00:00"/>
    <n v="36800"/>
    <x v="0"/>
  </r>
  <r>
    <n v="101690"/>
    <n v="21"/>
    <n v="124800"/>
    <x v="1"/>
    <n v="52500"/>
    <n v="131000"/>
    <x v="6"/>
    <x v="2"/>
    <x v="1"/>
    <d v="2025-04-28T00:00:00"/>
    <n v="183500"/>
    <x v="1"/>
  </r>
  <r>
    <n v="101691"/>
    <n v="60"/>
    <n v="75900"/>
    <x v="1"/>
    <n v="78500"/>
    <n v="263000"/>
    <x v="1"/>
    <x v="0"/>
    <x v="1"/>
    <d v="2025-11-27T00:00:00"/>
    <n v="341500"/>
    <x v="1"/>
  </r>
  <r>
    <n v="101692"/>
    <n v="33"/>
    <n v="52600"/>
    <x v="0"/>
    <n v="63100"/>
    <n v="231000"/>
    <x v="0"/>
    <x v="0"/>
    <x v="1"/>
    <d v="2025-08-11T00:00:00"/>
    <n v="294100"/>
    <x v="0"/>
  </r>
  <r>
    <n v="101693"/>
    <n v="38"/>
    <n v="35100"/>
    <x v="1"/>
    <n v="35400"/>
    <n v="0"/>
    <x v="6"/>
    <x v="0"/>
    <x v="1"/>
    <d v="2025-02-21T00:00:00"/>
    <n v="35400"/>
    <x v="0"/>
  </r>
  <r>
    <n v="101694"/>
    <n v="32"/>
    <n v="39400"/>
    <x v="0"/>
    <n v="0"/>
    <n v="0"/>
    <x v="4"/>
    <x v="2"/>
    <x v="1"/>
    <d v="2025-04-07T00:00:00"/>
    <n v="0"/>
    <x v="0"/>
  </r>
  <r>
    <n v="101695"/>
    <n v="37"/>
    <n v="49100"/>
    <x v="1"/>
    <n v="61400"/>
    <n v="0"/>
    <x v="5"/>
    <x v="2"/>
    <x v="1"/>
    <d v="2026-08-21T00:00:00"/>
    <n v="61400"/>
    <x v="0"/>
  </r>
  <r>
    <n v="101696"/>
    <n v="67"/>
    <n v="28700"/>
    <x v="1"/>
    <n v="35900"/>
    <n v="0"/>
    <x v="1"/>
    <x v="1"/>
    <x v="1"/>
    <d v="2026-01-31T00:00:00"/>
    <n v="35900"/>
    <x v="0"/>
  </r>
  <r>
    <n v="101697"/>
    <n v="22"/>
    <n v="61200"/>
    <x v="1"/>
    <n v="0"/>
    <n v="0"/>
    <x v="6"/>
    <x v="0"/>
    <x v="1"/>
    <d v="2026-08-24T00:00:00"/>
    <n v="0"/>
    <x v="0"/>
  </r>
  <r>
    <n v="101698"/>
    <n v="32"/>
    <n v="94900"/>
    <x v="1"/>
    <n v="0"/>
    <n v="0"/>
    <x v="1"/>
    <x v="0"/>
    <x v="1"/>
    <d v="2024-03-31T00:00:00"/>
    <n v="0"/>
    <x v="1"/>
  </r>
  <r>
    <n v="101699"/>
    <n v="72"/>
    <n v="94400"/>
    <x v="1"/>
    <n v="31300"/>
    <n v="0"/>
    <x v="3"/>
    <x v="2"/>
    <x v="1"/>
    <d v="2024-08-11T00:00:00"/>
    <n v="31300"/>
    <x v="1"/>
  </r>
  <r>
    <n v="101700"/>
    <n v="36"/>
    <n v="98200"/>
    <x v="1"/>
    <n v="0"/>
    <n v="0"/>
    <x v="4"/>
    <x v="2"/>
    <x v="1"/>
    <d v="2024-04-21T00:00:00"/>
    <n v="0"/>
    <x v="1"/>
  </r>
  <r>
    <n v="101701"/>
    <n v="51"/>
    <n v="69300"/>
    <x v="1"/>
    <n v="0"/>
    <n v="0"/>
    <x v="4"/>
    <x v="1"/>
    <x v="1"/>
    <d v="2025-06-21T00:00:00"/>
    <n v="0"/>
    <x v="0"/>
  </r>
  <r>
    <n v="101702"/>
    <n v="73"/>
    <n v="44800"/>
    <x v="0"/>
    <n v="20700"/>
    <n v="0"/>
    <x v="6"/>
    <x v="0"/>
    <x v="1"/>
    <d v="2026-03-09T00:00:00"/>
    <n v="20700"/>
    <x v="0"/>
  </r>
  <r>
    <n v="101703"/>
    <n v="32"/>
    <n v="49500"/>
    <x v="1"/>
    <n v="0"/>
    <n v="0"/>
    <x v="4"/>
    <x v="1"/>
    <x v="1"/>
    <d v="2024-08-05T00:00:00"/>
    <n v="0"/>
    <x v="0"/>
  </r>
  <r>
    <n v="101704"/>
    <n v="34"/>
    <n v="70900"/>
    <x v="0"/>
    <n v="14000"/>
    <n v="0"/>
    <x v="6"/>
    <x v="1"/>
    <x v="0"/>
    <d v="2025-01-12T00:00:00"/>
    <n v="14000"/>
    <x v="1"/>
  </r>
  <r>
    <n v="101705"/>
    <n v="56"/>
    <n v="65700"/>
    <x v="1"/>
    <n v="38100"/>
    <n v="0"/>
    <x v="7"/>
    <x v="3"/>
    <x v="1"/>
    <d v="2024-06-18T00:00:00"/>
    <n v="38100"/>
    <x v="0"/>
  </r>
  <r>
    <n v="101706"/>
    <n v="45"/>
    <n v="81000"/>
    <x v="0"/>
    <n v="41300"/>
    <n v="0"/>
    <x v="1"/>
    <x v="0"/>
    <x v="1"/>
    <d v="2026-04-30T00:00:00"/>
    <n v="41300"/>
    <x v="1"/>
  </r>
  <r>
    <n v="101707"/>
    <n v="55"/>
    <n v="70600"/>
    <x v="0"/>
    <n v="0"/>
    <n v="0"/>
    <x v="7"/>
    <x v="2"/>
    <x v="1"/>
    <d v="2025-06-18T00:00:00"/>
    <n v="0"/>
    <x v="1"/>
  </r>
  <r>
    <n v="101708"/>
    <n v="38"/>
    <n v="37800"/>
    <x v="0"/>
    <n v="42000"/>
    <n v="0"/>
    <x v="4"/>
    <x v="1"/>
    <x v="1"/>
    <d v="2024-01-22T00:00:00"/>
    <n v="42000"/>
    <x v="0"/>
  </r>
  <r>
    <n v="101709"/>
    <n v="69"/>
    <n v="59800"/>
    <x v="1"/>
    <n v="74800"/>
    <n v="143000"/>
    <x v="3"/>
    <x v="2"/>
    <x v="1"/>
    <d v="2026-04-06T00:00:00"/>
    <n v="217800"/>
    <x v="0"/>
  </r>
  <r>
    <n v="101710"/>
    <n v="72"/>
    <n v="42500"/>
    <x v="0"/>
    <n v="0"/>
    <n v="0"/>
    <x v="6"/>
    <x v="1"/>
    <x v="1"/>
    <d v="2025-12-17T00:00:00"/>
    <n v="0"/>
    <x v="0"/>
  </r>
  <r>
    <n v="101711"/>
    <n v="21"/>
    <n v="120100"/>
    <x v="1"/>
    <n v="14900"/>
    <n v="0"/>
    <x v="6"/>
    <x v="1"/>
    <x v="1"/>
    <d v="2024-08-09T00:00:00"/>
    <n v="14900"/>
    <x v="1"/>
  </r>
  <r>
    <n v="101712"/>
    <n v="39"/>
    <n v="64300"/>
    <x v="2"/>
    <n v="40100"/>
    <n v="0"/>
    <x v="2"/>
    <x v="1"/>
    <x v="1"/>
    <d v="2025-06-16T00:00:00"/>
    <n v="40100"/>
    <x v="0"/>
  </r>
  <r>
    <n v="101713"/>
    <n v="28"/>
    <n v="71900"/>
    <x v="0"/>
    <n v="56100"/>
    <n v="0"/>
    <x v="6"/>
    <x v="0"/>
    <x v="1"/>
    <d v="2026-06-27T00:00:00"/>
    <n v="56100"/>
    <x v="1"/>
  </r>
  <r>
    <n v="101714"/>
    <n v="62"/>
    <n v="35800"/>
    <x v="1"/>
    <n v="40300"/>
    <n v="0"/>
    <x v="4"/>
    <x v="1"/>
    <x v="1"/>
    <d v="2025-07-11T00:00:00"/>
    <n v="40300"/>
    <x v="0"/>
  </r>
  <r>
    <n v="101715"/>
    <n v="63"/>
    <n v="37900"/>
    <x v="0"/>
    <n v="36600"/>
    <n v="0"/>
    <x v="2"/>
    <x v="1"/>
    <x v="1"/>
    <d v="2026-04-29T00:00:00"/>
    <n v="36600"/>
    <x v="0"/>
  </r>
  <r>
    <n v="101716"/>
    <n v="33"/>
    <n v="24300"/>
    <x v="1"/>
    <n v="30400"/>
    <n v="0"/>
    <x v="4"/>
    <x v="0"/>
    <x v="1"/>
    <d v="2024-11-17T00:00:00"/>
    <n v="30400"/>
    <x v="0"/>
  </r>
  <r>
    <n v="101717"/>
    <n v="56"/>
    <n v="49200"/>
    <x v="2"/>
    <n v="58500"/>
    <n v="0"/>
    <x v="1"/>
    <x v="1"/>
    <x v="1"/>
    <d v="2026-03-26T00:00:00"/>
    <n v="58500"/>
    <x v="0"/>
  </r>
  <r>
    <n v="101718"/>
    <n v="69"/>
    <n v="47600"/>
    <x v="0"/>
    <n v="9600"/>
    <n v="359000"/>
    <x v="7"/>
    <x v="0"/>
    <x v="0"/>
    <d v="2025-11-14T00:00:00"/>
    <n v="368600"/>
    <x v="0"/>
  </r>
  <r>
    <n v="101719"/>
    <n v="74"/>
    <n v="60800"/>
    <x v="0"/>
    <n v="0"/>
    <n v="0"/>
    <x v="6"/>
    <x v="2"/>
    <x v="1"/>
    <d v="2026-02-20T00:00:00"/>
    <n v="0"/>
    <x v="0"/>
  </r>
  <r>
    <n v="101720"/>
    <n v="44"/>
    <n v="60100"/>
    <x v="1"/>
    <n v="55700"/>
    <n v="0"/>
    <x v="6"/>
    <x v="2"/>
    <x v="1"/>
    <d v="2025-06-24T00:00:00"/>
    <n v="55700"/>
    <x v="0"/>
  </r>
  <r>
    <n v="101721"/>
    <n v="23"/>
    <n v="68200"/>
    <x v="1"/>
    <n v="40100"/>
    <n v="0"/>
    <x v="2"/>
    <x v="2"/>
    <x v="1"/>
    <d v="2024-06-30T00:00:00"/>
    <n v="40100"/>
    <x v="0"/>
  </r>
  <r>
    <n v="101722"/>
    <n v="75"/>
    <n v="69600"/>
    <x v="1"/>
    <n v="30600"/>
    <n v="0"/>
    <x v="4"/>
    <x v="2"/>
    <x v="1"/>
    <d v="2025-10-14T00:00:00"/>
    <n v="30600"/>
    <x v="0"/>
  </r>
  <r>
    <n v="101723"/>
    <n v="37"/>
    <n v="45200"/>
    <x v="2"/>
    <n v="39600"/>
    <n v="0"/>
    <x v="6"/>
    <x v="1"/>
    <x v="1"/>
    <d v="2024-05-23T00:00:00"/>
    <n v="39600"/>
    <x v="0"/>
  </r>
  <r>
    <n v="101724"/>
    <n v="66"/>
    <n v="53300"/>
    <x v="2"/>
    <n v="39400"/>
    <n v="0"/>
    <x v="0"/>
    <x v="0"/>
    <x v="1"/>
    <d v="2025-10-02T00:00:00"/>
    <n v="39400"/>
    <x v="0"/>
  </r>
  <r>
    <n v="101725"/>
    <n v="72"/>
    <n v="58000"/>
    <x v="1"/>
    <n v="17100"/>
    <n v="0"/>
    <x v="0"/>
    <x v="0"/>
    <x v="1"/>
    <d v="2025-02-10T00:00:00"/>
    <n v="17100"/>
    <x v="0"/>
  </r>
  <r>
    <n v="101726"/>
    <n v="53"/>
    <n v="73400"/>
    <x v="1"/>
    <n v="0"/>
    <n v="198000"/>
    <x v="0"/>
    <x v="0"/>
    <x v="1"/>
    <d v="2026-08-11T00:00:00"/>
    <n v="198000"/>
    <x v="1"/>
  </r>
  <r>
    <n v="101727"/>
    <n v="40"/>
    <n v="50400"/>
    <x v="2"/>
    <n v="63000"/>
    <n v="0"/>
    <x v="7"/>
    <x v="1"/>
    <x v="1"/>
    <d v="2024-01-11T00:00:00"/>
    <n v="63000"/>
    <x v="0"/>
  </r>
  <r>
    <n v="101728"/>
    <n v="33"/>
    <n v="91500"/>
    <x v="2"/>
    <n v="14000"/>
    <n v="0"/>
    <x v="6"/>
    <x v="2"/>
    <x v="1"/>
    <d v="2025-03-08T00:00:00"/>
    <n v="14000"/>
    <x v="1"/>
  </r>
  <r>
    <n v="101729"/>
    <n v="35"/>
    <n v="88500"/>
    <x v="2"/>
    <n v="31900"/>
    <n v="0"/>
    <x v="2"/>
    <x v="2"/>
    <x v="1"/>
    <d v="2025-04-03T00:00:00"/>
    <n v="31900"/>
    <x v="1"/>
  </r>
  <r>
    <n v="101730"/>
    <n v="24"/>
    <n v="97300"/>
    <x v="0"/>
    <n v="39200"/>
    <n v="0"/>
    <x v="4"/>
    <x v="0"/>
    <x v="1"/>
    <d v="2024-05-24T00:00:00"/>
    <n v="39200"/>
    <x v="1"/>
  </r>
  <r>
    <n v="101731"/>
    <n v="75"/>
    <n v="52800"/>
    <x v="0"/>
    <n v="0"/>
    <n v="164000"/>
    <x v="6"/>
    <x v="2"/>
    <x v="1"/>
    <d v="2024-07-28T00:00:00"/>
    <n v="164000"/>
    <x v="0"/>
  </r>
  <r>
    <n v="101732"/>
    <n v="63"/>
    <n v="44000"/>
    <x v="1"/>
    <n v="14300"/>
    <n v="0"/>
    <x v="7"/>
    <x v="0"/>
    <x v="1"/>
    <d v="2025-06-09T00:00:00"/>
    <n v="14300"/>
    <x v="0"/>
  </r>
  <r>
    <n v="101733"/>
    <n v="30"/>
    <n v="101100"/>
    <x v="1"/>
    <n v="0"/>
    <n v="0"/>
    <x v="7"/>
    <x v="0"/>
    <x v="1"/>
    <d v="2025-08-26T00:00:00"/>
    <n v="0"/>
    <x v="1"/>
  </r>
  <r>
    <n v="101734"/>
    <n v="54"/>
    <n v="88700"/>
    <x v="1"/>
    <n v="34800"/>
    <n v="0"/>
    <x v="4"/>
    <x v="1"/>
    <x v="1"/>
    <d v="2026-04-29T00:00:00"/>
    <n v="34800"/>
    <x v="1"/>
  </r>
  <r>
    <n v="101735"/>
    <n v="51"/>
    <n v="83900"/>
    <x v="0"/>
    <n v="50800"/>
    <n v="0"/>
    <x v="3"/>
    <x v="0"/>
    <x v="1"/>
    <d v="2026-06-16T00:00:00"/>
    <n v="50800"/>
    <x v="1"/>
  </r>
  <r>
    <n v="101736"/>
    <n v="27"/>
    <n v="91300"/>
    <x v="1"/>
    <n v="24300"/>
    <n v="155000"/>
    <x v="7"/>
    <x v="0"/>
    <x v="0"/>
    <d v="2026-03-15T00:00:00"/>
    <n v="179300"/>
    <x v="1"/>
  </r>
  <r>
    <n v="101737"/>
    <n v="64"/>
    <n v="66300"/>
    <x v="0"/>
    <n v="45000"/>
    <n v="0"/>
    <x v="7"/>
    <x v="1"/>
    <x v="1"/>
    <d v="2026-05-31T00:00:00"/>
    <n v="45000"/>
    <x v="0"/>
  </r>
  <r>
    <n v="101738"/>
    <n v="51"/>
    <n v="43200"/>
    <x v="1"/>
    <n v="0"/>
    <n v="283000"/>
    <x v="2"/>
    <x v="0"/>
    <x v="1"/>
    <d v="2025-01-20T00:00:00"/>
    <n v="283000"/>
    <x v="0"/>
  </r>
  <r>
    <n v="101739"/>
    <n v="54"/>
    <n v="37600"/>
    <x v="0"/>
    <n v="19900"/>
    <n v="0"/>
    <x v="4"/>
    <x v="2"/>
    <x v="1"/>
    <d v="2026-06-13T00:00:00"/>
    <n v="19900"/>
    <x v="0"/>
  </r>
  <r>
    <n v="101740"/>
    <n v="62"/>
    <n v="51000"/>
    <x v="0"/>
    <n v="30800"/>
    <n v="162000"/>
    <x v="4"/>
    <x v="0"/>
    <x v="1"/>
    <d v="2026-02-27T00:00:00"/>
    <n v="192800"/>
    <x v="0"/>
  </r>
  <r>
    <n v="101741"/>
    <n v="31"/>
    <n v="32000"/>
    <x v="0"/>
    <n v="28200"/>
    <n v="0"/>
    <x v="6"/>
    <x v="0"/>
    <x v="1"/>
    <d v="2025-11-29T00:00:00"/>
    <n v="28200"/>
    <x v="0"/>
  </r>
  <r>
    <n v="101742"/>
    <n v="37"/>
    <n v="43200"/>
    <x v="0"/>
    <n v="53000"/>
    <n v="0"/>
    <x v="4"/>
    <x v="2"/>
    <x v="1"/>
    <d v="2026-05-21T00:00:00"/>
    <n v="53000"/>
    <x v="0"/>
  </r>
  <r>
    <n v="101743"/>
    <n v="41"/>
    <n v="85400"/>
    <x v="2"/>
    <n v="20100"/>
    <n v="0"/>
    <x v="1"/>
    <x v="3"/>
    <x v="1"/>
    <d v="2025-12-09T00:00:00"/>
    <n v="20100"/>
    <x v="1"/>
  </r>
  <r>
    <n v="101744"/>
    <n v="36"/>
    <n v="60300"/>
    <x v="1"/>
    <n v="62700"/>
    <n v="0"/>
    <x v="0"/>
    <x v="1"/>
    <x v="1"/>
    <d v="2025-04-07T00:00:00"/>
    <n v="62700"/>
    <x v="0"/>
  </r>
  <r>
    <n v="101745"/>
    <n v="60"/>
    <n v="63100"/>
    <x v="1"/>
    <n v="0"/>
    <n v="0"/>
    <x v="7"/>
    <x v="2"/>
    <x v="1"/>
    <d v="2026-08-03T00:00:00"/>
    <n v="0"/>
    <x v="0"/>
  </r>
  <r>
    <n v="101746"/>
    <n v="31"/>
    <n v="43200"/>
    <x v="0"/>
    <n v="32500"/>
    <n v="0"/>
    <x v="4"/>
    <x v="2"/>
    <x v="1"/>
    <d v="2024-10-08T00:00:00"/>
    <n v="32500"/>
    <x v="0"/>
  </r>
  <r>
    <n v="101747"/>
    <n v="44"/>
    <n v="83500"/>
    <x v="2"/>
    <n v="41400"/>
    <n v="0"/>
    <x v="7"/>
    <x v="1"/>
    <x v="1"/>
    <d v="2025-07-08T00:00:00"/>
    <n v="41400"/>
    <x v="1"/>
  </r>
  <r>
    <n v="101748"/>
    <n v="29"/>
    <n v="92500"/>
    <x v="0"/>
    <n v="33600"/>
    <n v="0"/>
    <x v="4"/>
    <x v="2"/>
    <x v="1"/>
    <d v="2025-05-20T00:00:00"/>
    <n v="33600"/>
    <x v="1"/>
  </r>
  <r>
    <n v="101749"/>
    <n v="67"/>
    <n v="28100"/>
    <x v="0"/>
    <n v="35100"/>
    <n v="0"/>
    <x v="4"/>
    <x v="0"/>
    <x v="1"/>
    <d v="2025-01-12T00:00:00"/>
    <n v="35100"/>
    <x v="0"/>
  </r>
  <r>
    <n v="101750"/>
    <n v="23"/>
    <n v="75200"/>
    <x v="2"/>
    <n v="61100"/>
    <n v="0"/>
    <x v="1"/>
    <x v="2"/>
    <x v="1"/>
    <d v="2025-12-03T00:00:00"/>
    <n v="61100"/>
    <x v="1"/>
  </r>
  <r>
    <n v="101751"/>
    <n v="49"/>
    <n v="64800"/>
    <x v="1"/>
    <n v="22400"/>
    <n v="0"/>
    <x v="2"/>
    <x v="0"/>
    <x v="1"/>
    <d v="2024-07-05T00:00:00"/>
    <n v="22400"/>
    <x v="0"/>
  </r>
  <r>
    <n v="101752"/>
    <n v="53"/>
    <n v="52700"/>
    <x v="0"/>
    <n v="26000"/>
    <n v="0"/>
    <x v="5"/>
    <x v="2"/>
    <x v="1"/>
    <d v="2024-05-16T00:00:00"/>
    <n v="26000"/>
    <x v="0"/>
  </r>
  <r>
    <n v="101753"/>
    <n v="63"/>
    <n v="62100"/>
    <x v="0"/>
    <n v="27900"/>
    <n v="0"/>
    <x v="3"/>
    <x v="1"/>
    <x v="1"/>
    <d v="2025-08-09T00:00:00"/>
    <n v="27900"/>
    <x v="0"/>
  </r>
  <r>
    <n v="101754"/>
    <n v="26"/>
    <n v="49400"/>
    <x v="1"/>
    <n v="45000"/>
    <n v="0"/>
    <x v="2"/>
    <x v="0"/>
    <x v="1"/>
    <d v="2024-07-01T00:00:00"/>
    <n v="45000"/>
    <x v="0"/>
  </r>
  <r>
    <n v="101755"/>
    <n v="41"/>
    <n v="52400"/>
    <x v="2"/>
    <n v="65500"/>
    <n v="254000"/>
    <x v="2"/>
    <x v="1"/>
    <x v="1"/>
    <d v="2025-01-13T00:00:00"/>
    <n v="319500"/>
    <x v="0"/>
  </r>
  <r>
    <n v="101756"/>
    <n v="26"/>
    <n v="42500"/>
    <x v="2"/>
    <n v="37200"/>
    <n v="0"/>
    <x v="2"/>
    <x v="2"/>
    <x v="1"/>
    <d v="2025-06-15T00:00:00"/>
    <n v="37200"/>
    <x v="0"/>
  </r>
  <r>
    <n v="101757"/>
    <n v="36"/>
    <n v="109200"/>
    <x v="2"/>
    <n v="6700"/>
    <n v="0"/>
    <x v="7"/>
    <x v="1"/>
    <x v="1"/>
    <d v="2024-09-24T00:00:00"/>
    <n v="6700"/>
    <x v="1"/>
  </r>
  <r>
    <n v="101758"/>
    <n v="34"/>
    <n v="22500"/>
    <x v="1"/>
    <n v="28100"/>
    <n v="0"/>
    <x v="0"/>
    <x v="3"/>
    <x v="0"/>
    <d v="2025-05-07T00:00:00"/>
    <n v="28100"/>
    <x v="0"/>
  </r>
  <r>
    <n v="101759"/>
    <n v="58"/>
    <n v="58700"/>
    <x v="1"/>
    <n v="46700"/>
    <n v="0"/>
    <x v="5"/>
    <x v="0"/>
    <x v="0"/>
    <d v="2025-01-07T00:00:00"/>
    <n v="46700"/>
    <x v="0"/>
  </r>
  <r>
    <n v="101760"/>
    <n v="33"/>
    <n v="52800"/>
    <x v="1"/>
    <n v="14300"/>
    <n v="0"/>
    <x v="3"/>
    <x v="2"/>
    <x v="1"/>
    <d v="2025-01-09T00:00:00"/>
    <n v="14300"/>
    <x v="0"/>
  </r>
  <r>
    <n v="101761"/>
    <n v="59"/>
    <n v="96500"/>
    <x v="0"/>
    <n v="58800"/>
    <n v="0"/>
    <x v="3"/>
    <x v="1"/>
    <x v="1"/>
    <d v="2024-11-20T00:00:00"/>
    <n v="58800"/>
    <x v="1"/>
  </r>
  <r>
    <n v="101762"/>
    <n v="22"/>
    <n v="24600"/>
    <x v="0"/>
    <n v="0"/>
    <n v="0"/>
    <x v="0"/>
    <x v="1"/>
    <x v="1"/>
    <d v="2026-02-27T00:00:00"/>
    <n v="0"/>
    <x v="0"/>
  </r>
  <r>
    <n v="101763"/>
    <n v="70"/>
    <n v="33300"/>
    <x v="0"/>
    <n v="27500"/>
    <n v="0"/>
    <x v="0"/>
    <x v="0"/>
    <x v="1"/>
    <d v="2025-07-28T00:00:00"/>
    <n v="27500"/>
    <x v="0"/>
  </r>
  <r>
    <n v="101764"/>
    <n v="23"/>
    <n v="67600"/>
    <x v="2"/>
    <n v="0"/>
    <n v="180000"/>
    <x v="3"/>
    <x v="0"/>
    <x v="1"/>
    <d v="2025-06-23T00:00:00"/>
    <n v="180000"/>
    <x v="0"/>
  </r>
  <r>
    <n v="101765"/>
    <n v="55"/>
    <n v="92400"/>
    <x v="1"/>
    <n v="15900"/>
    <n v="0"/>
    <x v="1"/>
    <x v="2"/>
    <x v="1"/>
    <d v="2026-06-03T00:00:00"/>
    <n v="15900"/>
    <x v="1"/>
  </r>
  <r>
    <n v="101766"/>
    <n v="69"/>
    <n v="65900"/>
    <x v="1"/>
    <n v="0"/>
    <n v="0"/>
    <x v="5"/>
    <x v="2"/>
    <x v="1"/>
    <d v="2024-06-20T00:00:00"/>
    <n v="0"/>
    <x v="0"/>
  </r>
  <r>
    <n v="101767"/>
    <n v="28"/>
    <n v="59300"/>
    <x v="1"/>
    <n v="49500"/>
    <n v="0"/>
    <x v="2"/>
    <x v="0"/>
    <x v="1"/>
    <d v="2025-01-07T00:00:00"/>
    <n v="49500"/>
    <x v="0"/>
  </r>
  <r>
    <n v="101768"/>
    <n v="70"/>
    <n v="93800"/>
    <x v="0"/>
    <n v="0"/>
    <n v="0"/>
    <x v="4"/>
    <x v="2"/>
    <x v="1"/>
    <d v="2025-09-21T00:00:00"/>
    <n v="0"/>
    <x v="1"/>
  </r>
  <r>
    <n v="101769"/>
    <n v="27"/>
    <n v="112100"/>
    <x v="0"/>
    <n v="25000"/>
    <n v="304000"/>
    <x v="6"/>
    <x v="2"/>
    <x v="1"/>
    <d v="2025-01-16T00:00:00"/>
    <n v="329000"/>
    <x v="1"/>
  </r>
  <r>
    <n v="101770"/>
    <n v="60"/>
    <n v="42900"/>
    <x v="0"/>
    <n v="53600"/>
    <n v="0"/>
    <x v="0"/>
    <x v="0"/>
    <x v="1"/>
    <d v="2024-03-11T00:00:00"/>
    <n v="53600"/>
    <x v="0"/>
  </r>
  <r>
    <n v="101771"/>
    <n v="33"/>
    <n v="21900"/>
    <x v="1"/>
    <n v="19000"/>
    <n v="0"/>
    <x v="4"/>
    <x v="0"/>
    <x v="1"/>
    <d v="2024-10-18T00:00:00"/>
    <n v="19000"/>
    <x v="0"/>
  </r>
  <r>
    <n v="101772"/>
    <n v="74"/>
    <n v="61200"/>
    <x v="0"/>
    <n v="40900"/>
    <n v="0"/>
    <x v="4"/>
    <x v="1"/>
    <x v="1"/>
    <d v="2026-08-17T00:00:00"/>
    <n v="40900"/>
    <x v="0"/>
  </r>
  <r>
    <n v="101773"/>
    <n v="34"/>
    <n v="54600"/>
    <x v="2"/>
    <n v="0"/>
    <n v="0"/>
    <x v="5"/>
    <x v="1"/>
    <x v="1"/>
    <d v="2024-06-02T00:00:00"/>
    <n v="0"/>
    <x v="0"/>
  </r>
  <r>
    <n v="101774"/>
    <n v="67"/>
    <n v="22100"/>
    <x v="1"/>
    <n v="27600"/>
    <n v="0"/>
    <x v="2"/>
    <x v="1"/>
    <x v="1"/>
    <d v="2024-03-12T00:00:00"/>
    <n v="27600"/>
    <x v="0"/>
  </r>
  <r>
    <n v="101775"/>
    <n v="53"/>
    <n v="42200"/>
    <x v="0"/>
    <n v="52800"/>
    <n v="133000"/>
    <x v="0"/>
    <x v="2"/>
    <x v="1"/>
    <d v="2026-06-18T00:00:00"/>
    <n v="185800"/>
    <x v="0"/>
  </r>
  <r>
    <n v="101776"/>
    <n v="73"/>
    <n v="70900"/>
    <x v="0"/>
    <n v="11100"/>
    <n v="0"/>
    <x v="0"/>
    <x v="1"/>
    <x v="1"/>
    <d v="2025-05-16T00:00:00"/>
    <n v="11100"/>
    <x v="1"/>
  </r>
  <r>
    <n v="101777"/>
    <n v="30"/>
    <n v="41400"/>
    <x v="0"/>
    <n v="35600"/>
    <n v="0"/>
    <x v="1"/>
    <x v="1"/>
    <x v="1"/>
    <d v="2025-04-11T00:00:00"/>
    <n v="35600"/>
    <x v="0"/>
  </r>
  <r>
    <n v="101778"/>
    <n v="31"/>
    <n v="84200"/>
    <x v="2"/>
    <n v="24400"/>
    <n v="0"/>
    <x v="2"/>
    <x v="1"/>
    <x v="1"/>
    <d v="2024-05-18T00:00:00"/>
    <n v="24400"/>
    <x v="1"/>
  </r>
  <r>
    <n v="101779"/>
    <n v="44"/>
    <n v="38400"/>
    <x v="0"/>
    <n v="16200"/>
    <n v="292000"/>
    <x v="7"/>
    <x v="1"/>
    <x v="1"/>
    <d v="2024-09-03T00:00:00"/>
    <n v="308200"/>
    <x v="0"/>
  </r>
  <r>
    <n v="101780"/>
    <n v="66"/>
    <n v="34600"/>
    <x v="1"/>
    <n v="0"/>
    <n v="0"/>
    <x v="0"/>
    <x v="0"/>
    <x v="1"/>
    <d v="2024-06-28T00:00:00"/>
    <n v="0"/>
    <x v="0"/>
  </r>
  <r>
    <n v="101781"/>
    <n v="24"/>
    <n v="56900"/>
    <x v="1"/>
    <n v="47700"/>
    <n v="222000"/>
    <x v="4"/>
    <x v="3"/>
    <x v="1"/>
    <d v="2024-11-29T00:00:00"/>
    <n v="269700"/>
    <x v="0"/>
  </r>
  <r>
    <n v="101782"/>
    <n v="31"/>
    <n v="39500"/>
    <x v="0"/>
    <n v="40600"/>
    <n v="0"/>
    <x v="4"/>
    <x v="3"/>
    <x v="1"/>
    <d v="2026-03-29T00:00:00"/>
    <n v="40600"/>
    <x v="0"/>
  </r>
  <r>
    <n v="101783"/>
    <n v="40"/>
    <n v="71900"/>
    <x v="0"/>
    <n v="20400"/>
    <n v="0"/>
    <x v="3"/>
    <x v="0"/>
    <x v="1"/>
    <d v="2025-01-07T00:00:00"/>
    <n v="20400"/>
    <x v="1"/>
  </r>
  <r>
    <n v="101784"/>
    <n v="64"/>
    <n v="111200"/>
    <x v="0"/>
    <n v="0"/>
    <n v="0"/>
    <x v="2"/>
    <x v="1"/>
    <x v="1"/>
    <d v="2024-11-11T00:00:00"/>
    <n v="0"/>
    <x v="1"/>
  </r>
  <r>
    <n v="101785"/>
    <n v="37"/>
    <n v="54300"/>
    <x v="1"/>
    <n v="49200"/>
    <n v="0"/>
    <x v="3"/>
    <x v="2"/>
    <x v="1"/>
    <d v="2024-09-10T00:00:00"/>
    <n v="49200"/>
    <x v="0"/>
  </r>
  <r>
    <n v="101786"/>
    <n v="21"/>
    <n v="65000"/>
    <x v="1"/>
    <n v="55400"/>
    <n v="0"/>
    <x v="0"/>
    <x v="2"/>
    <x v="1"/>
    <d v="2026-04-24T00:00:00"/>
    <n v="55400"/>
    <x v="0"/>
  </r>
  <r>
    <n v="101787"/>
    <n v="74"/>
    <n v="92900"/>
    <x v="1"/>
    <n v="17700"/>
    <n v="107000"/>
    <x v="3"/>
    <x v="1"/>
    <x v="1"/>
    <d v="2026-02-16T00:00:00"/>
    <n v="124700"/>
    <x v="1"/>
  </r>
  <r>
    <n v="101788"/>
    <n v="53"/>
    <n v="100300"/>
    <x v="0"/>
    <n v="47000"/>
    <n v="0"/>
    <x v="4"/>
    <x v="1"/>
    <x v="1"/>
    <d v="2026-07-25T00:00:00"/>
    <n v="47000"/>
    <x v="1"/>
  </r>
  <r>
    <n v="101789"/>
    <n v="53"/>
    <n v="43600"/>
    <x v="1"/>
    <n v="0"/>
    <n v="0"/>
    <x v="0"/>
    <x v="2"/>
    <x v="1"/>
    <d v="2025-01-08T00:00:00"/>
    <n v="0"/>
    <x v="0"/>
  </r>
  <r>
    <n v="101790"/>
    <n v="45"/>
    <n v="78300"/>
    <x v="0"/>
    <n v="18300"/>
    <n v="102000"/>
    <x v="7"/>
    <x v="1"/>
    <x v="1"/>
    <d v="2026-06-25T00:00:00"/>
    <n v="120300"/>
    <x v="1"/>
  </r>
  <r>
    <n v="101791"/>
    <n v="49"/>
    <n v="61100"/>
    <x v="0"/>
    <n v="25800"/>
    <n v="267000"/>
    <x v="2"/>
    <x v="1"/>
    <x v="1"/>
    <d v="2024-08-30T00:00:00"/>
    <n v="292800"/>
    <x v="0"/>
  </r>
  <r>
    <n v="101792"/>
    <n v="60"/>
    <n v="62300"/>
    <x v="2"/>
    <n v="0"/>
    <n v="0"/>
    <x v="6"/>
    <x v="2"/>
    <x v="1"/>
    <d v="2024-10-11T00:00:00"/>
    <n v="0"/>
    <x v="0"/>
  </r>
  <r>
    <n v="101793"/>
    <n v="39"/>
    <n v="43200"/>
    <x v="1"/>
    <n v="38000"/>
    <n v="0"/>
    <x v="2"/>
    <x v="2"/>
    <x v="1"/>
    <d v="2026-05-05T00:00:00"/>
    <n v="38000"/>
    <x v="0"/>
  </r>
  <r>
    <n v="101794"/>
    <n v="75"/>
    <n v="38900"/>
    <x v="1"/>
    <n v="0"/>
    <n v="0"/>
    <x v="0"/>
    <x v="2"/>
    <x v="1"/>
    <d v="2024-06-01T00:00:00"/>
    <n v="0"/>
    <x v="0"/>
  </r>
  <r>
    <n v="101795"/>
    <n v="61"/>
    <n v="65400"/>
    <x v="0"/>
    <n v="0"/>
    <n v="0"/>
    <x v="2"/>
    <x v="1"/>
    <x v="1"/>
    <d v="2024-04-04T00:00:00"/>
    <n v="0"/>
    <x v="0"/>
  </r>
  <r>
    <n v="101796"/>
    <n v="39"/>
    <n v="41100"/>
    <x v="1"/>
    <n v="0"/>
    <n v="0"/>
    <x v="6"/>
    <x v="0"/>
    <x v="1"/>
    <d v="2024-07-20T00:00:00"/>
    <n v="0"/>
    <x v="0"/>
  </r>
  <r>
    <n v="101797"/>
    <n v="20"/>
    <n v="65400"/>
    <x v="2"/>
    <n v="45500"/>
    <n v="0"/>
    <x v="0"/>
    <x v="2"/>
    <x v="1"/>
    <d v="2024-06-03T00:00:00"/>
    <n v="45500"/>
    <x v="0"/>
  </r>
  <r>
    <n v="101798"/>
    <n v="66"/>
    <n v="38200"/>
    <x v="1"/>
    <n v="45500"/>
    <n v="0"/>
    <x v="7"/>
    <x v="1"/>
    <x v="1"/>
    <d v="2024-05-22T00:00:00"/>
    <n v="45500"/>
    <x v="0"/>
  </r>
  <r>
    <n v="101799"/>
    <n v="23"/>
    <n v="35600"/>
    <x v="0"/>
    <n v="14800"/>
    <n v="0"/>
    <x v="0"/>
    <x v="2"/>
    <x v="1"/>
    <d v="2024-05-03T00:00:00"/>
    <n v="14800"/>
    <x v="0"/>
  </r>
  <r>
    <n v="101800"/>
    <n v="59"/>
    <n v="77600"/>
    <x v="1"/>
    <n v="0"/>
    <n v="0"/>
    <x v="7"/>
    <x v="0"/>
    <x v="1"/>
    <d v="2024-07-21T00:00:00"/>
    <n v="0"/>
    <x v="1"/>
  </r>
  <r>
    <n v="101801"/>
    <n v="59"/>
    <n v="80000"/>
    <x v="1"/>
    <n v="18500"/>
    <n v="0"/>
    <x v="3"/>
    <x v="1"/>
    <x v="1"/>
    <d v="2025-04-11T00:00:00"/>
    <n v="18500"/>
    <x v="1"/>
  </r>
  <r>
    <n v="101802"/>
    <n v="61"/>
    <n v="95200"/>
    <x v="0"/>
    <n v="0"/>
    <n v="274000"/>
    <x v="5"/>
    <x v="2"/>
    <x v="1"/>
    <d v="2024-04-02T00:00:00"/>
    <n v="274000"/>
    <x v="1"/>
  </r>
  <r>
    <n v="101803"/>
    <n v="38"/>
    <n v="25800"/>
    <x v="0"/>
    <n v="32200"/>
    <n v="0"/>
    <x v="6"/>
    <x v="0"/>
    <x v="1"/>
    <d v="2024-05-17T00:00:00"/>
    <n v="32200"/>
    <x v="0"/>
  </r>
  <r>
    <n v="101804"/>
    <n v="29"/>
    <n v="66900"/>
    <x v="1"/>
    <n v="56500"/>
    <n v="303000"/>
    <x v="2"/>
    <x v="0"/>
    <x v="1"/>
    <d v="2024-03-08T00:00:00"/>
    <n v="359500"/>
    <x v="0"/>
  </r>
  <r>
    <n v="101805"/>
    <n v="71"/>
    <n v="79600"/>
    <x v="0"/>
    <n v="0"/>
    <n v="247000"/>
    <x v="2"/>
    <x v="2"/>
    <x v="1"/>
    <d v="2025-12-12T00:00:00"/>
    <n v="247000"/>
    <x v="1"/>
  </r>
  <r>
    <n v="101806"/>
    <n v="57"/>
    <n v="59600"/>
    <x v="1"/>
    <n v="74500"/>
    <n v="164000"/>
    <x v="1"/>
    <x v="0"/>
    <x v="1"/>
    <d v="2025-07-06T00:00:00"/>
    <n v="238500"/>
    <x v="0"/>
  </r>
  <r>
    <n v="101807"/>
    <n v="43"/>
    <n v="52300"/>
    <x v="0"/>
    <n v="58800"/>
    <n v="114000"/>
    <x v="4"/>
    <x v="2"/>
    <x v="1"/>
    <d v="2026-08-10T00:00:00"/>
    <n v="172800"/>
    <x v="0"/>
  </r>
  <r>
    <n v="101808"/>
    <n v="23"/>
    <n v="54600"/>
    <x v="1"/>
    <n v="20200"/>
    <n v="0"/>
    <x v="6"/>
    <x v="2"/>
    <x v="1"/>
    <d v="2025-03-29T00:00:00"/>
    <n v="20200"/>
    <x v="0"/>
  </r>
  <r>
    <n v="101809"/>
    <n v="66"/>
    <n v="77600"/>
    <x v="1"/>
    <n v="39100"/>
    <n v="0"/>
    <x v="4"/>
    <x v="2"/>
    <x v="1"/>
    <d v="2025-10-27T00:00:00"/>
    <n v="39100"/>
    <x v="1"/>
  </r>
  <r>
    <n v="101810"/>
    <n v="26"/>
    <n v="49500"/>
    <x v="1"/>
    <n v="0"/>
    <n v="0"/>
    <x v="6"/>
    <x v="2"/>
    <x v="1"/>
    <d v="2025-12-28T00:00:00"/>
    <n v="0"/>
    <x v="0"/>
  </r>
  <r>
    <n v="101811"/>
    <n v="75"/>
    <n v="46100"/>
    <x v="1"/>
    <n v="40700"/>
    <n v="0"/>
    <x v="1"/>
    <x v="3"/>
    <x v="1"/>
    <d v="2026-02-25T00:00:00"/>
    <n v="40700"/>
    <x v="0"/>
  </r>
  <r>
    <n v="101812"/>
    <n v="60"/>
    <n v="56500"/>
    <x v="1"/>
    <n v="0"/>
    <n v="0"/>
    <x v="2"/>
    <x v="1"/>
    <x v="1"/>
    <d v="2025-11-24T00:00:00"/>
    <n v="0"/>
    <x v="0"/>
  </r>
  <r>
    <n v="101813"/>
    <n v="69"/>
    <n v="125600"/>
    <x v="1"/>
    <n v="17600"/>
    <n v="0"/>
    <x v="7"/>
    <x v="0"/>
    <x v="1"/>
    <d v="2026-04-09T00:00:00"/>
    <n v="17600"/>
    <x v="1"/>
  </r>
  <r>
    <n v="101814"/>
    <n v="36"/>
    <n v="57200"/>
    <x v="1"/>
    <n v="11100"/>
    <n v="280000"/>
    <x v="0"/>
    <x v="2"/>
    <x v="1"/>
    <d v="2026-07-22T00:00:00"/>
    <n v="291100"/>
    <x v="0"/>
  </r>
  <r>
    <n v="101815"/>
    <n v="67"/>
    <n v="84800"/>
    <x v="0"/>
    <n v="28300"/>
    <n v="0"/>
    <x v="0"/>
    <x v="2"/>
    <x v="1"/>
    <d v="2024-02-13T00:00:00"/>
    <n v="28300"/>
    <x v="1"/>
  </r>
  <r>
    <n v="101816"/>
    <n v="54"/>
    <n v="23900"/>
    <x v="1"/>
    <n v="0"/>
    <n v="0"/>
    <x v="0"/>
    <x v="2"/>
    <x v="1"/>
    <d v="2024-02-01T00:00:00"/>
    <n v="0"/>
    <x v="0"/>
  </r>
  <r>
    <n v="101817"/>
    <n v="75"/>
    <n v="77400"/>
    <x v="2"/>
    <n v="31700"/>
    <n v="101000"/>
    <x v="7"/>
    <x v="2"/>
    <x v="1"/>
    <d v="2025-12-30T00:00:00"/>
    <n v="132700"/>
    <x v="1"/>
  </r>
  <r>
    <n v="101818"/>
    <n v="34"/>
    <n v="48900"/>
    <x v="2"/>
    <n v="0"/>
    <n v="0"/>
    <x v="5"/>
    <x v="1"/>
    <x v="1"/>
    <d v="2024-07-23T00:00:00"/>
    <n v="0"/>
    <x v="0"/>
  </r>
  <r>
    <n v="101819"/>
    <n v="71"/>
    <n v="53100"/>
    <x v="1"/>
    <n v="7000"/>
    <n v="0"/>
    <x v="2"/>
    <x v="1"/>
    <x v="1"/>
    <d v="2024-12-29T00:00:00"/>
    <n v="7000"/>
    <x v="0"/>
  </r>
  <r>
    <n v="101820"/>
    <n v="48"/>
    <n v="54800"/>
    <x v="1"/>
    <n v="8500"/>
    <n v="75000"/>
    <x v="3"/>
    <x v="3"/>
    <x v="1"/>
    <d v="2026-03-06T00:00:00"/>
    <n v="83500"/>
    <x v="0"/>
  </r>
  <r>
    <n v="101821"/>
    <n v="32"/>
    <n v="67800"/>
    <x v="1"/>
    <n v="0"/>
    <n v="0"/>
    <x v="5"/>
    <x v="0"/>
    <x v="1"/>
    <d v="2026-06-29T00:00:00"/>
    <n v="0"/>
    <x v="0"/>
  </r>
  <r>
    <n v="101822"/>
    <n v="45"/>
    <n v="55500"/>
    <x v="1"/>
    <n v="11500"/>
    <n v="134000"/>
    <x v="7"/>
    <x v="2"/>
    <x v="1"/>
    <d v="2024-09-29T00:00:00"/>
    <n v="145500"/>
    <x v="0"/>
  </r>
  <r>
    <n v="101823"/>
    <n v="45"/>
    <n v="54100"/>
    <x v="1"/>
    <n v="0"/>
    <n v="0"/>
    <x v="6"/>
    <x v="0"/>
    <x v="1"/>
    <d v="2026-03-25T00:00:00"/>
    <n v="0"/>
    <x v="0"/>
  </r>
  <r>
    <n v="101824"/>
    <n v="27"/>
    <n v="29700"/>
    <x v="0"/>
    <n v="15200"/>
    <n v="0"/>
    <x v="6"/>
    <x v="0"/>
    <x v="1"/>
    <d v="2024-08-29T00:00:00"/>
    <n v="15200"/>
    <x v="0"/>
  </r>
  <r>
    <n v="101825"/>
    <n v="54"/>
    <n v="82200"/>
    <x v="0"/>
    <n v="0"/>
    <n v="0"/>
    <x v="5"/>
    <x v="1"/>
    <x v="1"/>
    <d v="2024-11-18T00:00:00"/>
    <n v="0"/>
    <x v="1"/>
  </r>
  <r>
    <n v="101826"/>
    <n v="35"/>
    <n v="72800"/>
    <x v="0"/>
    <n v="17600"/>
    <n v="232000"/>
    <x v="6"/>
    <x v="0"/>
    <x v="1"/>
    <d v="2026-04-30T00:00:00"/>
    <n v="249600"/>
    <x v="1"/>
  </r>
  <r>
    <n v="101827"/>
    <n v="58"/>
    <n v="88100"/>
    <x v="2"/>
    <n v="40000"/>
    <n v="0"/>
    <x v="3"/>
    <x v="1"/>
    <x v="1"/>
    <d v="2025-08-27T00:00:00"/>
    <n v="40000"/>
    <x v="1"/>
  </r>
  <r>
    <n v="101828"/>
    <n v="48"/>
    <n v="74300"/>
    <x v="0"/>
    <n v="37000"/>
    <n v="0"/>
    <x v="1"/>
    <x v="0"/>
    <x v="1"/>
    <d v="2024-06-01T00:00:00"/>
    <n v="37000"/>
    <x v="1"/>
  </r>
  <r>
    <n v="101829"/>
    <n v="33"/>
    <n v="58800"/>
    <x v="2"/>
    <n v="37900"/>
    <n v="297000"/>
    <x v="2"/>
    <x v="1"/>
    <x v="1"/>
    <d v="2025-12-06T00:00:00"/>
    <n v="334900"/>
    <x v="0"/>
  </r>
  <r>
    <n v="101830"/>
    <n v="52"/>
    <n v="72900"/>
    <x v="0"/>
    <n v="66400"/>
    <n v="0"/>
    <x v="7"/>
    <x v="0"/>
    <x v="0"/>
    <d v="2026-04-22T00:00:00"/>
    <n v="66400"/>
    <x v="1"/>
  </r>
  <r>
    <n v="101831"/>
    <n v="36"/>
    <n v="39100"/>
    <x v="1"/>
    <n v="0"/>
    <n v="0"/>
    <x v="6"/>
    <x v="1"/>
    <x v="1"/>
    <d v="2024-02-22T00:00:00"/>
    <n v="0"/>
    <x v="0"/>
  </r>
  <r>
    <n v="101832"/>
    <n v="52"/>
    <n v="57100"/>
    <x v="2"/>
    <n v="0"/>
    <n v="190000"/>
    <x v="4"/>
    <x v="1"/>
    <x v="1"/>
    <d v="2025-11-06T00:00:00"/>
    <n v="190000"/>
    <x v="0"/>
  </r>
  <r>
    <n v="101833"/>
    <n v="21"/>
    <n v="69700"/>
    <x v="0"/>
    <n v="59100"/>
    <n v="0"/>
    <x v="0"/>
    <x v="2"/>
    <x v="1"/>
    <d v="2026-02-07T00:00:00"/>
    <n v="59100"/>
    <x v="0"/>
  </r>
  <r>
    <n v="101834"/>
    <n v="59"/>
    <n v="65000"/>
    <x v="0"/>
    <n v="0"/>
    <n v="0"/>
    <x v="7"/>
    <x v="0"/>
    <x v="1"/>
    <d v="2026-07-07T00:00:00"/>
    <n v="0"/>
    <x v="0"/>
  </r>
  <r>
    <n v="101835"/>
    <n v="27"/>
    <n v="33000"/>
    <x v="1"/>
    <n v="41200"/>
    <n v="0"/>
    <x v="5"/>
    <x v="3"/>
    <x v="1"/>
    <d v="2026-04-14T00:00:00"/>
    <n v="41200"/>
    <x v="0"/>
  </r>
  <r>
    <n v="101836"/>
    <n v="72"/>
    <n v="91700"/>
    <x v="2"/>
    <n v="0"/>
    <n v="0"/>
    <x v="5"/>
    <x v="1"/>
    <x v="1"/>
    <d v="2024-06-13T00:00:00"/>
    <n v="0"/>
    <x v="1"/>
  </r>
  <r>
    <n v="101837"/>
    <n v="68"/>
    <n v="36000"/>
    <x v="2"/>
    <n v="0"/>
    <n v="0"/>
    <x v="3"/>
    <x v="0"/>
    <x v="1"/>
    <d v="2025-03-26T00:00:00"/>
    <n v="0"/>
    <x v="0"/>
  </r>
  <r>
    <n v="101838"/>
    <n v="52"/>
    <n v="51400"/>
    <x v="2"/>
    <n v="11300"/>
    <n v="217000"/>
    <x v="1"/>
    <x v="1"/>
    <x v="1"/>
    <d v="2024-04-05T00:00:00"/>
    <n v="228300"/>
    <x v="0"/>
  </r>
  <r>
    <n v="101839"/>
    <n v="73"/>
    <n v="90600"/>
    <x v="2"/>
    <n v="12900"/>
    <n v="0"/>
    <x v="0"/>
    <x v="1"/>
    <x v="1"/>
    <d v="2026-08-14T00:00:00"/>
    <n v="12900"/>
    <x v="1"/>
  </r>
  <r>
    <n v="101840"/>
    <n v="30"/>
    <n v="60600"/>
    <x v="1"/>
    <n v="0"/>
    <n v="141000"/>
    <x v="1"/>
    <x v="1"/>
    <x v="1"/>
    <d v="2025-05-31T00:00:00"/>
    <n v="141000"/>
    <x v="0"/>
  </r>
  <r>
    <n v="101841"/>
    <n v="29"/>
    <n v="57300"/>
    <x v="0"/>
    <n v="71600"/>
    <n v="0"/>
    <x v="7"/>
    <x v="1"/>
    <x v="0"/>
    <d v="2024-02-14T00:00:00"/>
    <n v="71600"/>
    <x v="0"/>
  </r>
  <r>
    <n v="101842"/>
    <n v="57"/>
    <n v="50200"/>
    <x v="0"/>
    <n v="53600"/>
    <n v="0"/>
    <x v="1"/>
    <x v="2"/>
    <x v="1"/>
    <d v="2025-05-21T00:00:00"/>
    <n v="53600"/>
    <x v="0"/>
  </r>
  <r>
    <n v="101843"/>
    <n v="55"/>
    <n v="70600"/>
    <x v="1"/>
    <n v="64100"/>
    <n v="0"/>
    <x v="3"/>
    <x v="1"/>
    <x v="1"/>
    <d v="2024-04-19T00:00:00"/>
    <n v="64100"/>
    <x v="1"/>
  </r>
  <r>
    <n v="101844"/>
    <n v="69"/>
    <n v="103900"/>
    <x v="0"/>
    <n v="0"/>
    <n v="0"/>
    <x v="1"/>
    <x v="2"/>
    <x v="1"/>
    <d v="2025-10-17T00:00:00"/>
    <n v="0"/>
    <x v="1"/>
  </r>
  <r>
    <n v="101845"/>
    <n v="22"/>
    <n v="96300"/>
    <x v="2"/>
    <n v="22600"/>
    <n v="0"/>
    <x v="1"/>
    <x v="1"/>
    <x v="1"/>
    <d v="2026-08-16T00:00:00"/>
    <n v="22600"/>
    <x v="1"/>
  </r>
  <r>
    <n v="101846"/>
    <n v="59"/>
    <n v="55000"/>
    <x v="1"/>
    <n v="16600"/>
    <n v="0"/>
    <x v="4"/>
    <x v="1"/>
    <x v="1"/>
    <d v="2024-05-25T00:00:00"/>
    <n v="16600"/>
    <x v="0"/>
  </r>
  <r>
    <n v="101847"/>
    <n v="30"/>
    <n v="116400"/>
    <x v="1"/>
    <n v="0"/>
    <n v="0"/>
    <x v="1"/>
    <x v="2"/>
    <x v="1"/>
    <d v="2025-07-13T00:00:00"/>
    <n v="0"/>
    <x v="1"/>
  </r>
  <r>
    <n v="101848"/>
    <n v="28"/>
    <n v="19000"/>
    <x v="2"/>
    <n v="0"/>
    <n v="0"/>
    <x v="5"/>
    <x v="0"/>
    <x v="1"/>
    <d v="2025-06-29T00:00:00"/>
    <n v="0"/>
    <x v="0"/>
  </r>
  <r>
    <n v="101849"/>
    <n v="64"/>
    <n v="59900"/>
    <x v="0"/>
    <n v="0"/>
    <n v="161000"/>
    <x v="7"/>
    <x v="2"/>
    <x v="1"/>
    <d v="2026-02-09T00:00:00"/>
    <n v="161000"/>
    <x v="0"/>
  </r>
  <r>
    <n v="101850"/>
    <n v="53"/>
    <n v="56100"/>
    <x v="0"/>
    <n v="41100"/>
    <n v="169000"/>
    <x v="3"/>
    <x v="3"/>
    <x v="0"/>
    <d v="2026-07-06T00:00:00"/>
    <n v="210100"/>
    <x v="0"/>
  </r>
  <r>
    <n v="101851"/>
    <n v="68"/>
    <n v="122500"/>
    <x v="1"/>
    <n v="81000"/>
    <n v="0"/>
    <x v="4"/>
    <x v="3"/>
    <x v="1"/>
    <d v="2026-01-01T00:00:00"/>
    <n v="81000"/>
    <x v="1"/>
  </r>
  <r>
    <n v="101852"/>
    <n v="46"/>
    <n v="35000"/>
    <x v="1"/>
    <n v="43800"/>
    <n v="0"/>
    <x v="3"/>
    <x v="2"/>
    <x v="1"/>
    <d v="2025-07-23T00:00:00"/>
    <n v="43800"/>
    <x v="0"/>
  </r>
  <r>
    <n v="101853"/>
    <n v="52"/>
    <n v="33900"/>
    <x v="1"/>
    <n v="0"/>
    <n v="141000"/>
    <x v="5"/>
    <x v="0"/>
    <x v="1"/>
    <d v="2025-05-22T00:00:00"/>
    <n v="141000"/>
    <x v="0"/>
  </r>
  <r>
    <n v="101854"/>
    <n v="29"/>
    <n v="44700"/>
    <x v="0"/>
    <n v="42900"/>
    <n v="0"/>
    <x v="5"/>
    <x v="1"/>
    <x v="1"/>
    <d v="2025-03-02T00:00:00"/>
    <n v="42900"/>
    <x v="0"/>
  </r>
  <r>
    <n v="101855"/>
    <n v="45"/>
    <n v="90900"/>
    <x v="1"/>
    <n v="0"/>
    <n v="0"/>
    <x v="0"/>
    <x v="1"/>
    <x v="1"/>
    <d v="2024-05-09T00:00:00"/>
    <n v="0"/>
    <x v="1"/>
  </r>
  <r>
    <n v="101856"/>
    <n v="64"/>
    <n v="44500"/>
    <x v="0"/>
    <n v="0"/>
    <n v="0"/>
    <x v="6"/>
    <x v="0"/>
    <x v="1"/>
    <d v="2025-04-17T00:00:00"/>
    <n v="0"/>
    <x v="0"/>
  </r>
  <r>
    <n v="101857"/>
    <n v="73"/>
    <n v="63500"/>
    <x v="1"/>
    <n v="22000"/>
    <n v="0"/>
    <x v="0"/>
    <x v="0"/>
    <x v="1"/>
    <d v="2025-09-29T00:00:00"/>
    <n v="22000"/>
    <x v="0"/>
  </r>
  <r>
    <n v="101858"/>
    <n v="31"/>
    <n v="101800"/>
    <x v="0"/>
    <n v="0"/>
    <n v="0"/>
    <x v="3"/>
    <x v="1"/>
    <x v="1"/>
    <d v="2025-08-18T00:00:00"/>
    <n v="0"/>
    <x v="1"/>
  </r>
  <r>
    <n v="101859"/>
    <n v="45"/>
    <n v="75300"/>
    <x v="0"/>
    <n v="34100"/>
    <n v="0"/>
    <x v="0"/>
    <x v="2"/>
    <x v="1"/>
    <d v="2024-11-17T00:00:00"/>
    <n v="34100"/>
    <x v="1"/>
  </r>
  <r>
    <n v="101860"/>
    <n v="71"/>
    <n v="72100"/>
    <x v="1"/>
    <n v="48100"/>
    <n v="0"/>
    <x v="6"/>
    <x v="0"/>
    <x v="1"/>
    <d v="2025-01-04T00:00:00"/>
    <n v="48100"/>
    <x v="1"/>
  </r>
  <r>
    <n v="101861"/>
    <n v="35"/>
    <n v="75400"/>
    <x v="1"/>
    <n v="25900"/>
    <n v="116000"/>
    <x v="6"/>
    <x v="2"/>
    <x v="1"/>
    <d v="2026-02-09T00:00:00"/>
    <n v="141900"/>
    <x v="1"/>
  </r>
  <r>
    <n v="101862"/>
    <n v="69"/>
    <n v="63800"/>
    <x v="1"/>
    <n v="21000"/>
    <n v="0"/>
    <x v="4"/>
    <x v="2"/>
    <x v="1"/>
    <d v="2024-12-01T00:00:00"/>
    <n v="21000"/>
    <x v="0"/>
  </r>
  <r>
    <n v="101863"/>
    <n v="43"/>
    <n v="67200"/>
    <x v="1"/>
    <n v="7900"/>
    <n v="0"/>
    <x v="5"/>
    <x v="0"/>
    <x v="1"/>
    <d v="2025-08-17T00:00:00"/>
    <n v="7900"/>
    <x v="0"/>
  </r>
  <r>
    <n v="101864"/>
    <n v="36"/>
    <n v="39900"/>
    <x v="1"/>
    <n v="27100"/>
    <n v="0"/>
    <x v="1"/>
    <x v="1"/>
    <x v="1"/>
    <d v="2024-11-30T00:00:00"/>
    <n v="27100"/>
    <x v="0"/>
  </r>
  <r>
    <n v="101865"/>
    <n v="70"/>
    <n v="55400"/>
    <x v="1"/>
    <n v="0"/>
    <n v="0"/>
    <x v="2"/>
    <x v="1"/>
    <x v="1"/>
    <d v="2025-01-07T00:00:00"/>
    <n v="0"/>
    <x v="0"/>
  </r>
  <r>
    <n v="101866"/>
    <n v="51"/>
    <n v="81000"/>
    <x v="1"/>
    <n v="0"/>
    <n v="0"/>
    <x v="5"/>
    <x v="1"/>
    <x v="1"/>
    <d v="2024-08-14T00:00:00"/>
    <n v="0"/>
    <x v="1"/>
  </r>
  <r>
    <n v="101867"/>
    <n v="32"/>
    <n v="83600"/>
    <x v="0"/>
    <n v="15600"/>
    <n v="0"/>
    <x v="2"/>
    <x v="2"/>
    <x v="1"/>
    <d v="2025-01-25T00:00:00"/>
    <n v="15600"/>
    <x v="1"/>
  </r>
  <r>
    <n v="101868"/>
    <n v="70"/>
    <n v="36800"/>
    <x v="0"/>
    <n v="0"/>
    <n v="0"/>
    <x v="5"/>
    <x v="2"/>
    <x v="1"/>
    <d v="2025-02-10T00:00:00"/>
    <n v="0"/>
    <x v="0"/>
  </r>
  <r>
    <n v="101869"/>
    <n v="60"/>
    <n v="49000"/>
    <x v="0"/>
    <n v="10700"/>
    <n v="0"/>
    <x v="1"/>
    <x v="2"/>
    <x v="1"/>
    <d v="2024-06-28T00:00:00"/>
    <n v="10700"/>
    <x v="0"/>
  </r>
  <r>
    <n v="101870"/>
    <n v="29"/>
    <n v="46600"/>
    <x v="2"/>
    <n v="0"/>
    <n v="0"/>
    <x v="7"/>
    <x v="1"/>
    <x v="1"/>
    <d v="2025-04-30T00:00:00"/>
    <n v="0"/>
    <x v="0"/>
  </r>
  <r>
    <n v="101871"/>
    <n v="39"/>
    <n v="53200"/>
    <x v="0"/>
    <n v="27800"/>
    <n v="144000"/>
    <x v="0"/>
    <x v="2"/>
    <x v="1"/>
    <d v="2026-05-22T00:00:00"/>
    <n v="171800"/>
    <x v="0"/>
  </r>
  <r>
    <n v="101872"/>
    <n v="52"/>
    <n v="87300"/>
    <x v="1"/>
    <n v="0"/>
    <n v="0"/>
    <x v="6"/>
    <x v="2"/>
    <x v="1"/>
    <d v="2026-07-15T00:00:00"/>
    <n v="0"/>
    <x v="1"/>
  </r>
  <r>
    <n v="101873"/>
    <n v="54"/>
    <n v="24400"/>
    <x v="1"/>
    <n v="28100"/>
    <n v="0"/>
    <x v="4"/>
    <x v="1"/>
    <x v="1"/>
    <d v="2025-08-14T00:00:00"/>
    <n v="28100"/>
    <x v="0"/>
  </r>
  <r>
    <n v="101874"/>
    <n v="58"/>
    <n v="96000"/>
    <x v="1"/>
    <n v="0"/>
    <n v="0"/>
    <x v="5"/>
    <x v="2"/>
    <x v="1"/>
    <d v="2026-01-05T00:00:00"/>
    <n v="0"/>
    <x v="1"/>
  </r>
  <r>
    <n v="101875"/>
    <n v="46"/>
    <n v="84800"/>
    <x v="2"/>
    <n v="29600"/>
    <n v="126000"/>
    <x v="4"/>
    <x v="2"/>
    <x v="1"/>
    <d v="2024-08-22T00:00:00"/>
    <n v="155600"/>
    <x v="1"/>
  </r>
  <r>
    <n v="101876"/>
    <n v="67"/>
    <n v="81300"/>
    <x v="1"/>
    <n v="25600"/>
    <n v="0"/>
    <x v="1"/>
    <x v="0"/>
    <x v="1"/>
    <d v="2025-04-17T00:00:00"/>
    <n v="25600"/>
    <x v="1"/>
  </r>
  <r>
    <n v="101877"/>
    <n v="55"/>
    <n v="50000"/>
    <x v="0"/>
    <n v="62500"/>
    <n v="0"/>
    <x v="4"/>
    <x v="1"/>
    <x v="1"/>
    <d v="2025-07-24T00:00:00"/>
    <n v="62500"/>
    <x v="0"/>
  </r>
  <r>
    <n v="101878"/>
    <n v="64"/>
    <n v="80500"/>
    <x v="0"/>
    <n v="0"/>
    <n v="0"/>
    <x v="5"/>
    <x v="2"/>
    <x v="1"/>
    <d v="2025-11-23T00:00:00"/>
    <n v="0"/>
    <x v="1"/>
  </r>
  <r>
    <n v="101879"/>
    <n v="47"/>
    <n v="44300"/>
    <x v="0"/>
    <n v="31900"/>
    <n v="0"/>
    <x v="3"/>
    <x v="0"/>
    <x v="0"/>
    <d v="2024-05-23T00:00:00"/>
    <n v="31900"/>
    <x v="0"/>
  </r>
  <r>
    <n v="101880"/>
    <n v="32"/>
    <n v="38400"/>
    <x v="0"/>
    <n v="48000"/>
    <n v="0"/>
    <x v="7"/>
    <x v="0"/>
    <x v="1"/>
    <d v="2026-04-15T00:00:00"/>
    <n v="48000"/>
    <x v="0"/>
  </r>
  <r>
    <n v="101881"/>
    <n v="25"/>
    <n v="56400"/>
    <x v="2"/>
    <n v="19100"/>
    <n v="0"/>
    <x v="4"/>
    <x v="1"/>
    <x v="0"/>
    <d v="2026-06-07T00:00:00"/>
    <n v="19100"/>
    <x v="0"/>
  </r>
  <r>
    <n v="101882"/>
    <n v="73"/>
    <n v="63800"/>
    <x v="1"/>
    <n v="12100"/>
    <n v="0"/>
    <x v="6"/>
    <x v="1"/>
    <x v="1"/>
    <d v="2026-05-17T00:00:00"/>
    <n v="12100"/>
    <x v="0"/>
  </r>
  <r>
    <n v="101883"/>
    <n v="24"/>
    <n v="67700"/>
    <x v="1"/>
    <n v="9700"/>
    <n v="0"/>
    <x v="3"/>
    <x v="2"/>
    <x v="1"/>
    <d v="2026-03-22T00:00:00"/>
    <n v="9700"/>
    <x v="0"/>
  </r>
  <r>
    <n v="101884"/>
    <n v="34"/>
    <n v="48400"/>
    <x v="0"/>
    <n v="0"/>
    <n v="322000"/>
    <x v="2"/>
    <x v="0"/>
    <x v="1"/>
    <d v="2026-06-21T00:00:00"/>
    <n v="322000"/>
    <x v="0"/>
  </r>
  <r>
    <n v="101885"/>
    <n v="39"/>
    <n v="23600"/>
    <x v="2"/>
    <n v="0"/>
    <n v="0"/>
    <x v="0"/>
    <x v="1"/>
    <x v="1"/>
    <d v="2026-01-02T00:00:00"/>
    <n v="0"/>
    <x v="0"/>
  </r>
  <r>
    <n v="101886"/>
    <n v="75"/>
    <n v="52900"/>
    <x v="1"/>
    <n v="65500"/>
    <n v="0"/>
    <x v="2"/>
    <x v="3"/>
    <x v="1"/>
    <d v="2024-09-17T00:00:00"/>
    <n v="65500"/>
    <x v="0"/>
  </r>
  <r>
    <n v="101887"/>
    <n v="62"/>
    <n v="109100"/>
    <x v="1"/>
    <n v="56800"/>
    <n v="215000"/>
    <x v="2"/>
    <x v="1"/>
    <x v="1"/>
    <d v="2025-09-26T00:00:00"/>
    <n v="271800"/>
    <x v="1"/>
  </r>
  <r>
    <n v="101888"/>
    <n v="33"/>
    <n v="56400"/>
    <x v="0"/>
    <n v="42400"/>
    <n v="0"/>
    <x v="2"/>
    <x v="2"/>
    <x v="1"/>
    <d v="2024-05-30T00:00:00"/>
    <n v="42400"/>
    <x v="0"/>
  </r>
  <r>
    <n v="101889"/>
    <n v="54"/>
    <n v="56800"/>
    <x v="0"/>
    <n v="61800"/>
    <n v="0"/>
    <x v="1"/>
    <x v="3"/>
    <x v="1"/>
    <d v="2026-03-06T00:00:00"/>
    <n v="61800"/>
    <x v="0"/>
  </r>
  <r>
    <n v="101890"/>
    <n v="29"/>
    <n v="96300"/>
    <x v="0"/>
    <n v="23700"/>
    <n v="0"/>
    <x v="7"/>
    <x v="1"/>
    <x v="1"/>
    <d v="2025-05-05T00:00:00"/>
    <n v="23700"/>
    <x v="1"/>
  </r>
  <r>
    <n v="101891"/>
    <n v="26"/>
    <n v="45400"/>
    <x v="1"/>
    <n v="27200"/>
    <n v="120000"/>
    <x v="1"/>
    <x v="1"/>
    <x v="1"/>
    <d v="2024-05-15T00:00:00"/>
    <n v="147200"/>
    <x v="0"/>
  </r>
  <r>
    <n v="101892"/>
    <n v="33"/>
    <n v="89300"/>
    <x v="0"/>
    <n v="17100"/>
    <n v="223000"/>
    <x v="0"/>
    <x v="2"/>
    <x v="1"/>
    <d v="2025-10-23T00:00:00"/>
    <n v="240100"/>
    <x v="1"/>
  </r>
  <r>
    <n v="101893"/>
    <n v="62"/>
    <n v="63400"/>
    <x v="1"/>
    <n v="0"/>
    <n v="317000"/>
    <x v="3"/>
    <x v="3"/>
    <x v="1"/>
    <d v="2025-06-13T00:00:00"/>
    <n v="317000"/>
    <x v="0"/>
  </r>
  <r>
    <n v="101894"/>
    <n v="75"/>
    <n v="60800"/>
    <x v="1"/>
    <n v="68100"/>
    <n v="129000"/>
    <x v="0"/>
    <x v="2"/>
    <x v="1"/>
    <d v="2026-06-29T00:00:00"/>
    <n v="197100"/>
    <x v="0"/>
  </r>
  <r>
    <n v="101895"/>
    <n v="20"/>
    <n v="24600"/>
    <x v="0"/>
    <n v="30100"/>
    <n v="330000"/>
    <x v="7"/>
    <x v="0"/>
    <x v="1"/>
    <d v="2025-07-14T00:00:00"/>
    <n v="360100"/>
    <x v="0"/>
  </r>
  <r>
    <n v="101896"/>
    <n v="25"/>
    <n v="87600"/>
    <x v="1"/>
    <n v="13400"/>
    <n v="263000"/>
    <x v="5"/>
    <x v="0"/>
    <x v="1"/>
    <d v="2025-10-18T00:00:00"/>
    <n v="276400"/>
    <x v="1"/>
  </r>
  <r>
    <n v="101897"/>
    <n v="25"/>
    <n v="66400"/>
    <x v="0"/>
    <n v="0"/>
    <n v="0"/>
    <x v="4"/>
    <x v="2"/>
    <x v="1"/>
    <d v="2024-11-12T00:00:00"/>
    <n v="0"/>
    <x v="0"/>
  </r>
  <r>
    <n v="101898"/>
    <n v="46"/>
    <n v="93700"/>
    <x v="0"/>
    <n v="0"/>
    <n v="0"/>
    <x v="6"/>
    <x v="2"/>
    <x v="1"/>
    <d v="2026-01-20T00:00:00"/>
    <n v="0"/>
    <x v="1"/>
  </r>
  <r>
    <n v="101899"/>
    <n v="69"/>
    <n v="122700"/>
    <x v="1"/>
    <n v="0"/>
    <n v="0"/>
    <x v="6"/>
    <x v="2"/>
    <x v="1"/>
    <d v="2026-04-15T00:00:00"/>
    <n v="0"/>
    <x v="1"/>
  </r>
  <r>
    <n v="101900"/>
    <n v="37"/>
    <n v="106400"/>
    <x v="2"/>
    <n v="30300"/>
    <n v="88000"/>
    <x v="6"/>
    <x v="2"/>
    <x v="1"/>
    <d v="2025-11-15T00:00:00"/>
    <n v="118300"/>
    <x v="1"/>
  </r>
  <r>
    <n v="101901"/>
    <n v="44"/>
    <n v="54500"/>
    <x v="1"/>
    <n v="42700"/>
    <n v="0"/>
    <x v="5"/>
    <x v="0"/>
    <x v="1"/>
    <d v="2025-12-21T00:00:00"/>
    <n v="42700"/>
    <x v="0"/>
  </r>
  <r>
    <n v="101902"/>
    <n v="73"/>
    <n v="97300"/>
    <x v="2"/>
    <n v="0"/>
    <n v="197000"/>
    <x v="2"/>
    <x v="2"/>
    <x v="1"/>
    <d v="2025-09-20T00:00:00"/>
    <n v="197000"/>
    <x v="1"/>
  </r>
  <r>
    <n v="101903"/>
    <n v="72"/>
    <n v="102300"/>
    <x v="0"/>
    <n v="0"/>
    <n v="0"/>
    <x v="6"/>
    <x v="2"/>
    <x v="1"/>
    <d v="2025-07-29T00:00:00"/>
    <n v="0"/>
    <x v="1"/>
  </r>
  <r>
    <n v="101904"/>
    <n v="68"/>
    <n v="40900"/>
    <x v="1"/>
    <n v="36800"/>
    <n v="0"/>
    <x v="1"/>
    <x v="1"/>
    <x v="1"/>
    <d v="2026-03-14T00:00:00"/>
    <n v="36800"/>
    <x v="0"/>
  </r>
  <r>
    <n v="101905"/>
    <n v="20"/>
    <n v="61800"/>
    <x v="0"/>
    <n v="34900"/>
    <n v="0"/>
    <x v="0"/>
    <x v="1"/>
    <x v="1"/>
    <d v="2025-11-07T00:00:00"/>
    <n v="34900"/>
    <x v="0"/>
  </r>
  <r>
    <n v="101906"/>
    <n v="61"/>
    <n v="58800"/>
    <x v="0"/>
    <n v="26900"/>
    <n v="0"/>
    <x v="4"/>
    <x v="1"/>
    <x v="1"/>
    <d v="2025-08-06T00:00:00"/>
    <n v="26900"/>
    <x v="0"/>
  </r>
  <r>
    <n v="101907"/>
    <n v="49"/>
    <n v="98100"/>
    <x v="1"/>
    <n v="15300"/>
    <n v="0"/>
    <x v="4"/>
    <x v="2"/>
    <x v="1"/>
    <d v="2025-01-02T00:00:00"/>
    <n v="15300"/>
    <x v="1"/>
  </r>
  <r>
    <n v="101908"/>
    <n v="49"/>
    <n v="91500"/>
    <x v="0"/>
    <n v="57300"/>
    <n v="84000"/>
    <x v="0"/>
    <x v="1"/>
    <x v="0"/>
    <d v="2026-08-24T00:00:00"/>
    <n v="141300"/>
    <x v="1"/>
  </r>
  <r>
    <n v="101909"/>
    <n v="56"/>
    <n v="51100"/>
    <x v="1"/>
    <n v="31600"/>
    <n v="0"/>
    <x v="2"/>
    <x v="3"/>
    <x v="0"/>
    <d v="2025-05-13T00:00:00"/>
    <n v="31600"/>
    <x v="0"/>
  </r>
  <r>
    <n v="101910"/>
    <n v="49"/>
    <n v="46400"/>
    <x v="1"/>
    <n v="0"/>
    <n v="0"/>
    <x v="1"/>
    <x v="1"/>
    <x v="1"/>
    <d v="2026-03-13T00:00:00"/>
    <n v="0"/>
    <x v="0"/>
  </r>
  <r>
    <n v="101911"/>
    <n v="24"/>
    <n v="34100"/>
    <x v="0"/>
    <n v="0"/>
    <n v="0"/>
    <x v="5"/>
    <x v="2"/>
    <x v="1"/>
    <d v="2025-12-30T00:00:00"/>
    <n v="0"/>
    <x v="0"/>
  </r>
  <r>
    <n v="101912"/>
    <n v="57"/>
    <n v="53300"/>
    <x v="1"/>
    <n v="17100"/>
    <n v="0"/>
    <x v="7"/>
    <x v="1"/>
    <x v="1"/>
    <d v="2025-04-05T00:00:00"/>
    <n v="17100"/>
    <x v="0"/>
  </r>
  <r>
    <n v="101913"/>
    <n v="23"/>
    <n v="86900"/>
    <x v="2"/>
    <n v="0"/>
    <n v="0"/>
    <x v="2"/>
    <x v="2"/>
    <x v="1"/>
    <d v="2024-05-15T00:00:00"/>
    <n v="0"/>
    <x v="1"/>
  </r>
  <r>
    <n v="101914"/>
    <n v="26"/>
    <n v="88300"/>
    <x v="1"/>
    <n v="32900"/>
    <n v="0"/>
    <x v="2"/>
    <x v="2"/>
    <x v="1"/>
    <d v="2024-01-03T00:00:00"/>
    <n v="32900"/>
    <x v="1"/>
  </r>
  <r>
    <n v="101915"/>
    <n v="74"/>
    <n v="65500"/>
    <x v="1"/>
    <n v="0"/>
    <n v="0"/>
    <x v="6"/>
    <x v="1"/>
    <x v="1"/>
    <d v="2024-01-19T00:00:00"/>
    <n v="0"/>
    <x v="0"/>
  </r>
  <r>
    <n v="101916"/>
    <n v="66"/>
    <n v="29600"/>
    <x v="0"/>
    <n v="37000"/>
    <n v="0"/>
    <x v="5"/>
    <x v="3"/>
    <x v="1"/>
    <d v="2024-08-04T00:00:00"/>
    <n v="37000"/>
    <x v="0"/>
  </r>
  <r>
    <n v="101917"/>
    <n v="72"/>
    <n v="37100"/>
    <x v="2"/>
    <n v="17800"/>
    <n v="0"/>
    <x v="2"/>
    <x v="3"/>
    <x v="1"/>
    <d v="2024-10-13T00:00:00"/>
    <n v="17800"/>
    <x v="0"/>
  </r>
  <r>
    <n v="101918"/>
    <n v="20"/>
    <n v="30500"/>
    <x v="1"/>
    <n v="38100"/>
    <n v="0"/>
    <x v="4"/>
    <x v="0"/>
    <x v="1"/>
    <d v="2024-09-03T00:00:00"/>
    <n v="38100"/>
    <x v="0"/>
  </r>
  <r>
    <n v="101919"/>
    <n v="25"/>
    <n v="37100"/>
    <x v="1"/>
    <n v="46400"/>
    <n v="0"/>
    <x v="2"/>
    <x v="2"/>
    <x v="1"/>
    <d v="2026-03-16T00:00:00"/>
    <n v="46400"/>
    <x v="0"/>
  </r>
  <r>
    <n v="101920"/>
    <n v="42"/>
    <n v="106300"/>
    <x v="0"/>
    <n v="0"/>
    <n v="128000"/>
    <x v="2"/>
    <x v="3"/>
    <x v="1"/>
    <d v="2025-09-17T00:00:00"/>
    <n v="128000"/>
    <x v="1"/>
  </r>
  <r>
    <n v="101921"/>
    <n v="31"/>
    <n v="90800"/>
    <x v="2"/>
    <n v="55900"/>
    <n v="146000"/>
    <x v="0"/>
    <x v="1"/>
    <x v="0"/>
    <d v="2025-01-06T00:00:00"/>
    <n v="201900"/>
    <x v="1"/>
  </r>
  <r>
    <n v="101922"/>
    <n v="34"/>
    <n v="107100"/>
    <x v="2"/>
    <n v="56300"/>
    <n v="102000"/>
    <x v="7"/>
    <x v="2"/>
    <x v="1"/>
    <d v="2024-11-17T00:00:00"/>
    <n v="158300"/>
    <x v="1"/>
  </r>
  <r>
    <n v="101923"/>
    <n v="63"/>
    <n v="24300"/>
    <x v="2"/>
    <n v="30400"/>
    <n v="0"/>
    <x v="0"/>
    <x v="3"/>
    <x v="1"/>
    <d v="2024-11-15T00:00:00"/>
    <n v="30400"/>
    <x v="0"/>
  </r>
  <r>
    <n v="101924"/>
    <n v="55"/>
    <n v="76700"/>
    <x v="0"/>
    <n v="42600"/>
    <n v="0"/>
    <x v="7"/>
    <x v="2"/>
    <x v="1"/>
    <d v="2024-08-06T00:00:00"/>
    <n v="42600"/>
    <x v="1"/>
  </r>
  <r>
    <n v="101925"/>
    <n v="75"/>
    <n v="92500"/>
    <x v="1"/>
    <n v="22400"/>
    <n v="0"/>
    <x v="0"/>
    <x v="2"/>
    <x v="1"/>
    <d v="2025-10-01T00:00:00"/>
    <n v="22400"/>
    <x v="1"/>
  </r>
  <r>
    <n v="101926"/>
    <n v="70"/>
    <n v="77600"/>
    <x v="2"/>
    <n v="0"/>
    <n v="171000"/>
    <x v="0"/>
    <x v="2"/>
    <x v="1"/>
    <d v="2026-02-28T00:00:00"/>
    <n v="171000"/>
    <x v="1"/>
  </r>
  <r>
    <n v="101927"/>
    <n v="66"/>
    <n v="82700"/>
    <x v="1"/>
    <n v="16700"/>
    <n v="0"/>
    <x v="1"/>
    <x v="2"/>
    <x v="1"/>
    <d v="2025-04-24T00:00:00"/>
    <n v="16700"/>
    <x v="1"/>
  </r>
  <r>
    <n v="101928"/>
    <n v="38"/>
    <n v="41900"/>
    <x v="2"/>
    <n v="0"/>
    <n v="0"/>
    <x v="5"/>
    <x v="1"/>
    <x v="1"/>
    <d v="2026-06-21T00:00:00"/>
    <n v="0"/>
    <x v="0"/>
  </r>
  <r>
    <n v="101929"/>
    <n v="72"/>
    <n v="43600"/>
    <x v="2"/>
    <n v="35400"/>
    <n v="0"/>
    <x v="5"/>
    <x v="3"/>
    <x v="1"/>
    <d v="2026-02-02T00:00:00"/>
    <n v="35400"/>
    <x v="0"/>
  </r>
  <r>
    <n v="101930"/>
    <n v="47"/>
    <n v="56200"/>
    <x v="0"/>
    <n v="47700"/>
    <n v="169000"/>
    <x v="3"/>
    <x v="1"/>
    <x v="1"/>
    <d v="2024-11-21T00:00:00"/>
    <n v="216700"/>
    <x v="0"/>
  </r>
  <r>
    <n v="101931"/>
    <n v="71"/>
    <n v="42800"/>
    <x v="2"/>
    <n v="0"/>
    <n v="0"/>
    <x v="5"/>
    <x v="1"/>
    <x v="1"/>
    <d v="2024-05-21T00:00:00"/>
    <n v="0"/>
    <x v="0"/>
  </r>
  <r>
    <n v="101932"/>
    <n v="54"/>
    <n v="29300"/>
    <x v="1"/>
    <n v="30700"/>
    <n v="0"/>
    <x v="6"/>
    <x v="1"/>
    <x v="1"/>
    <d v="2024-12-09T00:00:00"/>
    <n v="30700"/>
    <x v="0"/>
  </r>
  <r>
    <n v="101933"/>
    <n v="42"/>
    <n v="32700"/>
    <x v="2"/>
    <n v="37500"/>
    <n v="0"/>
    <x v="6"/>
    <x v="0"/>
    <x v="1"/>
    <d v="2024-12-07T00:00:00"/>
    <n v="37500"/>
    <x v="0"/>
  </r>
  <r>
    <n v="101934"/>
    <n v="69"/>
    <n v="48400"/>
    <x v="1"/>
    <n v="23900"/>
    <n v="390000"/>
    <x v="0"/>
    <x v="0"/>
    <x v="0"/>
    <d v="2024-03-26T00:00:00"/>
    <n v="413900"/>
    <x v="0"/>
  </r>
  <r>
    <n v="101935"/>
    <n v="26"/>
    <n v="57200"/>
    <x v="0"/>
    <n v="39700"/>
    <n v="0"/>
    <x v="4"/>
    <x v="1"/>
    <x v="1"/>
    <d v="2026-08-23T00:00:00"/>
    <n v="39700"/>
    <x v="0"/>
  </r>
  <r>
    <n v="101936"/>
    <n v="48"/>
    <n v="74000"/>
    <x v="1"/>
    <n v="17400"/>
    <n v="260000"/>
    <x v="2"/>
    <x v="0"/>
    <x v="1"/>
    <d v="2026-07-30T00:00:00"/>
    <n v="277400"/>
    <x v="1"/>
  </r>
  <r>
    <n v="101937"/>
    <n v="37"/>
    <n v="75500"/>
    <x v="1"/>
    <n v="3000"/>
    <n v="133000"/>
    <x v="7"/>
    <x v="0"/>
    <x v="1"/>
    <d v="2026-07-10T00:00:00"/>
    <n v="136000"/>
    <x v="1"/>
  </r>
  <r>
    <n v="101938"/>
    <n v="56"/>
    <n v="50400"/>
    <x v="2"/>
    <n v="60200"/>
    <n v="0"/>
    <x v="6"/>
    <x v="2"/>
    <x v="1"/>
    <d v="2024-08-07T00:00:00"/>
    <n v="60200"/>
    <x v="0"/>
  </r>
  <r>
    <n v="101939"/>
    <n v="75"/>
    <n v="77400"/>
    <x v="1"/>
    <n v="0"/>
    <n v="0"/>
    <x v="5"/>
    <x v="2"/>
    <x v="1"/>
    <d v="2026-06-30T00:00:00"/>
    <n v="0"/>
    <x v="1"/>
  </r>
  <r>
    <n v="101940"/>
    <n v="59"/>
    <n v="49300"/>
    <x v="1"/>
    <n v="57600"/>
    <n v="196000"/>
    <x v="3"/>
    <x v="0"/>
    <x v="1"/>
    <d v="2025-07-17T00:00:00"/>
    <n v="253600"/>
    <x v="0"/>
  </r>
  <r>
    <n v="101941"/>
    <n v="23"/>
    <n v="103900"/>
    <x v="0"/>
    <n v="26600"/>
    <n v="156000"/>
    <x v="0"/>
    <x v="2"/>
    <x v="1"/>
    <d v="2024-10-21T00:00:00"/>
    <n v="182600"/>
    <x v="1"/>
  </r>
  <r>
    <n v="101942"/>
    <n v="63"/>
    <n v="69000"/>
    <x v="2"/>
    <n v="0"/>
    <n v="253000"/>
    <x v="0"/>
    <x v="2"/>
    <x v="1"/>
    <d v="2024-12-22T00:00:00"/>
    <n v="253000"/>
    <x v="0"/>
  </r>
  <r>
    <n v="101943"/>
    <n v="28"/>
    <n v="105200"/>
    <x v="2"/>
    <n v="34100"/>
    <n v="0"/>
    <x v="5"/>
    <x v="2"/>
    <x v="1"/>
    <d v="2025-10-03T00:00:00"/>
    <n v="34100"/>
    <x v="1"/>
  </r>
  <r>
    <n v="101944"/>
    <n v="59"/>
    <n v="100200"/>
    <x v="2"/>
    <n v="0"/>
    <n v="0"/>
    <x v="4"/>
    <x v="0"/>
    <x v="1"/>
    <d v="2025-01-02T00:00:00"/>
    <n v="0"/>
    <x v="1"/>
  </r>
  <r>
    <n v="101945"/>
    <n v="42"/>
    <n v="81400"/>
    <x v="1"/>
    <n v="37600"/>
    <n v="180000"/>
    <x v="0"/>
    <x v="2"/>
    <x v="1"/>
    <d v="2025-05-13T00:00:00"/>
    <n v="217600"/>
    <x v="1"/>
  </r>
  <r>
    <n v="101946"/>
    <n v="56"/>
    <n v="105800"/>
    <x v="1"/>
    <n v="37900"/>
    <n v="0"/>
    <x v="6"/>
    <x v="2"/>
    <x v="1"/>
    <d v="2025-03-25T00:00:00"/>
    <n v="37900"/>
    <x v="1"/>
  </r>
  <r>
    <n v="101947"/>
    <n v="50"/>
    <n v="44800"/>
    <x v="0"/>
    <n v="0"/>
    <n v="0"/>
    <x v="5"/>
    <x v="0"/>
    <x v="1"/>
    <d v="2024-05-08T00:00:00"/>
    <n v="0"/>
    <x v="0"/>
  </r>
  <r>
    <n v="101948"/>
    <n v="65"/>
    <n v="97000"/>
    <x v="1"/>
    <n v="59000"/>
    <n v="0"/>
    <x v="2"/>
    <x v="0"/>
    <x v="0"/>
    <d v="2025-02-06T00:00:00"/>
    <n v="59000"/>
    <x v="1"/>
  </r>
  <r>
    <n v="101949"/>
    <n v="51"/>
    <n v="56900"/>
    <x v="0"/>
    <n v="0"/>
    <n v="0"/>
    <x v="6"/>
    <x v="2"/>
    <x v="1"/>
    <d v="2025-10-10T00:00:00"/>
    <n v="0"/>
    <x v="0"/>
  </r>
  <r>
    <n v="101950"/>
    <n v="42"/>
    <n v="88900"/>
    <x v="1"/>
    <n v="27300"/>
    <n v="325000"/>
    <x v="4"/>
    <x v="2"/>
    <x v="1"/>
    <d v="2024-09-17T00:00:00"/>
    <n v="352300"/>
    <x v="1"/>
  </r>
  <r>
    <n v="101951"/>
    <n v="31"/>
    <n v="65800"/>
    <x v="0"/>
    <n v="38000"/>
    <n v="0"/>
    <x v="3"/>
    <x v="0"/>
    <x v="1"/>
    <d v="2026-05-26T00:00:00"/>
    <n v="38000"/>
    <x v="0"/>
  </r>
  <r>
    <n v="101952"/>
    <n v="26"/>
    <n v="31700"/>
    <x v="0"/>
    <n v="9500"/>
    <n v="0"/>
    <x v="1"/>
    <x v="0"/>
    <x v="0"/>
    <d v="2024-09-07T00:00:00"/>
    <n v="9500"/>
    <x v="0"/>
  </r>
  <r>
    <n v="101953"/>
    <n v="20"/>
    <n v="70200"/>
    <x v="2"/>
    <n v="29100"/>
    <n v="0"/>
    <x v="6"/>
    <x v="2"/>
    <x v="1"/>
    <d v="2024-03-31T00:00:00"/>
    <n v="29100"/>
    <x v="1"/>
  </r>
  <r>
    <n v="101954"/>
    <n v="44"/>
    <n v="52600"/>
    <x v="1"/>
    <n v="65800"/>
    <n v="0"/>
    <x v="2"/>
    <x v="3"/>
    <x v="1"/>
    <d v="2025-04-12T00:00:00"/>
    <n v="65800"/>
    <x v="0"/>
  </r>
  <r>
    <n v="101955"/>
    <n v="41"/>
    <n v="80800"/>
    <x v="2"/>
    <n v="79300"/>
    <n v="0"/>
    <x v="4"/>
    <x v="2"/>
    <x v="1"/>
    <d v="2025-08-30T00:00:00"/>
    <n v="79300"/>
    <x v="1"/>
  </r>
  <r>
    <n v="101956"/>
    <n v="69"/>
    <n v="54600"/>
    <x v="1"/>
    <n v="68200"/>
    <n v="0"/>
    <x v="4"/>
    <x v="0"/>
    <x v="1"/>
    <d v="2024-05-24T00:00:00"/>
    <n v="68200"/>
    <x v="0"/>
  </r>
  <r>
    <n v="101957"/>
    <n v="49"/>
    <n v="51200"/>
    <x v="0"/>
    <n v="31600"/>
    <n v="0"/>
    <x v="6"/>
    <x v="1"/>
    <x v="1"/>
    <d v="2026-07-18T00:00:00"/>
    <n v="31600"/>
    <x v="0"/>
  </r>
  <r>
    <n v="101958"/>
    <n v="48"/>
    <n v="35500"/>
    <x v="0"/>
    <n v="0"/>
    <n v="0"/>
    <x v="6"/>
    <x v="1"/>
    <x v="1"/>
    <d v="2025-03-17T00:00:00"/>
    <n v="0"/>
    <x v="0"/>
  </r>
  <r>
    <n v="101959"/>
    <n v="64"/>
    <n v="109500"/>
    <x v="1"/>
    <n v="0"/>
    <n v="0"/>
    <x v="4"/>
    <x v="2"/>
    <x v="1"/>
    <d v="2026-07-17T00:00:00"/>
    <n v="0"/>
    <x v="1"/>
  </r>
  <r>
    <n v="101960"/>
    <n v="53"/>
    <n v="84000"/>
    <x v="0"/>
    <n v="0"/>
    <n v="0"/>
    <x v="2"/>
    <x v="1"/>
    <x v="1"/>
    <d v="2025-03-20T00:00:00"/>
    <n v="0"/>
    <x v="1"/>
  </r>
  <r>
    <n v="101961"/>
    <n v="26"/>
    <n v="82700"/>
    <x v="0"/>
    <n v="26900"/>
    <n v="0"/>
    <x v="0"/>
    <x v="1"/>
    <x v="1"/>
    <d v="2025-08-05T00:00:00"/>
    <n v="26900"/>
    <x v="1"/>
  </r>
  <r>
    <n v="101962"/>
    <n v="67"/>
    <n v="57300"/>
    <x v="2"/>
    <n v="45700"/>
    <n v="0"/>
    <x v="6"/>
    <x v="1"/>
    <x v="1"/>
    <d v="2026-03-02T00:00:00"/>
    <n v="45700"/>
    <x v="0"/>
  </r>
  <r>
    <n v="101963"/>
    <n v="41"/>
    <n v="101400"/>
    <x v="1"/>
    <n v="0"/>
    <n v="0"/>
    <x v="3"/>
    <x v="2"/>
    <x v="1"/>
    <d v="2025-01-19T00:00:00"/>
    <n v="0"/>
    <x v="1"/>
  </r>
  <r>
    <n v="101964"/>
    <n v="58"/>
    <n v="106200"/>
    <x v="0"/>
    <n v="64700"/>
    <n v="0"/>
    <x v="5"/>
    <x v="2"/>
    <x v="1"/>
    <d v="2026-06-06T00:00:00"/>
    <n v="64700"/>
    <x v="1"/>
  </r>
  <r>
    <n v="101965"/>
    <n v="23"/>
    <n v="71900"/>
    <x v="2"/>
    <n v="48100"/>
    <n v="0"/>
    <x v="6"/>
    <x v="2"/>
    <x v="1"/>
    <d v="2025-09-21T00:00:00"/>
    <n v="48100"/>
    <x v="1"/>
  </r>
  <r>
    <n v="101966"/>
    <n v="38"/>
    <n v="62400"/>
    <x v="0"/>
    <n v="0"/>
    <n v="246000"/>
    <x v="4"/>
    <x v="2"/>
    <x v="1"/>
    <d v="2024-03-31T00:00:00"/>
    <n v="246000"/>
    <x v="0"/>
  </r>
  <r>
    <n v="101967"/>
    <n v="37"/>
    <n v="45700"/>
    <x v="2"/>
    <n v="48700"/>
    <n v="0"/>
    <x v="0"/>
    <x v="2"/>
    <x v="1"/>
    <d v="2025-01-03T00:00:00"/>
    <n v="48700"/>
    <x v="0"/>
  </r>
  <r>
    <n v="101968"/>
    <n v="56"/>
    <n v="67400"/>
    <x v="1"/>
    <n v="15300"/>
    <n v="0"/>
    <x v="6"/>
    <x v="2"/>
    <x v="1"/>
    <d v="2024-02-21T00:00:00"/>
    <n v="15300"/>
    <x v="0"/>
  </r>
  <r>
    <n v="101969"/>
    <n v="37"/>
    <n v="105100"/>
    <x v="0"/>
    <n v="15600"/>
    <n v="0"/>
    <x v="7"/>
    <x v="2"/>
    <x v="1"/>
    <d v="2025-12-13T00:00:00"/>
    <n v="15600"/>
    <x v="1"/>
  </r>
  <r>
    <n v="101970"/>
    <n v="26"/>
    <n v="43700"/>
    <x v="0"/>
    <n v="52400"/>
    <n v="0"/>
    <x v="0"/>
    <x v="1"/>
    <x v="1"/>
    <d v="2025-02-20T00:00:00"/>
    <n v="52400"/>
    <x v="0"/>
  </r>
  <r>
    <n v="101971"/>
    <n v="36"/>
    <n v="52800"/>
    <x v="1"/>
    <n v="0"/>
    <n v="260000"/>
    <x v="3"/>
    <x v="0"/>
    <x v="1"/>
    <d v="2025-03-26T00:00:00"/>
    <n v="260000"/>
    <x v="0"/>
  </r>
  <r>
    <n v="101972"/>
    <n v="49"/>
    <n v="57000"/>
    <x v="1"/>
    <n v="40400"/>
    <n v="275000"/>
    <x v="6"/>
    <x v="1"/>
    <x v="1"/>
    <d v="2024-04-01T00:00:00"/>
    <n v="315400"/>
    <x v="0"/>
  </r>
  <r>
    <n v="101973"/>
    <n v="46"/>
    <n v="74100"/>
    <x v="0"/>
    <n v="0"/>
    <n v="169000"/>
    <x v="6"/>
    <x v="0"/>
    <x v="1"/>
    <d v="2024-06-11T00:00:00"/>
    <n v="169000"/>
    <x v="1"/>
  </r>
  <r>
    <n v="101974"/>
    <n v="57"/>
    <n v="80300"/>
    <x v="0"/>
    <n v="53100"/>
    <n v="0"/>
    <x v="5"/>
    <x v="2"/>
    <x v="1"/>
    <d v="2024-06-15T00:00:00"/>
    <n v="53100"/>
    <x v="1"/>
  </r>
  <r>
    <n v="101975"/>
    <n v="29"/>
    <n v="64700"/>
    <x v="0"/>
    <n v="14900"/>
    <n v="0"/>
    <x v="6"/>
    <x v="1"/>
    <x v="1"/>
    <d v="2025-01-12T00:00:00"/>
    <n v="14900"/>
    <x v="0"/>
  </r>
  <r>
    <n v="101976"/>
    <n v="73"/>
    <n v="54200"/>
    <x v="2"/>
    <n v="67800"/>
    <n v="0"/>
    <x v="6"/>
    <x v="1"/>
    <x v="1"/>
    <d v="2026-08-10T00:00:00"/>
    <n v="67800"/>
    <x v="0"/>
  </r>
  <r>
    <n v="101977"/>
    <n v="29"/>
    <n v="33000"/>
    <x v="0"/>
    <n v="26400"/>
    <n v="0"/>
    <x v="5"/>
    <x v="0"/>
    <x v="1"/>
    <d v="2024-11-03T00:00:00"/>
    <n v="26400"/>
    <x v="0"/>
  </r>
  <r>
    <n v="101978"/>
    <n v="61"/>
    <n v="27900"/>
    <x v="2"/>
    <n v="18600"/>
    <n v="0"/>
    <x v="3"/>
    <x v="0"/>
    <x v="1"/>
    <d v="2024-12-18T00:00:00"/>
    <n v="18600"/>
    <x v="0"/>
  </r>
  <r>
    <n v="101979"/>
    <n v="20"/>
    <n v="47100"/>
    <x v="0"/>
    <n v="18400"/>
    <n v="0"/>
    <x v="1"/>
    <x v="2"/>
    <x v="1"/>
    <d v="2024-04-30T00:00:00"/>
    <n v="18400"/>
    <x v="0"/>
  </r>
  <r>
    <n v="101980"/>
    <n v="25"/>
    <n v="46700"/>
    <x v="1"/>
    <n v="28900"/>
    <n v="296000"/>
    <x v="2"/>
    <x v="3"/>
    <x v="1"/>
    <d v="2024-11-24T00:00:00"/>
    <n v="324900"/>
    <x v="0"/>
  </r>
  <r>
    <n v="101981"/>
    <n v="37"/>
    <n v="73300"/>
    <x v="1"/>
    <n v="34500"/>
    <n v="0"/>
    <x v="6"/>
    <x v="1"/>
    <x v="1"/>
    <d v="2025-08-31T00:00:00"/>
    <n v="34500"/>
    <x v="1"/>
  </r>
  <r>
    <n v="101982"/>
    <n v="63"/>
    <n v="68600"/>
    <x v="0"/>
    <n v="0"/>
    <n v="158000"/>
    <x v="5"/>
    <x v="0"/>
    <x v="1"/>
    <d v="2025-12-29T00:00:00"/>
    <n v="158000"/>
    <x v="0"/>
  </r>
  <r>
    <n v="101983"/>
    <n v="25"/>
    <n v="71900"/>
    <x v="0"/>
    <n v="19700"/>
    <n v="0"/>
    <x v="3"/>
    <x v="0"/>
    <x v="1"/>
    <d v="2024-10-15T00:00:00"/>
    <n v="19700"/>
    <x v="1"/>
  </r>
  <r>
    <n v="101984"/>
    <n v="49"/>
    <n v="114000"/>
    <x v="1"/>
    <n v="11000"/>
    <n v="0"/>
    <x v="3"/>
    <x v="2"/>
    <x v="1"/>
    <d v="2026-08-30T00:00:00"/>
    <n v="11000"/>
    <x v="1"/>
  </r>
  <r>
    <n v="101985"/>
    <n v="72"/>
    <n v="27700"/>
    <x v="0"/>
    <n v="34600"/>
    <n v="0"/>
    <x v="7"/>
    <x v="1"/>
    <x v="1"/>
    <d v="2026-01-06T00:00:00"/>
    <n v="34600"/>
    <x v="0"/>
  </r>
  <r>
    <n v="101986"/>
    <n v="37"/>
    <n v="51200"/>
    <x v="1"/>
    <n v="0"/>
    <n v="0"/>
    <x v="5"/>
    <x v="1"/>
    <x v="1"/>
    <d v="2026-03-26T00:00:00"/>
    <n v="0"/>
    <x v="0"/>
  </r>
  <r>
    <n v="101987"/>
    <n v="49"/>
    <n v="53200"/>
    <x v="0"/>
    <n v="0"/>
    <n v="0"/>
    <x v="2"/>
    <x v="3"/>
    <x v="1"/>
    <d v="2025-01-04T00:00:00"/>
    <n v="0"/>
    <x v="0"/>
  </r>
  <r>
    <n v="101988"/>
    <n v="35"/>
    <n v="55500"/>
    <x v="0"/>
    <n v="0"/>
    <n v="185000"/>
    <x v="1"/>
    <x v="3"/>
    <x v="1"/>
    <d v="2024-03-06T00:00:00"/>
    <n v="185000"/>
    <x v="0"/>
  </r>
  <r>
    <n v="101989"/>
    <n v="47"/>
    <n v="41700"/>
    <x v="1"/>
    <n v="25500"/>
    <n v="0"/>
    <x v="6"/>
    <x v="0"/>
    <x v="1"/>
    <d v="2026-08-17T00:00:00"/>
    <n v="25500"/>
    <x v="0"/>
  </r>
  <r>
    <n v="101990"/>
    <n v="59"/>
    <n v="101400"/>
    <x v="1"/>
    <n v="25400"/>
    <n v="0"/>
    <x v="4"/>
    <x v="2"/>
    <x v="1"/>
    <d v="2025-08-12T00:00:00"/>
    <n v="25400"/>
    <x v="1"/>
  </r>
  <r>
    <n v="101991"/>
    <n v="44"/>
    <n v="52900"/>
    <x v="2"/>
    <n v="59500"/>
    <n v="198000"/>
    <x v="5"/>
    <x v="2"/>
    <x v="1"/>
    <d v="2026-01-04T00:00:00"/>
    <n v="257500"/>
    <x v="0"/>
  </r>
  <r>
    <n v="101992"/>
    <n v="57"/>
    <n v="118800"/>
    <x v="1"/>
    <n v="69400"/>
    <n v="0"/>
    <x v="5"/>
    <x v="1"/>
    <x v="1"/>
    <d v="2024-09-10T00:00:00"/>
    <n v="69400"/>
    <x v="1"/>
  </r>
  <r>
    <n v="101993"/>
    <n v="70"/>
    <n v="98200"/>
    <x v="2"/>
    <n v="0"/>
    <n v="0"/>
    <x v="2"/>
    <x v="0"/>
    <x v="1"/>
    <d v="2024-08-06T00:00:00"/>
    <n v="0"/>
    <x v="1"/>
  </r>
  <r>
    <n v="101994"/>
    <n v="65"/>
    <n v="86700"/>
    <x v="1"/>
    <n v="43400"/>
    <n v="0"/>
    <x v="0"/>
    <x v="3"/>
    <x v="1"/>
    <d v="2024-01-19T00:00:00"/>
    <n v="43400"/>
    <x v="1"/>
  </r>
  <r>
    <n v="101995"/>
    <n v="21"/>
    <n v="62200"/>
    <x v="0"/>
    <n v="70500"/>
    <n v="0"/>
    <x v="4"/>
    <x v="2"/>
    <x v="1"/>
    <d v="2025-01-12T00:00:00"/>
    <n v="70500"/>
    <x v="0"/>
  </r>
  <r>
    <n v="101996"/>
    <n v="66"/>
    <n v="63300"/>
    <x v="1"/>
    <n v="0"/>
    <n v="0"/>
    <x v="4"/>
    <x v="2"/>
    <x v="1"/>
    <d v="2026-04-15T00:00:00"/>
    <n v="0"/>
    <x v="0"/>
  </r>
  <r>
    <n v="101997"/>
    <n v="62"/>
    <n v="45700"/>
    <x v="2"/>
    <n v="57100"/>
    <n v="0"/>
    <x v="5"/>
    <x v="2"/>
    <x v="1"/>
    <d v="2026-06-30T00:00:00"/>
    <n v="57100"/>
    <x v="0"/>
  </r>
  <r>
    <n v="101998"/>
    <n v="63"/>
    <n v="59700"/>
    <x v="1"/>
    <n v="74600"/>
    <n v="0"/>
    <x v="6"/>
    <x v="1"/>
    <x v="1"/>
    <d v="2024-12-15T00:00:00"/>
    <n v="74600"/>
    <x v="0"/>
  </r>
  <r>
    <n v="101999"/>
    <n v="67"/>
    <n v="87900"/>
    <x v="1"/>
    <n v="31100"/>
    <n v="0"/>
    <x v="1"/>
    <x v="1"/>
    <x v="1"/>
    <d v="2024-07-18T00:00:00"/>
    <n v="31100"/>
    <x v="1"/>
  </r>
  <r>
    <n v="102000"/>
    <n v="49"/>
    <n v="21000"/>
    <x v="1"/>
    <n v="26200"/>
    <n v="0"/>
    <x v="2"/>
    <x v="0"/>
    <x v="1"/>
    <d v="2026-08-12T00:00:00"/>
    <n v="26200"/>
    <x v="0"/>
  </r>
  <r>
    <n v="102001"/>
    <n v="54"/>
    <n v="31000"/>
    <x v="2"/>
    <n v="38800"/>
    <n v="0"/>
    <x v="6"/>
    <x v="2"/>
    <x v="1"/>
    <d v="2025-05-10T00:00:00"/>
    <n v="38800"/>
    <x v="0"/>
  </r>
  <r>
    <n v="102002"/>
    <n v="74"/>
    <n v="74100"/>
    <x v="0"/>
    <n v="18200"/>
    <n v="0"/>
    <x v="3"/>
    <x v="2"/>
    <x v="1"/>
    <d v="2024-11-04T00:00:00"/>
    <n v="18200"/>
    <x v="1"/>
  </r>
  <r>
    <n v="102003"/>
    <n v="34"/>
    <n v="112100"/>
    <x v="0"/>
    <n v="67300"/>
    <n v="0"/>
    <x v="0"/>
    <x v="2"/>
    <x v="1"/>
    <d v="2024-02-05T00:00:00"/>
    <n v="67300"/>
    <x v="1"/>
  </r>
  <r>
    <n v="102004"/>
    <n v="32"/>
    <n v="36100"/>
    <x v="1"/>
    <n v="45100"/>
    <n v="0"/>
    <x v="1"/>
    <x v="1"/>
    <x v="1"/>
    <d v="2025-09-07T00:00:00"/>
    <n v="45100"/>
    <x v="0"/>
  </r>
  <r>
    <n v="102005"/>
    <n v="61"/>
    <n v="40400"/>
    <x v="0"/>
    <n v="0"/>
    <n v="0"/>
    <x v="2"/>
    <x v="2"/>
    <x v="1"/>
    <d v="2025-01-17T00:00:00"/>
    <n v="0"/>
    <x v="0"/>
  </r>
  <r>
    <n v="102006"/>
    <n v="59"/>
    <n v="50100"/>
    <x v="2"/>
    <n v="19400"/>
    <n v="0"/>
    <x v="4"/>
    <x v="2"/>
    <x v="1"/>
    <d v="2026-04-14T00:00:00"/>
    <n v="19400"/>
    <x v="0"/>
  </r>
  <r>
    <n v="102007"/>
    <n v="48"/>
    <n v="42700"/>
    <x v="0"/>
    <n v="0"/>
    <n v="0"/>
    <x v="4"/>
    <x v="2"/>
    <x v="1"/>
    <d v="2025-01-07T00:00:00"/>
    <n v="0"/>
    <x v="0"/>
  </r>
  <r>
    <n v="102008"/>
    <n v="74"/>
    <n v="58000"/>
    <x v="0"/>
    <n v="0"/>
    <n v="0"/>
    <x v="2"/>
    <x v="2"/>
    <x v="1"/>
    <d v="2024-08-20T00:00:00"/>
    <n v="0"/>
    <x v="0"/>
  </r>
  <r>
    <n v="102009"/>
    <n v="47"/>
    <n v="54800"/>
    <x v="0"/>
    <n v="0"/>
    <n v="0"/>
    <x v="0"/>
    <x v="0"/>
    <x v="1"/>
    <d v="2025-07-18T00:00:00"/>
    <n v="0"/>
    <x v="0"/>
  </r>
  <r>
    <n v="102010"/>
    <n v="49"/>
    <n v="29100"/>
    <x v="1"/>
    <n v="36400"/>
    <n v="209000"/>
    <x v="4"/>
    <x v="0"/>
    <x v="1"/>
    <d v="2024-02-09T00:00:00"/>
    <n v="245400"/>
    <x v="0"/>
  </r>
  <r>
    <n v="102011"/>
    <n v="26"/>
    <n v="24200"/>
    <x v="1"/>
    <n v="26000"/>
    <n v="0"/>
    <x v="3"/>
    <x v="3"/>
    <x v="1"/>
    <d v="2025-07-27T00:00:00"/>
    <n v="26000"/>
    <x v="0"/>
  </r>
  <r>
    <n v="102012"/>
    <n v="60"/>
    <n v="110600"/>
    <x v="0"/>
    <n v="0"/>
    <n v="0"/>
    <x v="1"/>
    <x v="0"/>
    <x v="1"/>
    <d v="2026-02-19T00:00:00"/>
    <n v="0"/>
    <x v="1"/>
  </r>
  <r>
    <n v="102013"/>
    <n v="36"/>
    <n v="62200"/>
    <x v="1"/>
    <n v="18800"/>
    <n v="0"/>
    <x v="5"/>
    <x v="2"/>
    <x v="1"/>
    <d v="2024-08-09T00:00:00"/>
    <n v="18800"/>
    <x v="0"/>
  </r>
  <r>
    <n v="102014"/>
    <n v="64"/>
    <n v="116900"/>
    <x v="1"/>
    <n v="47300"/>
    <n v="125000"/>
    <x v="5"/>
    <x v="2"/>
    <x v="1"/>
    <d v="2025-07-27T00:00:00"/>
    <n v="172300"/>
    <x v="1"/>
  </r>
  <r>
    <n v="102015"/>
    <n v="62"/>
    <n v="92600"/>
    <x v="0"/>
    <n v="43900"/>
    <n v="0"/>
    <x v="4"/>
    <x v="2"/>
    <x v="1"/>
    <d v="2025-02-18T00:00:00"/>
    <n v="43900"/>
    <x v="1"/>
  </r>
  <r>
    <n v="102016"/>
    <n v="23"/>
    <n v="51600"/>
    <x v="2"/>
    <n v="64500"/>
    <n v="244000"/>
    <x v="1"/>
    <x v="2"/>
    <x v="1"/>
    <d v="2026-03-20T00:00:00"/>
    <n v="308500"/>
    <x v="0"/>
  </r>
  <r>
    <n v="102017"/>
    <n v="66"/>
    <n v="58300"/>
    <x v="0"/>
    <n v="42800"/>
    <n v="0"/>
    <x v="5"/>
    <x v="1"/>
    <x v="1"/>
    <d v="2024-10-09T00:00:00"/>
    <n v="42800"/>
    <x v="0"/>
  </r>
  <r>
    <n v="102018"/>
    <n v="26"/>
    <n v="88800"/>
    <x v="1"/>
    <n v="20100"/>
    <n v="0"/>
    <x v="5"/>
    <x v="1"/>
    <x v="1"/>
    <d v="2024-11-27T00:00:00"/>
    <n v="20100"/>
    <x v="1"/>
  </r>
  <r>
    <n v="102019"/>
    <n v="29"/>
    <n v="24000"/>
    <x v="0"/>
    <n v="27600"/>
    <n v="0"/>
    <x v="6"/>
    <x v="1"/>
    <x v="1"/>
    <d v="2025-02-12T00:00:00"/>
    <n v="27600"/>
    <x v="0"/>
  </r>
  <r>
    <n v="102020"/>
    <n v="34"/>
    <n v="65000"/>
    <x v="0"/>
    <n v="27600"/>
    <n v="0"/>
    <x v="5"/>
    <x v="0"/>
    <x v="0"/>
    <d v="2024-11-22T00:00:00"/>
    <n v="27600"/>
    <x v="0"/>
  </r>
  <r>
    <n v="102021"/>
    <n v="36"/>
    <n v="64800"/>
    <x v="0"/>
    <n v="0"/>
    <n v="0"/>
    <x v="2"/>
    <x v="2"/>
    <x v="1"/>
    <d v="2026-01-07T00:00:00"/>
    <n v="0"/>
    <x v="0"/>
  </r>
  <r>
    <n v="102022"/>
    <n v="37"/>
    <n v="31900"/>
    <x v="0"/>
    <n v="0"/>
    <n v="0"/>
    <x v="1"/>
    <x v="1"/>
    <x v="1"/>
    <d v="2025-08-06T00:00:00"/>
    <n v="0"/>
    <x v="0"/>
  </r>
  <r>
    <n v="102023"/>
    <n v="62"/>
    <n v="33700"/>
    <x v="0"/>
    <n v="19300"/>
    <n v="0"/>
    <x v="7"/>
    <x v="1"/>
    <x v="1"/>
    <d v="2025-05-03T00:00:00"/>
    <n v="19300"/>
    <x v="0"/>
  </r>
  <r>
    <n v="102024"/>
    <n v="71"/>
    <n v="19200"/>
    <x v="1"/>
    <n v="24000"/>
    <n v="0"/>
    <x v="6"/>
    <x v="2"/>
    <x v="1"/>
    <d v="2025-05-23T00:00:00"/>
    <n v="24000"/>
    <x v="0"/>
  </r>
  <r>
    <n v="102025"/>
    <n v="26"/>
    <n v="37100"/>
    <x v="0"/>
    <n v="12200"/>
    <n v="0"/>
    <x v="3"/>
    <x v="0"/>
    <x v="1"/>
    <d v="2026-08-27T00:00:00"/>
    <n v="12200"/>
    <x v="0"/>
  </r>
  <r>
    <n v="102026"/>
    <n v="59"/>
    <n v="53300"/>
    <x v="0"/>
    <n v="28700"/>
    <n v="0"/>
    <x v="7"/>
    <x v="2"/>
    <x v="1"/>
    <d v="2025-05-17T00:00:00"/>
    <n v="28700"/>
    <x v="0"/>
  </r>
  <r>
    <n v="102027"/>
    <n v="50"/>
    <n v="43000"/>
    <x v="0"/>
    <n v="0"/>
    <n v="0"/>
    <x v="7"/>
    <x v="0"/>
    <x v="1"/>
    <d v="2025-11-22T00:00:00"/>
    <n v="0"/>
    <x v="0"/>
  </r>
  <r>
    <n v="102028"/>
    <n v="68"/>
    <n v="26700"/>
    <x v="2"/>
    <n v="33400"/>
    <n v="0"/>
    <x v="7"/>
    <x v="0"/>
    <x v="1"/>
    <d v="2024-08-30T00:00:00"/>
    <n v="33400"/>
    <x v="0"/>
  </r>
  <r>
    <n v="102029"/>
    <n v="73"/>
    <n v="70200"/>
    <x v="1"/>
    <n v="37900"/>
    <n v="0"/>
    <x v="5"/>
    <x v="2"/>
    <x v="1"/>
    <d v="2025-10-07T00:00:00"/>
    <n v="37900"/>
    <x v="1"/>
  </r>
  <r>
    <n v="102030"/>
    <n v="69"/>
    <n v="52000"/>
    <x v="1"/>
    <n v="34400"/>
    <n v="0"/>
    <x v="2"/>
    <x v="2"/>
    <x v="1"/>
    <d v="2024-02-16T00:00:00"/>
    <n v="34400"/>
    <x v="0"/>
  </r>
  <r>
    <n v="102031"/>
    <n v="30"/>
    <n v="36000"/>
    <x v="1"/>
    <n v="0"/>
    <n v="0"/>
    <x v="7"/>
    <x v="0"/>
    <x v="1"/>
    <d v="2024-10-05T00:00:00"/>
    <n v="0"/>
    <x v="0"/>
  </r>
  <r>
    <n v="102032"/>
    <n v="38"/>
    <n v="64400"/>
    <x v="1"/>
    <n v="0"/>
    <n v="0"/>
    <x v="6"/>
    <x v="2"/>
    <x v="1"/>
    <d v="2025-03-06T00:00:00"/>
    <n v="0"/>
    <x v="0"/>
  </r>
  <r>
    <n v="102033"/>
    <n v="55"/>
    <n v="57300"/>
    <x v="1"/>
    <n v="51200"/>
    <n v="0"/>
    <x v="5"/>
    <x v="1"/>
    <x v="1"/>
    <d v="2026-08-03T00:00:00"/>
    <n v="51200"/>
    <x v="0"/>
  </r>
  <r>
    <n v="102034"/>
    <n v="39"/>
    <n v="96300"/>
    <x v="1"/>
    <n v="0"/>
    <n v="0"/>
    <x v="2"/>
    <x v="2"/>
    <x v="1"/>
    <d v="2024-02-04T00:00:00"/>
    <n v="0"/>
    <x v="1"/>
  </r>
  <r>
    <n v="102035"/>
    <n v="36"/>
    <n v="92600"/>
    <x v="1"/>
    <n v="26000"/>
    <n v="0"/>
    <x v="7"/>
    <x v="2"/>
    <x v="1"/>
    <d v="2025-01-30T00:00:00"/>
    <n v="26000"/>
    <x v="1"/>
  </r>
  <r>
    <n v="102036"/>
    <n v="37"/>
    <n v="64500"/>
    <x v="0"/>
    <n v="0"/>
    <n v="0"/>
    <x v="0"/>
    <x v="0"/>
    <x v="1"/>
    <d v="2025-08-02T00:00:00"/>
    <n v="0"/>
    <x v="0"/>
  </r>
  <r>
    <n v="102037"/>
    <n v="61"/>
    <n v="50500"/>
    <x v="0"/>
    <n v="24400"/>
    <n v="182000"/>
    <x v="7"/>
    <x v="1"/>
    <x v="1"/>
    <d v="2024-12-24T00:00:00"/>
    <n v="206400"/>
    <x v="0"/>
  </r>
  <r>
    <n v="102038"/>
    <n v="27"/>
    <n v="38800"/>
    <x v="1"/>
    <n v="19100"/>
    <n v="0"/>
    <x v="0"/>
    <x v="0"/>
    <x v="1"/>
    <d v="2026-07-27T00:00:00"/>
    <n v="19100"/>
    <x v="0"/>
  </r>
  <r>
    <n v="102039"/>
    <n v="53"/>
    <n v="68900"/>
    <x v="0"/>
    <n v="25100"/>
    <n v="0"/>
    <x v="5"/>
    <x v="1"/>
    <x v="1"/>
    <d v="2024-11-01T00:00:00"/>
    <n v="25100"/>
    <x v="0"/>
  </r>
  <r>
    <n v="102040"/>
    <n v="41"/>
    <n v="80700"/>
    <x v="2"/>
    <n v="0"/>
    <n v="0"/>
    <x v="3"/>
    <x v="2"/>
    <x v="1"/>
    <d v="2024-09-20T00:00:00"/>
    <n v="0"/>
    <x v="1"/>
  </r>
  <r>
    <n v="102041"/>
    <n v="70"/>
    <n v="32000"/>
    <x v="2"/>
    <n v="28100"/>
    <n v="0"/>
    <x v="3"/>
    <x v="0"/>
    <x v="1"/>
    <d v="2025-12-23T00:00:00"/>
    <n v="28100"/>
    <x v="0"/>
  </r>
  <r>
    <n v="102042"/>
    <n v="74"/>
    <n v="44500"/>
    <x v="0"/>
    <n v="38100"/>
    <n v="0"/>
    <x v="1"/>
    <x v="1"/>
    <x v="1"/>
    <d v="2025-11-23T00:00:00"/>
    <n v="38100"/>
    <x v="0"/>
  </r>
  <r>
    <n v="102043"/>
    <n v="73"/>
    <n v="71900"/>
    <x v="0"/>
    <n v="10200"/>
    <n v="0"/>
    <x v="1"/>
    <x v="2"/>
    <x v="1"/>
    <d v="2026-01-10T00:00:00"/>
    <n v="10200"/>
    <x v="1"/>
  </r>
  <r>
    <n v="102044"/>
    <n v="33"/>
    <n v="119300"/>
    <x v="0"/>
    <n v="51900"/>
    <n v="0"/>
    <x v="5"/>
    <x v="2"/>
    <x v="1"/>
    <d v="2024-01-09T00:00:00"/>
    <n v="51900"/>
    <x v="1"/>
  </r>
  <r>
    <n v="102045"/>
    <n v="68"/>
    <n v="65000"/>
    <x v="1"/>
    <n v="14700"/>
    <n v="0"/>
    <x v="6"/>
    <x v="1"/>
    <x v="1"/>
    <d v="2026-05-22T00:00:00"/>
    <n v="14700"/>
    <x v="0"/>
  </r>
  <r>
    <n v="102046"/>
    <n v="53"/>
    <n v="49800"/>
    <x v="1"/>
    <n v="29000"/>
    <n v="0"/>
    <x v="4"/>
    <x v="0"/>
    <x v="1"/>
    <d v="2024-09-07T00:00:00"/>
    <n v="29000"/>
    <x v="0"/>
  </r>
  <r>
    <n v="102047"/>
    <n v="20"/>
    <n v="28700"/>
    <x v="1"/>
    <n v="23600"/>
    <n v="0"/>
    <x v="4"/>
    <x v="0"/>
    <x v="1"/>
    <d v="2024-02-25T00:00:00"/>
    <n v="23600"/>
    <x v="0"/>
  </r>
  <r>
    <n v="102048"/>
    <n v="72"/>
    <n v="26600"/>
    <x v="2"/>
    <n v="0"/>
    <n v="279000"/>
    <x v="3"/>
    <x v="0"/>
    <x v="1"/>
    <d v="2025-04-17T00:00:00"/>
    <n v="279000"/>
    <x v="0"/>
  </r>
  <r>
    <n v="102049"/>
    <n v="41"/>
    <n v="92700"/>
    <x v="2"/>
    <n v="39300"/>
    <n v="226000"/>
    <x v="7"/>
    <x v="3"/>
    <x v="1"/>
    <d v="2025-03-16T00:00:00"/>
    <n v="265300"/>
    <x v="1"/>
  </r>
  <r>
    <n v="102050"/>
    <n v="71"/>
    <n v="32600"/>
    <x v="0"/>
    <n v="11800"/>
    <n v="0"/>
    <x v="5"/>
    <x v="1"/>
    <x v="1"/>
    <d v="2025-02-10T00:00:00"/>
    <n v="11800"/>
    <x v="0"/>
  </r>
  <r>
    <n v="102051"/>
    <n v="44"/>
    <n v="42400"/>
    <x v="1"/>
    <n v="0"/>
    <n v="0"/>
    <x v="6"/>
    <x v="3"/>
    <x v="1"/>
    <d v="2024-10-30T00:00:00"/>
    <n v="0"/>
    <x v="0"/>
  </r>
  <r>
    <n v="102052"/>
    <n v="31"/>
    <n v="40600"/>
    <x v="1"/>
    <n v="0"/>
    <n v="0"/>
    <x v="6"/>
    <x v="0"/>
    <x v="1"/>
    <d v="2024-07-18T00:00:00"/>
    <n v="0"/>
    <x v="0"/>
  </r>
  <r>
    <n v="102053"/>
    <n v="39"/>
    <n v="56900"/>
    <x v="1"/>
    <n v="43300"/>
    <n v="156000"/>
    <x v="7"/>
    <x v="1"/>
    <x v="1"/>
    <d v="2026-01-29T00:00:00"/>
    <n v="199300"/>
    <x v="0"/>
  </r>
  <r>
    <n v="102054"/>
    <n v="64"/>
    <n v="73400"/>
    <x v="0"/>
    <n v="0"/>
    <n v="0"/>
    <x v="6"/>
    <x v="2"/>
    <x v="1"/>
    <d v="2026-03-21T00:00:00"/>
    <n v="0"/>
    <x v="1"/>
  </r>
  <r>
    <n v="102055"/>
    <n v="61"/>
    <n v="47800"/>
    <x v="0"/>
    <n v="59800"/>
    <n v="0"/>
    <x v="6"/>
    <x v="2"/>
    <x v="1"/>
    <d v="2024-04-01T00:00:00"/>
    <n v="59800"/>
    <x v="0"/>
  </r>
  <r>
    <n v="102056"/>
    <n v="61"/>
    <n v="72300"/>
    <x v="1"/>
    <n v="0"/>
    <n v="162000"/>
    <x v="6"/>
    <x v="1"/>
    <x v="1"/>
    <d v="2026-05-11T00:00:00"/>
    <n v="162000"/>
    <x v="1"/>
  </r>
  <r>
    <n v="102057"/>
    <n v="40"/>
    <n v="30500"/>
    <x v="1"/>
    <n v="0"/>
    <n v="0"/>
    <x v="6"/>
    <x v="1"/>
    <x v="1"/>
    <d v="2026-04-14T00:00:00"/>
    <n v="0"/>
    <x v="0"/>
  </r>
  <r>
    <n v="102058"/>
    <n v="55"/>
    <n v="68000"/>
    <x v="1"/>
    <n v="18000"/>
    <n v="0"/>
    <x v="4"/>
    <x v="2"/>
    <x v="1"/>
    <d v="2024-06-05T00:00:00"/>
    <n v="18000"/>
    <x v="0"/>
  </r>
  <r>
    <n v="102059"/>
    <n v="59"/>
    <n v="84900"/>
    <x v="1"/>
    <n v="24900"/>
    <n v="0"/>
    <x v="0"/>
    <x v="2"/>
    <x v="1"/>
    <d v="2024-08-23T00:00:00"/>
    <n v="24900"/>
    <x v="1"/>
  </r>
  <r>
    <n v="102060"/>
    <n v="21"/>
    <n v="42300"/>
    <x v="1"/>
    <n v="11800"/>
    <n v="0"/>
    <x v="1"/>
    <x v="0"/>
    <x v="1"/>
    <d v="2026-04-15T00:00:00"/>
    <n v="11800"/>
    <x v="0"/>
  </r>
  <r>
    <n v="102061"/>
    <n v="20"/>
    <n v="55500"/>
    <x v="1"/>
    <n v="0"/>
    <n v="0"/>
    <x v="2"/>
    <x v="0"/>
    <x v="1"/>
    <d v="2024-11-18T00:00:00"/>
    <n v="0"/>
    <x v="0"/>
  </r>
  <r>
    <n v="102062"/>
    <n v="35"/>
    <n v="98400"/>
    <x v="1"/>
    <n v="26800"/>
    <n v="347000"/>
    <x v="4"/>
    <x v="0"/>
    <x v="1"/>
    <d v="2025-07-23T00:00:00"/>
    <n v="373800"/>
    <x v="1"/>
  </r>
  <r>
    <n v="102063"/>
    <n v="69"/>
    <n v="44500"/>
    <x v="1"/>
    <n v="19600"/>
    <n v="0"/>
    <x v="4"/>
    <x v="2"/>
    <x v="1"/>
    <d v="2025-04-14T00:00:00"/>
    <n v="19600"/>
    <x v="0"/>
  </r>
  <r>
    <n v="102064"/>
    <n v="24"/>
    <n v="107000"/>
    <x v="0"/>
    <n v="0"/>
    <n v="0"/>
    <x v="6"/>
    <x v="2"/>
    <x v="1"/>
    <d v="2026-01-04T00:00:00"/>
    <n v="0"/>
    <x v="1"/>
  </r>
  <r>
    <n v="102065"/>
    <n v="30"/>
    <n v="109600"/>
    <x v="0"/>
    <n v="10600"/>
    <n v="0"/>
    <x v="7"/>
    <x v="1"/>
    <x v="1"/>
    <d v="2026-07-27T00:00:00"/>
    <n v="10600"/>
    <x v="1"/>
  </r>
  <r>
    <n v="102066"/>
    <n v="73"/>
    <n v="44500"/>
    <x v="2"/>
    <n v="52300"/>
    <n v="334000"/>
    <x v="7"/>
    <x v="1"/>
    <x v="1"/>
    <d v="2024-04-18T00:00:00"/>
    <n v="386300"/>
    <x v="0"/>
  </r>
  <r>
    <n v="102067"/>
    <n v="59"/>
    <n v="84100"/>
    <x v="0"/>
    <n v="0"/>
    <n v="0"/>
    <x v="6"/>
    <x v="2"/>
    <x v="1"/>
    <d v="2025-10-17T00:00:00"/>
    <n v="0"/>
    <x v="1"/>
  </r>
  <r>
    <n v="102068"/>
    <n v="54"/>
    <n v="42700"/>
    <x v="2"/>
    <n v="53400"/>
    <n v="0"/>
    <x v="4"/>
    <x v="1"/>
    <x v="1"/>
    <d v="2024-03-06T00:00:00"/>
    <n v="53400"/>
    <x v="0"/>
  </r>
  <r>
    <n v="102069"/>
    <n v="31"/>
    <n v="38400"/>
    <x v="0"/>
    <n v="0"/>
    <n v="0"/>
    <x v="2"/>
    <x v="1"/>
    <x v="1"/>
    <d v="2026-02-15T00:00:00"/>
    <n v="0"/>
    <x v="0"/>
  </r>
  <r>
    <n v="102070"/>
    <n v="54"/>
    <n v="45900"/>
    <x v="1"/>
    <n v="49400"/>
    <n v="0"/>
    <x v="7"/>
    <x v="2"/>
    <x v="1"/>
    <d v="2025-08-10T00:00:00"/>
    <n v="49400"/>
    <x v="0"/>
  </r>
  <r>
    <n v="102071"/>
    <n v="69"/>
    <n v="105800"/>
    <x v="0"/>
    <n v="12900"/>
    <n v="0"/>
    <x v="0"/>
    <x v="1"/>
    <x v="1"/>
    <d v="2024-02-12T00:00:00"/>
    <n v="12900"/>
    <x v="1"/>
  </r>
  <r>
    <n v="102072"/>
    <n v="35"/>
    <n v="75300"/>
    <x v="2"/>
    <n v="55100"/>
    <n v="0"/>
    <x v="6"/>
    <x v="1"/>
    <x v="1"/>
    <d v="2026-07-09T00:00:00"/>
    <n v="55100"/>
    <x v="1"/>
  </r>
  <r>
    <n v="102073"/>
    <n v="24"/>
    <n v="56700"/>
    <x v="1"/>
    <n v="0"/>
    <n v="0"/>
    <x v="6"/>
    <x v="0"/>
    <x v="1"/>
    <d v="2026-08-12T00:00:00"/>
    <n v="0"/>
    <x v="0"/>
  </r>
  <r>
    <n v="102074"/>
    <n v="34"/>
    <n v="67100"/>
    <x v="1"/>
    <n v="40900"/>
    <n v="179000"/>
    <x v="2"/>
    <x v="0"/>
    <x v="1"/>
    <d v="2024-04-22T00:00:00"/>
    <n v="219900"/>
    <x v="0"/>
  </r>
  <r>
    <n v="102075"/>
    <n v="51"/>
    <n v="34600"/>
    <x v="1"/>
    <n v="0"/>
    <n v="0"/>
    <x v="5"/>
    <x v="1"/>
    <x v="1"/>
    <d v="2025-07-24T00:00:00"/>
    <n v="0"/>
    <x v="0"/>
  </r>
  <r>
    <n v="102076"/>
    <n v="49"/>
    <n v="40100"/>
    <x v="1"/>
    <n v="0"/>
    <n v="127000"/>
    <x v="4"/>
    <x v="1"/>
    <x v="1"/>
    <d v="2024-11-24T00:00:00"/>
    <n v="127000"/>
    <x v="0"/>
  </r>
  <r>
    <n v="102077"/>
    <n v="63"/>
    <n v="86800"/>
    <x v="0"/>
    <n v="59200"/>
    <n v="148000"/>
    <x v="6"/>
    <x v="1"/>
    <x v="1"/>
    <d v="2024-07-26T00:00:00"/>
    <n v="207200"/>
    <x v="1"/>
  </r>
  <r>
    <n v="102078"/>
    <n v="38"/>
    <n v="46600"/>
    <x v="1"/>
    <n v="0"/>
    <n v="208000"/>
    <x v="7"/>
    <x v="1"/>
    <x v="1"/>
    <d v="2025-08-17T00:00:00"/>
    <n v="208000"/>
    <x v="0"/>
  </r>
  <r>
    <n v="102079"/>
    <n v="41"/>
    <n v="23600"/>
    <x v="1"/>
    <n v="0"/>
    <n v="183000"/>
    <x v="1"/>
    <x v="0"/>
    <x v="1"/>
    <d v="2025-12-01T00:00:00"/>
    <n v="183000"/>
    <x v="0"/>
  </r>
  <r>
    <n v="102080"/>
    <n v="42"/>
    <n v="31900"/>
    <x v="0"/>
    <n v="39900"/>
    <n v="0"/>
    <x v="5"/>
    <x v="0"/>
    <x v="1"/>
    <d v="2025-02-10T00:00:00"/>
    <n v="39900"/>
    <x v="0"/>
  </r>
  <r>
    <n v="102081"/>
    <n v="47"/>
    <n v="70000"/>
    <x v="1"/>
    <n v="0"/>
    <n v="0"/>
    <x v="2"/>
    <x v="1"/>
    <x v="1"/>
    <d v="2024-10-01T00:00:00"/>
    <n v="0"/>
    <x v="1"/>
  </r>
  <r>
    <n v="102082"/>
    <n v="31"/>
    <n v="56500"/>
    <x v="1"/>
    <n v="17500"/>
    <n v="0"/>
    <x v="4"/>
    <x v="2"/>
    <x v="1"/>
    <d v="2025-02-12T00:00:00"/>
    <n v="17500"/>
    <x v="0"/>
  </r>
  <r>
    <n v="102083"/>
    <n v="42"/>
    <n v="62900"/>
    <x v="1"/>
    <n v="8300"/>
    <n v="0"/>
    <x v="4"/>
    <x v="2"/>
    <x v="1"/>
    <d v="2024-03-14T00:00:00"/>
    <n v="8300"/>
    <x v="0"/>
  </r>
  <r>
    <n v="102084"/>
    <n v="40"/>
    <n v="102600"/>
    <x v="2"/>
    <n v="0"/>
    <n v="137000"/>
    <x v="2"/>
    <x v="2"/>
    <x v="1"/>
    <d v="2025-11-11T00:00:00"/>
    <n v="137000"/>
    <x v="1"/>
  </r>
  <r>
    <n v="102085"/>
    <n v="64"/>
    <n v="65800"/>
    <x v="1"/>
    <n v="44200"/>
    <n v="0"/>
    <x v="1"/>
    <x v="2"/>
    <x v="1"/>
    <d v="2024-10-30T00:00:00"/>
    <n v="44200"/>
    <x v="0"/>
  </r>
  <r>
    <n v="102086"/>
    <n v="62"/>
    <n v="81800"/>
    <x v="1"/>
    <n v="12300"/>
    <n v="0"/>
    <x v="6"/>
    <x v="1"/>
    <x v="1"/>
    <d v="2024-04-09T00:00:00"/>
    <n v="12300"/>
    <x v="1"/>
  </r>
  <r>
    <n v="102087"/>
    <n v="32"/>
    <n v="41500"/>
    <x v="1"/>
    <n v="51000"/>
    <n v="164000"/>
    <x v="3"/>
    <x v="0"/>
    <x v="1"/>
    <d v="2026-04-18T00:00:00"/>
    <n v="215000"/>
    <x v="0"/>
  </r>
  <r>
    <n v="102088"/>
    <n v="61"/>
    <n v="33000"/>
    <x v="2"/>
    <n v="41200"/>
    <n v="0"/>
    <x v="2"/>
    <x v="0"/>
    <x v="1"/>
    <d v="2026-07-22T00:00:00"/>
    <n v="41200"/>
    <x v="0"/>
  </r>
  <r>
    <n v="102089"/>
    <n v="27"/>
    <n v="76700"/>
    <x v="0"/>
    <n v="0"/>
    <n v="0"/>
    <x v="7"/>
    <x v="3"/>
    <x v="1"/>
    <d v="2024-11-01T00:00:00"/>
    <n v="0"/>
    <x v="1"/>
  </r>
  <r>
    <n v="102090"/>
    <n v="20"/>
    <n v="34700"/>
    <x v="0"/>
    <n v="21600"/>
    <n v="0"/>
    <x v="1"/>
    <x v="1"/>
    <x v="1"/>
    <d v="2024-05-16T00:00:00"/>
    <n v="21600"/>
    <x v="0"/>
  </r>
  <r>
    <n v="102091"/>
    <n v="73"/>
    <n v="89900"/>
    <x v="1"/>
    <n v="0"/>
    <n v="340000"/>
    <x v="7"/>
    <x v="2"/>
    <x v="1"/>
    <d v="2025-06-21T00:00:00"/>
    <n v="340000"/>
    <x v="1"/>
  </r>
  <r>
    <n v="102092"/>
    <n v="50"/>
    <n v="43700"/>
    <x v="1"/>
    <n v="49200"/>
    <n v="0"/>
    <x v="1"/>
    <x v="1"/>
    <x v="1"/>
    <d v="2026-02-05T00:00:00"/>
    <n v="49200"/>
    <x v="0"/>
  </r>
  <r>
    <n v="102093"/>
    <n v="39"/>
    <n v="82900"/>
    <x v="1"/>
    <n v="15500"/>
    <n v="0"/>
    <x v="4"/>
    <x v="2"/>
    <x v="1"/>
    <d v="2026-08-10T00:00:00"/>
    <n v="15500"/>
    <x v="1"/>
  </r>
  <r>
    <n v="102094"/>
    <n v="47"/>
    <n v="86600"/>
    <x v="1"/>
    <n v="6900"/>
    <n v="0"/>
    <x v="6"/>
    <x v="2"/>
    <x v="1"/>
    <d v="2025-06-28T00:00:00"/>
    <n v="6900"/>
    <x v="1"/>
  </r>
  <r>
    <n v="102095"/>
    <n v="33"/>
    <n v="85100"/>
    <x v="1"/>
    <n v="0"/>
    <n v="0"/>
    <x v="0"/>
    <x v="2"/>
    <x v="1"/>
    <d v="2026-06-02T00:00:00"/>
    <n v="0"/>
    <x v="1"/>
  </r>
  <r>
    <n v="102096"/>
    <n v="59"/>
    <n v="56100"/>
    <x v="2"/>
    <n v="40300"/>
    <n v="0"/>
    <x v="5"/>
    <x v="1"/>
    <x v="1"/>
    <d v="2025-10-29T00:00:00"/>
    <n v="40300"/>
    <x v="0"/>
  </r>
  <r>
    <n v="102097"/>
    <n v="30"/>
    <n v="60800"/>
    <x v="1"/>
    <n v="0"/>
    <n v="153000"/>
    <x v="1"/>
    <x v="1"/>
    <x v="1"/>
    <d v="2024-01-22T00:00:00"/>
    <n v="153000"/>
    <x v="0"/>
  </r>
  <r>
    <n v="102098"/>
    <n v="67"/>
    <n v="74600"/>
    <x v="1"/>
    <n v="4800"/>
    <n v="0"/>
    <x v="4"/>
    <x v="1"/>
    <x v="1"/>
    <d v="2025-02-09T00:00:00"/>
    <n v="4800"/>
    <x v="1"/>
  </r>
  <r>
    <n v="102099"/>
    <n v="32"/>
    <n v="94600"/>
    <x v="1"/>
    <n v="24700"/>
    <n v="158000"/>
    <x v="3"/>
    <x v="1"/>
    <x v="0"/>
    <d v="2024-12-29T00:00:00"/>
    <n v="182700"/>
    <x v="1"/>
  </r>
  <r>
    <n v="102100"/>
    <n v="55"/>
    <n v="74600"/>
    <x v="2"/>
    <n v="0"/>
    <n v="0"/>
    <x v="6"/>
    <x v="2"/>
    <x v="1"/>
    <d v="2025-02-11T00:00:00"/>
    <n v="0"/>
    <x v="1"/>
  </r>
  <r>
    <n v="102101"/>
    <n v="54"/>
    <n v="75400"/>
    <x v="1"/>
    <n v="30200"/>
    <n v="155000"/>
    <x v="3"/>
    <x v="0"/>
    <x v="1"/>
    <d v="2026-07-03T00:00:00"/>
    <n v="185200"/>
    <x v="1"/>
  </r>
  <r>
    <n v="102102"/>
    <n v="44"/>
    <n v="73200"/>
    <x v="2"/>
    <n v="55700"/>
    <n v="0"/>
    <x v="0"/>
    <x v="1"/>
    <x v="1"/>
    <d v="2026-06-23T00:00:00"/>
    <n v="55700"/>
    <x v="1"/>
  </r>
  <r>
    <n v="102103"/>
    <n v="60"/>
    <n v="111000"/>
    <x v="2"/>
    <n v="0"/>
    <n v="0"/>
    <x v="4"/>
    <x v="2"/>
    <x v="1"/>
    <d v="2024-04-17T00:00:00"/>
    <n v="0"/>
    <x v="1"/>
  </r>
  <r>
    <n v="102104"/>
    <n v="35"/>
    <n v="55300"/>
    <x v="1"/>
    <n v="0"/>
    <n v="114000"/>
    <x v="4"/>
    <x v="1"/>
    <x v="1"/>
    <d v="2026-03-21T00:00:00"/>
    <n v="114000"/>
    <x v="0"/>
  </r>
  <r>
    <n v="102105"/>
    <n v="30"/>
    <n v="41300"/>
    <x v="1"/>
    <n v="13800"/>
    <n v="0"/>
    <x v="3"/>
    <x v="1"/>
    <x v="1"/>
    <d v="2026-01-24T00:00:00"/>
    <n v="13800"/>
    <x v="0"/>
  </r>
  <r>
    <n v="102106"/>
    <n v="58"/>
    <n v="78300"/>
    <x v="1"/>
    <n v="47000"/>
    <n v="0"/>
    <x v="6"/>
    <x v="2"/>
    <x v="1"/>
    <d v="2025-05-19T00:00:00"/>
    <n v="47000"/>
    <x v="1"/>
  </r>
  <r>
    <n v="102107"/>
    <n v="44"/>
    <n v="34000"/>
    <x v="1"/>
    <n v="0"/>
    <n v="0"/>
    <x v="4"/>
    <x v="2"/>
    <x v="1"/>
    <d v="2026-07-09T00:00:00"/>
    <n v="0"/>
    <x v="0"/>
  </r>
  <r>
    <n v="102108"/>
    <n v="54"/>
    <n v="61400"/>
    <x v="2"/>
    <n v="0"/>
    <n v="115000"/>
    <x v="4"/>
    <x v="1"/>
    <x v="1"/>
    <d v="2025-03-31T00:00:00"/>
    <n v="115000"/>
    <x v="0"/>
  </r>
  <r>
    <n v="102109"/>
    <n v="46"/>
    <n v="35700"/>
    <x v="2"/>
    <n v="25900"/>
    <n v="0"/>
    <x v="3"/>
    <x v="0"/>
    <x v="1"/>
    <d v="2025-11-07T00:00:00"/>
    <n v="25900"/>
    <x v="0"/>
  </r>
  <r>
    <n v="102110"/>
    <n v="51"/>
    <n v="39900"/>
    <x v="0"/>
    <n v="0"/>
    <n v="0"/>
    <x v="4"/>
    <x v="0"/>
    <x v="1"/>
    <d v="2025-01-20T00:00:00"/>
    <n v="0"/>
    <x v="0"/>
  </r>
  <r>
    <n v="102111"/>
    <n v="43"/>
    <n v="75300"/>
    <x v="2"/>
    <n v="51300"/>
    <n v="0"/>
    <x v="2"/>
    <x v="1"/>
    <x v="1"/>
    <d v="2024-11-27T00:00:00"/>
    <n v="51300"/>
    <x v="1"/>
  </r>
  <r>
    <n v="102112"/>
    <n v="48"/>
    <n v="41400"/>
    <x v="0"/>
    <n v="51800"/>
    <n v="174000"/>
    <x v="5"/>
    <x v="0"/>
    <x v="1"/>
    <d v="2024-01-10T00:00:00"/>
    <n v="225800"/>
    <x v="0"/>
  </r>
  <r>
    <n v="102113"/>
    <n v="68"/>
    <n v="56000"/>
    <x v="1"/>
    <n v="60400"/>
    <n v="163000"/>
    <x v="7"/>
    <x v="2"/>
    <x v="1"/>
    <d v="2025-03-09T00:00:00"/>
    <n v="223400"/>
    <x v="0"/>
  </r>
  <r>
    <n v="102114"/>
    <n v="57"/>
    <n v="119300"/>
    <x v="1"/>
    <n v="0"/>
    <n v="0"/>
    <x v="1"/>
    <x v="2"/>
    <x v="1"/>
    <d v="2025-07-29T00:00:00"/>
    <n v="0"/>
    <x v="1"/>
  </r>
  <r>
    <n v="102115"/>
    <n v="20"/>
    <n v="63600"/>
    <x v="0"/>
    <n v="45000"/>
    <n v="0"/>
    <x v="2"/>
    <x v="1"/>
    <x v="1"/>
    <d v="2024-10-18T00:00:00"/>
    <n v="45000"/>
    <x v="0"/>
  </r>
  <r>
    <n v="102116"/>
    <n v="45"/>
    <n v="45500"/>
    <x v="2"/>
    <n v="40200"/>
    <n v="0"/>
    <x v="5"/>
    <x v="2"/>
    <x v="1"/>
    <d v="2024-10-22T00:00:00"/>
    <n v="40200"/>
    <x v="0"/>
  </r>
  <r>
    <n v="102117"/>
    <n v="73"/>
    <n v="56900"/>
    <x v="2"/>
    <n v="28300"/>
    <n v="0"/>
    <x v="0"/>
    <x v="3"/>
    <x v="1"/>
    <d v="2025-08-21T00:00:00"/>
    <n v="28300"/>
    <x v="0"/>
  </r>
  <r>
    <n v="102118"/>
    <n v="54"/>
    <n v="26700"/>
    <x v="1"/>
    <n v="33400"/>
    <n v="0"/>
    <x v="1"/>
    <x v="3"/>
    <x v="1"/>
    <d v="2024-06-24T00:00:00"/>
    <n v="33400"/>
    <x v="0"/>
  </r>
  <r>
    <n v="102119"/>
    <n v="27"/>
    <n v="89800"/>
    <x v="2"/>
    <n v="16000"/>
    <n v="0"/>
    <x v="1"/>
    <x v="2"/>
    <x v="1"/>
    <d v="2026-07-12T00:00:00"/>
    <n v="16000"/>
    <x v="1"/>
  </r>
  <r>
    <n v="102120"/>
    <n v="23"/>
    <n v="25000"/>
    <x v="0"/>
    <n v="31200"/>
    <n v="0"/>
    <x v="0"/>
    <x v="0"/>
    <x v="0"/>
    <d v="2026-06-17T00:00:00"/>
    <n v="31200"/>
    <x v="0"/>
  </r>
  <r>
    <n v="102121"/>
    <n v="54"/>
    <n v="65100"/>
    <x v="1"/>
    <n v="9600"/>
    <n v="0"/>
    <x v="3"/>
    <x v="1"/>
    <x v="1"/>
    <d v="2024-09-25T00:00:00"/>
    <n v="9600"/>
    <x v="0"/>
  </r>
  <r>
    <n v="102122"/>
    <n v="73"/>
    <n v="92100"/>
    <x v="2"/>
    <n v="29200"/>
    <n v="0"/>
    <x v="6"/>
    <x v="2"/>
    <x v="1"/>
    <d v="2026-03-18T00:00:00"/>
    <n v="29200"/>
    <x v="1"/>
  </r>
  <r>
    <n v="102123"/>
    <n v="43"/>
    <n v="101100"/>
    <x v="1"/>
    <n v="44900"/>
    <n v="0"/>
    <x v="1"/>
    <x v="2"/>
    <x v="1"/>
    <d v="2026-03-08T00:00:00"/>
    <n v="44900"/>
    <x v="1"/>
  </r>
  <r>
    <n v="102124"/>
    <n v="58"/>
    <n v="50300"/>
    <x v="1"/>
    <n v="0"/>
    <n v="0"/>
    <x v="1"/>
    <x v="2"/>
    <x v="1"/>
    <d v="2025-07-25T00:00:00"/>
    <n v="0"/>
    <x v="0"/>
  </r>
  <r>
    <n v="102125"/>
    <n v="36"/>
    <n v="82100"/>
    <x v="1"/>
    <n v="36100"/>
    <n v="0"/>
    <x v="5"/>
    <x v="2"/>
    <x v="1"/>
    <d v="2025-05-29T00:00:00"/>
    <n v="36100"/>
    <x v="1"/>
  </r>
  <r>
    <n v="102126"/>
    <n v="68"/>
    <n v="58400"/>
    <x v="0"/>
    <n v="14900"/>
    <n v="0"/>
    <x v="1"/>
    <x v="0"/>
    <x v="1"/>
    <d v="2024-02-01T00:00:00"/>
    <n v="14900"/>
    <x v="0"/>
  </r>
  <r>
    <n v="102127"/>
    <n v="27"/>
    <n v="69700"/>
    <x v="1"/>
    <n v="45500"/>
    <n v="164000"/>
    <x v="5"/>
    <x v="1"/>
    <x v="1"/>
    <d v="2024-05-14T00:00:00"/>
    <n v="209500"/>
    <x v="0"/>
  </r>
  <r>
    <n v="102128"/>
    <n v="58"/>
    <n v="66800"/>
    <x v="1"/>
    <n v="43900"/>
    <n v="0"/>
    <x v="1"/>
    <x v="0"/>
    <x v="1"/>
    <d v="2024-11-04T00:00:00"/>
    <n v="43900"/>
    <x v="0"/>
  </r>
  <r>
    <n v="102129"/>
    <n v="22"/>
    <n v="51700"/>
    <x v="0"/>
    <n v="24500"/>
    <n v="0"/>
    <x v="1"/>
    <x v="0"/>
    <x v="1"/>
    <d v="2026-08-12T00:00:00"/>
    <n v="24500"/>
    <x v="0"/>
  </r>
  <r>
    <n v="102130"/>
    <n v="47"/>
    <n v="82200"/>
    <x v="1"/>
    <n v="0"/>
    <n v="78000"/>
    <x v="3"/>
    <x v="2"/>
    <x v="1"/>
    <d v="2025-10-12T00:00:00"/>
    <n v="78000"/>
    <x v="1"/>
  </r>
  <r>
    <n v="102131"/>
    <n v="61"/>
    <n v="72100"/>
    <x v="1"/>
    <n v="33700"/>
    <n v="0"/>
    <x v="1"/>
    <x v="1"/>
    <x v="1"/>
    <d v="2026-03-15T00:00:00"/>
    <n v="33700"/>
    <x v="1"/>
  </r>
  <r>
    <n v="102132"/>
    <n v="40"/>
    <n v="51300"/>
    <x v="1"/>
    <n v="17500"/>
    <n v="0"/>
    <x v="3"/>
    <x v="1"/>
    <x v="1"/>
    <d v="2025-05-15T00:00:00"/>
    <n v="17500"/>
    <x v="0"/>
  </r>
  <r>
    <n v="102133"/>
    <n v="73"/>
    <n v="32800"/>
    <x v="1"/>
    <n v="25700"/>
    <n v="256000"/>
    <x v="6"/>
    <x v="2"/>
    <x v="1"/>
    <d v="2024-05-10T00:00:00"/>
    <n v="281700"/>
    <x v="0"/>
  </r>
  <r>
    <n v="102134"/>
    <n v="62"/>
    <n v="40300"/>
    <x v="1"/>
    <n v="0"/>
    <n v="0"/>
    <x v="7"/>
    <x v="1"/>
    <x v="1"/>
    <d v="2026-03-08T00:00:00"/>
    <n v="0"/>
    <x v="0"/>
  </r>
  <r>
    <n v="102135"/>
    <n v="60"/>
    <n v="37600"/>
    <x v="2"/>
    <n v="29700"/>
    <n v="0"/>
    <x v="3"/>
    <x v="0"/>
    <x v="1"/>
    <d v="2025-12-30T00:00:00"/>
    <n v="29700"/>
    <x v="0"/>
  </r>
  <r>
    <n v="102136"/>
    <n v="63"/>
    <n v="48200"/>
    <x v="1"/>
    <n v="44200"/>
    <n v="301000"/>
    <x v="4"/>
    <x v="1"/>
    <x v="1"/>
    <d v="2025-02-19T00:00:00"/>
    <n v="345200"/>
    <x v="0"/>
  </r>
  <r>
    <n v="102137"/>
    <n v="27"/>
    <n v="115100"/>
    <x v="1"/>
    <n v="12900"/>
    <n v="176000"/>
    <x v="6"/>
    <x v="1"/>
    <x v="1"/>
    <d v="2025-01-06T00:00:00"/>
    <n v="188900"/>
    <x v="1"/>
  </r>
  <r>
    <n v="102138"/>
    <n v="39"/>
    <n v="67200"/>
    <x v="1"/>
    <n v="22000"/>
    <n v="181000"/>
    <x v="3"/>
    <x v="1"/>
    <x v="1"/>
    <d v="2025-03-24T00:00:00"/>
    <n v="203000"/>
    <x v="0"/>
  </r>
  <r>
    <n v="102139"/>
    <n v="75"/>
    <n v="61900"/>
    <x v="0"/>
    <n v="0"/>
    <n v="282000"/>
    <x v="7"/>
    <x v="2"/>
    <x v="1"/>
    <d v="2025-08-17T00:00:00"/>
    <n v="282000"/>
    <x v="0"/>
  </r>
  <r>
    <n v="102140"/>
    <n v="39"/>
    <n v="75800"/>
    <x v="2"/>
    <n v="21500"/>
    <n v="0"/>
    <x v="3"/>
    <x v="2"/>
    <x v="1"/>
    <d v="2025-06-06T00:00:00"/>
    <n v="21500"/>
    <x v="1"/>
  </r>
  <r>
    <n v="102141"/>
    <n v="54"/>
    <n v="27000"/>
    <x v="1"/>
    <n v="29400"/>
    <n v="0"/>
    <x v="0"/>
    <x v="0"/>
    <x v="1"/>
    <d v="2025-10-21T00:00:00"/>
    <n v="29400"/>
    <x v="0"/>
  </r>
  <r>
    <n v="102142"/>
    <n v="53"/>
    <n v="101600"/>
    <x v="2"/>
    <n v="9300"/>
    <n v="0"/>
    <x v="4"/>
    <x v="1"/>
    <x v="1"/>
    <d v="2024-12-27T00:00:00"/>
    <n v="9300"/>
    <x v="1"/>
  </r>
  <r>
    <n v="102143"/>
    <n v="70"/>
    <n v="39600"/>
    <x v="0"/>
    <n v="22700"/>
    <n v="0"/>
    <x v="4"/>
    <x v="1"/>
    <x v="1"/>
    <d v="2024-07-04T00:00:00"/>
    <n v="22700"/>
    <x v="0"/>
  </r>
  <r>
    <n v="102144"/>
    <n v="27"/>
    <n v="56100"/>
    <x v="1"/>
    <n v="43600"/>
    <n v="0"/>
    <x v="3"/>
    <x v="1"/>
    <x v="1"/>
    <d v="2025-06-08T00:00:00"/>
    <n v="43600"/>
    <x v="0"/>
  </r>
  <r>
    <n v="102145"/>
    <n v="23"/>
    <n v="34500"/>
    <x v="0"/>
    <n v="29600"/>
    <n v="0"/>
    <x v="5"/>
    <x v="1"/>
    <x v="1"/>
    <d v="2024-03-30T00:00:00"/>
    <n v="29600"/>
    <x v="0"/>
  </r>
  <r>
    <n v="102146"/>
    <n v="67"/>
    <n v="58400"/>
    <x v="0"/>
    <n v="0"/>
    <n v="0"/>
    <x v="1"/>
    <x v="1"/>
    <x v="1"/>
    <d v="2024-03-07T00:00:00"/>
    <n v="0"/>
    <x v="0"/>
  </r>
  <r>
    <n v="102147"/>
    <n v="39"/>
    <n v="42600"/>
    <x v="0"/>
    <n v="39900"/>
    <n v="0"/>
    <x v="1"/>
    <x v="0"/>
    <x v="1"/>
    <d v="2026-07-16T00:00:00"/>
    <n v="39900"/>
    <x v="0"/>
  </r>
  <r>
    <n v="102148"/>
    <n v="41"/>
    <n v="29900"/>
    <x v="0"/>
    <n v="8400"/>
    <n v="104000"/>
    <x v="2"/>
    <x v="1"/>
    <x v="1"/>
    <d v="2025-06-28T00:00:00"/>
    <n v="112400"/>
    <x v="0"/>
  </r>
  <r>
    <n v="102149"/>
    <n v="34"/>
    <n v="89400"/>
    <x v="0"/>
    <n v="13600"/>
    <n v="229000"/>
    <x v="5"/>
    <x v="0"/>
    <x v="1"/>
    <d v="2024-10-28T00:00:00"/>
    <n v="242600"/>
    <x v="1"/>
  </r>
  <r>
    <n v="102150"/>
    <n v="44"/>
    <n v="45600"/>
    <x v="2"/>
    <n v="0"/>
    <n v="0"/>
    <x v="7"/>
    <x v="1"/>
    <x v="1"/>
    <d v="2025-03-24T00:00:00"/>
    <n v="0"/>
    <x v="0"/>
  </r>
  <r>
    <n v="102151"/>
    <n v="30"/>
    <n v="64200"/>
    <x v="2"/>
    <n v="0"/>
    <n v="0"/>
    <x v="2"/>
    <x v="1"/>
    <x v="1"/>
    <d v="2025-08-07T00:00:00"/>
    <n v="0"/>
    <x v="0"/>
  </r>
  <r>
    <n v="102152"/>
    <n v="42"/>
    <n v="80800"/>
    <x v="1"/>
    <n v="14500"/>
    <n v="0"/>
    <x v="4"/>
    <x v="2"/>
    <x v="1"/>
    <d v="2025-08-20T00:00:00"/>
    <n v="14500"/>
    <x v="1"/>
  </r>
  <r>
    <n v="102153"/>
    <n v="49"/>
    <n v="78500"/>
    <x v="0"/>
    <n v="0"/>
    <n v="0"/>
    <x v="0"/>
    <x v="0"/>
    <x v="1"/>
    <d v="2024-11-02T00:00:00"/>
    <n v="0"/>
    <x v="1"/>
  </r>
  <r>
    <n v="102154"/>
    <n v="53"/>
    <n v="62700"/>
    <x v="0"/>
    <n v="0"/>
    <n v="0"/>
    <x v="0"/>
    <x v="1"/>
    <x v="1"/>
    <d v="2026-08-06T00:00:00"/>
    <n v="0"/>
    <x v="0"/>
  </r>
  <r>
    <n v="102155"/>
    <n v="41"/>
    <n v="80400"/>
    <x v="0"/>
    <n v="0"/>
    <n v="174000"/>
    <x v="0"/>
    <x v="1"/>
    <x v="1"/>
    <d v="2026-03-24T00:00:00"/>
    <n v="174000"/>
    <x v="1"/>
  </r>
  <r>
    <n v="102156"/>
    <n v="33"/>
    <n v="54700"/>
    <x v="0"/>
    <n v="68400"/>
    <n v="0"/>
    <x v="0"/>
    <x v="2"/>
    <x v="1"/>
    <d v="2025-10-15T00:00:00"/>
    <n v="68400"/>
    <x v="0"/>
  </r>
  <r>
    <n v="102157"/>
    <n v="21"/>
    <n v="41800"/>
    <x v="0"/>
    <n v="0"/>
    <n v="0"/>
    <x v="0"/>
    <x v="0"/>
    <x v="1"/>
    <d v="2025-08-14T00:00:00"/>
    <n v="0"/>
    <x v="0"/>
  </r>
  <r>
    <n v="102158"/>
    <n v="35"/>
    <n v="68000"/>
    <x v="2"/>
    <n v="0"/>
    <n v="350000"/>
    <x v="2"/>
    <x v="1"/>
    <x v="1"/>
    <d v="2026-06-27T00:00:00"/>
    <n v="350000"/>
    <x v="0"/>
  </r>
  <r>
    <n v="102159"/>
    <n v="72"/>
    <n v="25800"/>
    <x v="0"/>
    <n v="32200"/>
    <n v="0"/>
    <x v="4"/>
    <x v="0"/>
    <x v="1"/>
    <d v="2025-08-13T00:00:00"/>
    <n v="32200"/>
    <x v="0"/>
  </r>
  <r>
    <n v="102160"/>
    <n v="23"/>
    <n v="51200"/>
    <x v="1"/>
    <n v="0"/>
    <n v="0"/>
    <x v="3"/>
    <x v="2"/>
    <x v="1"/>
    <d v="2026-03-19T00:00:00"/>
    <n v="0"/>
    <x v="0"/>
  </r>
  <r>
    <n v="102161"/>
    <n v="43"/>
    <n v="33500"/>
    <x v="2"/>
    <n v="34000"/>
    <n v="0"/>
    <x v="7"/>
    <x v="3"/>
    <x v="0"/>
    <d v="2026-05-06T00:00:00"/>
    <n v="34000"/>
    <x v="0"/>
  </r>
  <r>
    <n v="102162"/>
    <n v="62"/>
    <n v="48000"/>
    <x v="1"/>
    <n v="49900"/>
    <n v="225000"/>
    <x v="0"/>
    <x v="2"/>
    <x v="1"/>
    <d v="2025-06-29T00:00:00"/>
    <n v="274900"/>
    <x v="0"/>
  </r>
  <r>
    <n v="102163"/>
    <n v="28"/>
    <n v="91900"/>
    <x v="2"/>
    <n v="42700"/>
    <n v="0"/>
    <x v="0"/>
    <x v="2"/>
    <x v="1"/>
    <d v="2025-08-10T00:00:00"/>
    <n v="42700"/>
    <x v="1"/>
  </r>
  <r>
    <n v="102164"/>
    <n v="23"/>
    <n v="74700"/>
    <x v="1"/>
    <n v="13900"/>
    <n v="0"/>
    <x v="0"/>
    <x v="2"/>
    <x v="1"/>
    <d v="2026-06-19T00:00:00"/>
    <n v="13900"/>
    <x v="1"/>
  </r>
  <r>
    <n v="102165"/>
    <n v="28"/>
    <n v="46900"/>
    <x v="0"/>
    <n v="11900"/>
    <n v="0"/>
    <x v="7"/>
    <x v="2"/>
    <x v="1"/>
    <d v="2024-05-23T00:00:00"/>
    <n v="11900"/>
    <x v="0"/>
  </r>
  <r>
    <n v="102166"/>
    <n v="48"/>
    <n v="32600"/>
    <x v="0"/>
    <n v="39600"/>
    <n v="0"/>
    <x v="3"/>
    <x v="1"/>
    <x v="1"/>
    <d v="2024-03-02T00:00:00"/>
    <n v="39600"/>
    <x v="0"/>
  </r>
  <r>
    <n v="102167"/>
    <n v="65"/>
    <n v="22400"/>
    <x v="1"/>
    <n v="28000"/>
    <n v="0"/>
    <x v="1"/>
    <x v="2"/>
    <x v="1"/>
    <d v="2024-10-25T00:00:00"/>
    <n v="28000"/>
    <x v="0"/>
  </r>
  <r>
    <n v="102168"/>
    <n v="48"/>
    <n v="72600"/>
    <x v="1"/>
    <n v="27600"/>
    <n v="0"/>
    <x v="7"/>
    <x v="1"/>
    <x v="1"/>
    <d v="2026-03-19T00:00:00"/>
    <n v="27600"/>
    <x v="1"/>
  </r>
  <r>
    <n v="102169"/>
    <n v="27"/>
    <n v="34500"/>
    <x v="1"/>
    <n v="43100"/>
    <n v="133000"/>
    <x v="3"/>
    <x v="1"/>
    <x v="1"/>
    <d v="2024-01-29T00:00:00"/>
    <n v="176100"/>
    <x v="0"/>
  </r>
  <r>
    <n v="102170"/>
    <n v="74"/>
    <n v="38600"/>
    <x v="0"/>
    <n v="0"/>
    <n v="0"/>
    <x v="1"/>
    <x v="2"/>
    <x v="1"/>
    <d v="2026-07-25T00:00:00"/>
    <n v="0"/>
    <x v="0"/>
  </r>
  <r>
    <n v="102171"/>
    <n v="35"/>
    <n v="46600"/>
    <x v="0"/>
    <n v="21300"/>
    <n v="257000"/>
    <x v="1"/>
    <x v="2"/>
    <x v="1"/>
    <d v="2025-09-30T00:00:00"/>
    <n v="278300"/>
    <x v="0"/>
  </r>
  <r>
    <n v="102172"/>
    <n v="64"/>
    <n v="57200"/>
    <x v="2"/>
    <n v="19000"/>
    <n v="0"/>
    <x v="5"/>
    <x v="1"/>
    <x v="1"/>
    <d v="2025-01-17T00:00:00"/>
    <n v="19000"/>
    <x v="0"/>
  </r>
  <r>
    <n v="102173"/>
    <n v="27"/>
    <n v="28000"/>
    <x v="0"/>
    <n v="15800"/>
    <n v="0"/>
    <x v="6"/>
    <x v="1"/>
    <x v="1"/>
    <d v="2024-08-01T00:00:00"/>
    <n v="15800"/>
    <x v="0"/>
  </r>
  <r>
    <n v="102174"/>
    <n v="47"/>
    <n v="37000"/>
    <x v="2"/>
    <n v="0"/>
    <n v="0"/>
    <x v="5"/>
    <x v="0"/>
    <x v="1"/>
    <d v="2025-04-09T00:00:00"/>
    <n v="0"/>
    <x v="0"/>
  </r>
  <r>
    <n v="102175"/>
    <n v="27"/>
    <n v="61900"/>
    <x v="0"/>
    <n v="53900"/>
    <n v="0"/>
    <x v="1"/>
    <x v="1"/>
    <x v="0"/>
    <d v="2025-05-22T00:00:00"/>
    <n v="53900"/>
    <x v="0"/>
  </r>
  <r>
    <n v="102176"/>
    <n v="45"/>
    <n v="44600"/>
    <x v="0"/>
    <n v="0"/>
    <n v="0"/>
    <x v="6"/>
    <x v="0"/>
    <x v="1"/>
    <d v="2024-06-26T00:00:00"/>
    <n v="0"/>
    <x v="0"/>
  </r>
  <r>
    <n v="102177"/>
    <n v="52"/>
    <n v="62400"/>
    <x v="2"/>
    <n v="0"/>
    <n v="0"/>
    <x v="5"/>
    <x v="0"/>
    <x v="1"/>
    <d v="2026-02-11T00:00:00"/>
    <n v="0"/>
    <x v="0"/>
  </r>
  <r>
    <n v="102178"/>
    <n v="42"/>
    <n v="35300"/>
    <x v="0"/>
    <n v="0"/>
    <n v="0"/>
    <x v="7"/>
    <x v="2"/>
    <x v="1"/>
    <d v="2025-05-17T00:00:00"/>
    <n v="0"/>
    <x v="0"/>
  </r>
  <r>
    <n v="102179"/>
    <n v="27"/>
    <n v="56600"/>
    <x v="2"/>
    <n v="70800"/>
    <n v="0"/>
    <x v="0"/>
    <x v="0"/>
    <x v="1"/>
    <d v="2026-05-09T00:00:00"/>
    <n v="70800"/>
    <x v="0"/>
  </r>
  <r>
    <n v="102180"/>
    <n v="73"/>
    <n v="88000"/>
    <x v="0"/>
    <n v="0"/>
    <n v="170000"/>
    <x v="3"/>
    <x v="1"/>
    <x v="1"/>
    <d v="2026-02-17T00:00:00"/>
    <n v="170000"/>
    <x v="1"/>
  </r>
  <r>
    <n v="102181"/>
    <n v="53"/>
    <n v="98800"/>
    <x v="0"/>
    <n v="32000"/>
    <n v="0"/>
    <x v="2"/>
    <x v="3"/>
    <x v="1"/>
    <d v="2024-08-27T00:00:00"/>
    <n v="32000"/>
    <x v="1"/>
  </r>
  <r>
    <n v="102182"/>
    <n v="33"/>
    <n v="53400"/>
    <x v="0"/>
    <n v="57100"/>
    <n v="261000"/>
    <x v="6"/>
    <x v="1"/>
    <x v="1"/>
    <d v="2024-12-23T00:00:00"/>
    <n v="318100"/>
    <x v="0"/>
  </r>
  <r>
    <n v="102183"/>
    <n v="32"/>
    <n v="60700"/>
    <x v="0"/>
    <n v="7700"/>
    <n v="0"/>
    <x v="1"/>
    <x v="2"/>
    <x v="1"/>
    <d v="2024-06-19T00:00:00"/>
    <n v="7700"/>
    <x v="0"/>
  </r>
  <r>
    <n v="102184"/>
    <n v="22"/>
    <n v="102600"/>
    <x v="1"/>
    <n v="0"/>
    <n v="0"/>
    <x v="3"/>
    <x v="0"/>
    <x v="1"/>
    <d v="2025-09-17T00:00:00"/>
    <n v="0"/>
    <x v="1"/>
  </r>
  <r>
    <n v="102185"/>
    <n v="22"/>
    <n v="77900"/>
    <x v="1"/>
    <n v="5200"/>
    <n v="0"/>
    <x v="0"/>
    <x v="2"/>
    <x v="1"/>
    <d v="2025-05-21T00:00:00"/>
    <n v="5200"/>
    <x v="1"/>
  </r>
  <r>
    <n v="102186"/>
    <n v="64"/>
    <n v="66600"/>
    <x v="0"/>
    <n v="19500"/>
    <n v="0"/>
    <x v="3"/>
    <x v="0"/>
    <x v="1"/>
    <d v="2024-03-01T00:00:00"/>
    <n v="19500"/>
    <x v="0"/>
  </r>
  <r>
    <n v="102187"/>
    <n v="59"/>
    <n v="58600"/>
    <x v="0"/>
    <n v="41900"/>
    <n v="270000"/>
    <x v="7"/>
    <x v="2"/>
    <x v="1"/>
    <d v="2025-07-25T00:00:00"/>
    <n v="311900"/>
    <x v="0"/>
  </r>
  <r>
    <n v="102188"/>
    <n v="50"/>
    <n v="38100"/>
    <x v="1"/>
    <n v="47600"/>
    <n v="0"/>
    <x v="4"/>
    <x v="1"/>
    <x v="1"/>
    <d v="2025-05-22T00:00:00"/>
    <n v="47600"/>
    <x v="0"/>
  </r>
  <r>
    <n v="102189"/>
    <n v="73"/>
    <n v="46900"/>
    <x v="1"/>
    <n v="21800"/>
    <n v="0"/>
    <x v="3"/>
    <x v="2"/>
    <x v="1"/>
    <d v="2025-06-30T00:00:00"/>
    <n v="21800"/>
    <x v="0"/>
  </r>
  <r>
    <n v="102190"/>
    <n v="73"/>
    <n v="69000"/>
    <x v="1"/>
    <n v="35200"/>
    <n v="184000"/>
    <x v="6"/>
    <x v="1"/>
    <x v="1"/>
    <d v="2025-02-12T00:00:00"/>
    <n v="219200"/>
    <x v="0"/>
  </r>
  <r>
    <n v="102191"/>
    <n v="48"/>
    <n v="75100"/>
    <x v="1"/>
    <n v="0"/>
    <n v="97000"/>
    <x v="2"/>
    <x v="1"/>
    <x v="1"/>
    <d v="2024-08-30T00:00:00"/>
    <n v="97000"/>
    <x v="1"/>
  </r>
  <r>
    <n v="102192"/>
    <n v="45"/>
    <n v="97600"/>
    <x v="1"/>
    <n v="37900"/>
    <n v="359000"/>
    <x v="6"/>
    <x v="2"/>
    <x v="1"/>
    <d v="2025-09-11T00:00:00"/>
    <n v="396900"/>
    <x v="1"/>
  </r>
  <r>
    <n v="102193"/>
    <n v="40"/>
    <n v="27000"/>
    <x v="1"/>
    <n v="25000"/>
    <n v="0"/>
    <x v="6"/>
    <x v="2"/>
    <x v="1"/>
    <d v="2025-09-22T00:00:00"/>
    <n v="25000"/>
    <x v="0"/>
  </r>
  <r>
    <n v="102194"/>
    <n v="49"/>
    <n v="33500"/>
    <x v="0"/>
    <n v="31000"/>
    <n v="126000"/>
    <x v="1"/>
    <x v="0"/>
    <x v="1"/>
    <d v="2025-04-28T00:00:00"/>
    <n v="157000"/>
    <x v="0"/>
  </r>
  <r>
    <n v="102195"/>
    <n v="24"/>
    <n v="71700"/>
    <x v="1"/>
    <n v="7900"/>
    <n v="0"/>
    <x v="2"/>
    <x v="0"/>
    <x v="1"/>
    <d v="2024-10-13T00:00:00"/>
    <n v="7900"/>
    <x v="1"/>
  </r>
  <r>
    <n v="102196"/>
    <n v="67"/>
    <n v="53600"/>
    <x v="1"/>
    <n v="37800"/>
    <n v="0"/>
    <x v="0"/>
    <x v="1"/>
    <x v="0"/>
    <d v="2024-09-19T00:00:00"/>
    <n v="37800"/>
    <x v="0"/>
  </r>
  <r>
    <n v="102197"/>
    <n v="39"/>
    <n v="43700"/>
    <x v="1"/>
    <n v="0"/>
    <n v="0"/>
    <x v="5"/>
    <x v="1"/>
    <x v="1"/>
    <d v="2026-03-16T00:00:00"/>
    <n v="0"/>
    <x v="0"/>
  </r>
  <r>
    <n v="102198"/>
    <n v="28"/>
    <n v="40200"/>
    <x v="1"/>
    <n v="6700"/>
    <n v="0"/>
    <x v="3"/>
    <x v="3"/>
    <x v="1"/>
    <d v="2024-03-25T00:00:00"/>
    <n v="6700"/>
    <x v="0"/>
  </r>
  <r>
    <n v="102199"/>
    <n v="29"/>
    <n v="108800"/>
    <x v="2"/>
    <n v="6900"/>
    <n v="268000"/>
    <x v="7"/>
    <x v="1"/>
    <x v="1"/>
    <d v="2024-07-03T00:00:00"/>
    <n v="274900"/>
    <x v="1"/>
  </r>
  <r>
    <n v="102200"/>
    <n v="44"/>
    <n v="68600"/>
    <x v="1"/>
    <n v="42300"/>
    <n v="0"/>
    <x v="0"/>
    <x v="2"/>
    <x v="1"/>
    <d v="2025-02-22T00:00:00"/>
    <n v="42300"/>
    <x v="0"/>
  </r>
  <r>
    <n v="102201"/>
    <n v="25"/>
    <n v="71400"/>
    <x v="0"/>
    <n v="37000"/>
    <n v="0"/>
    <x v="4"/>
    <x v="2"/>
    <x v="1"/>
    <d v="2025-12-09T00:00:00"/>
    <n v="37000"/>
    <x v="1"/>
  </r>
  <r>
    <n v="102202"/>
    <n v="42"/>
    <n v="66000"/>
    <x v="1"/>
    <n v="15600"/>
    <n v="247000"/>
    <x v="2"/>
    <x v="3"/>
    <x v="1"/>
    <d v="2026-08-02T00:00:00"/>
    <n v="262600"/>
    <x v="0"/>
  </r>
  <r>
    <n v="102203"/>
    <n v="73"/>
    <n v="33600"/>
    <x v="0"/>
    <n v="28600"/>
    <n v="0"/>
    <x v="5"/>
    <x v="0"/>
    <x v="1"/>
    <d v="2026-06-25T00:00:00"/>
    <n v="28600"/>
    <x v="0"/>
  </r>
  <r>
    <n v="102204"/>
    <n v="46"/>
    <n v="44300"/>
    <x v="0"/>
    <n v="0"/>
    <n v="0"/>
    <x v="1"/>
    <x v="2"/>
    <x v="1"/>
    <d v="2025-04-19T00:00:00"/>
    <n v="0"/>
    <x v="0"/>
  </r>
  <r>
    <n v="102205"/>
    <n v="44"/>
    <n v="127100"/>
    <x v="2"/>
    <n v="22000"/>
    <n v="0"/>
    <x v="6"/>
    <x v="1"/>
    <x v="1"/>
    <d v="2026-04-20T00:00:00"/>
    <n v="22000"/>
    <x v="1"/>
  </r>
  <r>
    <n v="102206"/>
    <n v="62"/>
    <n v="64000"/>
    <x v="1"/>
    <n v="37900"/>
    <n v="0"/>
    <x v="4"/>
    <x v="2"/>
    <x v="1"/>
    <d v="2024-02-21T00:00:00"/>
    <n v="37900"/>
    <x v="0"/>
  </r>
  <r>
    <n v="102207"/>
    <n v="45"/>
    <n v="65000"/>
    <x v="0"/>
    <n v="56600"/>
    <n v="0"/>
    <x v="3"/>
    <x v="1"/>
    <x v="1"/>
    <d v="2025-10-02T00:00:00"/>
    <n v="56600"/>
    <x v="0"/>
  </r>
  <r>
    <n v="102208"/>
    <n v="28"/>
    <n v="89500"/>
    <x v="0"/>
    <n v="0"/>
    <n v="163000"/>
    <x v="1"/>
    <x v="2"/>
    <x v="1"/>
    <d v="2026-08-25T00:00:00"/>
    <n v="163000"/>
    <x v="1"/>
  </r>
  <r>
    <n v="102209"/>
    <n v="22"/>
    <n v="60100"/>
    <x v="1"/>
    <n v="35300"/>
    <n v="0"/>
    <x v="1"/>
    <x v="2"/>
    <x v="1"/>
    <d v="2024-01-10T00:00:00"/>
    <n v="35300"/>
    <x v="0"/>
  </r>
  <r>
    <n v="102210"/>
    <n v="30"/>
    <n v="31300"/>
    <x v="1"/>
    <n v="0"/>
    <n v="0"/>
    <x v="4"/>
    <x v="0"/>
    <x v="1"/>
    <d v="2025-01-02T00:00:00"/>
    <n v="0"/>
    <x v="0"/>
  </r>
  <r>
    <n v="102211"/>
    <n v="41"/>
    <n v="20000"/>
    <x v="1"/>
    <n v="11300"/>
    <n v="212000"/>
    <x v="3"/>
    <x v="0"/>
    <x v="1"/>
    <d v="2025-02-16T00:00:00"/>
    <n v="223300"/>
    <x v="0"/>
  </r>
  <r>
    <n v="102212"/>
    <n v="49"/>
    <n v="43400"/>
    <x v="1"/>
    <n v="34600"/>
    <n v="0"/>
    <x v="0"/>
    <x v="2"/>
    <x v="1"/>
    <d v="2026-03-28T00:00:00"/>
    <n v="34600"/>
    <x v="0"/>
  </r>
  <r>
    <n v="102213"/>
    <n v="20"/>
    <n v="25900"/>
    <x v="2"/>
    <n v="0"/>
    <n v="0"/>
    <x v="4"/>
    <x v="0"/>
    <x v="1"/>
    <d v="2024-05-22T00:00:00"/>
    <n v="0"/>
    <x v="0"/>
  </r>
  <r>
    <n v="102214"/>
    <n v="63"/>
    <n v="59400"/>
    <x v="2"/>
    <n v="0"/>
    <n v="0"/>
    <x v="7"/>
    <x v="0"/>
    <x v="1"/>
    <d v="2025-09-24T00:00:00"/>
    <n v="0"/>
    <x v="0"/>
  </r>
  <r>
    <n v="102215"/>
    <n v="22"/>
    <n v="52300"/>
    <x v="0"/>
    <n v="0"/>
    <n v="0"/>
    <x v="0"/>
    <x v="3"/>
    <x v="1"/>
    <d v="2026-06-06T00:00:00"/>
    <n v="0"/>
    <x v="0"/>
  </r>
  <r>
    <n v="102216"/>
    <n v="55"/>
    <n v="54700"/>
    <x v="2"/>
    <n v="9600"/>
    <n v="229000"/>
    <x v="5"/>
    <x v="1"/>
    <x v="1"/>
    <d v="2024-05-01T00:00:00"/>
    <n v="238600"/>
    <x v="0"/>
  </r>
  <r>
    <n v="102217"/>
    <n v="26"/>
    <n v="77800"/>
    <x v="1"/>
    <n v="68900"/>
    <n v="0"/>
    <x v="0"/>
    <x v="2"/>
    <x v="1"/>
    <d v="2025-07-22T00:00:00"/>
    <n v="68900"/>
    <x v="1"/>
  </r>
  <r>
    <n v="102218"/>
    <n v="61"/>
    <n v="51200"/>
    <x v="1"/>
    <n v="50900"/>
    <n v="0"/>
    <x v="5"/>
    <x v="2"/>
    <x v="0"/>
    <d v="2025-10-13T00:00:00"/>
    <n v="50900"/>
    <x v="0"/>
  </r>
  <r>
    <n v="102219"/>
    <n v="36"/>
    <n v="86200"/>
    <x v="0"/>
    <n v="19000"/>
    <n v="0"/>
    <x v="5"/>
    <x v="2"/>
    <x v="1"/>
    <d v="2024-11-25T00:00:00"/>
    <n v="19000"/>
    <x v="1"/>
  </r>
  <r>
    <n v="102220"/>
    <n v="44"/>
    <n v="106400"/>
    <x v="0"/>
    <n v="38500"/>
    <n v="0"/>
    <x v="1"/>
    <x v="2"/>
    <x v="1"/>
    <d v="2024-02-24T00:00:00"/>
    <n v="38500"/>
    <x v="1"/>
  </r>
  <r>
    <n v="102221"/>
    <n v="26"/>
    <n v="30500"/>
    <x v="1"/>
    <n v="0"/>
    <n v="0"/>
    <x v="4"/>
    <x v="0"/>
    <x v="1"/>
    <d v="2025-07-06T00:00:00"/>
    <n v="0"/>
    <x v="0"/>
  </r>
  <r>
    <n v="102222"/>
    <n v="25"/>
    <n v="74600"/>
    <x v="1"/>
    <n v="19800"/>
    <n v="0"/>
    <x v="5"/>
    <x v="3"/>
    <x v="0"/>
    <d v="2026-07-01T00:00:00"/>
    <n v="19800"/>
    <x v="1"/>
  </r>
  <r>
    <n v="102223"/>
    <n v="45"/>
    <n v="37500"/>
    <x v="0"/>
    <n v="11900"/>
    <n v="0"/>
    <x v="2"/>
    <x v="3"/>
    <x v="1"/>
    <d v="2026-03-19T00:00:00"/>
    <n v="11900"/>
    <x v="0"/>
  </r>
  <r>
    <n v="102224"/>
    <n v="42"/>
    <n v="70200"/>
    <x v="1"/>
    <n v="72400"/>
    <n v="400000"/>
    <x v="6"/>
    <x v="2"/>
    <x v="1"/>
    <d v="2025-09-26T00:00:00"/>
    <n v="472400"/>
    <x v="1"/>
  </r>
  <r>
    <n v="102225"/>
    <n v="26"/>
    <n v="121400"/>
    <x v="0"/>
    <n v="46500"/>
    <n v="128000"/>
    <x v="1"/>
    <x v="0"/>
    <x v="1"/>
    <d v="2026-03-16T00:00:00"/>
    <n v="174500"/>
    <x v="1"/>
  </r>
  <r>
    <n v="102226"/>
    <n v="60"/>
    <n v="114200"/>
    <x v="1"/>
    <n v="44000"/>
    <n v="0"/>
    <x v="0"/>
    <x v="0"/>
    <x v="0"/>
    <d v="2025-09-08T00:00:00"/>
    <n v="44000"/>
    <x v="1"/>
  </r>
  <r>
    <n v="102227"/>
    <n v="31"/>
    <n v="42300"/>
    <x v="1"/>
    <n v="10700"/>
    <n v="158000"/>
    <x v="4"/>
    <x v="1"/>
    <x v="0"/>
    <d v="2026-01-10T00:00:00"/>
    <n v="168700"/>
    <x v="0"/>
  </r>
  <r>
    <n v="102228"/>
    <n v="67"/>
    <n v="99800"/>
    <x v="1"/>
    <n v="0"/>
    <n v="0"/>
    <x v="1"/>
    <x v="2"/>
    <x v="1"/>
    <d v="2024-04-01T00:00:00"/>
    <n v="0"/>
    <x v="1"/>
  </r>
  <r>
    <n v="102229"/>
    <n v="28"/>
    <n v="26900"/>
    <x v="2"/>
    <n v="0"/>
    <n v="0"/>
    <x v="6"/>
    <x v="1"/>
    <x v="1"/>
    <d v="2025-03-15T00:00:00"/>
    <n v="0"/>
    <x v="0"/>
  </r>
  <r>
    <n v="102230"/>
    <n v="47"/>
    <n v="80500"/>
    <x v="1"/>
    <n v="0"/>
    <n v="0"/>
    <x v="5"/>
    <x v="2"/>
    <x v="1"/>
    <d v="2026-01-12T00:00:00"/>
    <n v="0"/>
    <x v="1"/>
  </r>
  <r>
    <n v="102231"/>
    <n v="22"/>
    <n v="113000"/>
    <x v="1"/>
    <n v="16300"/>
    <n v="0"/>
    <x v="3"/>
    <x v="0"/>
    <x v="1"/>
    <d v="2026-04-25T00:00:00"/>
    <n v="16300"/>
    <x v="1"/>
  </r>
  <r>
    <n v="102232"/>
    <n v="21"/>
    <n v="35000"/>
    <x v="1"/>
    <n v="26600"/>
    <n v="0"/>
    <x v="3"/>
    <x v="3"/>
    <x v="1"/>
    <d v="2026-05-15T00:00:00"/>
    <n v="26600"/>
    <x v="0"/>
  </r>
  <r>
    <n v="102233"/>
    <n v="29"/>
    <n v="44600"/>
    <x v="1"/>
    <n v="0"/>
    <n v="411000"/>
    <x v="4"/>
    <x v="1"/>
    <x v="1"/>
    <d v="2024-11-21T00:00:00"/>
    <n v="411000"/>
    <x v="0"/>
  </r>
  <r>
    <n v="102234"/>
    <n v="68"/>
    <n v="34500"/>
    <x v="0"/>
    <n v="0"/>
    <n v="0"/>
    <x v="4"/>
    <x v="1"/>
    <x v="1"/>
    <d v="2024-01-04T00:00:00"/>
    <n v="0"/>
    <x v="0"/>
  </r>
  <r>
    <n v="102235"/>
    <n v="52"/>
    <n v="52600"/>
    <x v="1"/>
    <n v="0"/>
    <n v="0"/>
    <x v="1"/>
    <x v="3"/>
    <x v="1"/>
    <d v="2026-05-26T00:00:00"/>
    <n v="0"/>
    <x v="0"/>
  </r>
  <r>
    <n v="102236"/>
    <n v="28"/>
    <n v="45500"/>
    <x v="1"/>
    <n v="0"/>
    <n v="0"/>
    <x v="1"/>
    <x v="0"/>
    <x v="1"/>
    <d v="2025-03-28T00:00:00"/>
    <n v="0"/>
    <x v="0"/>
  </r>
  <r>
    <n v="102237"/>
    <n v="52"/>
    <n v="92400"/>
    <x v="1"/>
    <n v="32200"/>
    <n v="0"/>
    <x v="4"/>
    <x v="1"/>
    <x v="1"/>
    <d v="2025-01-05T00:00:00"/>
    <n v="32200"/>
    <x v="1"/>
  </r>
  <r>
    <n v="102238"/>
    <n v="20"/>
    <n v="27900"/>
    <x v="2"/>
    <n v="34300"/>
    <n v="0"/>
    <x v="7"/>
    <x v="3"/>
    <x v="1"/>
    <d v="2024-05-08T00:00:00"/>
    <n v="34300"/>
    <x v="0"/>
  </r>
  <r>
    <n v="102239"/>
    <n v="35"/>
    <n v="47700"/>
    <x v="1"/>
    <n v="10700"/>
    <n v="0"/>
    <x v="1"/>
    <x v="1"/>
    <x v="1"/>
    <d v="2024-06-03T00:00:00"/>
    <n v="10700"/>
    <x v="0"/>
  </r>
  <r>
    <n v="102240"/>
    <n v="25"/>
    <n v="49100"/>
    <x v="0"/>
    <n v="0"/>
    <n v="0"/>
    <x v="2"/>
    <x v="2"/>
    <x v="1"/>
    <d v="2024-09-19T00:00:00"/>
    <n v="0"/>
    <x v="0"/>
  </r>
  <r>
    <n v="102241"/>
    <n v="56"/>
    <n v="84000"/>
    <x v="1"/>
    <n v="45700"/>
    <n v="0"/>
    <x v="0"/>
    <x v="1"/>
    <x v="1"/>
    <d v="2025-12-28T00:00:00"/>
    <n v="45700"/>
    <x v="1"/>
  </r>
  <r>
    <n v="102242"/>
    <n v="59"/>
    <n v="59300"/>
    <x v="1"/>
    <n v="35500"/>
    <n v="0"/>
    <x v="6"/>
    <x v="0"/>
    <x v="1"/>
    <d v="2024-11-10T00:00:00"/>
    <n v="35500"/>
    <x v="0"/>
  </r>
  <r>
    <n v="102243"/>
    <n v="34"/>
    <n v="49200"/>
    <x v="0"/>
    <n v="61500"/>
    <n v="0"/>
    <x v="4"/>
    <x v="0"/>
    <x v="1"/>
    <d v="2024-10-10T00:00:00"/>
    <n v="61500"/>
    <x v="0"/>
  </r>
  <r>
    <n v="102244"/>
    <n v="57"/>
    <n v="85800"/>
    <x v="0"/>
    <n v="0"/>
    <n v="0"/>
    <x v="6"/>
    <x v="2"/>
    <x v="1"/>
    <d v="2024-04-10T00:00:00"/>
    <n v="0"/>
    <x v="1"/>
  </r>
  <r>
    <n v="102245"/>
    <n v="72"/>
    <n v="34500"/>
    <x v="1"/>
    <n v="43100"/>
    <n v="0"/>
    <x v="3"/>
    <x v="0"/>
    <x v="1"/>
    <d v="2026-04-01T00:00:00"/>
    <n v="43100"/>
    <x v="0"/>
  </r>
  <r>
    <n v="102246"/>
    <n v="66"/>
    <n v="40400"/>
    <x v="2"/>
    <n v="28400"/>
    <n v="0"/>
    <x v="1"/>
    <x v="2"/>
    <x v="1"/>
    <d v="2025-05-23T00:00:00"/>
    <n v="28400"/>
    <x v="0"/>
  </r>
  <r>
    <n v="102247"/>
    <n v="29"/>
    <n v="34400"/>
    <x v="0"/>
    <n v="0"/>
    <n v="0"/>
    <x v="6"/>
    <x v="1"/>
    <x v="1"/>
    <d v="2024-03-04T00:00:00"/>
    <n v="0"/>
    <x v="0"/>
  </r>
  <r>
    <n v="102248"/>
    <n v="64"/>
    <n v="41300"/>
    <x v="0"/>
    <n v="39200"/>
    <n v="0"/>
    <x v="6"/>
    <x v="2"/>
    <x v="1"/>
    <d v="2024-02-03T00:00:00"/>
    <n v="39200"/>
    <x v="0"/>
  </r>
  <r>
    <n v="102249"/>
    <n v="20"/>
    <n v="41800"/>
    <x v="2"/>
    <n v="14800"/>
    <n v="253000"/>
    <x v="0"/>
    <x v="0"/>
    <x v="1"/>
    <d v="2025-10-29T00:00:00"/>
    <n v="267800"/>
    <x v="0"/>
  </r>
  <r>
    <n v="102250"/>
    <n v="55"/>
    <n v="54100"/>
    <x v="0"/>
    <n v="41600"/>
    <n v="0"/>
    <x v="4"/>
    <x v="0"/>
    <x v="1"/>
    <d v="2025-12-01T00:00:00"/>
    <n v="41600"/>
    <x v="0"/>
  </r>
  <r>
    <n v="102251"/>
    <n v="65"/>
    <n v="68500"/>
    <x v="0"/>
    <n v="34100"/>
    <n v="242000"/>
    <x v="7"/>
    <x v="0"/>
    <x v="1"/>
    <d v="2025-01-08T00:00:00"/>
    <n v="276100"/>
    <x v="0"/>
  </r>
  <r>
    <n v="102252"/>
    <n v="20"/>
    <n v="69500"/>
    <x v="1"/>
    <n v="0"/>
    <n v="0"/>
    <x v="2"/>
    <x v="1"/>
    <x v="1"/>
    <d v="2025-12-24T00:00:00"/>
    <n v="0"/>
    <x v="0"/>
  </r>
  <r>
    <n v="102253"/>
    <n v="27"/>
    <n v="25800"/>
    <x v="2"/>
    <n v="32200"/>
    <n v="0"/>
    <x v="6"/>
    <x v="1"/>
    <x v="1"/>
    <d v="2025-09-05T00:00:00"/>
    <n v="32200"/>
    <x v="0"/>
  </r>
  <r>
    <n v="102254"/>
    <n v="68"/>
    <n v="30300"/>
    <x v="1"/>
    <n v="29100"/>
    <n v="0"/>
    <x v="0"/>
    <x v="0"/>
    <x v="1"/>
    <d v="2026-05-04T00:00:00"/>
    <n v="29100"/>
    <x v="0"/>
  </r>
  <r>
    <n v="102255"/>
    <n v="29"/>
    <n v="36700"/>
    <x v="1"/>
    <n v="45900"/>
    <n v="0"/>
    <x v="1"/>
    <x v="1"/>
    <x v="1"/>
    <d v="2024-05-03T00:00:00"/>
    <n v="45900"/>
    <x v="0"/>
  </r>
  <r>
    <n v="102256"/>
    <n v="54"/>
    <n v="41100"/>
    <x v="1"/>
    <n v="30800"/>
    <n v="0"/>
    <x v="0"/>
    <x v="3"/>
    <x v="0"/>
    <d v="2026-03-28T00:00:00"/>
    <n v="30800"/>
    <x v="0"/>
  </r>
  <r>
    <n v="102257"/>
    <n v="38"/>
    <n v="63200"/>
    <x v="0"/>
    <n v="26600"/>
    <n v="0"/>
    <x v="6"/>
    <x v="2"/>
    <x v="1"/>
    <d v="2025-11-16T00:00:00"/>
    <n v="26600"/>
    <x v="0"/>
  </r>
  <r>
    <n v="102258"/>
    <n v="75"/>
    <n v="46500"/>
    <x v="0"/>
    <n v="58100"/>
    <n v="0"/>
    <x v="4"/>
    <x v="3"/>
    <x v="0"/>
    <d v="2025-08-22T00:00:00"/>
    <n v="58100"/>
    <x v="0"/>
  </r>
  <r>
    <n v="102259"/>
    <n v="22"/>
    <n v="84400"/>
    <x v="1"/>
    <n v="27400"/>
    <n v="0"/>
    <x v="7"/>
    <x v="2"/>
    <x v="1"/>
    <d v="2024-01-21T00:00:00"/>
    <n v="27400"/>
    <x v="1"/>
  </r>
  <r>
    <n v="102260"/>
    <n v="44"/>
    <n v="85700"/>
    <x v="0"/>
    <n v="30300"/>
    <n v="0"/>
    <x v="3"/>
    <x v="1"/>
    <x v="1"/>
    <d v="2026-08-11T00:00:00"/>
    <n v="30300"/>
    <x v="1"/>
  </r>
  <r>
    <n v="102261"/>
    <n v="43"/>
    <n v="75400"/>
    <x v="2"/>
    <n v="0"/>
    <n v="107000"/>
    <x v="0"/>
    <x v="0"/>
    <x v="1"/>
    <d v="2026-07-05T00:00:00"/>
    <n v="107000"/>
    <x v="1"/>
  </r>
  <r>
    <n v="102262"/>
    <n v="39"/>
    <n v="88300"/>
    <x v="1"/>
    <n v="68600"/>
    <n v="181000"/>
    <x v="5"/>
    <x v="0"/>
    <x v="1"/>
    <d v="2026-05-18T00:00:00"/>
    <n v="249600"/>
    <x v="1"/>
  </r>
  <r>
    <n v="102263"/>
    <n v="33"/>
    <n v="75900"/>
    <x v="0"/>
    <n v="60800"/>
    <n v="0"/>
    <x v="5"/>
    <x v="1"/>
    <x v="1"/>
    <d v="2024-03-08T00:00:00"/>
    <n v="60800"/>
    <x v="1"/>
  </r>
  <r>
    <n v="102264"/>
    <n v="34"/>
    <n v="26000"/>
    <x v="1"/>
    <n v="29600"/>
    <n v="0"/>
    <x v="0"/>
    <x v="0"/>
    <x v="1"/>
    <d v="2024-08-22T00:00:00"/>
    <n v="29600"/>
    <x v="0"/>
  </r>
  <r>
    <n v="102265"/>
    <n v="22"/>
    <n v="37900"/>
    <x v="1"/>
    <n v="32400"/>
    <n v="0"/>
    <x v="1"/>
    <x v="0"/>
    <x v="1"/>
    <d v="2026-03-24T00:00:00"/>
    <n v="32400"/>
    <x v="0"/>
  </r>
  <r>
    <n v="102266"/>
    <n v="35"/>
    <n v="42900"/>
    <x v="2"/>
    <n v="24800"/>
    <n v="0"/>
    <x v="0"/>
    <x v="2"/>
    <x v="1"/>
    <d v="2026-04-19T00:00:00"/>
    <n v="24800"/>
    <x v="0"/>
  </r>
  <r>
    <n v="102267"/>
    <n v="27"/>
    <n v="95700"/>
    <x v="1"/>
    <n v="21500"/>
    <n v="0"/>
    <x v="7"/>
    <x v="1"/>
    <x v="1"/>
    <d v="2026-03-17T00:00:00"/>
    <n v="21500"/>
    <x v="1"/>
  </r>
  <r>
    <n v="102268"/>
    <n v="47"/>
    <n v="92300"/>
    <x v="1"/>
    <n v="36700"/>
    <n v="0"/>
    <x v="0"/>
    <x v="2"/>
    <x v="1"/>
    <d v="2026-07-16T00:00:00"/>
    <n v="36700"/>
    <x v="1"/>
  </r>
  <r>
    <n v="102269"/>
    <n v="48"/>
    <n v="99800"/>
    <x v="1"/>
    <n v="20300"/>
    <n v="0"/>
    <x v="7"/>
    <x v="1"/>
    <x v="1"/>
    <d v="2024-09-22T00:00:00"/>
    <n v="20300"/>
    <x v="1"/>
  </r>
  <r>
    <n v="102270"/>
    <n v="29"/>
    <n v="51600"/>
    <x v="2"/>
    <n v="44400"/>
    <n v="0"/>
    <x v="4"/>
    <x v="2"/>
    <x v="1"/>
    <d v="2024-06-06T00:00:00"/>
    <n v="44400"/>
    <x v="0"/>
  </r>
  <r>
    <n v="102271"/>
    <n v="38"/>
    <n v="84200"/>
    <x v="1"/>
    <n v="0"/>
    <n v="0"/>
    <x v="5"/>
    <x v="2"/>
    <x v="1"/>
    <d v="2025-04-18T00:00:00"/>
    <n v="0"/>
    <x v="1"/>
  </r>
  <r>
    <n v="102272"/>
    <n v="49"/>
    <n v="37500"/>
    <x v="1"/>
    <n v="8200"/>
    <n v="0"/>
    <x v="7"/>
    <x v="2"/>
    <x v="1"/>
    <d v="2024-09-26T00:00:00"/>
    <n v="8200"/>
    <x v="0"/>
  </r>
  <r>
    <n v="102273"/>
    <n v="68"/>
    <n v="71500"/>
    <x v="0"/>
    <n v="20100"/>
    <n v="0"/>
    <x v="6"/>
    <x v="2"/>
    <x v="1"/>
    <d v="2024-11-10T00:00:00"/>
    <n v="20100"/>
    <x v="1"/>
  </r>
  <r>
    <n v="102274"/>
    <n v="34"/>
    <n v="61900"/>
    <x v="0"/>
    <n v="0"/>
    <n v="0"/>
    <x v="0"/>
    <x v="0"/>
    <x v="1"/>
    <d v="2025-05-30T00:00:00"/>
    <n v="0"/>
    <x v="0"/>
  </r>
  <r>
    <n v="102275"/>
    <n v="74"/>
    <n v="48400"/>
    <x v="1"/>
    <n v="10400"/>
    <n v="0"/>
    <x v="2"/>
    <x v="2"/>
    <x v="1"/>
    <d v="2025-12-02T00:00:00"/>
    <n v="10400"/>
    <x v="0"/>
  </r>
  <r>
    <n v="102276"/>
    <n v="53"/>
    <n v="53300"/>
    <x v="1"/>
    <n v="36900"/>
    <n v="0"/>
    <x v="6"/>
    <x v="1"/>
    <x v="1"/>
    <d v="2024-05-19T00:00:00"/>
    <n v="36900"/>
    <x v="0"/>
  </r>
  <r>
    <n v="102277"/>
    <n v="20"/>
    <n v="56100"/>
    <x v="2"/>
    <n v="16200"/>
    <n v="0"/>
    <x v="3"/>
    <x v="3"/>
    <x v="0"/>
    <d v="2025-07-15T00:00:00"/>
    <n v="16200"/>
    <x v="0"/>
  </r>
  <r>
    <n v="102278"/>
    <n v="45"/>
    <n v="58100"/>
    <x v="0"/>
    <n v="15300"/>
    <n v="0"/>
    <x v="1"/>
    <x v="0"/>
    <x v="1"/>
    <d v="2025-09-13T00:00:00"/>
    <n v="15300"/>
    <x v="0"/>
  </r>
  <r>
    <n v="102279"/>
    <n v="23"/>
    <n v="53500"/>
    <x v="0"/>
    <n v="21700"/>
    <n v="0"/>
    <x v="1"/>
    <x v="1"/>
    <x v="1"/>
    <d v="2024-02-28T00:00:00"/>
    <n v="21700"/>
    <x v="0"/>
  </r>
  <r>
    <n v="102280"/>
    <n v="64"/>
    <n v="49000"/>
    <x v="1"/>
    <n v="4900"/>
    <n v="0"/>
    <x v="4"/>
    <x v="1"/>
    <x v="1"/>
    <d v="2026-01-30T00:00:00"/>
    <n v="4900"/>
    <x v="0"/>
  </r>
  <r>
    <n v="102281"/>
    <n v="25"/>
    <n v="109400"/>
    <x v="1"/>
    <n v="0"/>
    <n v="0"/>
    <x v="5"/>
    <x v="1"/>
    <x v="1"/>
    <d v="2024-11-17T00:00:00"/>
    <n v="0"/>
    <x v="1"/>
  </r>
  <r>
    <n v="102282"/>
    <n v="32"/>
    <n v="74000"/>
    <x v="0"/>
    <n v="11000"/>
    <n v="0"/>
    <x v="7"/>
    <x v="1"/>
    <x v="1"/>
    <d v="2024-09-17T00:00:00"/>
    <n v="11000"/>
    <x v="1"/>
  </r>
  <r>
    <n v="102283"/>
    <n v="30"/>
    <n v="55500"/>
    <x v="1"/>
    <n v="8200"/>
    <n v="0"/>
    <x v="5"/>
    <x v="2"/>
    <x v="1"/>
    <d v="2024-08-03T00:00:00"/>
    <n v="8200"/>
    <x v="0"/>
  </r>
  <r>
    <n v="102284"/>
    <n v="75"/>
    <n v="53300"/>
    <x v="2"/>
    <n v="19100"/>
    <n v="143000"/>
    <x v="4"/>
    <x v="1"/>
    <x v="1"/>
    <d v="2024-03-17T00:00:00"/>
    <n v="162100"/>
    <x v="0"/>
  </r>
  <r>
    <n v="102285"/>
    <n v="73"/>
    <n v="57400"/>
    <x v="1"/>
    <n v="0"/>
    <n v="0"/>
    <x v="0"/>
    <x v="3"/>
    <x v="1"/>
    <d v="2024-04-19T00:00:00"/>
    <n v="0"/>
    <x v="0"/>
  </r>
  <r>
    <n v="102286"/>
    <n v="47"/>
    <n v="39000"/>
    <x v="0"/>
    <n v="48800"/>
    <n v="0"/>
    <x v="5"/>
    <x v="1"/>
    <x v="1"/>
    <d v="2025-08-13T00:00:00"/>
    <n v="48800"/>
    <x v="0"/>
  </r>
  <r>
    <n v="102287"/>
    <n v="55"/>
    <n v="43000"/>
    <x v="1"/>
    <n v="0"/>
    <n v="0"/>
    <x v="6"/>
    <x v="1"/>
    <x v="1"/>
    <d v="2026-05-27T00:00:00"/>
    <n v="0"/>
    <x v="0"/>
  </r>
  <r>
    <n v="102288"/>
    <n v="71"/>
    <n v="39900"/>
    <x v="1"/>
    <n v="29000"/>
    <n v="0"/>
    <x v="6"/>
    <x v="2"/>
    <x v="1"/>
    <d v="2024-09-29T00:00:00"/>
    <n v="29000"/>
    <x v="0"/>
  </r>
  <r>
    <n v="102289"/>
    <n v="31"/>
    <n v="73700"/>
    <x v="1"/>
    <n v="0"/>
    <n v="218000"/>
    <x v="0"/>
    <x v="1"/>
    <x v="1"/>
    <d v="2026-06-23T00:00:00"/>
    <n v="218000"/>
    <x v="1"/>
  </r>
  <r>
    <n v="102290"/>
    <n v="68"/>
    <n v="25200"/>
    <x v="1"/>
    <n v="0"/>
    <n v="0"/>
    <x v="3"/>
    <x v="1"/>
    <x v="1"/>
    <d v="2026-03-08T00:00:00"/>
    <n v="0"/>
    <x v="0"/>
  </r>
  <r>
    <n v="102291"/>
    <n v="22"/>
    <n v="96800"/>
    <x v="0"/>
    <n v="0"/>
    <n v="0"/>
    <x v="3"/>
    <x v="2"/>
    <x v="1"/>
    <d v="2025-02-27T00:00:00"/>
    <n v="0"/>
    <x v="1"/>
  </r>
  <r>
    <n v="102292"/>
    <n v="73"/>
    <n v="57000"/>
    <x v="1"/>
    <n v="38300"/>
    <n v="0"/>
    <x v="7"/>
    <x v="2"/>
    <x v="1"/>
    <d v="2025-03-30T00:00:00"/>
    <n v="38300"/>
    <x v="0"/>
  </r>
  <r>
    <n v="102293"/>
    <n v="47"/>
    <n v="115600"/>
    <x v="2"/>
    <n v="19800"/>
    <n v="0"/>
    <x v="1"/>
    <x v="1"/>
    <x v="1"/>
    <d v="2024-03-03T00:00:00"/>
    <n v="19800"/>
    <x v="1"/>
  </r>
  <r>
    <n v="102294"/>
    <n v="30"/>
    <n v="95700"/>
    <x v="0"/>
    <n v="80800"/>
    <n v="0"/>
    <x v="3"/>
    <x v="1"/>
    <x v="1"/>
    <d v="2025-04-18T00:00:00"/>
    <n v="80800"/>
    <x v="1"/>
  </r>
  <r>
    <n v="102295"/>
    <n v="64"/>
    <n v="38600"/>
    <x v="0"/>
    <n v="48200"/>
    <n v="0"/>
    <x v="0"/>
    <x v="0"/>
    <x v="1"/>
    <d v="2025-10-29T00:00:00"/>
    <n v="48200"/>
    <x v="0"/>
  </r>
  <r>
    <n v="102296"/>
    <n v="23"/>
    <n v="46800"/>
    <x v="0"/>
    <n v="0"/>
    <n v="296000"/>
    <x v="1"/>
    <x v="1"/>
    <x v="1"/>
    <d v="2025-10-23T00:00:00"/>
    <n v="296000"/>
    <x v="0"/>
  </r>
  <r>
    <n v="102297"/>
    <n v="41"/>
    <n v="88400"/>
    <x v="1"/>
    <n v="42500"/>
    <n v="0"/>
    <x v="3"/>
    <x v="1"/>
    <x v="1"/>
    <d v="2026-02-05T00:00:00"/>
    <n v="42500"/>
    <x v="1"/>
  </r>
  <r>
    <n v="102298"/>
    <n v="60"/>
    <n v="66200"/>
    <x v="1"/>
    <n v="0"/>
    <n v="0"/>
    <x v="1"/>
    <x v="1"/>
    <x v="1"/>
    <d v="2024-01-03T00:00:00"/>
    <n v="0"/>
    <x v="0"/>
  </r>
  <r>
    <n v="102299"/>
    <n v="46"/>
    <n v="80200"/>
    <x v="2"/>
    <n v="0"/>
    <n v="0"/>
    <x v="6"/>
    <x v="2"/>
    <x v="1"/>
    <d v="2025-07-12T00:00:00"/>
    <n v="0"/>
    <x v="1"/>
  </r>
  <r>
    <n v="102300"/>
    <n v="20"/>
    <n v="72500"/>
    <x v="2"/>
    <n v="58400"/>
    <n v="103000"/>
    <x v="4"/>
    <x v="0"/>
    <x v="1"/>
    <d v="2026-03-06T00:00:00"/>
    <n v="161400"/>
    <x v="1"/>
  </r>
  <r>
    <n v="102301"/>
    <n v="72"/>
    <n v="106600"/>
    <x v="2"/>
    <n v="8800"/>
    <n v="0"/>
    <x v="6"/>
    <x v="1"/>
    <x v="1"/>
    <d v="2024-06-09T00:00:00"/>
    <n v="8800"/>
    <x v="1"/>
  </r>
  <r>
    <n v="102302"/>
    <n v="42"/>
    <n v="109400"/>
    <x v="1"/>
    <n v="73600"/>
    <n v="112000"/>
    <x v="4"/>
    <x v="1"/>
    <x v="1"/>
    <d v="2026-04-04T00:00:00"/>
    <n v="185600"/>
    <x v="1"/>
  </r>
  <r>
    <n v="102303"/>
    <n v="41"/>
    <n v="49600"/>
    <x v="2"/>
    <n v="62000"/>
    <n v="176000"/>
    <x v="2"/>
    <x v="0"/>
    <x v="1"/>
    <d v="2024-02-04T00:00:00"/>
    <n v="238000"/>
    <x v="0"/>
  </r>
  <r>
    <n v="102304"/>
    <n v="34"/>
    <n v="92200"/>
    <x v="0"/>
    <n v="0"/>
    <n v="0"/>
    <x v="5"/>
    <x v="1"/>
    <x v="1"/>
    <d v="2024-08-01T00:00:00"/>
    <n v="0"/>
    <x v="1"/>
  </r>
  <r>
    <n v="102305"/>
    <n v="59"/>
    <n v="40800"/>
    <x v="0"/>
    <n v="17100"/>
    <n v="0"/>
    <x v="1"/>
    <x v="3"/>
    <x v="1"/>
    <d v="2024-05-15T00:00:00"/>
    <n v="17100"/>
    <x v="0"/>
  </r>
  <r>
    <n v="102306"/>
    <n v="20"/>
    <n v="86900"/>
    <x v="1"/>
    <n v="49400"/>
    <n v="0"/>
    <x v="3"/>
    <x v="2"/>
    <x v="1"/>
    <d v="2026-03-18T00:00:00"/>
    <n v="49400"/>
    <x v="1"/>
  </r>
  <r>
    <n v="102307"/>
    <n v="37"/>
    <n v="80600"/>
    <x v="1"/>
    <n v="0"/>
    <n v="279000"/>
    <x v="1"/>
    <x v="2"/>
    <x v="1"/>
    <d v="2026-06-14T00:00:00"/>
    <n v="279000"/>
    <x v="1"/>
  </r>
  <r>
    <n v="102308"/>
    <n v="59"/>
    <n v="67300"/>
    <x v="1"/>
    <n v="16200"/>
    <n v="0"/>
    <x v="1"/>
    <x v="2"/>
    <x v="1"/>
    <d v="2024-11-12T00:00:00"/>
    <n v="16200"/>
    <x v="0"/>
  </r>
  <r>
    <n v="102309"/>
    <n v="57"/>
    <n v="51300"/>
    <x v="1"/>
    <n v="0"/>
    <n v="0"/>
    <x v="5"/>
    <x v="1"/>
    <x v="1"/>
    <d v="2025-08-02T00:00:00"/>
    <n v="0"/>
    <x v="0"/>
  </r>
  <r>
    <n v="102310"/>
    <n v="33"/>
    <n v="98900"/>
    <x v="1"/>
    <n v="0"/>
    <n v="132000"/>
    <x v="1"/>
    <x v="2"/>
    <x v="1"/>
    <d v="2025-12-20T00:00:00"/>
    <n v="132000"/>
    <x v="1"/>
  </r>
  <r>
    <n v="102311"/>
    <n v="34"/>
    <n v="34400"/>
    <x v="1"/>
    <n v="0"/>
    <n v="192000"/>
    <x v="5"/>
    <x v="1"/>
    <x v="1"/>
    <d v="2024-06-03T00:00:00"/>
    <n v="192000"/>
    <x v="0"/>
  </r>
  <r>
    <n v="102312"/>
    <n v="62"/>
    <n v="91900"/>
    <x v="0"/>
    <n v="27500"/>
    <n v="0"/>
    <x v="4"/>
    <x v="1"/>
    <x v="1"/>
    <d v="2025-03-11T00:00:00"/>
    <n v="27500"/>
    <x v="1"/>
  </r>
  <r>
    <n v="102313"/>
    <n v="27"/>
    <n v="56300"/>
    <x v="0"/>
    <n v="37900"/>
    <n v="268000"/>
    <x v="5"/>
    <x v="1"/>
    <x v="1"/>
    <d v="2024-03-03T00:00:00"/>
    <n v="305900"/>
    <x v="0"/>
  </r>
  <r>
    <n v="102314"/>
    <n v="32"/>
    <n v="39100"/>
    <x v="1"/>
    <n v="20200"/>
    <n v="0"/>
    <x v="6"/>
    <x v="1"/>
    <x v="1"/>
    <d v="2026-01-07T00:00:00"/>
    <n v="20200"/>
    <x v="0"/>
  </r>
  <r>
    <n v="102315"/>
    <n v="69"/>
    <n v="37400"/>
    <x v="0"/>
    <n v="20500"/>
    <n v="0"/>
    <x v="7"/>
    <x v="1"/>
    <x v="1"/>
    <d v="2025-10-15T00:00:00"/>
    <n v="20500"/>
    <x v="0"/>
  </r>
  <r>
    <n v="102316"/>
    <n v="28"/>
    <n v="44700"/>
    <x v="0"/>
    <n v="45900"/>
    <n v="0"/>
    <x v="4"/>
    <x v="1"/>
    <x v="1"/>
    <d v="2025-07-12T00:00:00"/>
    <n v="45900"/>
    <x v="0"/>
  </r>
  <r>
    <n v="102317"/>
    <n v="35"/>
    <n v="76400"/>
    <x v="1"/>
    <n v="0"/>
    <n v="0"/>
    <x v="0"/>
    <x v="1"/>
    <x v="1"/>
    <d v="2026-01-23T00:00:00"/>
    <n v="0"/>
    <x v="1"/>
  </r>
  <r>
    <n v="102318"/>
    <n v="20"/>
    <n v="47100"/>
    <x v="0"/>
    <n v="30000"/>
    <n v="0"/>
    <x v="3"/>
    <x v="3"/>
    <x v="1"/>
    <d v="2026-02-14T00:00:00"/>
    <n v="30000"/>
    <x v="0"/>
  </r>
  <r>
    <n v="102319"/>
    <n v="30"/>
    <n v="66300"/>
    <x v="2"/>
    <n v="13600"/>
    <n v="0"/>
    <x v="6"/>
    <x v="2"/>
    <x v="1"/>
    <d v="2025-07-09T00:00:00"/>
    <n v="13600"/>
    <x v="0"/>
  </r>
  <r>
    <n v="102320"/>
    <n v="62"/>
    <n v="46300"/>
    <x v="1"/>
    <n v="34800"/>
    <n v="0"/>
    <x v="2"/>
    <x v="0"/>
    <x v="1"/>
    <d v="2026-04-29T00:00:00"/>
    <n v="34800"/>
    <x v="0"/>
  </r>
  <r>
    <n v="102321"/>
    <n v="67"/>
    <n v="62800"/>
    <x v="2"/>
    <n v="30300"/>
    <n v="0"/>
    <x v="4"/>
    <x v="1"/>
    <x v="1"/>
    <d v="2026-01-27T00:00:00"/>
    <n v="30300"/>
    <x v="0"/>
  </r>
  <r>
    <n v="102322"/>
    <n v="52"/>
    <n v="45000"/>
    <x v="1"/>
    <n v="52600"/>
    <n v="0"/>
    <x v="3"/>
    <x v="0"/>
    <x v="1"/>
    <d v="2024-11-22T00:00:00"/>
    <n v="52600"/>
    <x v="0"/>
  </r>
  <r>
    <n v="102323"/>
    <n v="67"/>
    <n v="51400"/>
    <x v="0"/>
    <n v="36900"/>
    <n v="312000"/>
    <x v="6"/>
    <x v="0"/>
    <x v="1"/>
    <d v="2024-12-27T00:00:00"/>
    <n v="348900"/>
    <x v="0"/>
  </r>
  <r>
    <n v="102324"/>
    <n v="66"/>
    <n v="85100"/>
    <x v="2"/>
    <n v="50800"/>
    <n v="0"/>
    <x v="7"/>
    <x v="2"/>
    <x v="1"/>
    <d v="2025-08-26T00:00:00"/>
    <n v="50800"/>
    <x v="1"/>
  </r>
  <r>
    <n v="102325"/>
    <n v="68"/>
    <n v="44100"/>
    <x v="1"/>
    <n v="55100"/>
    <n v="0"/>
    <x v="4"/>
    <x v="1"/>
    <x v="1"/>
    <d v="2024-10-21T00:00:00"/>
    <n v="55100"/>
    <x v="0"/>
  </r>
  <r>
    <n v="102326"/>
    <n v="56"/>
    <n v="65200"/>
    <x v="0"/>
    <n v="0"/>
    <n v="0"/>
    <x v="1"/>
    <x v="1"/>
    <x v="1"/>
    <d v="2026-05-01T00:00:00"/>
    <n v="0"/>
    <x v="0"/>
  </r>
  <r>
    <n v="102327"/>
    <n v="64"/>
    <n v="55900"/>
    <x v="1"/>
    <n v="21600"/>
    <n v="0"/>
    <x v="2"/>
    <x v="0"/>
    <x v="0"/>
    <d v="2025-08-17T00:00:00"/>
    <n v="21600"/>
    <x v="0"/>
  </r>
  <r>
    <n v="102328"/>
    <n v="43"/>
    <n v="55100"/>
    <x v="1"/>
    <n v="22700"/>
    <n v="260000"/>
    <x v="0"/>
    <x v="2"/>
    <x v="1"/>
    <d v="2025-08-11T00:00:00"/>
    <n v="282700"/>
    <x v="0"/>
  </r>
  <r>
    <n v="102329"/>
    <n v="34"/>
    <n v="43800"/>
    <x v="0"/>
    <n v="17800"/>
    <n v="299000"/>
    <x v="0"/>
    <x v="2"/>
    <x v="1"/>
    <d v="2025-01-26T00:00:00"/>
    <n v="316800"/>
    <x v="0"/>
  </r>
  <r>
    <n v="102330"/>
    <n v="74"/>
    <n v="21900"/>
    <x v="1"/>
    <n v="0"/>
    <n v="0"/>
    <x v="4"/>
    <x v="1"/>
    <x v="1"/>
    <d v="2025-11-05T00:00:00"/>
    <n v="0"/>
    <x v="0"/>
  </r>
  <r>
    <n v="102331"/>
    <n v="22"/>
    <n v="48200"/>
    <x v="1"/>
    <n v="45300"/>
    <n v="0"/>
    <x v="6"/>
    <x v="1"/>
    <x v="1"/>
    <d v="2024-05-12T00:00:00"/>
    <n v="45300"/>
    <x v="0"/>
  </r>
  <r>
    <n v="102332"/>
    <n v="45"/>
    <n v="45800"/>
    <x v="0"/>
    <n v="26000"/>
    <n v="174000"/>
    <x v="7"/>
    <x v="2"/>
    <x v="1"/>
    <d v="2024-04-02T00:00:00"/>
    <n v="200000"/>
    <x v="0"/>
  </r>
  <r>
    <n v="102333"/>
    <n v="48"/>
    <n v="88600"/>
    <x v="0"/>
    <n v="0"/>
    <n v="0"/>
    <x v="3"/>
    <x v="3"/>
    <x v="1"/>
    <d v="2026-06-26T00:00:00"/>
    <n v="0"/>
    <x v="1"/>
  </r>
  <r>
    <n v="102334"/>
    <n v="32"/>
    <n v="84100"/>
    <x v="1"/>
    <n v="53700"/>
    <n v="259000"/>
    <x v="1"/>
    <x v="2"/>
    <x v="1"/>
    <d v="2026-01-02T00:00:00"/>
    <n v="312700"/>
    <x v="1"/>
  </r>
  <r>
    <n v="102335"/>
    <n v="26"/>
    <n v="52400"/>
    <x v="1"/>
    <n v="0"/>
    <n v="270000"/>
    <x v="7"/>
    <x v="2"/>
    <x v="1"/>
    <d v="2025-04-26T00:00:00"/>
    <n v="270000"/>
    <x v="0"/>
  </r>
  <r>
    <n v="102336"/>
    <n v="62"/>
    <n v="97800"/>
    <x v="0"/>
    <n v="29400"/>
    <n v="0"/>
    <x v="6"/>
    <x v="2"/>
    <x v="1"/>
    <d v="2026-03-20T00:00:00"/>
    <n v="29400"/>
    <x v="1"/>
  </r>
  <r>
    <n v="102337"/>
    <n v="36"/>
    <n v="67600"/>
    <x v="1"/>
    <n v="0"/>
    <n v="0"/>
    <x v="1"/>
    <x v="0"/>
    <x v="1"/>
    <d v="2025-04-29T00:00:00"/>
    <n v="0"/>
    <x v="0"/>
  </r>
  <r>
    <n v="102338"/>
    <n v="40"/>
    <n v="92600"/>
    <x v="1"/>
    <n v="7300"/>
    <n v="302000"/>
    <x v="3"/>
    <x v="2"/>
    <x v="1"/>
    <d v="2024-02-12T00:00:00"/>
    <n v="309300"/>
    <x v="1"/>
  </r>
  <r>
    <n v="102339"/>
    <n v="30"/>
    <n v="46200"/>
    <x v="1"/>
    <n v="51900"/>
    <n v="207000"/>
    <x v="3"/>
    <x v="2"/>
    <x v="1"/>
    <d v="2024-12-09T00:00:00"/>
    <n v="258900"/>
    <x v="0"/>
  </r>
  <r>
    <n v="102340"/>
    <n v="70"/>
    <n v="41000"/>
    <x v="2"/>
    <n v="30900"/>
    <n v="0"/>
    <x v="6"/>
    <x v="1"/>
    <x v="1"/>
    <d v="2026-03-02T00:00:00"/>
    <n v="30900"/>
    <x v="0"/>
  </r>
  <r>
    <n v="102341"/>
    <n v="54"/>
    <n v="51200"/>
    <x v="1"/>
    <n v="0"/>
    <n v="221000"/>
    <x v="6"/>
    <x v="2"/>
    <x v="1"/>
    <d v="2025-04-23T00:00:00"/>
    <n v="221000"/>
    <x v="0"/>
  </r>
  <r>
    <n v="102342"/>
    <n v="31"/>
    <n v="41100"/>
    <x v="1"/>
    <n v="11400"/>
    <n v="358000"/>
    <x v="2"/>
    <x v="1"/>
    <x v="1"/>
    <d v="2025-10-02T00:00:00"/>
    <n v="369400"/>
    <x v="0"/>
  </r>
  <r>
    <n v="102343"/>
    <n v="40"/>
    <n v="58500"/>
    <x v="2"/>
    <n v="27900"/>
    <n v="173000"/>
    <x v="6"/>
    <x v="0"/>
    <x v="0"/>
    <d v="2026-03-10T00:00:00"/>
    <n v="200900"/>
    <x v="0"/>
  </r>
  <r>
    <n v="102344"/>
    <n v="34"/>
    <n v="58200"/>
    <x v="1"/>
    <n v="10400"/>
    <n v="0"/>
    <x v="1"/>
    <x v="0"/>
    <x v="1"/>
    <d v="2025-04-11T00:00:00"/>
    <n v="10400"/>
    <x v="0"/>
  </r>
  <r>
    <n v="102345"/>
    <n v="52"/>
    <n v="109200"/>
    <x v="0"/>
    <n v="31300"/>
    <n v="0"/>
    <x v="1"/>
    <x v="2"/>
    <x v="1"/>
    <d v="2026-05-13T00:00:00"/>
    <n v="31300"/>
    <x v="1"/>
  </r>
  <r>
    <n v="102346"/>
    <n v="61"/>
    <n v="110900"/>
    <x v="1"/>
    <n v="64300"/>
    <n v="0"/>
    <x v="4"/>
    <x v="1"/>
    <x v="1"/>
    <d v="2024-08-27T00:00:00"/>
    <n v="64300"/>
    <x v="1"/>
  </r>
  <r>
    <n v="102347"/>
    <n v="45"/>
    <n v="63700"/>
    <x v="0"/>
    <n v="0"/>
    <n v="245000"/>
    <x v="0"/>
    <x v="1"/>
    <x v="1"/>
    <d v="2026-04-16T00:00:00"/>
    <n v="245000"/>
    <x v="0"/>
  </r>
  <r>
    <n v="102348"/>
    <n v="53"/>
    <n v="80000"/>
    <x v="0"/>
    <n v="0"/>
    <n v="203000"/>
    <x v="4"/>
    <x v="1"/>
    <x v="1"/>
    <d v="2024-04-22T00:00:00"/>
    <n v="203000"/>
    <x v="1"/>
  </r>
  <r>
    <n v="102349"/>
    <n v="20"/>
    <n v="83100"/>
    <x v="1"/>
    <n v="31200"/>
    <n v="0"/>
    <x v="1"/>
    <x v="2"/>
    <x v="1"/>
    <d v="2025-01-07T00:00:00"/>
    <n v="31200"/>
    <x v="1"/>
  </r>
  <r>
    <n v="102350"/>
    <n v="46"/>
    <n v="80600"/>
    <x v="1"/>
    <n v="9200"/>
    <n v="0"/>
    <x v="7"/>
    <x v="2"/>
    <x v="1"/>
    <d v="2025-06-05T00:00:00"/>
    <n v="9200"/>
    <x v="1"/>
  </r>
  <r>
    <n v="102351"/>
    <n v="35"/>
    <n v="41800"/>
    <x v="1"/>
    <n v="44000"/>
    <n v="189000"/>
    <x v="0"/>
    <x v="0"/>
    <x v="1"/>
    <d v="2026-01-22T00:00:00"/>
    <n v="233000"/>
    <x v="0"/>
  </r>
  <r>
    <n v="102352"/>
    <n v="31"/>
    <n v="54400"/>
    <x v="2"/>
    <n v="38100"/>
    <n v="0"/>
    <x v="0"/>
    <x v="1"/>
    <x v="1"/>
    <d v="2025-04-07T00:00:00"/>
    <n v="38100"/>
    <x v="0"/>
  </r>
  <r>
    <n v="102353"/>
    <n v="52"/>
    <n v="71000"/>
    <x v="1"/>
    <n v="51000"/>
    <n v="0"/>
    <x v="6"/>
    <x v="1"/>
    <x v="1"/>
    <d v="2025-08-09T00:00:00"/>
    <n v="51000"/>
    <x v="1"/>
  </r>
  <r>
    <n v="102354"/>
    <n v="46"/>
    <n v="41400"/>
    <x v="0"/>
    <n v="34600"/>
    <n v="0"/>
    <x v="7"/>
    <x v="3"/>
    <x v="0"/>
    <d v="2026-05-14T00:00:00"/>
    <n v="34600"/>
    <x v="0"/>
  </r>
  <r>
    <n v="102355"/>
    <n v="40"/>
    <n v="85500"/>
    <x v="0"/>
    <n v="0"/>
    <n v="0"/>
    <x v="5"/>
    <x v="1"/>
    <x v="1"/>
    <d v="2024-05-22T00:00:00"/>
    <n v="0"/>
    <x v="1"/>
  </r>
  <r>
    <n v="102356"/>
    <n v="73"/>
    <n v="35800"/>
    <x v="1"/>
    <n v="44800"/>
    <n v="0"/>
    <x v="0"/>
    <x v="0"/>
    <x v="1"/>
    <d v="2026-01-10T00:00:00"/>
    <n v="44800"/>
    <x v="0"/>
  </r>
  <r>
    <n v="102357"/>
    <n v="48"/>
    <n v="26900"/>
    <x v="1"/>
    <n v="11300"/>
    <n v="274000"/>
    <x v="6"/>
    <x v="1"/>
    <x v="1"/>
    <d v="2025-08-17T00:00:00"/>
    <n v="285300"/>
    <x v="0"/>
  </r>
  <r>
    <n v="102358"/>
    <n v="57"/>
    <n v="39800"/>
    <x v="2"/>
    <n v="0"/>
    <n v="399000"/>
    <x v="4"/>
    <x v="1"/>
    <x v="1"/>
    <d v="2025-07-29T00:00:00"/>
    <n v="399000"/>
    <x v="0"/>
  </r>
  <r>
    <n v="102359"/>
    <n v="29"/>
    <n v="54300"/>
    <x v="1"/>
    <n v="0"/>
    <n v="287000"/>
    <x v="7"/>
    <x v="2"/>
    <x v="1"/>
    <d v="2026-01-25T00:00:00"/>
    <n v="287000"/>
    <x v="0"/>
  </r>
  <r>
    <n v="102360"/>
    <n v="20"/>
    <n v="62200"/>
    <x v="2"/>
    <n v="21600"/>
    <n v="0"/>
    <x v="5"/>
    <x v="2"/>
    <x v="1"/>
    <d v="2025-12-13T00:00:00"/>
    <n v="21600"/>
    <x v="0"/>
  </r>
  <r>
    <n v="102361"/>
    <n v="57"/>
    <n v="62300"/>
    <x v="2"/>
    <n v="62900"/>
    <n v="0"/>
    <x v="3"/>
    <x v="3"/>
    <x v="1"/>
    <d v="2025-10-17T00:00:00"/>
    <n v="62900"/>
    <x v="0"/>
  </r>
  <r>
    <n v="102362"/>
    <n v="58"/>
    <n v="74900"/>
    <x v="1"/>
    <n v="37500"/>
    <n v="0"/>
    <x v="7"/>
    <x v="2"/>
    <x v="1"/>
    <d v="2024-07-02T00:00:00"/>
    <n v="37500"/>
    <x v="1"/>
  </r>
  <r>
    <n v="102363"/>
    <n v="24"/>
    <n v="68600"/>
    <x v="0"/>
    <n v="3700"/>
    <n v="0"/>
    <x v="4"/>
    <x v="3"/>
    <x v="1"/>
    <d v="2025-07-28T00:00:00"/>
    <n v="3700"/>
    <x v="0"/>
  </r>
  <r>
    <n v="102364"/>
    <n v="52"/>
    <n v="79600"/>
    <x v="1"/>
    <n v="0"/>
    <n v="0"/>
    <x v="4"/>
    <x v="1"/>
    <x v="1"/>
    <d v="2025-12-11T00:00:00"/>
    <n v="0"/>
    <x v="1"/>
  </r>
  <r>
    <n v="102365"/>
    <n v="63"/>
    <n v="88100"/>
    <x v="1"/>
    <n v="0"/>
    <n v="202000"/>
    <x v="6"/>
    <x v="2"/>
    <x v="1"/>
    <d v="2025-01-20T00:00:00"/>
    <n v="202000"/>
    <x v="1"/>
  </r>
  <r>
    <n v="102366"/>
    <n v="61"/>
    <n v="45200"/>
    <x v="1"/>
    <n v="56500"/>
    <n v="0"/>
    <x v="6"/>
    <x v="2"/>
    <x v="1"/>
    <d v="2024-09-15T00:00:00"/>
    <n v="56500"/>
    <x v="0"/>
  </r>
  <r>
    <n v="102367"/>
    <n v="69"/>
    <n v="65700"/>
    <x v="0"/>
    <n v="59200"/>
    <n v="0"/>
    <x v="2"/>
    <x v="2"/>
    <x v="1"/>
    <d v="2026-03-04T00:00:00"/>
    <n v="59200"/>
    <x v="0"/>
  </r>
  <r>
    <n v="102368"/>
    <n v="22"/>
    <n v="35500"/>
    <x v="1"/>
    <n v="16800"/>
    <n v="0"/>
    <x v="6"/>
    <x v="1"/>
    <x v="0"/>
    <d v="2024-02-01T00:00:00"/>
    <n v="16800"/>
    <x v="0"/>
  </r>
  <r>
    <n v="102369"/>
    <n v="52"/>
    <n v="69500"/>
    <x v="1"/>
    <n v="60900"/>
    <n v="0"/>
    <x v="7"/>
    <x v="2"/>
    <x v="1"/>
    <d v="2024-06-18T00:00:00"/>
    <n v="60900"/>
    <x v="0"/>
  </r>
  <r>
    <n v="102370"/>
    <n v="58"/>
    <n v="106900"/>
    <x v="0"/>
    <n v="51900"/>
    <n v="0"/>
    <x v="2"/>
    <x v="1"/>
    <x v="0"/>
    <d v="2026-05-21T00:00:00"/>
    <n v="51900"/>
    <x v="1"/>
  </r>
  <r>
    <n v="102371"/>
    <n v="21"/>
    <n v="56900"/>
    <x v="0"/>
    <n v="71100"/>
    <n v="0"/>
    <x v="4"/>
    <x v="1"/>
    <x v="1"/>
    <d v="2024-10-09T00:00:00"/>
    <n v="71100"/>
    <x v="0"/>
  </r>
  <r>
    <n v="102372"/>
    <n v="25"/>
    <n v="32200"/>
    <x v="0"/>
    <n v="39200"/>
    <n v="230000"/>
    <x v="1"/>
    <x v="0"/>
    <x v="1"/>
    <d v="2025-04-28T00:00:00"/>
    <n v="269200"/>
    <x v="0"/>
  </r>
  <r>
    <n v="102373"/>
    <n v="45"/>
    <n v="52600"/>
    <x v="1"/>
    <n v="15700"/>
    <n v="236000"/>
    <x v="7"/>
    <x v="2"/>
    <x v="1"/>
    <d v="2024-06-28T00:00:00"/>
    <n v="251700"/>
    <x v="0"/>
  </r>
  <r>
    <n v="102374"/>
    <n v="46"/>
    <n v="40900"/>
    <x v="2"/>
    <n v="22000"/>
    <n v="0"/>
    <x v="1"/>
    <x v="0"/>
    <x v="1"/>
    <d v="2024-09-16T00:00:00"/>
    <n v="22000"/>
    <x v="0"/>
  </r>
  <r>
    <n v="102375"/>
    <n v="41"/>
    <n v="125900"/>
    <x v="0"/>
    <n v="0"/>
    <n v="0"/>
    <x v="0"/>
    <x v="2"/>
    <x v="1"/>
    <d v="2026-01-23T00:00:00"/>
    <n v="0"/>
    <x v="1"/>
  </r>
  <r>
    <n v="102376"/>
    <n v="67"/>
    <n v="46700"/>
    <x v="0"/>
    <n v="23300"/>
    <n v="0"/>
    <x v="2"/>
    <x v="2"/>
    <x v="1"/>
    <d v="2025-08-22T00:00:00"/>
    <n v="23300"/>
    <x v="0"/>
  </r>
  <r>
    <n v="102377"/>
    <n v="25"/>
    <n v="105400"/>
    <x v="1"/>
    <n v="26500"/>
    <n v="219000"/>
    <x v="5"/>
    <x v="1"/>
    <x v="1"/>
    <d v="2026-04-15T00:00:00"/>
    <n v="245500"/>
    <x v="1"/>
  </r>
  <r>
    <n v="102378"/>
    <n v="65"/>
    <n v="30600"/>
    <x v="0"/>
    <n v="30900"/>
    <n v="0"/>
    <x v="5"/>
    <x v="1"/>
    <x v="1"/>
    <d v="2026-05-14T00:00:00"/>
    <n v="30900"/>
    <x v="0"/>
  </r>
  <r>
    <n v="102379"/>
    <n v="68"/>
    <n v="97300"/>
    <x v="1"/>
    <n v="19800"/>
    <n v="0"/>
    <x v="5"/>
    <x v="1"/>
    <x v="1"/>
    <d v="2025-06-29T00:00:00"/>
    <n v="19800"/>
    <x v="1"/>
  </r>
  <r>
    <n v="102380"/>
    <n v="72"/>
    <n v="55700"/>
    <x v="1"/>
    <n v="0"/>
    <n v="0"/>
    <x v="3"/>
    <x v="0"/>
    <x v="1"/>
    <d v="2026-04-26T00:00:00"/>
    <n v="0"/>
    <x v="0"/>
  </r>
  <r>
    <n v="102381"/>
    <n v="64"/>
    <n v="45300"/>
    <x v="2"/>
    <n v="16400"/>
    <n v="0"/>
    <x v="7"/>
    <x v="3"/>
    <x v="1"/>
    <d v="2025-01-13T00:00:00"/>
    <n v="16400"/>
    <x v="0"/>
  </r>
  <r>
    <n v="102382"/>
    <n v="37"/>
    <n v="105500"/>
    <x v="1"/>
    <n v="18700"/>
    <n v="193000"/>
    <x v="1"/>
    <x v="2"/>
    <x v="1"/>
    <d v="2026-03-05T00:00:00"/>
    <n v="211700"/>
    <x v="1"/>
  </r>
  <r>
    <n v="102383"/>
    <n v="59"/>
    <n v="112800"/>
    <x v="1"/>
    <n v="15500"/>
    <n v="0"/>
    <x v="7"/>
    <x v="3"/>
    <x v="1"/>
    <d v="2025-11-13T00:00:00"/>
    <n v="15500"/>
    <x v="1"/>
  </r>
  <r>
    <n v="102384"/>
    <n v="31"/>
    <n v="37000"/>
    <x v="1"/>
    <n v="40000"/>
    <n v="0"/>
    <x v="4"/>
    <x v="3"/>
    <x v="1"/>
    <d v="2024-05-11T00:00:00"/>
    <n v="40000"/>
    <x v="0"/>
  </r>
  <r>
    <n v="102385"/>
    <n v="20"/>
    <n v="52100"/>
    <x v="1"/>
    <n v="0"/>
    <n v="0"/>
    <x v="1"/>
    <x v="2"/>
    <x v="1"/>
    <d v="2026-07-02T00:00:00"/>
    <n v="0"/>
    <x v="0"/>
  </r>
  <r>
    <n v="102386"/>
    <n v="42"/>
    <n v="51600"/>
    <x v="2"/>
    <n v="0"/>
    <n v="0"/>
    <x v="4"/>
    <x v="1"/>
    <x v="1"/>
    <d v="2026-01-24T00:00:00"/>
    <n v="0"/>
    <x v="0"/>
  </r>
  <r>
    <n v="102387"/>
    <n v="58"/>
    <n v="84600"/>
    <x v="0"/>
    <n v="24400"/>
    <n v="0"/>
    <x v="7"/>
    <x v="0"/>
    <x v="1"/>
    <d v="2025-06-11T00:00:00"/>
    <n v="24400"/>
    <x v="1"/>
  </r>
  <r>
    <n v="102388"/>
    <n v="49"/>
    <n v="76500"/>
    <x v="1"/>
    <n v="67000"/>
    <n v="0"/>
    <x v="5"/>
    <x v="2"/>
    <x v="1"/>
    <d v="2024-06-25T00:00:00"/>
    <n v="67000"/>
    <x v="1"/>
  </r>
  <r>
    <n v="102389"/>
    <n v="23"/>
    <n v="61500"/>
    <x v="2"/>
    <n v="40200"/>
    <n v="0"/>
    <x v="2"/>
    <x v="2"/>
    <x v="1"/>
    <d v="2024-07-13T00:00:00"/>
    <n v="40200"/>
    <x v="0"/>
  </r>
  <r>
    <n v="102390"/>
    <n v="68"/>
    <n v="67200"/>
    <x v="1"/>
    <n v="5700"/>
    <n v="111000"/>
    <x v="5"/>
    <x v="2"/>
    <x v="1"/>
    <d v="2025-12-16T00:00:00"/>
    <n v="116700"/>
    <x v="0"/>
  </r>
  <r>
    <n v="102391"/>
    <n v="49"/>
    <n v="103700"/>
    <x v="1"/>
    <n v="50000"/>
    <n v="283000"/>
    <x v="3"/>
    <x v="0"/>
    <x v="1"/>
    <d v="2026-01-18T00:00:00"/>
    <n v="333000"/>
    <x v="1"/>
  </r>
  <r>
    <n v="102392"/>
    <n v="56"/>
    <n v="31800"/>
    <x v="1"/>
    <n v="34700"/>
    <n v="0"/>
    <x v="2"/>
    <x v="1"/>
    <x v="1"/>
    <d v="2025-07-10T00:00:00"/>
    <n v="34700"/>
    <x v="0"/>
  </r>
  <r>
    <n v="102393"/>
    <n v="50"/>
    <n v="36900"/>
    <x v="0"/>
    <n v="42500"/>
    <n v="0"/>
    <x v="1"/>
    <x v="1"/>
    <x v="1"/>
    <d v="2025-11-14T00:00:00"/>
    <n v="42500"/>
    <x v="0"/>
  </r>
  <r>
    <n v="102394"/>
    <n v="64"/>
    <n v="37100"/>
    <x v="2"/>
    <n v="46400"/>
    <n v="0"/>
    <x v="6"/>
    <x v="1"/>
    <x v="1"/>
    <d v="2026-05-01T00:00:00"/>
    <n v="46400"/>
    <x v="0"/>
  </r>
  <r>
    <n v="102395"/>
    <n v="34"/>
    <n v="27100"/>
    <x v="2"/>
    <n v="0"/>
    <n v="0"/>
    <x v="0"/>
    <x v="0"/>
    <x v="1"/>
    <d v="2024-09-24T00:00:00"/>
    <n v="0"/>
    <x v="0"/>
  </r>
  <r>
    <n v="102396"/>
    <n v="55"/>
    <n v="99500"/>
    <x v="1"/>
    <n v="0"/>
    <n v="0"/>
    <x v="6"/>
    <x v="1"/>
    <x v="1"/>
    <d v="2026-05-27T00:00:00"/>
    <n v="0"/>
    <x v="1"/>
  </r>
  <r>
    <n v="102397"/>
    <n v="43"/>
    <n v="53200"/>
    <x v="1"/>
    <n v="32300"/>
    <n v="0"/>
    <x v="6"/>
    <x v="1"/>
    <x v="1"/>
    <d v="2024-04-12T00:00:00"/>
    <n v="32300"/>
    <x v="0"/>
  </r>
  <r>
    <n v="102398"/>
    <n v="53"/>
    <n v="55100"/>
    <x v="1"/>
    <n v="50800"/>
    <n v="0"/>
    <x v="5"/>
    <x v="0"/>
    <x v="0"/>
    <d v="2024-09-10T00:00:00"/>
    <n v="50800"/>
    <x v="0"/>
  </r>
  <r>
    <n v="102399"/>
    <n v="70"/>
    <n v="105600"/>
    <x v="1"/>
    <n v="17200"/>
    <n v="0"/>
    <x v="0"/>
    <x v="1"/>
    <x v="1"/>
    <d v="2025-09-25T00:00:00"/>
    <n v="17200"/>
    <x v="1"/>
  </r>
  <r>
    <n v="102400"/>
    <n v="40"/>
    <n v="91600"/>
    <x v="1"/>
    <n v="33200"/>
    <n v="142000"/>
    <x v="7"/>
    <x v="3"/>
    <x v="1"/>
    <d v="2024-08-19T00:00:00"/>
    <n v="175200"/>
    <x v="1"/>
  </r>
  <r>
    <n v="102401"/>
    <n v="46"/>
    <n v="33200"/>
    <x v="0"/>
    <n v="41500"/>
    <n v="175000"/>
    <x v="0"/>
    <x v="0"/>
    <x v="1"/>
    <d v="2024-07-17T00:00:00"/>
    <n v="216500"/>
    <x v="0"/>
  </r>
  <r>
    <n v="102402"/>
    <n v="33"/>
    <n v="57000"/>
    <x v="1"/>
    <n v="0"/>
    <n v="0"/>
    <x v="5"/>
    <x v="2"/>
    <x v="1"/>
    <d v="2025-04-04T00:00:00"/>
    <n v="0"/>
    <x v="0"/>
  </r>
  <r>
    <n v="102403"/>
    <n v="38"/>
    <n v="63400"/>
    <x v="1"/>
    <n v="30000"/>
    <n v="0"/>
    <x v="1"/>
    <x v="0"/>
    <x v="1"/>
    <d v="2024-11-18T00:00:00"/>
    <n v="30000"/>
    <x v="0"/>
  </r>
  <r>
    <n v="102404"/>
    <n v="24"/>
    <n v="102500"/>
    <x v="2"/>
    <n v="32100"/>
    <n v="0"/>
    <x v="0"/>
    <x v="1"/>
    <x v="1"/>
    <d v="2026-07-29T00:00:00"/>
    <n v="32100"/>
    <x v="1"/>
  </r>
  <r>
    <n v="102405"/>
    <n v="64"/>
    <n v="63900"/>
    <x v="0"/>
    <n v="32800"/>
    <n v="0"/>
    <x v="4"/>
    <x v="0"/>
    <x v="1"/>
    <d v="2024-03-21T00:00:00"/>
    <n v="32800"/>
    <x v="0"/>
  </r>
  <r>
    <n v="102406"/>
    <n v="37"/>
    <n v="50100"/>
    <x v="1"/>
    <n v="40000"/>
    <n v="284000"/>
    <x v="6"/>
    <x v="1"/>
    <x v="1"/>
    <d v="2024-03-21T00:00:00"/>
    <n v="324000"/>
    <x v="0"/>
  </r>
  <r>
    <n v="102407"/>
    <n v="66"/>
    <n v="79000"/>
    <x v="1"/>
    <n v="0"/>
    <n v="0"/>
    <x v="5"/>
    <x v="1"/>
    <x v="1"/>
    <d v="2025-09-26T00:00:00"/>
    <n v="0"/>
    <x v="1"/>
  </r>
  <r>
    <n v="102408"/>
    <n v="45"/>
    <n v="72900"/>
    <x v="1"/>
    <n v="67700"/>
    <n v="206000"/>
    <x v="7"/>
    <x v="2"/>
    <x v="1"/>
    <d v="2025-08-24T00:00:00"/>
    <n v="273700"/>
    <x v="1"/>
  </r>
  <r>
    <n v="102409"/>
    <n v="35"/>
    <n v="97400"/>
    <x v="0"/>
    <n v="24300"/>
    <n v="0"/>
    <x v="5"/>
    <x v="3"/>
    <x v="1"/>
    <d v="2024-09-11T00:00:00"/>
    <n v="24300"/>
    <x v="1"/>
  </r>
  <r>
    <n v="102410"/>
    <n v="58"/>
    <n v="102500"/>
    <x v="0"/>
    <n v="12700"/>
    <n v="0"/>
    <x v="3"/>
    <x v="1"/>
    <x v="1"/>
    <d v="2024-06-13T00:00:00"/>
    <n v="12700"/>
    <x v="1"/>
  </r>
  <r>
    <n v="102411"/>
    <n v="69"/>
    <n v="105600"/>
    <x v="0"/>
    <n v="26900"/>
    <n v="0"/>
    <x v="1"/>
    <x v="1"/>
    <x v="1"/>
    <d v="2025-12-11T00:00:00"/>
    <n v="26900"/>
    <x v="1"/>
  </r>
  <r>
    <n v="102412"/>
    <n v="67"/>
    <n v="25500"/>
    <x v="1"/>
    <n v="16600"/>
    <n v="0"/>
    <x v="2"/>
    <x v="2"/>
    <x v="1"/>
    <d v="2024-10-16T00:00:00"/>
    <n v="16600"/>
    <x v="0"/>
  </r>
  <r>
    <n v="102413"/>
    <n v="64"/>
    <n v="55500"/>
    <x v="0"/>
    <n v="0"/>
    <n v="0"/>
    <x v="2"/>
    <x v="0"/>
    <x v="1"/>
    <d v="2024-05-15T00:00:00"/>
    <n v="0"/>
    <x v="0"/>
  </r>
  <r>
    <n v="102414"/>
    <n v="32"/>
    <n v="30200"/>
    <x v="1"/>
    <n v="0"/>
    <n v="0"/>
    <x v="6"/>
    <x v="1"/>
    <x v="1"/>
    <d v="2025-06-03T00:00:00"/>
    <n v="0"/>
    <x v="0"/>
  </r>
  <r>
    <n v="102415"/>
    <n v="23"/>
    <n v="81600"/>
    <x v="2"/>
    <n v="34000"/>
    <n v="0"/>
    <x v="7"/>
    <x v="3"/>
    <x v="0"/>
    <d v="2024-06-21T00:00:00"/>
    <n v="34000"/>
    <x v="1"/>
  </r>
  <r>
    <n v="102416"/>
    <n v="22"/>
    <n v="115600"/>
    <x v="0"/>
    <n v="40600"/>
    <n v="0"/>
    <x v="5"/>
    <x v="0"/>
    <x v="0"/>
    <d v="2024-07-23T00:00:00"/>
    <n v="40600"/>
    <x v="1"/>
  </r>
  <r>
    <n v="102417"/>
    <n v="63"/>
    <n v="92300"/>
    <x v="1"/>
    <n v="13900"/>
    <n v="0"/>
    <x v="5"/>
    <x v="1"/>
    <x v="1"/>
    <d v="2024-12-17T00:00:00"/>
    <n v="13900"/>
    <x v="1"/>
  </r>
  <r>
    <n v="102418"/>
    <n v="30"/>
    <n v="85600"/>
    <x v="1"/>
    <n v="14500"/>
    <n v="0"/>
    <x v="6"/>
    <x v="2"/>
    <x v="1"/>
    <d v="2025-12-01T00:00:00"/>
    <n v="14500"/>
    <x v="1"/>
  </r>
  <r>
    <n v="102419"/>
    <n v="63"/>
    <n v="119000"/>
    <x v="1"/>
    <n v="39700"/>
    <n v="0"/>
    <x v="6"/>
    <x v="2"/>
    <x v="1"/>
    <d v="2025-01-07T00:00:00"/>
    <n v="39700"/>
    <x v="1"/>
  </r>
  <r>
    <n v="102420"/>
    <n v="65"/>
    <n v="45700"/>
    <x v="1"/>
    <n v="53500"/>
    <n v="0"/>
    <x v="4"/>
    <x v="0"/>
    <x v="1"/>
    <d v="2024-03-22T00:00:00"/>
    <n v="53500"/>
    <x v="0"/>
  </r>
  <r>
    <n v="102421"/>
    <n v="48"/>
    <n v="80400"/>
    <x v="1"/>
    <n v="0"/>
    <n v="0"/>
    <x v="2"/>
    <x v="1"/>
    <x v="1"/>
    <d v="2025-08-13T00:00:00"/>
    <n v="0"/>
    <x v="1"/>
  </r>
  <r>
    <n v="102422"/>
    <n v="37"/>
    <n v="54500"/>
    <x v="0"/>
    <n v="0"/>
    <n v="0"/>
    <x v="4"/>
    <x v="0"/>
    <x v="1"/>
    <d v="2024-07-03T00:00:00"/>
    <n v="0"/>
    <x v="0"/>
  </r>
  <r>
    <n v="102423"/>
    <n v="35"/>
    <n v="48500"/>
    <x v="0"/>
    <n v="4000"/>
    <n v="83000"/>
    <x v="1"/>
    <x v="2"/>
    <x v="1"/>
    <d v="2024-01-17T00:00:00"/>
    <n v="87000"/>
    <x v="0"/>
  </r>
  <r>
    <n v="102424"/>
    <n v="28"/>
    <n v="51400"/>
    <x v="0"/>
    <n v="0"/>
    <n v="328000"/>
    <x v="1"/>
    <x v="2"/>
    <x v="1"/>
    <d v="2026-08-08T00:00:00"/>
    <n v="328000"/>
    <x v="0"/>
  </r>
  <r>
    <n v="102425"/>
    <n v="72"/>
    <n v="29800"/>
    <x v="1"/>
    <n v="20500"/>
    <n v="0"/>
    <x v="2"/>
    <x v="2"/>
    <x v="1"/>
    <d v="2026-06-27T00:00:00"/>
    <n v="20500"/>
    <x v="0"/>
  </r>
  <r>
    <n v="102426"/>
    <n v="61"/>
    <n v="33400"/>
    <x v="0"/>
    <n v="5400"/>
    <n v="0"/>
    <x v="0"/>
    <x v="2"/>
    <x v="1"/>
    <d v="2024-02-14T00:00:00"/>
    <n v="5400"/>
    <x v="0"/>
  </r>
  <r>
    <n v="102427"/>
    <n v="57"/>
    <n v="35800"/>
    <x v="1"/>
    <n v="0"/>
    <n v="0"/>
    <x v="6"/>
    <x v="2"/>
    <x v="1"/>
    <d v="2024-05-18T00:00:00"/>
    <n v="0"/>
    <x v="0"/>
  </r>
  <r>
    <n v="102428"/>
    <n v="21"/>
    <n v="67900"/>
    <x v="1"/>
    <n v="51600"/>
    <n v="0"/>
    <x v="2"/>
    <x v="1"/>
    <x v="1"/>
    <d v="2025-01-10T00:00:00"/>
    <n v="51600"/>
    <x v="0"/>
  </r>
  <r>
    <n v="102429"/>
    <n v="34"/>
    <n v="92500"/>
    <x v="0"/>
    <n v="0"/>
    <n v="0"/>
    <x v="6"/>
    <x v="2"/>
    <x v="1"/>
    <d v="2026-01-03T00:00:00"/>
    <n v="0"/>
    <x v="1"/>
  </r>
  <r>
    <n v="102430"/>
    <n v="54"/>
    <n v="55100"/>
    <x v="1"/>
    <n v="0"/>
    <n v="0"/>
    <x v="7"/>
    <x v="0"/>
    <x v="1"/>
    <d v="2025-11-08T00:00:00"/>
    <n v="0"/>
    <x v="0"/>
  </r>
  <r>
    <n v="102431"/>
    <n v="40"/>
    <n v="44500"/>
    <x v="1"/>
    <n v="55600"/>
    <n v="166000"/>
    <x v="5"/>
    <x v="0"/>
    <x v="1"/>
    <d v="2024-08-18T00:00:00"/>
    <n v="221600"/>
    <x v="0"/>
  </r>
  <r>
    <n v="102432"/>
    <n v="52"/>
    <n v="33600"/>
    <x v="0"/>
    <n v="15000"/>
    <n v="0"/>
    <x v="1"/>
    <x v="1"/>
    <x v="1"/>
    <d v="2024-08-04T00:00:00"/>
    <n v="15000"/>
    <x v="0"/>
  </r>
  <r>
    <n v="102433"/>
    <n v="38"/>
    <n v="96500"/>
    <x v="2"/>
    <n v="0"/>
    <n v="0"/>
    <x v="1"/>
    <x v="2"/>
    <x v="1"/>
    <d v="2024-06-20T00:00:00"/>
    <n v="0"/>
    <x v="1"/>
  </r>
  <r>
    <n v="102434"/>
    <n v="58"/>
    <n v="85000"/>
    <x v="1"/>
    <n v="40700"/>
    <n v="256000"/>
    <x v="1"/>
    <x v="2"/>
    <x v="1"/>
    <d v="2025-02-22T00:00:00"/>
    <n v="296700"/>
    <x v="1"/>
  </r>
  <r>
    <n v="102435"/>
    <n v="26"/>
    <n v="86800"/>
    <x v="2"/>
    <n v="29500"/>
    <n v="0"/>
    <x v="5"/>
    <x v="2"/>
    <x v="1"/>
    <d v="2026-02-14T00:00:00"/>
    <n v="29500"/>
    <x v="1"/>
  </r>
  <r>
    <n v="102436"/>
    <n v="46"/>
    <n v="98900"/>
    <x v="1"/>
    <n v="26000"/>
    <n v="0"/>
    <x v="2"/>
    <x v="1"/>
    <x v="0"/>
    <d v="2025-01-18T00:00:00"/>
    <n v="26000"/>
    <x v="1"/>
  </r>
  <r>
    <n v="102437"/>
    <n v="32"/>
    <n v="73900"/>
    <x v="1"/>
    <n v="48300"/>
    <n v="0"/>
    <x v="1"/>
    <x v="1"/>
    <x v="1"/>
    <d v="2025-03-09T00:00:00"/>
    <n v="48300"/>
    <x v="1"/>
  </r>
  <r>
    <n v="102438"/>
    <n v="23"/>
    <n v="49800"/>
    <x v="1"/>
    <n v="15500"/>
    <n v="0"/>
    <x v="0"/>
    <x v="2"/>
    <x v="1"/>
    <d v="2024-11-10T00:00:00"/>
    <n v="15500"/>
    <x v="0"/>
  </r>
  <r>
    <n v="102439"/>
    <n v="48"/>
    <n v="64700"/>
    <x v="1"/>
    <n v="21700"/>
    <n v="0"/>
    <x v="3"/>
    <x v="2"/>
    <x v="1"/>
    <d v="2025-12-12T00:00:00"/>
    <n v="21700"/>
    <x v="0"/>
  </r>
  <r>
    <n v="102440"/>
    <n v="49"/>
    <n v="65900"/>
    <x v="1"/>
    <n v="38000"/>
    <n v="0"/>
    <x v="1"/>
    <x v="1"/>
    <x v="1"/>
    <d v="2024-11-03T00:00:00"/>
    <n v="38000"/>
    <x v="0"/>
  </r>
  <r>
    <n v="102441"/>
    <n v="74"/>
    <n v="77300"/>
    <x v="0"/>
    <n v="27700"/>
    <n v="156000"/>
    <x v="2"/>
    <x v="1"/>
    <x v="1"/>
    <d v="2025-10-04T00:00:00"/>
    <n v="183700"/>
    <x v="1"/>
  </r>
  <r>
    <n v="102442"/>
    <n v="62"/>
    <n v="64100"/>
    <x v="1"/>
    <n v="0"/>
    <n v="0"/>
    <x v="7"/>
    <x v="2"/>
    <x v="1"/>
    <d v="2024-07-09T00:00:00"/>
    <n v="0"/>
    <x v="0"/>
  </r>
  <r>
    <n v="102443"/>
    <n v="35"/>
    <n v="122200"/>
    <x v="0"/>
    <n v="0"/>
    <n v="0"/>
    <x v="0"/>
    <x v="1"/>
    <x v="1"/>
    <d v="2024-09-07T00:00:00"/>
    <n v="0"/>
    <x v="1"/>
  </r>
  <r>
    <n v="102444"/>
    <n v="74"/>
    <n v="22000"/>
    <x v="0"/>
    <n v="17200"/>
    <n v="0"/>
    <x v="1"/>
    <x v="1"/>
    <x v="1"/>
    <d v="2026-05-20T00:00:00"/>
    <n v="17200"/>
    <x v="0"/>
  </r>
  <r>
    <n v="102445"/>
    <n v="72"/>
    <n v="37700"/>
    <x v="0"/>
    <n v="19400"/>
    <n v="0"/>
    <x v="3"/>
    <x v="0"/>
    <x v="1"/>
    <d v="2024-10-23T00:00:00"/>
    <n v="19400"/>
    <x v="0"/>
  </r>
  <r>
    <n v="102446"/>
    <n v="36"/>
    <n v="28400"/>
    <x v="2"/>
    <n v="0"/>
    <n v="0"/>
    <x v="4"/>
    <x v="0"/>
    <x v="1"/>
    <d v="2026-08-15T00:00:00"/>
    <n v="0"/>
    <x v="0"/>
  </r>
  <r>
    <n v="102447"/>
    <n v="71"/>
    <n v="97900"/>
    <x v="1"/>
    <n v="39300"/>
    <n v="141000"/>
    <x v="7"/>
    <x v="0"/>
    <x v="1"/>
    <d v="2025-12-27T00:00:00"/>
    <n v="180300"/>
    <x v="1"/>
  </r>
  <r>
    <n v="102448"/>
    <n v="30"/>
    <n v="42500"/>
    <x v="0"/>
    <n v="16100"/>
    <n v="252000"/>
    <x v="6"/>
    <x v="0"/>
    <x v="1"/>
    <d v="2024-01-01T00:00:00"/>
    <n v="268100"/>
    <x v="0"/>
  </r>
  <r>
    <n v="102449"/>
    <n v="24"/>
    <n v="54600"/>
    <x v="1"/>
    <n v="0"/>
    <n v="165000"/>
    <x v="4"/>
    <x v="2"/>
    <x v="1"/>
    <d v="2024-10-31T00:00:00"/>
    <n v="165000"/>
    <x v="0"/>
  </r>
  <r>
    <n v="102450"/>
    <n v="51"/>
    <n v="72100"/>
    <x v="0"/>
    <n v="63500"/>
    <n v="248000"/>
    <x v="2"/>
    <x v="0"/>
    <x v="1"/>
    <d v="2024-12-02T00:00:00"/>
    <n v="311500"/>
    <x v="1"/>
  </r>
  <r>
    <n v="102451"/>
    <n v="73"/>
    <n v="45100"/>
    <x v="1"/>
    <n v="0"/>
    <n v="338000"/>
    <x v="2"/>
    <x v="1"/>
    <x v="1"/>
    <d v="2025-12-07T00:00:00"/>
    <n v="338000"/>
    <x v="0"/>
  </r>
  <r>
    <n v="102452"/>
    <n v="58"/>
    <n v="69000"/>
    <x v="1"/>
    <n v="0"/>
    <n v="72000"/>
    <x v="1"/>
    <x v="0"/>
    <x v="1"/>
    <d v="2024-09-08T00:00:00"/>
    <n v="72000"/>
    <x v="0"/>
  </r>
  <r>
    <n v="102453"/>
    <n v="33"/>
    <n v="73300"/>
    <x v="1"/>
    <n v="0"/>
    <n v="0"/>
    <x v="4"/>
    <x v="0"/>
    <x v="1"/>
    <d v="2025-05-19T00:00:00"/>
    <n v="0"/>
    <x v="1"/>
  </r>
  <r>
    <n v="102454"/>
    <n v="48"/>
    <n v="57600"/>
    <x v="1"/>
    <n v="0"/>
    <n v="0"/>
    <x v="6"/>
    <x v="3"/>
    <x v="1"/>
    <d v="2025-02-15T00:00:00"/>
    <n v="0"/>
    <x v="0"/>
  </r>
  <r>
    <n v="102455"/>
    <n v="39"/>
    <n v="78400"/>
    <x v="1"/>
    <n v="0"/>
    <n v="221000"/>
    <x v="6"/>
    <x v="2"/>
    <x v="1"/>
    <d v="2026-03-27T00:00:00"/>
    <n v="221000"/>
    <x v="1"/>
  </r>
  <r>
    <n v="102456"/>
    <n v="22"/>
    <n v="49000"/>
    <x v="1"/>
    <n v="54100"/>
    <n v="167000"/>
    <x v="6"/>
    <x v="1"/>
    <x v="1"/>
    <d v="2024-10-31T00:00:00"/>
    <n v="221100"/>
    <x v="0"/>
  </r>
  <r>
    <n v="102457"/>
    <n v="66"/>
    <n v="30000"/>
    <x v="2"/>
    <n v="37500"/>
    <n v="0"/>
    <x v="7"/>
    <x v="0"/>
    <x v="1"/>
    <d v="2024-06-20T00:00:00"/>
    <n v="37500"/>
    <x v="0"/>
  </r>
  <r>
    <n v="102458"/>
    <n v="47"/>
    <n v="56600"/>
    <x v="1"/>
    <n v="3800"/>
    <n v="0"/>
    <x v="4"/>
    <x v="2"/>
    <x v="1"/>
    <d v="2025-12-24T00:00:00"/>
    <n v="3800"/>
    <x v="0"/>
  </r>
  <r>
    <n v="102459"/>
    <n v="45"/>
    <n v="40700"/>
    <x v="0"/>
    <n v="0"/>
    <n v="0"/>
    <x v="1"/>
    <x v="3"/>
    <x v="1"/>
    <d v="2026-03-25T00:00:00"/>
    <n v="0"/>
    <x v="0"/>
  </r>
  <r>
    <n v="102460"/>
    <n v="36"/>
    <n v="106900"/>
    <x v="0"/>
    <n v="30900"/>
    <n v="0"/>
    <x v="7"/>
    <x v="1"/>
    <x v="1"/>
    <d v="2025-06-19T00:00:00"/>
    <n v="30900"/>
    <x v="1"/>
  </r>
  <r>
    <n v="102461"/>
    <n v="33"/>
    <n v="116300"/>
    <x v="0"/>
    <n v="32800"/>
    <n v="0"/>
    <x v="5"/>
    <x v="0"/>
    <x v="1"/>
    <d v="2024-03-20T00:00:00"/>
    <n v="32800"/>
    <x v="1"/>
  </r>
  <r>
    <n v="102462"/>
    <n v="36"/>
    <n v="67100"/>
    <x v="0"/>
    <n v="39000"/>
    <n v="0"/>
    <x v="2"/>
    <x v="0"/>
    <x v="0"/>
    <d v="2024-10-15T00:00:00"/>
    <n v="39000"/>
    <x v="0"/>
  </r>
  <r>
    <n v="102463"/>
    <n v="58"/>
    <n v="75800"/>
    <x v="0"/>
    <n v="29200"/>
    <n v="0"/>
    <x v="5"/>
    <x v="2"/>
    <x v="1"/>
    <d v="2024-08-15T00:00:00"/>
    <n v="29200"/>
    <x v="1"/>
  </r>
  <r>
    <n v="102464"/>
    <n v="57"/>
    <n v="44400"/>
    <x v="1"/>
    <n v="16900"/>
    <n v="0"/>
    <x v="0"/>
    <x v="0"/>
    <x v="1"/>
    <d v="2024-12-03T00:00:00"/>
    <n v="16900"/>
    <x v="0"/>
  </r>
  <r>
    <n v="102465"/>
    <n v="59"/>
    <n v="46200"/>
    <x v="2"/>
    <n v="6800"/>
    <n v="0"/>
    <x v="4"/>
    <x v="1"/>
    <x v="1"/>
    <d v="2025-12-16T00:00:00"/>
    <n v="6800"/>
    <x v="0"/>
  </r>
  <r>
    <n v="102466"/>
    <n v="30"/>
    <n v="37200"/>
    <x v="1"/>
    <n v="35500"/>
    <n v="0"/>
    <x v="7"/>
    <x v="1"/>
    <x v="1"/>
    <d v="2026-08-09T00:00:00"/>
    <n v="35500"/>
    <x v="0"/>
  </r>
  <r>
    <n v="102467"/>
    <n v="60"/>
    <n v="38800"/>
    <x v="1"/>
    <n v="33900"/>
    <n v="0"/>
    <x v="4"/>
    <x v="3"/>
    <x v="0"/>
    <d v="2025-04-06T00:00:00"/>
    <n v="33900"/>
    <x v="0"/>
  </r>
  <r>
    <n v="102468"/>
    <n v="53"/>
    <n v="70700"/>
    <x v="0"/>
    <n v="43400"/>
    <n v="0"/>
    <x v="5"/>
    <x v="2"/>
    <x v="1"/>
    <d v="2025-01-28T00:00:00"/>
    <n v="43400"/>
    <x v="1"/>
  </r>
  <r>
    <n v="102469"/>
    <n v="64"/>
    <n v="32400"/>
    <x v="0"/>
    <n v="21300"/>
    <n v="0"/>
    <x v="1"/>
    <x v="1"/>
    <x v="1"/>
    <d v="2025-08-11T00:00:00"/>
    <n v="21300"/>
    <x v="0"/>
  </r>
  <r>
    <n v="102470"/>
    <n v="58"/>
    <n v="62400"/>
    <x v="2"/>
    <n v="7900"/>
    <n v="0"/>
    <x v="1"/>
    <x v="1"/>
    <x v="1"/>
    <d v="2025-08-03T00:00:00"/>
    <n v="7900"/>
    <x v="0"/>
  </r>
  <r>
    <n v="102471"/>
    <n v="69"/>
    <n v="85200"/>
    <x v="1"/>
    <n v="20700"/>
    <n v="235000"/>
    <x v="7"/>
    <x v="2"/>
    <x v="1"/>
    <d v="2024-05-02T00:00:00"/>
    <n v="255700"/>
    <x v="1"/>
  </r>
  <r>
    <n v="102472"/>
    <n v="23"/>
    <n v="90200"/>
    <x v="1"/>
    <n v="0"/>
    <n v="0"/>
    <x v="1"/>
    <x v="2"/>
    <x v="1"/>
    <d v="2024-01-08T00:00:00"/>
    <n v="0"/>
    <x v="1"/>
  </r>
  <r>
    <n v="102473"/>
    <n v="26"/>
    <n v="54300"/>
    <x v="1"/>
    <n v="30900"/>
    <n v="0"/>
    <x v="5"/>
    <x v="1"/>
    <x v="1"/>
    <d v="2025-06-19T00:00:00"/>
    <n v="30900"/>
    <x v="0"/>
  </r>
  <r>
    <n v="102474"/>
    <n v="45"/>
    <n v="48300"/>
    <x v="0"/>
    <n v="33400"/>
    <n v="365000"/>
    <x v="5"/>
    <x v="1"/>
    <x v="1"/>
    <d v="2024-01-08T00:00:00"/>
    <n v="398400"/>
    <x v="0"/>
  </r>
  <r>
    <n v="102475"/>
    <n v="23"/>
    <n v="52200"/>
    <x v="1"/>
    <n v="55200"/>
    <n v="0"/>
    <x v="4"/>
    <x v="2"/>
    <x v="1"/>
    <d v="2024-03-14T00:00:00"/>
    <n v="55200"/>
    <x v="0"/>
  </r>
  <r>
    <n v="102476"/>
    <n v="46"/>
    <n v="52000"/>
    <x v="1"/>
    <n v="17700"/>
    <n v="169000"/>
    <x v="0"/>
    <x v="0"/>
    <x v="1"/>
    <d v="2025-04-28T00:00:00"/>
    <n v="186700"/>
    <x v="0"/>
  </r>
  <r>
    <n v="102477"/>
    <n v="38"/>
    <n v="21600"/>
    <x v="0"/>
    <n v="0"/>
    <n v="0"/>
    <x v="1"/>
    <x v="3"/>
    <x v="1"/>
    <d v="2025-03-12T00:00:00"/>
    <n v="0"/>
    <x v="0"/>
  </r>
  <r>
    <n v="102478"/>
    <n v="21"/>
    <n v="60700"/>
    <x v="1"/>
    <n v="32000"/>
    <n v="110000"/>
    <x v="6"/>
    <x v="3"/>
    <x v="1"/>
    <d v="2024-02-16T00:00:00"/>
    <n v="142000"/>
    <x v="0"/>
  </r>
  <r>
    <n v="102479"/>
    <n v="59"/>
    <n v="46800"/>
    <x v="2"/>
    <n v="19300"/>
    <n v="0"/>
    <x v="6"/>
    <x v="2"/>
    <x v="1"/>
    <d v="2024-12-06T00:00:00"/>
    <n v="19300"/>
    <x v="0"/>
  </r>
  <r>
    <n v="102480"/>
    <n v="66"/>
    <n v="29400"/>
    <x v="0"/>
    <n v="8500"/>
    <n v="0"/>
    <x v="5"/>
    <x v="0"/>
    <x v="1"/>
    <d v="2025-11-15T00:00:00"/>
    <n v="8500"/>
    <x v="0"/>
  </r>
  <r>
    <n v="102481"/>
    <n v="57"/>
    <n v="23700"/>
    <x v="0"/>
    <n v="29600"/>
    <n v="0"/>
    <x v="7"/>
    <x v="0"/>
    <x v="1"/>
    <d v="2026-07-05T00:00:00"/>
    <n v="29600"/>
    <x v="0"/>
  </r>
  <r>
    <n v="102482"/>
    <n v="56"/>
    <n v="95300"/>
    <x v="1"/>
    <n v="82100"/>
    <n v="0"/>
    <x v="0"/>
    <x v="2"/>
    <x v="1"/>
    <d v="2024-10-03T00:00:00"/>
    <n v="82100"/>
    <x v="1"/>
  </r>
  <r>
    <n v="102483"/>
    <n v="53"/>
    <n v="24000"/>
    <x v="1"/>
    <n v="19000"/>
    <n v="0"/>
    <x v="1"/>
    <x v="0"/>
    <x v="1"/>
    <d v="2025-06-05T00:00:00"/>
    <n v="19000"/>
    <x v="0"/>
  </r>
  <r>
    <n v="102484"/>
    <n v="20"/>
    <n v="65100"/>
    <x v="1"/>
    <n v="19800"/>
    <n v="0"/>
    <x v="6"/>
    <x v="0"/>
    <x v="1"/>
    <d v="2025-10-05T00:00:00"/>
    <n v="19800"/>
    <x v="0"/>
  </r>
  <r>
    <n v="102485"/>
    <n v="68"/>
    <n v="63300"/>
    <x v="1"/>
    <n v="0"/>
    <n v="260000"/>
    <x v="5"/>
    <x v="2"/>
    <x v="1"/>
    <d v="2025-10-28T00:00:00"/>
    <n v="260000"/>
    <x v="0"/>
  </r>
  <r>
    <n v="102486"/>
    <n v="75"/>
    <n v="86600"/>
    <x v="1"/>
    <n v="13300"/>
    <n v="0"/>
    <x v="4"/>
    <x v="2"/>
    <x v="1"/>
    <d v="2026-05-11T00:00:00"/>
    <n v="13300"/>
    <x v="1"/>
  </r>
  <r>
    <n v="102487"/>
    <n v="75"/>
    <n v="24900"/>
    <x v="1"/>
    <n v="9600"/>
    <n v="268000"/>
    <x v="7"/>
    <x v="1"/>
    <x v="1"/>
    <d v="2025-04-16T00:00:00"/>
    <n v="277600"/>
    <x v="0"/>
  </r>
  <r>
    <n v="102488"/>
    <n v="43"/>
    <n v="68000"/>
    <x v="2"/>
    <n v="23800"/>
    <n v="0"/>
    <x v="1"/>
    <x v="0"/>
    <x v="1"/>
    <d v="2025-12-04T00:00:00"/>
    <n v="23800"/>
    <x v="0"/>
  </r>
  <r>
    <n v="102489"/>
    <n v="53"/>
    <n v="77600"/>
    <x v="1"/>
    <n v="50600"/>
    <n v="232000"/>
    <x v="1"/>
    <x v="1"/>
    <x v="1"/>
    <d v="2024-10-10T00:00:00"/>
    <n v="282600"/>
    <x v="1"/>
  </r>
  <r>
    <n v="102490"/>
    <n v="26"/>
    <n v="64900"/>
    <x v="1"/>
    <n v="19700"/>
    <n v="0"/>
    <x v="1"/>
    <x v="2"/>
    <x v="1"/>
    <d v="2026-01-09T00:00:00"/>
    <n v="19700"/>
    <x v="0"/>
  </r>
  <r>
    <n v="102491"/>
    <n v="55"/>
    <n v="51600"/>
    <x v="0"/>
    <n v="31500"/>
    <n v="0"/>
    <x v="5"/>
    <x v="0"/>
    <x v="1"/>
    <d v="2026-05-19T00:00:00"/>
    <n v="31500"/>
    <x v="0"/>
  </r>
  <r>
    <n v="102492"/>
    <n v="48"/>
    <n v="40700"/>
    <x v="1"/>
    <n v="50900"/>
    <n v="0"/>
    <x v="0"/>
    <x v="1"/>
    <x v="1"/>
    <d v="2025-06-26T00:00:00"/>
    <n v="50900"/>
    <x v="0"/>
  </r>
  <r>
    <n v="102493"/>
    <n v="71"/>
    <n v="81800"/>
    <x v="1"/>
    <n v="23200"/>
    <n v="184000"/>
    <x v="2"/>
    <x v="0"/>
    <x v="1"/>
    <d v="2025-02-28T00:00:00"/>
    <n v="207200"/>
    <x v="1"/>
  </r>
  <r>
    <n v="102494"/>
    <n v="59"/>
    <n v="63300"/>
    <x v="2"/>
    <n v="0"/>
    <n v="0"/>
    <x v="3"/>
    <x v="2"/>
    <x v="1"/>
    <d v="2026-01-12T00:00:00"/>
    <n v="0"/>
    <x v="0"/>
  </r>
  <r>
    <n v="102495"/>
    <n v="29"/>
    <n v="42300"/>
    <x v="1"/>
    <n v="33900"/>
    <n v="0"/>
    <x v="4"/>
    <x v="3"/>
    <x v="1"/>
    <d v="2025-11-26T00:00:00"/>
    <n v="33900"/>
    <x v="0"/>
  </r>
  <r>
    <n v="102496"/>
    <n v="72"/>
    <n v="65100"/>
    <x v="1"/>
    <n v="0"/>
    <n v="0"/>
    <x v="1"/>
    <x v="1"/>
    <x v="1"/>
    <d v="2024-10-06T00:00:00"/>
    <n v="0"/>
    <x v="0"/>
  </r>
  <r>
    <n v="102497"/>
    <n v="75"/>
    <n v="85500"/>
    <x v="0"/>
    <n v="10900"/>
    <n v="0"/>
    <x v="5"/>
    <x v="1"/>
    <x v="1"/>
    <d v="2025-08-17T00:00:00"/>
    <n v="10900"/>
    <x v="1"/>
  </r>
  <r>
    <n v="102498"/>
    <n v="40"/>
    <n v="75900"/>
    <x v="1"/>
    <n v="0"/>
    <n v="0"/>
    <x v="2"/>
    <x v="2"/>
    <x v="1"/>
    <d v="2025-08-30T00:00:00"/>
    <n v="0"/>
    <x v="1"/>
  </r>
  <r>
    <n v="102499"/>
    <n v="53"/>
    <n v="32400"/>
    <x v="0"/>
    <n v="0"/>
    <n v="0"/>
    <x v="6"/>
    <x v="0"/>
    <x v="1"/>
    <d v="2026-02-05T00:00:00"/>
    <n v="0"/>
    <x v="0"/>
  </r>
  <r>
    <n v="102500"/>
    <n v="33"/>
    <n v="57200"/>
    <x v="1"/>
    <n v="24400"/>
    <n v="0"/>
    <x v="5"/>
    <x v="1"/>
    <x v="1"/>
    <d v="2026-02-19T00:00:00"/>
    <n v="24400"/>
    <x v="0"/>
  </r>
  <r>
    <n v="102501"/>
    <n v="65"/>
    <n v="69400"/>
    <x v="1"/>
    <n v="0"/>
    <n v="162000"/>
    <x v="7"/>
    <x v="1"/>
    <x v="1"/>
    <d v="2025-06-21T00:00:00"/>
    <n v="162000"/>
    <x v="0"/>
  </r>
  <r>
    <n v="102502"/>
    <n v="21"/>
    <n v="93000"/>
    <x v="2"/>
    <n v="28300"/>
    <n v="229000"/>
    <x v="0"/>
    <x v="2"/>
    <x v="1"/>
    <d v="2026-03-16T00:00:00"/>
    <n v="257300"/>
    <x v="1"/>
  </r>
  <r>
    <n v="102503"/>
    <n v="62"/>
    <n v="67400"/>
    <x v="0"/>
    <n v="13100"/>
    <n v="0"/>
    <x v="0"/>
    <x v="2"/>
    <x v="1"/>
    <d v="2026-03-19T00:00:00"/>
    <n v="13100"/>
    <x v="0"/>
  </r>
  <r>
    <n v="102504"/>
    <n v="54"/>
    <n v="61400"/>
    <x v="1"/>
    <n v="51200"/>
    <n v="0"/>
    <x v="4"/>
    <x v="0"/>
    <x v="0"/>
    <d v="2026-04-27T00:00:00"/>
    <n v="51200"/>
    <x v="0"/>
  </r>
  <r>
    <n v="102505"/>
    <n v="51"/>
    <n v="22400"/>
    <x v="1"/>
    <n v="28000"/>
    <n v="0"/>
    <x v="0"/>
    <x v="2"/>
    <x v="1"/>
    <d v="2024-08-12T00:00:00"/>
    <n v="28000"/>
    <x v="0"/>
  </r>
  <r>
    <n v="102506"/>
    <n v="50"/>
    <n v="83400"/>
    <x v="0"/>
    <n v="36800"/>
    <n v="0"/>
    <x v="3"/>
    <x v="2"/>
    <x v="1"/>
    <d v="2025-11-09T00:00:00"/>
    <n v="36800"/>
    <x v="1"/>
  </r>
  <r>
    <n v="102507"/>
    <n v="74"/>
    <n v="55500"/>
    <x v="1"/>
    <n v="0"/>
    <n v="0"/>
    <x v="3"/>
    <x v="1"/>
    <x v="1"/>
    <d v="2024-02-15T00:00:00"/>
    <n v="0"/>
    <x v="0"/>
  </r>
  <r>
    <n v="102508"/>
    <n v="46"/>
    <n v="59200"/>
    <x v="1"/>
    <n v="60500"/>
    <n v="0"/>
    <x v="3"/>
    <x v="3"/>
    <x v="0"/>
    <d v="2024-12-28T00:00:00"/>
    <n v="60500"/>
    <x v="0"/>
  </r>
  <r>
    <n v="102509"/>
    <n v="64"/>
    <n v="56100"/>
    <x v="0"/>
    <n v="49400"/>
    <n v="0"/>
    <x v="3"/>
    <x v="2"/>
    <x v="1"/>
    <d v="2025-10-09T00:00:00"/>
    <n v="49400"/>
    <x v="0"/>
  </r>
  <r>
    <n v="102510"/>
    <n v="22"/>
    <n v="74000"/>
    <x v="0"/>
    <n v="65500"/>
    <n v="0"/>
    <x v="0"/>
    <x v="1"/>
    <x v="1"/>
    <d v="2025-11-22T00:00:00"/>
    <n v="65500"/>
    <x v="1"/>
  </r>
  <r>
    <n v="102511"/>
    <n v="67"/>
    <n v="42500"/>
    <x v="1"/>
    <n v="0"/>
    <n v="0"/>
    <x v="5"/>
    <x v="1"/>
    <x v="1"/>
    <d v="2025-06-05T00:00:00"/>
    <n v="0"/>
    <x v="0"/>
  </r>
  <r>
    <n v="102512"/>
    <n v="54"/>
    <n v="41700"/>
    <x v="2"/>
    <n v="23800"/>
    <n v="0"/>
    <x v="6"/>
    <x v="0"/>
    <x v="1"/>
    <d v="2026-02-09T00:00:00"/>
    <n v="23800"/>
    <x v="0"/>
  </r>
  <r>
    <n v="102513"/>
    <n v="29"/>
    <n v="104900"/>
    <x v="2"/>
    <n v="0"/>
    <n v="0"/>
    <x v="3"/>
    <x v="2"/>
    <x v="1"/>
    <d v="2025-03-30T00:00:00"/>
    <n v="0"/>
    <x v="1"/>
  </r>
  <r>
    <n v="102514"/>
    <n v="27"/>
    <n v="48400"/>
    <x v="0"/>
    <n v="0"/>
    <n v="0"/>
    <x v="0"/>
    <x v="0"/>
    <x v="1"/>
    <d v="2025-08-19T00:00:00"/>
    <n v="0"/>
    <x v="0"/>
  </r>
  <r>
    <n v="102515"/>
    <n v="60"/>
    <n v="55600"/>
    <x v="2"/>
    <n v="35900"/>
    <n v="0"/>
    <x v="4"/>
    <x v="2"/>
    <x v="1"/>
    <d v="2026-04-03T00:00:00"/>
    <n v="35900"/>
    <x v="0"/>
  </r>
  <r>
    <n v="102516"/>
    <n v="69"/>
    <n v="69400"/>
    <x v="1"/>
    <n v="21700"/>
    <n v="0"/>
    <x v="5"/>
    <x v="2"/>
    <x v="1"/>
    <d v="2024-08-25T00:00:00"/>
    <n v="21700"/>
    <x v="0"/>
  </r>
  <r>
    <n v="102517"/>
    <n v="72"/>
    <n v="82600"/>
    <x v="0"/>
    <n v="23300"/>
    <n v="194000"/>
    <x v="4"/>
    <x v="1"/>
    <x v="1"/>
    <d v="2026-02-15T00:00:00"/>
    <n v="217300"/>
    <x v="1"/>
  </r>
  <r>
    <n v="102518"/>
    <n v="51"/>
    <n v="60200"/>
    <x v="1"/>
    <n v="38600"/>
    <n v="0"/>
    <x v="7"/>
    <x v="1"/>
    <x v="1"/>
    <d v="2026-07-20T00:00:00"/>
    <n v="38600"/>
    <x v="0"/>
  </r>
  <r>
    <n v="102519"/>
    <n v="65"/>
    <n v="72900"/>
    <x v="0"/>
    <n v="34200"/>
    <n v="0"/>
    <x v="3"/>
    <x v="1"/>
    <x v="1"/>
    <d v="2026-04-29T00:00:00"/>
    <n v="34200"/>
    <x v="1"/>
  </r>
  <r>
    <n v="102520"/>
    <n v="25"/>
    <n v="48800"/>
    <x v="1"/>
    <n v="23600"/>
    <n v="293000"/>
    <x v="3"/>
    <x v="2"/>
    <x v="1"/>
    <d v="2026-05-25T00:00:00"/>
    <n v="316600"/>
    <x v="0"/>
  </r>
  <r>
    <n v="102521"/>
    <n v="67"/>
    <n v="51400"/>
    <x v="0"/>
    <n v="21300"/>
    <n v="0"/>
    <x v="1"/>
    <x v="0"/>
    <x v="0"/>
    <d v="2025-04-22T00:00:00"/>
    <n v="21300"/>
    <x v="0"/>
  </r>
  <r>
    <n v="102522"/>
    <n v="33"/>
    <n v="46900"/>
    <x v="0"/>
    <n v="0"/>
    <n v="0"/>
    <x v="1"/>
    <x v="2"/>
    <x v="1"/>
    <d v="2024-05-05T00:00:00"/>
    <n v="0"/>
    <x v="0"/>
  </r>
  <r>
    <n v="102523"/>
    <n v="42"/>
    <n v="79700"/>
    <x v="0"/>
    <n v="42900"/>
    <n v="0"/>
    <x v="7"/>
    <x v="2"/>
    <x v="1"/>
    <d v="2026-08-09T00:00:00"/>
    <n v="42900"/>
    <x v="1"/>
  </r>
  <r>
    <n v="102524"/>
    <n v="59"/>
    <n v="35600"/>
    <x v="1"/>
    <n v="6300"/>
    <n v="0"/>
    <x v="4"/>
    <x v="2"/>
    <x v="1"/>
    <d v="2025-02-18T00:00:00"/>
    <n v="6300"/>
    <x v="0"/>
  </r>
  <r>
    <n v="102525"/>
    <n v="56"/>
    <n v="63500"/>
    <x v="0"/>
    <n v="0"/>
    <n v="0"/>
    <x v="0"/>
    <x v="2"/>
    <x v="1"/>
    <d v="2026-02-20T00:00:00"/>
    <n v="0"/>
    <x v="0"/>
  </r>
  <r>
    <n v="102526"/>
    <n v="39"/>
    <n v="90000"/>
    <x v="0"/>
    <n v="63500"/>
    <n v="0"/>
    <x v="5"/>
    <x v="1"/>
    <x v="1"/>
    <d v="2025-05-13T00:00:00"/>
    <n v="63500"/>
    <x v="1"/>
  </r>
  <r>
    <n v="102527"/>
    <n v="71"/>
    <n v="56400"/>
    <x v="1"/>
    <n v="0"/>
    <n v="0"/>
    <x v="4"/>
    <x v="1"/>
    <x v="1"/>
    <d v="2024-10-22T00:00:00"/>
    <n v="0"/>
    <x v="0"/>
  </r>
  <r>
    <n v="102528"/>
    <n v="62"/>
    <n v="70200"/>
    <x v="1"/>
    <n v="69600"/>
    <n v="0"/>
    <x v="1"/>
    <x v="3"/>
    <x v="1"/>
    <d v="2026-08-13T00:00:00"/>
    <n v="69600"/>
    <x v="1"/>
  </r>
  <r>
    <n v="102529"/>
    <n v="67"/>
    <n v="26900"/>
    <x v="0"/>
    <n v="33600"/>
    <n v="0"/>
    <x v="3"/>
    <x v="1"/>
    <x v="1"/>
    <d v="2024-05-06T00:00:00"/>
    <n v="33600"/>
    <x v="0"/>
  </r>
  <r>
    <n v="102530"/>
    <n v="58"/>
    <n v="80000"/>
    <x v="2"/>
    <n v="72700"/>
    <n v="405000"/>
    <x v="1"/>
    <x v="0"/>
    <x v="1"/>
    <d v="2026-04-10T00:00:00"/>
    <n v="477700"/>
    <x v="1"/>
  </r>
  <r>
    <n v="102531"/>
    <n v="22"/>
    <n v="37000"/>
    <x v="2"/>
    <n v="45000"/>
    <n v="0"/>
    <x v="5"/>
    <x v="0"/>
    <x v="1"/>
    <d v="2024-03-15T00:00:00"/>
    <n v="45000"/>
    <x v="0"/>
  </r>
  <r>
    <n v="102532"/>
    <n v="33"/>
    <n v="78000"/>
    <x v="2"/>
    <n v="63700"/>
    <n v="0"/>
    <x v="6"/>
    <x v="2"/>
    <x v="1"/>
    <d v="2025-09-21T00:00:00"/>
    <n v="63700"/>
    <x v="1"/>
  </r>
  <r>
    <n v="102533"/>
    <n v="24"/>
    <n v="48600"/>
    <x v="0"/>
    <n v="28500"/>
    <n v="0"/>
    <x v="6"/>
    <x v="1"/>
    <x v="1"/>
    <d v="2026-03-06T00:00:00"/>
    <n v="28500"/>
    <x v="0"/>
  </r>
  <r>
    <n v="102534"/>
    <n v="74"/>
    <n v="50000"/>
    <x v="1"/>
    <n v="0"/>
    <n v="0"/>
    <x v="1"/>
    <x v="0"/>
    <x v="1"/>
    <d v="2024-05-23T00:00:00"/>
    <n v="0"/>
    <x v="0"/>
  </r>
  <r>
    <n v="102535"/>
    <n v="75"/>
    <n v="86600"/>
    <x v="0"/>
    <n v="27500"/>
    <n v="0"/>
    <x v="4"/>
    <x v="2"/>
    <x v="1"/>
    <d v="2025-08-21T00:00:00"/>
    <n v="27500"/>
    <x v="1"/>
  </r>
  <r>
    <n v="102536"/>
    <n v="70"/>
    <n v="80400"/>
    <x v="0"/>
    <n v="64000"/>
    <n v="0"/>
    <x v="2"/>
    <x v="1"/>
    <x v="1"/>
    <d v="2024-07-06T00:00:00"/>
    <n v="64000"/>
    <x v="1"/>
  </r>
  <r>
    <n v="102537"/>
    <n v="51"/>
    <n v="74300"/>
    <x v="1"/>
    <n v="0"/>
    <n v="0"/>
    <x v="5"/>
    <x v="1"/>
    <x v="1"/>
    <d v="2024-01-27T00:00:00"/>
    <n v="0"/>
    <x v="1"/>
  </r>
  <r>
    <n v="102538"/>
    <n v="33"/>
    <n v="103200"/>
    <x v="2"/>
    <n v="0"/>
    <n v="0"/>
    <x v="6"/>
    <x v="3"/>
    <x v="1"/>
    <d v="2026-01-30T00:00:00"/>
    <n v="0"/>
    <x v="1"/>
  </r>
  <r>
    <n v="102539"/>
    <n v="71"/>
    <n v="49000"/>
    <x v="1"/>
    <n v="0"/>
    <n v="345000"/>
    <x v="5"/>
    <x v="0"/>
    <x v="1"/>
    <d v="2026-08-05T00:00:00"/>
    <n v="345000"/>
    <x v="0"/>
  </r>
  <r>
    <n v="102540"/>
    <n v="63"/>
    <n v="44400"/>
    <x v="0"/>
    <n v="17900"/>
    <n v="0"/>
    <x v="3"/>
    <x v="0"/>
    <x v="1"/>
    <d v="2026-02-12T00:00:00"/>
    <n v="17900"/>
    <x v="0"/>
  </r>
  <r>
    <n v="102541"/>
    <n v="35"/>
    <n v="109300"/>
    <x v="1"/>
    <n v="0"/>
    <n v="264000"/>
    <x v="0"/>
    <x v="2"/>
    <x v="1"/>
    <d v="2025-05-08T00:00:00"/>
    <n v="264000"/>
    <x v="1"/>
  </r>
  <r>
    <n v="102542"/>
    <n v="38"/>
    <n v="65700"/>
    <x v="1"/>
    <n v="14700"/>
    <n v="0"/>
    <x v="7"/>
    <x v="1"/>
    <x v="1"/>
    <d v="2026-04-23T00:00:00"/>
    <n v="14700"/>
    <x v="0"/>
  </r>
  <r>
    <n v="102543"/>
    <n v="40"/>
    <n v="42000"/>
    <x v="1"/>
    <n v="22900"/>
    <n v="0"/>
    <x v="5"/>
    <x v="1"/>
    <x v="1"/>
    <d v="2025-03-21T00:00:00"/>
    <n v="22900"/>
    <x v="0"/>
  </r>
  <r>
    <n v="102544"/>
    <n v="47"/>
    <n v="34000"/>
    <x v="1"/>
    <n v="42500"/>
    <n v="0"/>
    <x v="6"/>
    <x v="2"/>
    <x v="1"/>
    <d v="2025-05-06T00:00:00"/>
    <n v="42500"/>
    <x v="0"/>
  </r>
  <r>
    <n v="102545"/>
    <n v="35"/>
    <n v="33200"/>
    <x v="1"/>
    <n v="13400"/>
    <n v="155000"/>
    <x v="7"/>
    <x v="0"/>
    <x v="1"/>
    <d v="2024-04-16T00:00:00"/>
    <n v="168400"/>
    <x v="0"/>
  </r>
  <r>
    <n v="102546"/>
    <n v="71"/>
    <n v="24300"/>
    <x v="0"/>
    <n v="30400"/>
    <n v="248000"/>
    <x v="2"/>
    <x v="1"/>
    <x v="1"/>
    <d v="2026-02-18T00:00:00"/>
    <n v="278400"/>
    <x v="0"/>
  </r>
  <r>
    <n v="102547"/>
    <n v="49"/>
    <n v="90200"/>
    <x v="1"/>
    <n v="57900"/>
    <n v="193000"/>
    <x v="3"/>
    <x v="2"/>
    <x v="1"/>
    <d v="2024-03-14T00:00:00"/>
    <n v="250900"/>
    <x v="1"/>
  </r>
  <r>
    <n v="102548"/>
    <n v="43"/>
    <n v="106100"/>
    <x v="1"/>
    <n v="0"/>
    <n v="96000"/>
    <x v="4"/>
    <x v="2"/>
    <x v="1"/>
    <d v="2024-07-08T00:00:00"/>
    <n v="96000"/>
    <x v="1"/>
  </r>
  <r>
    <n v="102549"/>
    <n v="52"/>
    <n v="55200"/>
    <x v="1"/>
    <n v="69000"/>
    <n v="0"/>
    <x v="6"/>
    <x v="1"/>
    <x v="1"/>
    <d v="2024-05-21T00:00:00"/>
    <n v="69000"/>
    <x v="0"/>
  </r>
  <r>
    <n v="102550"/>
    <n v="30"/>
    <n v="46200"/>
    <x v="1"/>
    <n v="16700"/>
    <n v="0"/>
    <x v="7"/>
    <x v="2"/>
    <x v="1"/>
    <d v="2024-09-19T00:00:00"/>
    <n v="16700"/>
    <x v="0"/>
  </r>
  <r>
    <n v="102551"/>
    <n v="40"/>
    <n v="79200"/>
    <x v="0"/>
    <n v="79700"/>
    <n v="0"/>
    <x v="3"/>
    <x v="2"/>
    <x v="1"/>
    <d v="2024-05-24T00:00:00"/>
    <n v="79700"/>
    <x v="1"/>
  </r>
  <r>
    <n v="102552"/>
    <n v="28"/>
    <n v="37100"/>
    <x v="1"/>
    <n v="46400"/>
    <n v="0"/>
    <x v="4"/>
    <x v="1"/>
    <x v="1"/>
    <d v="2025-01-16T00:00:00"/>
    <n v="46400"/>
    <x v="0"/>
  </r>
  <r>
    <n v="102553"/>
    <n v="44"/>
    <n v="37400"/>
    <x v="1"/>
    <n v="0"/>
    <n v="0"/>
    <x v="6"/>
    <x v="0"/>
    <x v="1"/>
    <d v="2024-04-26T00:00:00"/>
    <n v="0"/>
    <x v="0"/>
  </r>
  <r>
    <n v="102554"/>
    <n v="68"/>
    <n v="41600"/>
    <x v="0"/>
    <n v="38200"/>
    <n v="0"/>
    <x v="4"/>
    <x v="1"/>
    <x v="1"/>
    <d v="2024-04-29T00:00:00"/>
    <n v="38200"/>
    <x v="0"/>
  </r>
  <r>
    <n v="102555"/>
    <n v="70"/>
    <n v="42000"/>
    <x v="1"/>
    <n v="25100"/>
    <n v="0"/>
    <x v="5"/>
    <x v="1"/>
    <x v="1"/>
    <d v="2024-07-09T00:00:00"/>
    <n v="25100"/>
    <x v="0"/>
  </r>
  <r>
    <n v="102556"/>
    <n v="52"/>
    <n v="53100"/>
    <x v="0"/>
    <n v="30600"/>
    <n v="0"/>
    <x v="4"/>
    <x v="2"/>
    <x v="1"/>
    <d v="2025-03-15T00:00:00"/>
    <n v="30600"/>
    <x v="0"/>
  </r>
  <r>
    <n v="102557"/>
    <n v="32"/>
    <n v="45000"/>
    <x v="0"/>
    <n v="0"/>
    <n v="0"/>
    <x v="2"/>
    <x v="2"/>
    <x v="1"/>
    <d v="2026-02-07T00:00:00"/>
    <n v="0"/>
    <x v="0"/>
  </r>
  <r>
    <n v="102558"/>
    <n v="49"/>
    <n v="70200"/>
    <x v="1"/>
    <n v="0"/>
    <n v="0"/>
    <x v="5"/>
    <x v="1"/>
    <x v="1"/>
    <d v="2025-07-17T00:00:00"/>
    <n v="0"/>
    <x v="1"/>
  </r>
  <r>
    <n v="102559"/>
    <n v="60"/>
    <n v="69200"/>
    <x v="1"/>
    <n v="20200"/>
    <n v="0"/>
    <x v="0"/>
    <x v="1"/>
    <x v="1"/>
    <d v="2025-01-27T00:00:00"/>
    <n v="20200"/>
    <x v="0"/>
  </r>
  <r>
    <n v="102560"/>
    <n v="45"/>
    <n v="51300"/>
    <x v="1"/>
    <n v="0"/>
    <n v="274000"/>
    <x v="1"/>
    <x v="3"/>
    <x v="1"/>
    <d v="2025-01-13T00:00:00"/>
    <n v="274000"/>
    <x v="0"/>
  </r>
  <r>
    <n v="102561"/>
    <n v="70"/>
    <n v="43800"/>
    <x v="0"/>
    <n v="54800"/>
    <n v="0"/>
    <x v="0"/>
    <x v="1"/>
    <x v="1"/>
    <d v="2025-01-13T00:00:00"/>
    <n v="54800"/>
    <x v="0"/>
  </r>
  <r>
    <n v="102562"/>
    <n v="34"/>
    <n v="44000"/>
    <x v="2"/>
    <n v="17000"/>
    <n v="0"/>
    <x v="5"/>
    <x v="3"/>
    <x v="1"/>
    <d v="2026-01-06T00:00:00"/>
    <n v="17000"/>
    <x v="0"/>
  </r>
  <r>
    <n v="102563"/>
    <n v="40"/>
    <n v="72700"/>
    <x v="1"/>
    <n v="46300"/>
    <n v="0"/>
    <x v="1"/>
    <x v="2"/>
    <x v="1"/>
    <d v="2026-02-23T00:00:00"/>
    <n v="46300"/>
    <x v="1"/>
  </r>
  <r>
    <n v="102564"/>
    <n v="56"/>
    <n v="63500"/>
    <x v="1"/>
    <n v="22900"/>
    <n v="0"/>
    <x v="1"/>
    <x v="1"/>
    <x v="1"/>
    <d v="2024-10-31T00:00:00"/>
    <n v="22900"/>
    <x v="0"/>
  </r>
  <r>
    <n v="102565"/>
    <n v="26"/>
    <n v="49300"/>
    <x v="1"/>
    <n v="60600"/>
    <n v="0"/>
    <x v="1"/>
    <x v="3"/>
    <x v="1"/>
    <d v="2025-07-14T00:00:00"/>
    <n v="60600"/>
    <x v="0"/>
  </r>
  <r>
    <n v="102566"/>
    <n v="34"/>
    <n v="48400"/>
    <x v="1"/>
    <n v="28900"/>
    <n v="0"/>
    <x v="1"/>
    <x v="2"/>
    <x v="1"/>
    <d v="2025-02-26T00:00:00"/>
    <n v="28900"/>
    <x v="0"/>
  </r>
  <r>
    <n v="102567"/>
    <n v="70"/>
    <n v="34500"/>
    <x v="0"/>
    <n v="37500"/>
    <n v="0"/>
    <x v="3"/>
    <x v="0"/>
    <x v="1"/>
    <d v="2026-02-16T00:00:00"/>
    <n v="37500"/>
    <x v="0"/>
  </r>
  <r>
    <n v="102568"/>
    <n v="54"/>
    <n v="84200"/>
    <x v="1"/>
    <n v="60300"/>
    <n v="0"/>
    <x v="0"/>
    <x v="2"/>
    <x v="1"/>
    <d v="2025-06-11T00:00:00"/>
    <n v="60300"/>
    <x v="1"/>
  </r>
  <r>
    <n v="102569"/>
    <n v="61"/>
    <n v="41000"/>
    <x v="1"/>
    <n v="7700"/>
    <n v="0"/>
    <x v="7"/>
    <x v="2"/>
    <x v="1"/>
    <d v="2025-12-08T00:00:00"/>
    <n v="7700"/>
    <x v="0"/>
  </r>
  <r>
    <n v="102570"/>
    <n v="30"/>
    <n v="82900"/>
    <x v="0"/>
    <n v="0"/>
    <n v="234000"/>
    <x v="7"/>
    <x v="0"/>
    <x v="1"/>
    <d v="2026-07-14T00:00:00"/>
    <n v="234000"/>
    <x v="1"/>
  </r>
  <r>
    <n v="102571"/>
    <n v="65"/>
    <n v="25200"/>
    <x v="2"/>
    <n v="22200"/>
    <n v="0"/>
    <x v="4"/>
    <x v="3"/>
    <x v="1"/>
    <d v="2025-02-11T00:00:00"/>
    <n v="22200"/>
    <x v="0"/>
  </r>
  <r>
    <n v="102572"/>
    <n v="70"/>
    <n v="41000"/>
    <x v="0"/>
    <n v="0"/>
    <n v="0"/>
    <x v="4"/>
    <x v="1"/>
    <x v="1"/>
    <d v="2024-10-11T00:00:00"/>
    <n v="0"/>
    <x v="0"/>
  </r>
  <r>
    <n v="102573"/>
    <n v="73"/>
    <n v="37700"/>
    <x v="0"/>
    <n v="0"/>
    <n v="0"/>
    <x v="5"/>
    <x v="1"/>
    <x v="1"/>
    <d v="2025-02-19T00:00:00"/>
    <n v="0"/>
    <x v="0"/>
  </r>
  <r>
    <n v="102574"/>
    <n v="33"/>
    <n v="101400"/>
    <x v="1"/>
    <n v="16000"/>
    <n v="0"/>
    <x v="5"/>
    <x v="2"/>
    <x v="1"/>
    <d v="2025-08-09T00:00:00"/>
    <n v="16000"/>
    <x v="1"/>
  </r>
  <r>
    <n v="102575"/>
    <n v="36"/>
    <n v="60200"/>
    <x v="0"/>
    <n v="0"/>
    <n v="241000"/>
    <x v="1"/>
    <x v="1"/>
    <x v="1"/>
    <d v="2025-08-03T00:00:00"/>
    <n v="241000"/>
    <x v="0"/>
  </r>
  <r>
    <n v="102576"/>
    <n v="49"/>
    <n v="33400"/>
    <x v="1"/>
    <n v="0"/>
    <n v="251000"/>
    <x v="3"/>
    <x v="1"/>
    <x v="1"/>
    <d v="2024-08-13T00:00:00"/>
    <n v="251000"/>
    <x v="0"/>
  </r>
  <r>
    <n v="102577"/>
    <n v="58"/>
    <n v="35300"/>
    <x v="1"/>
    <n v="17500"/>
    <n v="0"/>
    <x v="6"/>
    <x v="2"/>
    <x v="1"/>
    <d v="2024-09-09T00:00:00"/>
    <n v="17500"/>
    <x v="0"/>
  </r>
  <r>
    <n v="102578"/>
    <n v="56"/>
    <n v="67300"/>
    <x v="0"/>
    <n v="50500"/>
    <n v="156000"/>
    <x v="5"/>
    <x v="2"/>
    <x v="1"/>
    <d v="2025-03-05T00:00:00"/>
    <n v="206500"/>
    <x v="0"/>
  </r>
  <r>
    <n v="102579"/>
    <n v="73"/>
    <n v="58600"/>
    <x v="0"/>
    <n v="0"/>
    <n v="0"/>
    <x v="0"/>
    <x v="2"/>
    <x v="1"/>
    <d v="2026-04-25T00:00:00"/>
    <n v="0"/>
    <x v="0"/>
  </r>
  <r>
    <n v="102580"/>
    <n v="56"/>
    <n v="63100"/>
    <x v="0"/>
    <n v="11300"/>
    <n v="194000"/>
    <x v="3"/>
    <x v="2"/>
    <x v="1"/>
    <d v="2026-07-19T00:00:00"/>
    <n v="205300"/>
    <x v="0"/>
  </r>
  <r>
    <n v="102581"/>
    <n v="54"/>
    <n v="33700"/>
    <x v="1"/>
    <n v="0"/>
    <n v="0"/>
    <x v="0"/>
    <x v="0"/>
    <x v="1"/>
    <d v="2024-02-18T00:00:00"/>
    <n v="0"/>
    <x v="0"/>
  </r>
  <r>
    <n v="102582"/>
    <n v="74"/>
    <n v="47600"/>
    <x v="2"/>
    <n v="59500"/>
    <n v="221000"/>
    <x v="1"/>
    <x v="0"/>
    <x v="1"/>
    <d v="2025-02-17T00:00:00"/>
    <n v="280500"/>
    <x v="0"/>
  </r>
  <r>
    <n v="102583"/>
    <n v="54"/>
    <n v="127300"/>
    <x v="0"/>
    <n v="41000"/>
    <n v="168000"/>
    <x v="0"/>
    <x v="0"/>
    <x v="1"/>
    <d v="2024-09-21T00:00:00"/>
    <n v="209000"/>
    <x v="1"/>
  </r>
  <r>
    <n v="102584"/>
    <n v="52"/>
    <n v="97900"/>
    <x v="2"/>
    <n v="21600"/>
    <n v="109000"/>
    <x v="2"/>
    <x v="2"/>
    <x v="1"/>
    <d v="2025-12-13T00:00:00"/>
    <n v="130600"/>
    <x v="1"/>
  </r>
  <r>
    <n v="102585"/>
    <n v="50"/>
    <n v="64600"/>
    <x v="0"/>
    <n v="70400"/>
    <n v="0"/>
    <x v="3"/>
    <x v="0"/>
    <x v="1"/>
    <d v="2024-03-22T00:00:00"/>
    <n v="70400"/>
    <x v="0"/>
  </r>
  <r>
    <n v="102586"/>
    <n v="40"/>
    <n v="84200"/>
    <x v="1"/>
    <n v="13000"/>
    <n v="0"/>
    <x v="3"/>
    <x v="0"/>
    <x v="1"/>
    <d v="2024-04-10T00:00:00"/>
    <n v="13000"/>
    <x v="1"/>
  </r>
  <r>
    <n v="102587"/>
    <n v="57"/>
    <n v="74000"/>
    <x v="2"/>
    <n v="0"/>
    <n v="0"/>
    <x v="5"/>
    <x v="0"/>
    <x v="1"/>
    <d v="2025-11-16T00:00:00"/>
    <n v="0"/>
    <x v="1"/>
  </r>
  <r>
    <n v="102588"/>
    <n v="75"/>
    <n v="21400"/>
    <x v="2"/>
    <n v="26800"/>
    <n v="120000"/>
    <x v="4"/>
    <x v="0"/>
    <x v="1"/>
    <d v="2025-10-09T00:00:00"/>
    <n v="146800"/>
    <x v="0"/>
  </r>
  <r>
    <n v="102589"/>
    <n v="39"/>
    <n v="48000"/>
    <x v="2"/>
    <n v="0"/>
    <n v="340000"/>
    <x v="3"/>
    <x v="3"/>
    <x v="1"/>
    <d v="2025-05-02T00:00:00"/>
    <n v="340000"/>
    <x v="0"/>
  </r>
  <r>
    <n v="102590"/>
    <n v="74"/>
    <n v="60500"/>
    <x v="1"/>
    <n v="29800"/>
    <n v="0"/>
    <x v="3"/>
    <x v="1"/>
    <x v="1"/>
    <d v="2024-02-08T00:00:00"/>
    <n v="29800"/>
    <x v="0"/>
  </r>
  <r>
    <n v="102591"/>
    <n v="60"/>
    <n v="59800"/>
    <x v="0"/>
    <n v="74800"/>
    <n v="225000"/>
    <x v="5"/>
    <x v="2"/>
    <x v="1"/>
    <d v="2024-05-01T00:00:00"/>
    <n v="299800"/>
    <x v="0"/>
  </r>
  <r>
    <n v="102592"/>
    <n v="42"/>
    <n v="46000"/>
    <x v="1"/>
    <n v="12800"/>
    <n v="0"/>
    <x v="2"/>
    <x v="2"/>
    <x v="1"/>
    <d v="2025-03-19T00:00:00"/>
    <n v="12800"/>
    <x v="0"/>
  </r>
  <r>
    <n v="102593"/>
    <n v="62"/>
    <n v="40300"/>
    <x v="1"/>
    <n v="50400"/>
    <n v="0"/>
    <x v="2"/>
    <x v="1"/>
    <x v="1"/>
    <d v="2026-01-27T00:00:00"/>
    <n v="50400"/>
    <x v="0"/>
  </r>
  <r>
    <n v="102594"/>
    <n v="39"/>
    <n v="97600"/>
    <x v="1"/>
    <n v="22600"/>
    <n v="0"/>
    <x v="0"/>
    <x v="0"/>
    <x v="1"/>
    <d v="2025-07-09T00:00:00"/>
    <n v="22600"/>
    <x v="1"/>
  </r>
  <r>
    <n v="102595"/>
    <n v="58"/>
    <n v="76100"/>
    <x v="1"/>
    <n v="66100"/>
    <n v="0"/>
    <x v="5"/>
    <x v="1"/>
    <x v="1"/>
    <d v="2025-09-04T00:00:00"/>
    <n v="66100"/>
    <x v="1"/>
  </r>
  <r>
    <n v="102596"/>
    <n v="34"/>
    <n v="116400"/>
    <x v="1"/>
    <n v="82200"/>
    <n v="0"/>
    <x v="2"/>
    <x v="2"/>
    <x v="1"/>
    <d v="2025-11-10T00:00:00"/>
    <n v="82200"/>
    <x v="1"/>
  </r>
  <r>
    <n v="102597"/>
    <n v="45"/>
    <n v="41700"/>
    <x v="1"/>
    <n v="52100"/>
    <n v="0"/>
    <x v="4"/>
    <x v="1"/>
    <x v="1"/>
    <d v="2025-04-11T00:00:00"/>
    <n v="52100"/>
    <x v="0"/>
  </r>
  <r>
    <n v="102598"/>
    <n v="29"/>
    <n v="52400"/>
    <x v="1"/>
    <n v="28600"/>
    <n v="184000"/>
    <x v="6"/>
    <x v="1"/>
    <x v="1"/>
    <d v="2024-03-25T00:00:00"/>
    <n v="212600"/>
    <x v="0"/>
  </r>
  <r>
    <n v="102599"/>
    <n v="38"/>
    <n v="92700"/>
    <x v="0"/>
    <n v="58000"/>
    <n v="292000"/>
    <x v="1"/>
    <x v="0"/>
    <x v="1"/>
    <d v="2026-03-17T00:00:00"/>
    <n v="350000"/>
    <x v="1"/>
  </r>
  <r>
    <n v="102600"/>
    <n v="64"/>
    <n v="60600"/>
    <x v="0"/>
    <n v="4700"/>
    <n v="0"/>
    <x v="1"/>
    <x v="1"/>
    <x v="1"/>
    <d v="2025-11-19T00:00:00"/>
    <n v="4700"/>
    <x v="0"/>
  </r>
  <r>
    <n v="102601"/>
    <n v="37"/>
    <n v="119300"/>
    <x v="0"/>
    <n v="15800"/>
    <n v="202000"/>
    <x v="4"/>
    <x v="2"/>
    <x v="1"/>
    <d v="2024-05-04T00:00:00"/>
    <n v="217800"/>
    <x v="1"/>
  </r>
  <r>
    <n v="102602"/>
    <n v="42"/>
    <n v="94200"/>
    <x v="0"/>
    <n v="16200"/>
    <n v="143000"/>
    <x v="4"/>
    <x v="2"/>
    <x v="1"/>
    <d v="2025-04-27T00:00:00"/>
    <n v="159200"/>
    <x v="1"/>
  </r>
  <r>
    <n v="102603"/>
    <n v="40"/>
    <n v="93700"/>
    <x v="0"/>
    <n v="40000"/>
    <n v="0"/>
    <x v="6"/>
    <x v="2"/>
    <x v="1"/>
    <d v="2026-01-13T00:00:00"/>
    <n v="40000"/>
    <x v="1"/>
  </r>
  <r>
    <n v="102604"/>
    <n v="68"/>
    <n v="63700"/>
    <x v="1"/>
    <n v="0"/>
    <n v="0"/>
    <x v="0"/>
    <x v="1"/>
    <x v="1"/>
    <d v="2026-08-16T00:00:00"/>
    <n v="0"/>
    <x v="0"/>
  </r>
  <r>
    <n v="102605"/>
    <n v="35"/>
    <n v="49800"/>
    <x v="1"/>
    <n v="0"/>
    <n v="0"/>
    <x v="3"/>
    <x v="1"/>
    <x v="1"/>
    <d v="2026-03-09T00:00:00"/>
    <n v="0"/>
    <x v="0"/>
  </r>
  <r>
    <n v="102606"/>
    <n v="48"/>
    <n v="103300"/>
    <x v="1"/>
    <n v="39200"/>
    <n v="0"/>
    <x v="6"/>
    <x v="1"/>
    <x v="1"/>
    <d v="2024-04-30T00:00:00"/>
    <n v="39200"/>
    <x v="1"/>
  </r>
  <r>
    <n v="102607"/>
    <n v="60"/>
    <n v="75600"/>
    <x v="0"/>
    <n v="0"/>
    <n v="0"/>
    <x v="6"/>
    <x v="1"/>
    <x v="1"/>
    <d v="2025-04-20T00:00:00"/>
    <n v="0"/>
    <x v="1"/>
  </r>
  <r>
    <n v="102608"/>
    <n v="53"/>
    <n v="43500"/>
    <x v="1"/>
    <n v="54400"/>
    <n v="169000"/>
    <x v="5"/>
    <x v="3"/>
    <x v="1"/>
    <d v="2024-12-03T00:00:00"/>
    <n v="223400"/>
    <x v="0"/>
  </r>
  <r>
    <n v="102609"/>
    <n v="35"/>
    <n v="47000"/>
    <x v="0"/>
    <n v="0"/>
    <n v="274000"/>
    <x v="0"/>
    <x v="0"/>
    <x v="1"/>
    <d v="2024-09-25T00:00:00"/>
    <n v="274000"/>
    <x v="0"/>
  </r>
  <r>
    <n v="102610"/>
    <n v="38"/>
    <n v="57700"/>
    <x v="1"/>
    <n v="48900"/>
    <n v="0"/>
    <x v="6"/>
    <x v="2"/>
    <x v="1"/>
    <d v="2025-11-21T00:00:00"/>
    <n v="48900"/>
    <x v="0"/>
  </r>
  <r>
    <n v="102611"/>
    <n v="55"/>
    <n v="103100"/>
    <x v="1"/>
    <n v="50700"/>
    <n v="0"/>
    <x v="6"/>
    <x v="1"/>
    <x v="1"/>
    <d v="2025-07-25T00:00:00"/>
    <n v="50700"/>
    <x v="1"/>
  </r>
  <r>
    <n v="102612"/>
    <n v="57"/>
    <n v="82700"/>
    <x v="0"/>
    <n v="56600"/>
    <n v="0"/>
    <x v="7"/>
    <x v="2"/>
    <x v="1"/>
    <d v="2024-09-02T00:00:00"/>
    <n v="56600"/>
    <x v="1"/>
  </r>
  <r>
    <n v="102613"/>
    <n v="72"/>
    <n v="77500"/>
    <x v="0"/>
    <n v="55700"/>
    <n v="0"/>
    <x v="2"/>
    <x v="0"/>
    <x v="1"/>
    <d v="2025-08-29T00:00:00"/>
    <n v="55700"/>
    <x v="1"/>
  </r>
  <r>
    <n v="102614"/>
    <n v="56"/>
    <n v="47300"/>
    <x v="0"/>
    <n v="22400"/>
    <n v="0"/>
    <x v="6"/>
    <x v="0"/>
    <x v="1"/>
    <d v="2025-03-16T00:00:00"/>
    <n v="22400"/>
    <x v="0"/>
  </r>
  <r>
    <n v="102615"/>
    <n v="56"/>
    <n v="70200"/>
    <x v="0"/>
    <n v="16700"/>
    <n v="0"/>
    <x v="1"/>
    <x v="2"/>
    <x v="1"/>
    <d v="2024-02-19T00:00:00"/>
    <n v="16700"/>
    <x v="1"/>
  </r>
  <r>
    <n v="102616"/>
    <n v="44"/>
    <n v="48800"/>
    <x v="1"/>
    <n v="50700"/>
    <n v="0"/>
    <x v="6"/>
    <x v="2"/>
    <x v="1"/>
    <d v="2025-03-30T00:00:00"/>
    <n v="50700"/>
    <x v="0"/>
  </r>
  <r>
    <n v="102617"/>
    <n v="46"/>
    <n v="33800"/>
    <x v="1"/>
    <n v="11900"/>
    <n v="0"/>
    <x v="6"/>
    <x v="2"/>
    <x v="1"/>
    <d v="2024-01-21T00:00:00"/>
    <n v="11900"/>
    <x v="0"/>
  </r>
  <r>
    <n v="102618"/>
    <n v="52"/>
    <n v="45800"/>
    <x v="1"/>
    <n v="40500"/>
    <n v="0"/>
    <x v="1"/>
    <x v="2"/>
    <x v="1"/>
    <d v="2026-03-03T00:00:00"/>
    <n v="40500"/>
    <x v="0"/>
  </r>
  <r>
    <n v="102619"/>
    <n v="73"/>
    <n v="59700"/>
    <x v="2"/>
    <n v="62000"/>
    <n v="166000"/>
    <x v="4"/>
    <x v="2"/>
    <x v="1"/>
    <d v="2024-09-13T00:00:00"/>
    <n v="228000"/>
    <x v="0"/>
  </r>
  <r>
    <n v="102620"/>
    <n v="31"/>
    <n v="41900"/>
    <x v="0"/>
    <n v="0"/>
    <n v="0"/>
    <x v="7"/>
    <x v="0"/>
    <x v="1"/>
    <d v="2024-11-11T00:00:00"/>
    <n v="0"/>
    <x v="0"/>
  </r>
  <r>
    <n v="102621"/>
    <n v="27"/>
    <n v="77500"/>
    <x v="1"/>
    <n v="0"/>
    <n v="0"/>
    <x v="0"/>
    <x v="2"/>
    <x v="1"/>
    <d v="2024-12-12T00:00:00"/>
    <n v="0"/>
    <x v="1"/>
  </r>
  <r>
    <n v="102622"/>
    <n v="40"/>
    <n v="56900"/>
    <x v="2"/>
    <n v="8400"/>
    <n v="208000"/>
    <x v="1"/>
    <x v="2"/>
    <x v="1"/>
    <d v="2025-01-12T00:00:00"/>
    <n v="216400"/>
    <x v="0"/>
  </r>
  <r>
    <n v="102623"/>
    <n v="48"/>
    <n v="30900"/>
    <x v="2"/>
    <n v="38600"/>
    <n v="0"/>
    <x v="2"/>
    <x v="0"/>
    <x v="1"/>
    <d v="2024-07-04T00:00:00"/>
    <n v="38600"/>
    <x v="0"/>
  </r>
  <r>
    <n v="102624"/>
    <n v="34"/>
    <n v="91300"/>
    <x v="1"/>
    <n v="55300"/>
    <n v="0"/>
    <x v="3"/>
    <x v="2"/>
    <x v="0"/>
    <d v="2026-04-28T00:00:00"/>
    <n v="55300"/>
    <x v="1"/>
  </r>
  <r>
    <n v="102625"/>
    <n v="28"/>
    <n v="67600"/>
    <x v="1"/>
    <n v="0"/>
    <n v="0"/>
    <x v="0"/>
    <x v="1"/>
    <x v="1"/>
    <d v="2024-04-11T00:00:00"/>
    <n v="0"/>
    <x v="0"/>
  </r>
  <r>
    <n v="102626"/>
    <n v="51"/>
    <n v="46700"/>
    <x v="1"/>
    <n v="15600"/>
    <n v="0"/>
    <x v="1"/>
    <x v="1"/>
    <x v="1"/>
    <d v="2024-06-30T00:00:00"/>
    <n v="15600"/>
    <x v="0"/>
  </r>
  <r>
    <n v="102627"/>
    <n v="27"/>
    <n v="50500"/>
    <x v="1"/>
    <n v="28700"/>
    <n v="0"/>
    <x v="7"/>
    <x v="0"/>
    <x v="1"/>
    <d v="2025-02-09T00:00:00"/>
    <n v="28700"/>
    <x v="0"/>
  </r>
  <r>
    <n v="102628"/>
    <n v="34"/>
    <n v="118300"/>
    <x v="0"/>
    <n v="0"/>
    <n v="0"/>
    <x v="0"/>
    <x v="0"/>
    <x v="1"/>
    <d v="2025-08-23T00:00:00"/>
    <n v="0"/>
    <x v="1"/>
  </r>
  <r>
    <n v="102629"/>
    <n v="30"/>
    <n v="59800"/>
    <x v="1"/>
    <n v="0"/>
    <n v="0"/>
    <x v="6"/>
    <x v="2"/>
    <x v="1"/>
    <d v="2024-02-16T00:00:00"/>
    <n v="0"/>
    <x v="0"/>
  </r>
  <r>
    <n v="102630"/>
    <n v="46"/>
    <n v="34000"/>
    <x v="0"/>
    <n v="20600"/>
    <n v="0"/>
    <x v="2"/>
    <x v="0"/>
    <x v="1"/>
    <d v="2025-05-13T00:00:00"/>
    <n v="20600"/>
    <x v="0"/>
  </r>
  <r>
    <n v="102631"/>
    <n v="25"/>
    <n v="67500"/>
    <x v="1"/>
    <n v="18100"/>
    <n v="0"/>
    <x v="2"/>
    <x v="1"/>
    <x v="1"/>
    <d v="2024-07-07T00:00:00"/>
    <n v="18100"/>
    <x v="0"/>
  </r>
  <r>
    <n v="102632"/>
    <n v="73"/>
    <n v="49400"/>
    <x v="0"/>
    <n v="46400"/>
    <n v="267000"/>
    <x v="2"/>
    <x v="3"/>
    <x v="1"/>
    <d v="2026-01-14T00:00:00"/>
    <n v="313400"/>
    <x v="0"/>
  </r>
  <r>
    <n v="102633"/>
    <n v="48"/>
    <n v="65600"/>
    <x v="0"/>
    <n v="0"/>
    <n v="166000"/>
    <x v="2"/>
    <x v="0"/>
    <x v="1"/>
    <d v="2024-08-10T00:00:00"/>
    <n v="166000"/>
    <x v="0"/>
  </r>
  <r>
    <n v="102634"/>
    <n v="28"/>
    <n v="79700"/>
    <x v="1"/>
    <n v="41400"/>
    <n v="0"/>
    <x v="0"/>
    <x v="2"/>
    <x v="1"/>
    <d v="2025-03-27T00:00:00"/>
    <n v="41400"/>
    <x v="1"/>
  </r>
  <r>
    <n v="102635"/>
    <n v="66"/>
    <n v="46200"/>
    <x v="1"/>
    <n v="49400"/>
    <n v="0"/>
    <x v="2"/>
    <x v="2"/>
    <x v="1"/>
    <d v="2026-07-23T00:00:00"/>
    <n v="49400"/>
    <x v="0"/>
  </r>
  <r>
    <n v="102636"/>
    <n v="26"/>
    <n v="101900"/>
    <x v="0"/>
    <n v="0"/>
    <n v="0"/>
    <x v="1"/>
    <x v="1"/>
    <x v="1"/>
    <d v="2024-12-14T00:00:00"/>
    <n v="0"/>
    <x v="1"/>
  </r>
  <r>
    <n v="102637"/>
    <n v="23"/>
    <n v="49600"/>
    <x v="0"/>
    <n v="51000"/>
    <n v="92000"/>
    <x v="4"/>
    <x v="1"/>
    <x v="1"/>
    <d v="2025-10-25T00:00:00"/>
    <n v="143000"/>
    <x v="0"/>
  </r>
  <r>
    <n v="102638"/>
    <n v="40"/>
    <n v="58200"/>
    <x v="1"/>
    <n v="54100"/>
    <n v="0"/>
    <x v="4"/>
    <x v="2"/>
    <x v="1"/>
    <d v="2024-04-26T00:00:00"/>
    <n v="54100"/>
    <x v="0"/>
  </r>
  <r>
    <n v="102639"/>
    <n v="45"/>
    <n v="58300"/>
    <x v="0"/>
    <n v="0"/>
    <n v="237000"/>
    <x v="7"/>
    <x v="1"/>
    <x v="1"/>
    <d v="2024-07-28T00:00:00"/>
    <n v="237000"/>
    <x v="0"/>
  </r>
  <r>
    <n v="102640"/>
    <n v="41"/>
    <n v="43800"/>
    <x v="1"/>
    <n v="15200"/>
    <n v="0"/>
    <x v="4"/>
    <x v="2"/>
    <x v="1"/>
    <d v="2026-04-18T00:00:00"/>
    <n v="15200"/>
    <x v="0"/>
  </r>
  <r>
    <n v="102641"/>
    <n v="60"/>
    <n v="61000"/>
    <x v="1"/>
    <n v="29100"/>
    <n v="0"/>
    <x v="0"/>
    <x v="2"/>
    <x v="1"/>
    <d v="2025-09-12T00:00:00"/>
    <n v="29100"/>
    <x v="0"/>
  </r>
  <r>
    <n v="102642"/>
    <n v="39"/>
    <n v="40800"/>
    <x v="1"/>
    <n v="0"/>
    <n v="0"/>
    <x v="2"/>
    <x v="0"/>
    <x v="1"/>
    <d v="2024-09-08T00:00:00"/>
    <n v="0"/>
    <x v="0"/>
  </r>
  <r>
    <n v="102643"/>
    <n v="56"/>
    <n v="80600"/>
    <x v="0"/>
    <n v="61700"/>
    <n v="0"/>
    <x v="0"/>
    <x v="2"/>
    <x v="1"/>
    <d v="2024-12-18T00:00:00"/>
    <n v="61700"/>
    <x v="1"/>
  </r>
  <r>
    <n v="102644"/>
    <n v="58"/>
    <n v="72000"/>
    <x v="0"/>
    <n v="40500"/>
    <n v="203000"/>
    <x v="5"/>
    <x v="2"/>
    <x v="1"/>
    <d v="2024-07-25T00:00:00"/>
    <n v="243500"/>
    <x v="1"/>
  </r>
  <r>
    <n v="102645"/>
    <n v="71"/>
    <n v="74100"/>
    <x v="1"/>
    <n v="62700"/>
    <n v="0"/>
    <x v="3"/>
    <x v="0"/>
    <x v="1"/>
    <d v="2024-04-06T00:00:00"/>
    <n v="62700"/>
    <x v="1"/>
  </r>
  <r>
    <n v="102646"/>
    <n v="26"/>
    <n v="83300"/>
    <x v="0"/>
    <n v="27700"/>
    <n v="0"/>
    <x v="1"/>
    <x v="2"/>
    <x v="1"/>
    <d v="2025-03-31T00:00:00"/>
    <n v="27700"/>
    <x v="1"/>
  </r>
  <r>
    <n v="102647"/>
    <n v="75"/>
    <n v="84800"/>
    <x v="1"/>
    <n v="0"/>
    <n v="136000"/>
    <x v="4"/>
    <x v="3"/>
    <x v="1"/>
    <d v="2024-11-19T00:00:00"/>
    <n v="136000"/>
    <x v="1"/>
  </r>
  <r>
    <n v="102648"/>
    <n v="42"/>
    <n v="42400"/>
    <x v="0"/>
    <n v="53000"/>
    <n v="0"/>
    <x v="1"/>
    <x v="1"/>
    <x v="1"/>
    <d v="2025-09-20T00:00:00"/>
    <n v="53000"/>
    <x v="0"/>
  </r>
  <r>
    <n v="102649"/>
    <n v="50"/>
    <n v="115100"/>
    <x v="1"/>
    <n v="23100"/>
    <n v="0"/>
    <x v="4"/>
    <x v="2"/>
    <x v="1"/>
    <d v="2024-10-21T00:00:00"/>
    <n v="23100"/>
    <x v="1"/>
  </r>
  <r>
    <n v="102650"/>
    <n v="65"/>
    <n v="51100"/>
    <x v="1"/>
    <n v="41300"/>
    <n v="0"/>
    <x v="1"/>
    <x v="1"/>
    <x v="1"/>
    <d v="2025-03-04T00:00:00"/>
    <n v="41300"/>
    <x v="0"/>
  </r>
  <r>
    <n v="102651"/>
    <n v="40"/>
    <n v="52000"/>
    <x v="2"/>
    <n v="0"/>
    <n v="248000"/>
    <x v="1"/>
    <x v="0"/>
    <x v="1"/>
    <d v="2026-02-07T00:00:00"/>
    <n v="248000"/>
    <x v="0"/>
  </r>
  <r>
    <n v="102652"/>
    <n v="48"/>
    <n v="95000"/>
    <x v="0"/>
    <n v="71300"/>
    <n v="0"/>
    <x v="6"/>
    <x v="1"/>
    <x v="1"/>
    <d v="2024-08-08T00:00:00"/>
    <n v="71300"/>
    <x v="1"/>
  </r>
  <r>
    <n v="102653"/>
    <n v="36"/>
    <n v="74300"/>
    <x v="1"/>
    <n v="15600"/>
    <n v="195000"/>
    <x v="2"/>
    <x v="0"/>
    <x v="1"/>
    <d v="2026-03-17T00:00:00"/>
    <n v="210600"/>
    <x v="1"/>
  </r>
  <r>
    <n v="102654"/>
    <n v="32"/>
    <n v="46500"/>
    <x v="1"/>
    <n v="58100"/>
    <n v="0"/>
    <x v="6"/>
    <x v="2"/>
    <x v="1"/>
    <d v="2025-05-19T00:00:00"/>
    <n v="58100"/>
    <x v="0"/>
  </r>
  <r>
    <n v="102655"/>
    <n v="66"/>
    <n v="64700"/>
    <x v="2"/>
    <n v="14800"/>
    <n v="0"/>
    <x v="6"/>
    <x v="1"/>
    <x v="1"/>
    <d v="2025-10-27T00:00:00"/>
    <n v="14800"/>
    <x v="0"/>
  </r>
  <r>
    <n v="102656"/>
    <n v="59"/>
    <n v="61900"/>
    <x v="1"/>
    <n v="45000"/>
    <n v="0"/>
    <x v="4"/>
    <x v="0"/>
    <x v="1"/>
    <d v="2025-10-22T00:00:00"/>
    <n v="45000"/>
    <x v="0"/>
  </r>
  <r>
    <n v="102657"/>
    <n v="66"/>
    <n v="95700"/>
    <x v="0"/>
    <n v="0"/>
    <n v="0"/>
    <x v="5"/>
    <x v="2"/>
    <x v="1"/>
    <d v="2026-01-04T00:00:00"/>
    <n v="0"/>
    <x v="1"/>
  </r>
  <r>
    <n v="102658"/>
    <n v="45"/>
    <n v="59000"/>
    <x v="0"/>
    <n v="28100"/>
    <n v="0"/>
    <x v="3"/>
    <x v="1"/>
    <x v="1"/>
    <d v="2026-03-13T00:00:00"/>
    <n v="28100"/>
    <x v="0"/>
  </r>
  <r>
    <n v="102659"/>
    <n v="71"/>
    <n v="61200"/>
    <x v="1"/>
    <n v="76500"/>
    <n v="0"/>
    <x v="4"/>
    <x v="2"/>
    <x v="1"/>
    <d v="2024-02-20T00:00:00"/>
    <n v="76500"/>
    <x v="0"/>
  </r>
  <r>
    <n v="102660"/>
    <n v="66"/>
    <n v="73500"/>
    <x v="1"/>
    <n v="0"/>
    <n v="292000"/>
    <x v="3"/>
    <x v="2"/>
    <x v="1"/>
    <d v="2026-02-09T00:00:00"/>
    <n v="292000"/>
    <x v="1"/>
  </r>
  <r>
    <n v="102661"/>
    <n v="33"/>
    <n v="54600"/>
    <x v="1"/>
    <n v="7700"/>
    <n v="0"/>
    <x v="4"/>
    <x v="0"/>
    <x v="1"/>
    <d v="2025-09-11T00:00:00"/>
    <n v="7700"/>
    <x v="0"/>
  </r>
  <r>
    <n v="102662"/>
    <n v="45"/>
    <n v="59700"/>
    <x v="0"/>
    <n v="19100"/>
    <n v="175000"/>
    <x v="5"/>
    <x v="1"/>
    <x v="1"/>
    <d v="2025-03-21T00:00:00"/>
    <n v="194100"/>
    <x v="0"/>
  </r>
  <r>
    <n v="102663"/>
    <n v="58"/>
    <n v="36900"/>
    <x v="0"/>
    <n v="29300"/>
    <n v="0"/>
    <x v="6"/>
    <x v="2"/>
    <x v="1"/>
    <d v="2024-09-24T00:00:00"/>
    <n v="29300"/>
    <x v="0"/>
  </r>
  <r>
    <n v="102664"/>
    <n v="59"/>
    <n v="51200"/>
    <x v="2"/>
    <n v="0"/>
    <n v="0"/>
    <x v="2"/>
    <x v="2"/>
    <x v="1"/>
    <d v="2025-10-30T00:00:00"/>
    <n v="0"/>
    <x v="0"/>
  </r>
  <r>
    <n v="102665"/>
    <n v="75"/>
    <n v="19600"/>
    <x v="1"/>
    <n v="24500"/>
    <n v="0"/>
    <x v="6"/>
    <x v="0"/>
    <x v="0"/>
    <d v="2025-06-20T00:00:00"/>
    <n v="24500"/>
    <x v="0"/>
  </r>
  <r>
    <n v="102666"/>
    <n v="66"/>
    <n v="60500"/>
    <x v="0"/>
    <n v="0"/>
    <n v="161000"/>
    <x v="0"/>
    <x v="2"/>
    <x v="1"/>
    <d v="2024-03-03T00:00:00"/>
    <n v="161000"/>
    <x v="0"/>
  </r>
  <r>
    <n v="102667"/>
    <n v="37"/>
    <n v="43600"/>
    <x v="1"/>
    <n v="34200"/>
    <n v="152000"/>
    <x v="2"/>
    <x v="1"/>
    <x v="1"/>
    <d v="2024-04-15T00:00:00"/>
    <n v="186200"/>
    <x v="0"/>
  </r>
  <r>
    <n v="102668"/>
    <n v="37"/>
    <n v="60900"/>
    <x v="1"/>
    <n v="24300"/>
    <n v="0"/>
    <x v="3"/>
    <x v="2"/>
    <x v="1"/>
    <d v="2024-04-15T00:00:00"/>
    <n v="24300"/>
    <x v="0"/>
  </r>
  <r>
    <n v="102669"/>
    <n v="45"/>
    <n v="61000"/>
    <x v="1"/>
    <n v="14400"/>
    <n v="0"/>
    <x v="7"/>
    <x v="1"/>
    <x v="0"/>
    <d v="2026-08-07T00:00:00"/>
    <n v="14400"/>
    <x v="0"/>
  </r>
  <r>
    <n v="102670"/>
    <n v="58"/>
    <n v="28000"/>
    <x v="2"/>
    <n v="0"/>
    <n v="0"/>
    <x v="1"/>
    <x v="3"/>
    <x v="1"/>
    <d v="2025-06-23T00:00:00"/>
    <n v="0"/>
    <x v="0"/>
  </r>
  <r>
    <n v="102671"/>
    <n v="64"/>
    <n v="64100"/>
    <x v="0"/>
    <n v="14000"/>
    <n v="181000"/>
    <x v="1"/>
    <x v="1"/>
    <x v="1"/>
    <d v="2025-03-08T00:00:00"/>
    <n v="195000"/>
    <x v="0"/>
  </r>
  <r>
    <n v="102672"/>
    <n v="27"/>
    <n v="33100"/>
    <x v="0"/>
    <n v="0"/>
    <n v="0"/>
    <x v="2"/>
    <x v="0"/>
    <x v="1"/>
    <d v="2025-12-30T00:00:00"/>
    <n v="0"/>
    <x v="0"/>
  </r>
  <r>
    <n v="102673"/>
    <n v="53"/>
    <n v="41300"/>
    <x v="1"/>
    <n v="32400"/>
    <n v="173000"/>
    <x v="6"/>
    <x v="1"/>
    <x v="1"/>
    <d v="2024-07-31T00:00:00"/>
    <n v="205400"/>
    <x v="0"/>
  </r>
  <r>
    <n v="102674"/>
    <n v="43"/>
    <n v="40600"/>
    <x v="1"/>
    <n v="38900"/>
    <n v="0"/>
    <x v="7"/>
    <x v="0"/>
    <x v="1"/>
    <d v="2024-09-09T00:00:00"/>
    <n v="38900"/>
    <x v="0"/>
  </r>
  <r>
    <n v="102675"/>
    <n v="43"/>
    <n v="108200"/>
    <x v="2"/>
    <n v="39200"/>
    <n v="0"/>
    <x v="4"/>
    <x v="2"/>
    <x v="1"/>
    <d v="2025-11-06T00:00:00"/>
    <n v="39200"/>
    <x v="1"/>
  </r>
  <r>
    <n v="102676"/>
    <n v="29"/>
    <n v="33900"/>
    <x v="2"/>
    <n v="25100"/>
    <n v="251000"/>
    <x v="5"/>
    <x v="3"/>
    <x v="1"/>
    <d v="2025-05-11T00:00:00"/>
    <n v="276100"/>
    <x v="0"/>
  </r>
  <r>
    <n v="102677"/>
    <n v="58"/>
    <n v="94100"/>
    <x v="1"/>
    <n v="0"/>
    <n v="137000"/>
    <x v="2"/>
    <x v="2"/>
    <x v="1"/>
    <d v="2026-07-11T00:00:00"/>
    <n v="137000"/>
    <x v="1"/>
  </r>
  <r>
    <n v="102678"/>
    <n v="72"/>
    <n v="57200"/>
    <x v="1"/>
    <n v="39200"/>
    <n v="0"/>
    <x v="3"/>
    <x v="2"/>
    <x v="1"/>
    <d v="2025-01-14T00:00:00"/>
    <n v="39200"/>
    <x v="0"/>
  </r>
  <r>
    <n v="102679"/>
    <n v="71"/>
    <n v="79200"/>
    <x v="1"/>
    <n v="61800"/>
    <n v="0"/>
    <x v="5"/>
    <x v="2"/>
    <x v="1"/>
    <d v="2024-01-05T00:00:00"/>
    <n v="61800"/>
    <x v="1"/>
  </r>
  <r>
    <n v="102680"/>
    <n v="71"/>
    <n v="63000"/>
    <x v="0"/>
    <n v="0"/>
    <n v="333000"/>
    <x v="7"/>
    <x v="2"/>
    <x v="1"/>
    <d v="2026-01-09T00:00:00"/>
    <n v="333000"/>
    <x v="0"/>
  </r>
  <r>
    <n v="102681"/>
    <n v="73"/>
    <n v="22600"/>
    <x v="1"/>
    <n v="0"/>
    <n v="0"/>
    <x v="4"/>
    <x v="3"/>
    <x v="1"/>
    <d v="2026-03-23T00:00:00"/>
    <n v="0"/>
    <x v="0"/>
  </r>
  <r>
    <n v="102682"/>
    <n v="50"/>
    <n v="57700"/>
    <x v="2"/>
    <n v="0"/>
    <n v="316000"/>
    <x v="5"/>
    <x v="2"/>
    <x v="1"/>
    <d v="2024-05-11T00:00:00"/>
    <n v="316000"/>
    <x v="0"/>
  </r>
  <r>
    <n v="102683"/>
    <n v="64"/>
    <n v="78700"/>
    <x v="0"/>
    <n v="0"/>
    <n v="279000"/>
    <x v="6"/>
    <x v="2"/>
    <x v="1"/>
    <d v="2026-07-18T00:00:00"/>
    <n v="279000"/>
    <x v="1"/>
  </r>
  <r>
    <n v="102684"/>
    <n v="25"/>
    <n v="37800"/>
    <x v="1"/>
    <n v="47200"/>
    <n v="0"/>
    <x v="5"/>
    <x v="0"/>
    <x v="1"/>
    <d v="2026-06-28T00:00:00"/>
    <n v="47200"/>
    <x v="0"/>
  </r>
  <r>
    <n v="102685"/>
    <n v="63"/>
    <n v="111200"/>
    <x v="1"/>
    <n v="59000"/>
    <n v="0"/>
    <x v="7"/>
    <x v="3"/>
    <x v="0"/>
    <d v="2025-09-25T00:00:00"/>
    <n v="59000"/>
    <x v="1"/>
  </r>
  <r>
    <n v="102686"/>
    <n v="73"/>
    <n v="103300"/>
    <x v="0"/>
    <n v="15000"/>
    <n v="0"/>
    <x v="7"/>
    <x v="2"/>
    <x v="1"/>
    <d v="2025-09-16T00:00:00"/>
    <n v="15000"/>
    <x v="1"/>
  </r>
  <r>
    <n v="102687"/>
    <n v="47"/>
    <n v="50000"/>
    <x v="1"/>
    <n v="0"/>
    <n v="0"/>
    <x v="6"/>
    <x v="1"/>
    <x v="1"/>
    <d v="2026-01-10T00:00:00"/>
    <n v="0"/>
    <x v="0"/>
  </r>
  <r>
    <n v="102688"/>
    <n v="63"/>
    <n v="51700"/>
    <x v="2"/>
    <n v="52600"/>
    <n v="234000"/>
    <x v="2"/>
    <x v="2"/>
    <x v="1"/>
    <d v="2026-05-09T00:00:00"/>
    <n v="286600"/>
    <x v="0"/>
  </r>
  <r>
    <n v="102689"/>
    <n v="38"/>
    <n v="106700"/>
    <x v="2"/>
    <n v="47300"/>
    <n v="199000"/>
    <x v="3"/>
    <x v="0"/>
    <x v="1"/>
    <d v="2026-05-07T00:00:00"/>
    <n v="246300"/>
    <x v="1"/>
  </r>
  <r>
    <n v="102690"/>
    <n v="25"/>
    <n v="65600"/>
    <x v="0"/>
    <n v="41200"/>
    <n v="89000"/>
    <x v="5"/>
    <x v="1"/>
    <x v="1"/>
    <d v="2024-02-21T00:00:00"/>
    <n v="130200"/>
    <x v="0"/>
  </r>
  <r>
    <n v="102691"/>
    <n v="68"/>
    <n v="35500"/>
    <x v="1"/>
    <n v="14700"/>
    <n v="0"/>
    <x v="2"/>
    <x v="2"/>
    <x v="1"/>
    <d v="2024-02-14T00:00:00"/>
    <n v="14700"/>
    <x v="0"/>
  </r>
  <r>
    <n v="102692"/>
    <n v="24"/>
    <n v="52900"/>
    <x v="2"/>
    <n v="5500"/>
    <n v="0"/>
    <x v="4"/>
    <x v="1"/>
    <x v="1"/>
    <d v="2026-01-04T00:00:00"/>
    <n v="5500"/>
    <x v="0"/>
  </r>
  <r>
    <n v="102693"/>
    <n v="33"/>
    <n v="72900"/>
    <x v="2"/>
    <n v="0"/>
    <n v="0"/>
    <x v="3"/>
    <x v="2"/>
    <x v="1"/>
    <d v="2024-10-22T00:00:00"/>
    <n v="0"/>
    <x v="1"/>
  </r>
  <r>
    <n v="102694"/>
    <n v="52"/>
    <n v="59800"/>
    <x v="1"/>
    <n v="13200"/>
    <n v="166000"/>
    <x v="1"/>
    <x v="1"/>
    <x v="1"/>
    <d v="2024-09-15T00:00:00"/>
    <n v="179200"/>
    <x v="0"/>
  </r>
  <r>
    <n v="102695"/>
    <n v="44"/>
    <n v="43600"/>
    <x v="2"/>
    <n v="29000"/>
    <n v="0"/>
    <x v="5"/>
    <x v="0"/>
    <x v="1"/>
    <d v="2024-06-08T00:00:00"/>
    <n v="29000"/>
    <x v="0"/>
  </r>
  <r>
    <n v="102696"/>
    <n v="21"/>
    <n v="95100"/>
    <x v="1"/>
    <n v="0"/>
    <n v="0"/>
    <x v="4"/>
    <x v="1"/>
    <x v="1"/>
    <d v="2025-02-21T00:00:00"/>
    <n v="0"/>
    <x v="1"/>
  </r>
  <r>
    <n v="102697"/>
    <n v="47"/>
    <n v="50900"/>
    <x v="0"/>
    <n v="28000"/>
    <n v="0"/>
    <x v="4"/>
    <x v="3"/>
    <x v="1"/>
    <d v="2024-05-11T00:00:00"/>
    <n v="28000"/>
    <x v="0"/>
  </r>
  <r>
    <n v="102698"/>
    <n v="38"/>
    <n v="20700"/>
    <x v="0"/>
    <n v="25900"/>
    <n v="0"/>
    <x v="6"/>
    <x v="0"/>
    <x v="1"/>
    <d v="2024-03-29T00:00:00"/>
    <n v="25900"/>
    <x v="0"/>
  </r>
  <r>
    <n v="102699"/>
    <n v="39"/>
    <n v="72700"/>
    <x v="1"/>
    <n v="13000"/>
    <n v="275000"/>
    <x v="5"/>
    <x v="2"/>
    <x v="1"/>
    <d v="2026-06-17T00:00:00"/>
    <n v="288000"/>
    <x v="1"/>
  </r>
  <r>
    <n v="102700"/>
    <n v="27"/>
    <n v="53100"/>
    <x v="0"/>
    <n v="0"/>
    <n v="0"/>
    <x v="3"/>
    <x v="3"/>
    <x v="1"/>
    <d v="2024-11-23T00:00:00"/>
    <n v="0"/>
    <x v="0"/>
  </r>
  <r>
    <n v="102701"/>
    <n v="46"/>
    <n v="90900"/>
    <x v="2"/>
    <n v="47300"/>
    <n v="0"/>
    <x v="3"/>
    <x v="1"/>
    <x v="1"/>
    <d v="2024-02-29T00:00:00"/>
    <n v="47300"/>
    <x v="1"/>
  </r>
  <r>
    <n v="102702"/>
    <n v="23"/>
    <n v="77700"/>
    <x v="0"/>
    <n v="39400"/>
    <n v="0"/>
    <x v="7"/>
    <x v="1"/>
    <x v="1"/>
    <d v="2026-04-08T00:00:00"/>
    <n v="39400"/>
    <x v="1"/>
  </r>
  <r>
    <n v="102703"/>
    <n v="39"/>
    <n v="92000"/>
    <x v="0"/>
    <n v="35200"/>
    <n v="0"/>
    <x v="3"/>
    <x v="2"/>
    <x v="1"/>
    <d v="2024-03-07T00:00:00"/>
    <n v="35200"/>
    <x v="1"/>
  </r>
  <r>
    <n v="102704"/>
    <n v="41"/>
    <n v="62900"/>
    <x v="2"/>
    <n v="0"/>
    <n v="0"/>
    <x v="6"/>
    <x v="1"/>
    <x v="1"/>
    <d v="2024-08-23T00:00:00"/>
    <n v="0"/>
    <x v="0"/>
  </r>
  <r>
    <n v="102705"/>
    <n v="23"/>
    <n v="102500"/>
    <x v="0"/>
    <n v="29200"/>
    <n v="276000"/>
    <x v="1"/>
    <x v="2"/>
    <x v="1"/>
    <d v="2024-01-26T00:00:00"/>
    <n v="305200"/>
    <x v="1"/>
  </r>
  <r>
    <n v="102706"/>
    <n v="52"/>
    <n v="84400"/>
    <x v="1"/>
    <n v="0"/>
    <n v="0"/>
    <x v="1"/>
    <x v="1"/>
    <x v="1"/>
    <d v="2024-12-23T00:00:00"/>
    <n v="0"/>
    <x v="1"/>
  </r>
  <r>
    <n v="102707"/>
    <n v="74"/>
    <n v="117500"/>
    <x v="0"/>
    <n v="31400"/>
    <n v="0"/>
    <x v="5"/>
    <x v="1"/>
    <x v="1"/>
    <d v="2026-06-11T00:00:00"/>
    <n v="31400"/>
    <x v="1"/>
  </r>
  <r>
    <n v="102708"/>
    <n v="42"/>
    <n v="100400"/>
    <x v="1"/>
    <n v="0"/>
    <n v="0"/>
    <x v="0"/>
    <x v="2"/>
    <x v="1"/>
    <d v="2024-12-23T00:00:00"/>
    <n v="0"/>
    <x v="1"/>
  </r>
  <r>
    <n v="102709"/>
    <n v="63"/>
    <n v="63300"/>
    <x v="1"/>
    <n v="0"/>
    <n v="0"/>
    <x v="1"/>
    <x v="1"/>
    <x v="1"/>
    <d v="2024-07-26T00:00:00"/>
    <n v="0"/>
    <x v="0"/>
  </r>
  <r>
    <n v="102710"/>
    <n v="58"/>
    <n v="56200"/>
    <x v="0"/>
    <n v="0"/>
    <n v="227000"/>
    <x v="0"/>
    <x v="0"/>
    <x v="1"/>
    <d v="2024-05-23T00:00:00"/>
    <n v="227000"/>
    <x v="0"/>
  </r>
  <r>
    <n v="102711"/>
    <n v="62"/>
    <n v="54500"/>
    <x v="1"/>
    <n v="0"/>
    <n v="0"/>
    <x v="2"/>
    <x v="1"/>
    <x v="1"/>
    <d v="2026-02-14T00:00:00"/>
    <n v="0"/>
    <x v="0"/>
  </r>
  <r>
    <n v="102712"/>
    <n v="66"/>
    <n v="34700"/>
    <x v="0"/>
    <n v="43400"/>
    <n v="207000"/>
    <x v="1"/>
    <x v="0"/>
    <x v="1"/>
    <d v="2025-06-27T00:00:00"/>
    <n v="250400"/>
    <x v="0"/>
  </r>
  <r>
    <n v="102713"/>
    <n v="54"/>
    <n v="86800"/>
    <x v="1"/>
    <n v="0"/>
    <n v="0"/>
    <x v="2"/>
    <x v="2"/>
    <x v="1"/>
    <d v="2026-01-16T00:00:00"/>
    <n v="0"/>
    <x v="1"/>
  </r>
  <r>
    <n v="102714"/>
    <n v="61"/>
    <n v="52900"/>
    <x v="0"/>
    <n v="31500"/>
    <n v="0"/>
    <x v="4"/>
    <x v="2"/>
    <x v="1"/>
    <d v="2025-03-30T00:00:00"/>
    <n v="31500"/>
    <x v="0"/>
  </r>
  <r>
    <n v="102715"/>
    <n v="52"/>
    <n v="89200"/>
    <x v="0"/>
    <n v="45500"/>
    <n v="0"/>
    <x v="1"/>
    <x v="2"/>
    <x v="1"/>
    <d v="2026-04-16T00:00:00"/>
    <n v="45500"/>
    <x v="1"/>
  </r>
  <r>
    <n v="102716"/>
    <n v="40"/>
    <n v="39300"/>
    <x v="0"/>
    <n v="44700"/>
    <n v="0"/>
    <x v="6"/>
    <x v="1"/>
    <x v="1"/>
    <d v="2024-09-04T00:00:00"/>
    <n v="44700"/>
    <x v="0"/>
  </r>
  <r>
    <n v="102717"/>
    <n v="71"/>
    <n v="48000"/>
    <x v="0"/>
    <n v="25400"/>
    <n v="0"/>
    <x v="7"/>
    <x v="2"/>
    <x v="1"/>
    <d v="2025-09-09T00:00:00"/>
    <n v="25400"/>
    <x v="0"/>
  </r>
  <r>
    <n v="102718"/>
    <n v="73"/>
    <n v="59500"/>
    <x v="1"/>
    <n v="18300"/>
    <n v="0"/>
    <x v="6"/>
    <x v="1"/>
    <x v="1"/>
    <d v="2026-07-29T00:00:00"/>
    <n v="18300"/>
    <x v="0"/>
  </r>
  <r>
    <n v="102719"/>
    <n v="65"/>
    <n v="105900"/>
    <x v="1"/>
    <n v="0"/>
    <n v="351000"/>
    <x v="1"/>
    <x v="2"/>
    <x v="1"/>
    <d v="2025-07-18T00:00:00"/>
    <n v="351000"/>
    <x v="1"/>
  </r>
  <r>
    <n v="102720"/>
    <n v="57"/>
    <n v="40500"/>
    <x v="1"/>
    <n v="0"/>
    <n v="0"/>
    <x v="2"/>
    <x v="0"/>
    <x v="1"/>
    <d v="2024-12-25T00:00:00"/>
    <n v="0"/>
    <x v="0"/>
  </r>
  <r>
    <n v="102721"/>
    <n v="71"/>
    <n v="33800"/>
    <x v="0"/>
    <n v="14700"/>
    <n v="0"/>
    <x v="1"/>
    <x v="2"/>
    <x v="1"/>
    <d v="2025-01-04T00:00:00"/>
    <n v="14700"/>
    <x v="0"/>
  </r>
  <r>
    <n v="102722"/>
    <n v="69"/>
    <n v="28800"/>
    <x v="0"/>
    <n v="22000"/>
    <n v="0"/>
    <x v="4"/>
    <x v="1"/>
    <x v="1"/>
    <d v="2026-05-05T00:00:00"/>
    <n v="22000"/>
    <x v="0"/>
  </r>
  <r>
    <n v="102723"/>
    <n v="51"/>
    <n v="49900"/>
    <x v="1"/>
    <n v="20300"/>
    <n v="135000"/>
    <x v="3"/>
    <x v="2"/>
    <x v="1"/>
    <d v="2026-06-17T00:00:00"/>
    <n v="155300"/>
    <x v="0"/>
  </r>
  <r>
    <n v="102724"/>
    <n v="29"/>
    <n v="49300"/>
    <x v="1"/>
    <n v="27900"/>
    <n v="0"/>
    <x v="7"/>
    <x v="2"/>
    <x v="1"/>
    <d v="2024-01-24T00:00:00"/>
    <n v="27900"/>
    <x v="0"/>
  </r>
  <r>
    <n v="102725"/>
    <n v="45"/>
    <n v="72200"/>
    <x v="0"/>
    <n v="18000"/>
    <n v="147000"/>
    <x v="3"/>
    <x v="0"/>
    <x v="1"/>
    <d v="2024-01-17T00:00:00"/>
    <n v="165000"/>
    <x v="1"/>
  </r>
  <r>
    <n v="102726"/>
    <n v="44"/>
    <n v="39300"/>
    <x v="1"/>
    <n v="0"/>
    <n v="0"/>
    <x v="3"/>
    <x v="2"/>
    <x v="1"/>
    <d v="2024-05-19T00:00:00"/>
    <n v="0"/>
    <x v="0"/>
  </r>
  <r>
    <n v="102727"/>
    <n v="71"/>
    <n v="44700"/>
    <x v="1"/>
    <n v="47200"/>
    <n v="0"/>
    <x v="7"/>
    <x v="1"/>
    <x v="1"/>
    <d v="2026-03-22T00:00:00"/>
    <n v="47200"/>
    <x v="0"/>
  </r>
  <r>
    <n v="102728"/>
    <n v="67"/>
    <n v="70000"/>
    <x v="2"/>
    <n v="24700"/>
    <n v="0"/>
    <x v="0"/>
    <x v="0"/>
    <x v="1"/>
    <d v="2024-11-08T00:00:00"/>
    <n v="24700"/>
    <x v="1"/>
  </r>
  <r>
    <n v="102729"/>
    <n v="45"/>
    <n v="106900"/>
    <x v="2"/>
    <n v="28800"/>
    <n v="0"/>
    <x v="7"/>
    <x v="2"/>
    <x v="1"/>
    <d v="2025-07-09T00:00:00"/>
    <n v="28800"/>
    <x v="1"/>
  </r>
  <r>
    <n v="102730"/>
    <n v="51"/>
    <n v="84400"/>
    <x v="1"/>
    <n v="70500"/>
    <n v="174000"/>
    <x v="0"/>
    <x v="2"/>
    <x v="1"/>
    <d v="2026-07-06T00:00:00"/>
    <n v="244500"/>
    <x v="1"/>
  </r>
  <r>
    <n v="102731"/>
    <n v="55"/>
    <n v="114400"/>
    <x v="0"/>
    <n v="68600"/>
    <n v="0"/>
    <x v="5"/>
    <x v="1"/>
    <x v="1"/>
    <d v="2025-07-29T00:00:00"/>
    <n v="68600"/>
    <x v="1"/>
  </r>
  <r>
    <n v="102732"/>
    <n v="67"/>
    <n v="92300"/>
    <x v="0"/>
    <n v="0"/>
    <n v="0"/>
    <x v="1"/>
    <x v="1"/>
    <x v="1"/>
    <d v="2026-05-25T00:00:00"/>
    <n v="0"/>
    <x v="1"/>
  </r>
  <r>
    <n v="102733"/>
    <n v="46"/>
    <n v="89300"/>
    <x v="1"/>
    <n v="0"/>
    <n v="0"/>
    <x v="2"/>
    <x v="2"/>
    <x v="1"/>
    <d v="2024-01-31T00:00:00"/>
    <n v="0"/>
    <x v="1"/>
  </r>
  <r>
    <n v="102734"/>
    <n v="75"/>
    <n v="72400"/>
    <x v="1"/>
    <n v="32100"/>
    <n v="0"/>
    <x v="5"/>
    <x v="2"/>
    <x v="1"/>
    <d v="2025-10-28T00:00:00"/>
    <n v="32100"/>
    <x v="1"/>
  </r>
  <r>
    <n v="102735"/>
    <n v="46"/>
    <n v="82500"/>
    <x v="0"/>
    <n v="57100"/>
    <n v="158000"/>
    <x v="1"/>
    <x v="3"/>
    <x v="1"/>
    <d v="2026-06-06T00:00:00"/>
    <n v="215100"/>
    <x v="1"/>
  </r>
  <r>
    <n v="102736"/>
    <n v="54"/>
    <n v="27200"/>
    <x v="1"/>
    <n v="0"/>
    <n v="0"/>
    <x v="6"/>
    <x v="1"/>
    <x v="1"/>
    <d v="2026-01-08T00:00:00"/>
    <n v="0"/>
    <x v="0"/>
  </r>
  <r>
    <n v="102737"/>
    <n v="22"/>
    <n v="66900"/>
    <x v="0"/>
    <n v="17300"/>
    <n v="0"/>
    <x v="6"/>
    <x v="1"/>
    <x v="1"/>
    <d v="2026-07-28T00:00:00"/>
    <n v="17300"/>
    <x v="0"/>
  </r>
  <r>
    <n v="102738"/>
    <n v="68"/>
    <n v="67500"/>
    <x v="1"/>
    <n v="31900"/>
    <n v="0"/>
    <x v="7"/>
    <x v="0"/>
    <x v="1"/>
    <d v="2025-08-27T00:00:00"/>
    <n v="31900"/>
    <x v="0"/>
  </r>
  <r>
    <n v="102739"/>
    <n v="40"/>
    <n v="45200"/>
    <x v="0"/>
    <n v="41500"/>
    <n v="0"/>
    <x v="3"/>
    <x v="1"/>
    <x v="0"/>
    <d v="2025-03-07T00:00:00"/>
    <n v="41500"/>
    <x v="0"/>
  </r>
  <r>
    <n v="102740"/>
    <n v="28"/>
    <n v="49000"/>
    <x v="2"/>
    <n v="9400"/>
    <n v="255000"/>
    <x v="6"/>
    <x v="2"/>
    <x v="1"/>
    <d v="2025-11-04T00:00:00"/>
    <n v="264400"/>
    <x v="0"/>
  </r>
  <r>
    <n v="102741"/>
    <n v="31"/>
    <n v="110000"/>
    <x v="1"/>
    <n v="20000"/>
    <n v="329000"/>
    <x v="5"/>
    <x v="1"/>
    <x v="1"/>
    <d v="2025-12-01T00:00:00"/>
    <n v="349000"/>
    <x v="1"/>
  </r>
  <r>
    <n v="102742"/>
    <n v="34"/>
    <n v="88400"/>
    <x v="0"/>
    <n v="57400"/>
    <n v="0"/>
    <x v="0"/>
    <x v="1"/>
    <x v="1"/>
    <d v="2024-04-12T00:00:00"/>
    <n v="57400"/>
    <x v="1"/>
  </r>
  <r>
    <n v="102743"/>
    <n v="27"/>
    <n v="37600"/>
    <x v="0"/>
    <n v="22200"/>
    <n v="0"/>
    <x v="1"/>
    <x v="1"/>
    <x v="1"/>
    <d v="2026-04-16T00:00:00"/>
    <n v="22200"/>
    <x v="0"/>
  </r>
  <r>
    <n v="102744"/>
    <n v="36"/>
    <n v="38000"/>
    <x v="1"/>
    <n v="47500"/>
    <n v="0"/>
    <x v="2"/>
    <x v="2"/>
    <x v="1"/>
    <d v="2025-01-07T00:00:00"/>
    <n v="47500"/>
    <x v="0"/>
  </r>
  <r>
    <n v="102745"/>
    <n v="51"/>
    <n v="42500"/>
    <x v="1"/>
    <n v="25800"/>
    <n v="0"/>
    <x v="0"/>
    <x v="1"/>
    <x v="1"/>
    <d v="2024-02-11T00:00:00"/>
    <n v="25800"/>
    <x v="0"/>
  </r>
  <r>
    <n v="102746"/>
    <n v="71"/>
    <n v="67500"/>
    <x v="2"/>
    <n v="20200"/>
    <n v="203000"/>
    <x v="5"/>
    <x v="1"/>
    <x v="1"/>
    <d v="2026-02-12T00:00:00"/>
    <n v="223200"/>
    <x v="0"/>
  </r>
  <r>
    <n v="102747"/>
    <n v="63"/>
    <n v="42300"/>
    <x v="1"/>
    <n v="51400"/>
    <n v="0"/>
    <x v="4"/>
    <x v="0"/>
    <x v="0"/>
    <d v="2025-04-11T00:00:00"/>
    <n v="51400"/>
    <x v="0"/>
  </r>
  <r>
    <n v="102748"/>
    <n v="32"/>
    <n v="43900"/>
    <x v="1"/>
    <n v="54900"/>
    <n v="0"/>
    <x v="2"/>
    <x v="0"/>
    <x v="1"/>
    <d v="2025-03-09T00:00:00"/>
    <n v="54900"/>
    <x v="0"/>
  </r>
  <r>
    <n v="102749"/>
    <n v="66"/>
    <n v="77600"/>
    <x v="2"/>
    <n v="29700"/>
    <n v="0"/>
    <x v="4"/>
    <x v="1"/>
    <x v="0"/>
    <d v="2024-09-20T00:00:00"/>
    <n v="29700"/>
    <x v="1"/>
  </r>
  <r>
    <n v="102750"/>
    <n v="53"/>
    <n v="35800"/>
    <x v="2"/>
    <n v="27900"/>
    <n v="235000"/>
    <x v="6"/>
    <x v="1"/>
    <x v="1"/>
    <d v="2025-09-09T00:00:00"/>
    <n v="262900"/>
    <x v="0"/>
  </r>
  <r>
    <n v="102751"/>
    <n v="73"/>
    <n v="55100"/>
    <x v="1"/>
    <n v="0"/>
    <n v="0"/>
    <x v="2"/>
    <x v="3"/>
    <x v="1"/>
    <d v="2025-03-22T00:00:00"/>
    <n v="0"/>
    <x v="0"/>
  </r>
  <r>
    <n v="102752"/>
    <n v="67"/>
    <n v="59400"/>
    <x v="1"/>
    <n v="47300"/>
    <n v="0"/>
    <x v="4"/>
    <x v="0"/>
    <x v="1"/>
    <d v="2025-11-24T00:00:00"/>
    <n v="47300"/>
    <x v="0"/>
  </r>
  <r>
    <n v="102753"/>
    <n v="65"/>
    <n v="77800"/>
    <x v="1"/>
    <n v="13900"/>
    <n v="273000"/>
    <x v="5"/>
    <x v="1"/>
    <x v="1"/>
    <d v="2025-06-27T00:00:00"/>
    <n v="286900"/>
    <x v="1"/>
  </r>
  <r>
    <n v="102754"/>
    <n v="55"/>
    <n v="62000"/>
    <x v="1"/>
    <n v="59200"/>
    <n v="167000"/>
    <x v="4"/>
    <x v="2"/>
    <x v="1"/>
    <d v="2026-04-15T00:00:00"/>
    <n v="226200"/>
    <x v="0"/>
  </r>
  <r>
    <n v="102755"/>
    <n v="35"/>
    <n v="53100"/>
    <x v="1"/>
    <n v="0"/>
    <n v="143000"/>
    <x v="3"/>
    <x v="2"/>
    <x v="1"/>
    <d v="2024-09-18T00:00:00"/>
    <n v="143000"/>
    <x v="0"/>
  </r>
  <r>
    <n v="102756"/>
    <n v="28"/>
    <n v="57800"/>
    <x v="0"/>
    <n v="31900"/>
    <n v="0"/>
    <x v="0"/>
    <x v="2"/>
    <x v="1"/>
    <d v="2025-08-27T00:00:00"/>
    <n v="31900"/>
    <x v="0"/>
  </r>
  <r>
    <n v="102757"/>
    <n v="21"/>
    <n v="80200"/>
    <x v="0"/>
    <n v="12900"/>
    <n v="0"/>
    <x v="3"/>
    <x v="1"/>
    <x v="1"/>
    <d v="2026-06-23T00:00:00"/>
    <n v="12900"/>
    <x v="1"/>
  </r>
  <r>
    <n v="102758"/>
    <n v="59"/>
    <n v="51400"/>
    <x v="2"/>
    <n v="9300"/>
    <n v="0"/>
    <x v="4"/>
    <x v="1"/>
    <x v="1"/>
    <d v="2025-05-10T00:00:00"/>
    <n v="9300"/>
    <x v="0"/>
  </r>
  <r>
    <n v="102759"/>
    <n v="27"/>
    <n v="73700"/>
    <x v="1"/>
    <n v="16400"/>
    <n v="0"/>
    <x v="7"/>
    <x v="1"/>
    <x v="1"/>
    <d v="2026-03-12T00:00:00"/>
    <n v="16400"/>
    <x v="1"/>
  </r>
  <r>
    <n v="102760"/>
    <n v="41"/>
    <n v="86600"/>
    <x v="2"/>
    <n v="17100"/>
    <n v="193000"/>
    <x v="0"/>
    <x v="1"/>
    <x v="1"/>
    <d v="2025-05-15T00:00:00"/>
    <n v="210100"/>
    <x v="1"/>
  </r>
  <r>
    <n v="102761"/>
    <n v="34"/>
    <n v="87900"/>
    <x v="1"/>
    <n v="36600"/>
    <n v="0"/>
    <x v="0"/>
    <x v="1"/>
    <x v="1"/>
    <d v="2025-11-26T00:00:00"/>
    <n v="36600"/>
    <x v="1"/>
  </r>
  <r>
    <n v="102762"/>
    <n v="49"/>
    <n v="55400"/>
    <x v="1"/>
    <n v="0"/>
    <n v="0"/>
    <x v="7"/>
    <x v="1"/>
    <x v="1"/>
    <d v="2025-03-28T00:00:00"/>
    <n v="0"/>
    <x v="0"/>
  </r>
  <r>
    <n v="102763"/>
    <n v="61"/>
    <n v="46500"/>
    <x v="2"/>
    <n v="0"/>
    <n v="0"/>
    <x v="0"/>
    <x v="1"/>
    <x v="1"/>
    <d v="2024-07-20T00:00:00"/>
    <n v="0"/>
    <x v="0"/>
  </r>
  <r>
    <n v="102764"/>
    <n v="23"/>
    <n v="44300"/>
    <x v="1"/>
    <n v="55400"/>
    <n v="278000"/>
    <x v="1"/>
    <x v="0"/>
    <x v="1"/>
    <d v="2025-07-27T00:00:00"/>
    <n v="333400"/>
    <x v="0"/>
  </r>
  <r>
    <n v="102765"/>
    <n v="51"/>
    <n v="63800"/>
    <x v="1"/>
    <n v="70500"/>
    <n v="0"/>
    <x v="6"/>
    <x v="2"/>
    <x v="1"/>
    <d v="2025-02-13T00:00:00"/>
    <n v="70500"/>
    <x v="0"/>
  </r>
  <r>
    <n v="102766"/>
    <n v="48"/>
    <n v="81500"/>
    <x v="1"/>
    <n v="10200"/>
    <n v="280000"/>
    <x v="3"/>
    <x v="2"/>
    <x v="1"/>
    <d v="2025-04-15T00:00:00"/>
    <n v="290200"/>
    <x v="1"/>
  </r>
  <r>
    <n v="102767"/>
    <n v="63"/>
    <n v="49800"/>
    <x v="0"/>
    <n v="48200"/>
    <n v="0"/>
    <x v="1"/>
    <x v="1"/>
    <x v="1"/>
    <d v="2024-03-18T00:00:00"/>
    <n v="48200"/>
    <x v="0"/>
  </r>
  <r>
    <n v="102768"/>
    <n v="35"/>
    <n v="89100"/>
    <x v="0"/>
    <n v="12000"/>
    <n v="0"/>
    <x v="2"/>
    <x v="2"/>
    <x v="1"/>
    <d v="2025-01-19T00:00:00"/>
    <n v="12000"/>
    <x v="1"/>
  </r>
  <r>
    <n v="102769"/>
    <n v="23"/>
    <n v="34400"/>
    <x v="1"/>
    <n v="13800"/>
    <n v="0"/>
    <x v="4"/>
    <x v="1"/>
    <x v="1"/>
    <d v="2024-02-02T00:00:00"/>
    <n v="13800"/>
    <x v="0"/>
  </r>
  <r>
    <n v="102770"/>
    <n v="69"/>
    <n v="63400"/>
    <x v="1"/>
    <n v="0"/>
    <n v="0"/>
    <x v="1"/>
    <x v="1"/>
    <x v="1"/>
    <d v="2026-01-11T00:00:00"/>
    <n v="0"/>
    <x v="0"/>
  </r>
  <r>
    <n v="102771"/>
    <n v="69"/>
    <n v="70200"/>
    <x v="1"/>
    <n v="0"/>
    <n v="0"/>
    <x v="0"/>
    <x v="1"/>
    <x v="1"/>
    <d v="2025-12-19T00:00:00"/>
    <n v="0"/>
    <x v="1"/>
  </r>
  <r>
    <n v="102772"/>
    <n v="50"/>
    <n v="120300"/>
    <x v="0"/>
    <n v="31800"/>
    <n v="0"/>
    <x v="5"/>
    <x v="1"/>
    <x v="1"/>
    <d v="2024-07-07T00:00:00"/>
    <n v="31800"/>
    <x v="1"/>
  </r>
  <r>
    <n v="102773"/>
    <n v="22"/>
    <n v="28700"/>
    <x v="1"/>
    <n v="35900"/>
    <n v="105000"/>
    <x v="7"/>
    <x v="3"/>
    <x v="1"/>
    <d v="2025-03-20T00:00:00"/>
    <n v="140900"/>
    <x v="0"/>
  </r>
  <r>
    <n v="102774"/>
    <n v="35"/>
    <n v="45100"/>
    <x v="1"/>
    <n v="0"/>
    <n v="0"/>
    <x v="2"/>
    <x v="2"/>
    <x v="1"/>
    <d v="2024-08-09T00:00:00"/>
    <n v="0"/>
    <x v="0"/>
  </r>
  <r>
    <n v="102775"/>
    <n v="49"/>
    <n v="22200"/>
    <x v="1"/>
    <n v="0"/>
    <n v="0"/>
    <x v="0"/>
    <x v="0"/>
    <x v="1"/>
    <d v="2026-03-28T00:00:00"/>
    <n v="0"/>
    <x v="0"/>
  </r>
  <r>
    <n v="102776"/>
    <n v="61"/>
    <n v="47200"/>
    <x v="1"/>
    <n v="40000"/>
    <n v="187000"/>
    <x v="2"/>
    <x v="1"/>
    <x v="1"/>
    <d v="2024-07-09T00:00:00"/>
    <n v="227000"/>
    <x v="0"/>
  </r>
  <r>
    <n v="102777"/>
    <n v="49"/>
    <n v="54900"/>
    <x v="1"/>
    <n v="49000"/>
    <n v="0"/>
    <x v="1"/>
    <x v="0"/>
    <x v="1"/>
    <d v="2024-09-03T00:00:00"/>
    <n v="49000"/>
    <x v="0"/>
  </r>
  <r>
    <n v="102778"/>
    <n v="57"/>
    <n v="50200"/>
    <x v="1"/>
    <n v="0"/>
    <n v="0"/>
    <x v="1"/>
    <x v="0"/>
    <x v="1"/>
    <d v="2025-03-27T00:00:00"/>
    <n v="0"/>
    <x v="0"/>
  </r>
  <r>
    <n v="102779"/>
    <n v="54"/>
    <n v="42300"/>
    <x v="1"/>
    <n v="19100"/>
    <n v="218000"/>
    <x v="7"/>
    <x v="0"/>
    <x v="1"/>
    <d v="2024-02-17T00:00:00"/>
    <n v="237100"/>
    <x v="0"/>
  </r>
  <r>
    <n v="102780"/>
    <n v="30"/>
    <n v="78400"/>
    <x v="1"/>
    <n v="47700"/>
    <n v="0"/>
    <x v="1"/>
    <x v="3"/>
    <x v="1"/>
    <d v="2026-03-17T00:00:00"/>
    <n v="47700"/>
    <x v="1"/>
  </r>
  <r>
    <n v="102781"/>
    <n v="45"/>
    <n v="96400"/>
    <x v="1"/>
    <n v="48400"/>
    <n v="354000"/>
    <x v="0"/>
    <x v="2"/>
    <x v="1"/>
    <d v="2026-03-08T00:00:00"/>
    <n v="402400"/>
    <x v="1"/>
  </r>
  <r>
    <n v="102782"/>
    <n v="26"/>
    <n v="74200"/>
    <x v="1"/>
    <n v="27100"/>
    <n v="0"/>
    <x v="3"/>
    <x v="2"/>
    <x v="1"/>
    <d v="2025-06-28T00:00:00"/>
    <n v="27100"/>
    <x v="1"/>
  </r>
  <r>
    <n v="102783"/>
    <n v="67"/>
    <n v="54500"/>
    <x v="2"/>
    <n v="32600"/>
    <n v="0"/>
    <x v="1"/>
    <x v="1"/>
    <x v="1"/>
    <d v="2025-08-01T00:00:00"/>
    <n v="32600"/>
    <x v="0"/>
  </r>
  <r>
    <n v="102784"/>
    <n v="44"/>
    <n v="66700"/>
    <x v="2"/>
    <n v="0"/>
    <n v="219000"/>
    <x v="3"/>
    <x v="2"/>
    <x v="1"/>
    <d v="2024-10-11T00:00:00"/>
    <n v="219000"/>
    <x v="0"/>
  </r>
  <r>
    <n v="102785"/>
    <n v="54"/>
    <n v="42300"/>
    <x v="0"/>
    <n v="0"/>
    <n v="0"/>
    <x v="3"/>
    <x v="0"/>
    <x v="1"/>
    <d v="2024-03-21T00:00:00"/>
    <n v="0"/>
    <x v="0"/>
  </r>
  <r>
    <n v="102786"/>
    <n v="68"/>
    <n v="49600"/>
    <x v="2"/>
    <n v="0"/>
    <n v="356000"/>
    <x v="0"/>
    <x v="1"/>
    <x v="1"/>
    <d v="2024-06-20T00:00:00"/>
    <n v="356000"/>
    <x v="0"/>
  </r>
  <r>
    <n v="102787"/>
    <n v="50"/>
    <n v="104700"/>
    <x v="1"/>
    <n v="22500"/>
    <n v="162000"/>
    <x v="1"/>
    <x v="1"/>
    <x v="1"/>
    <d v="2025-08-15T00:00:00"/>
    <n v="184500"/>
    <x v="1"/>
  </r>
  <r>
    <n v="102788"/>
    <n v="26"/>
    <n v="32800"/>
    <x v="1"/>
    <n v="16900"/>
    <n v="0"/>
    <x v="3"/>
    <x v="2"/>
    <x v="1"/>
    <d v="2025-04-02T00:00:00"/>
    <n v="16900"/>
    <x v="0"/>
  </r>
  <r>
    <n v="102789"/>
    <n v="64"/>
    <n v="65900"/>
    <x v="2"/>
    <n v="10700"/>
    <n v="0"/>
    <x v="2"/>
    <x v="1"/>
    <x v="1"/>
    <d v="2026-01-16T00:00:00"/>
    <n v="10700"/>
    <x v="0"/>
  </r>
  <r>
    <n v="102790"/>
    <n v="70"/>
    <n v="89900"/>
    <x v="0"/>
    <n v="38200"/>
    <n v="0"/>
    <x v="7"/>
    <x v="1"/>
    <x v="1"/>
    <d v="2024-06-14T00:00:00"/>
    <n v="38200"/>
    <x v="1"/>
  </r>
  <r>
    <n v="102791"/>
    <n v="75"/>
    <n v="37000"/>
    <x v="1"/>
    <n v="36400"/>
    <n v="0"/>
    <x v="2"/>
    <x v="3"/>
    <x v="1"/>
    <d v="2026-01-25T00:00:00"/>
    <n v="36400"/>
    <x v="0"/>
  </r>
  <r>
    <n v="102792"/>
    <n v="26"/>
    <n v="63600"/>
    <x v="0"/>
    <n v="70600"/>
    <n v="0"/>
    <x v="1"/>
    <x v="2"/>
    <x v="1"/>
    <d v="2026-03-31T00:00:00"/>
    <n v="70600"/>
    <x v="0"/>
  </r>
  <r>
    <n v="102793"/>
    <n v="63"/>
    <n v="92100"/>
    <x v="2"/>
    <n v="60400"/>
    <n v="189000"/>
    <x v="0"/>
    <x v="2"/>
    <x v="1"/>
    <d v="2025-01-10T00:00:00"/>
    <n v="249400"/>
    <x v="1"/>
  </r>
  <r>
    <n v="102794"/>
    <n v="73"/>
    <n v="50100"/>
    <x v="0"/>
    <n v="0"/>
    <n v="0"/>
    <x v="0"/>
    <x v="1"/>
    <x v="1"/>
    <d v="2024-11-08T00:00:00"/>
    <n v="0"/>
    <x v="0"/>
  </r>
  <r>
    <n v="102795"/>
    <n v="58"/>
    <n v="53800"/>
    <x v="1"/>
    <n v="12000"/>
    <n v="0"/>
    <x v="3"/>
    <x v="1"/>
    <x v="1"/>
    <d v="2025-08-27T00:00:00"/>
    <n v="12000"/>
    <x v="0"/>
  </r>
  <r>
    <n v="102796"/>
    <n v="61"/>
    <n v="65700"/>
    <x v="0"/>
    <n v="78200"/>
    <n v="103000"/>
    <x v="3"/>
    <x v="1"/>
    <x v="0"/>
    <d v="2024-03-19T00:00:00"/>
    <n v="181200"/>
    <x v="0"/>
  </r>
  <r>
    <n v="102797"/>
    <n v="47"/>
    <n v="120600"/>
    <x v="1"/>
    <n v="0"/>
    <n v="0"/>
    <x v="0"/>
    <x v="2"/>
    <x v="1"/>
    <d v="2026-04-01T00:00:00"/>
    <n v="0"/>
    <x v="1"/>
  </r>
  <r>
    <n v="102798"/>
    <n v="64"/>
    <n v="40900"/>
    <x v="2"/>
    <n v="0"/>
    <n v="0"/>
    <x v="7"/>
    <x v="0"/>
    <x v="1"/>
    <d v="2025-06-23T00:00:00"/>
    <n v="0"/>
    <x v="0"/>
  </r>
  <r>
    <n v="102799"/>
    <n v="41"/>
    <n v="45000"/>
    <x v="1"/>
    <n v="0"/>
    <n v="0"/>
    <x v="6"/>
    <x v="2"/>
    <x v="1"/>
    <d v="2025-11-19T00:00:00"/>
    <n v="0"/>
    <x v="0"/>
  </r>
  <r>
    <n v="102800"/>
    <n v="30"/>
    <n v="67300"/>
    <x v="0"/>
    <n v="52400"/>
    <n v="0"/>
    <x v="2"/>
    <x v="1"/>
    <x v="1"/>
    <d v="2026-04-20T00:00:00"/>
    <n v="52400"/>
    <x v="0"/>
  </r>
  <r>
    <n v="102801"/>
    <n v="75"/>
    <n v="43100"/>
    <x v="0"/>
    <n v="50900"/>
    <n v="0"/>
    <x v="7"/>
    <x v="0"/>
    <x v="1"/>
    <d v="2024-08-11T00:00:00"/>
    <n v="50900"/>
    <x v="0"/>
  </r>
  <r>
    <n v="102802"/>
    <n v="58"/>
    <n v="69800"/>
    <x v="1"/>
    <n v="74300"/>
    <n v="0"/>
    <x v="7"/>
    <x v="0"/>
    <x v="0"/>
    <d v="2025-09-06T00:00:00"/>
    <n v="74300"/>
    <x v="0"/>
  </r>
  <r>
    <n v="102803"/>
    <n v="64"/>
    <n v="79400"/>
    <x v="1"/>
    <n v="0"/>
    <n v="267000"/>
    <x v="5"/>
    <x v="0"/>
    <x v="1"/>
    <d v="2026-06-07T00:00:00"/>
    <n v="267000"/>
    <x v="1"/>
  </r>
  <r>
    <n v="102804"/>
    <n v="46"/>
    <n v="98300"/>
    <x v="2"/>
    <n v="46600"/>
    <n v="146000"/>
    <x v="6"/>
    <x v="2"/>
    <x v="1"/>
    <d v="2024-08-26T00:00:00"/>
    <n v="192600"/>
    <x v="1"/>
  </r>
  <r>
    <n v="102805"/>
    <n v="56"/>
    <n v="67100"/>
    <x v="1"/>
    <n v="19200"/>
    <n v="0"/>
    <x v="5"/>
    <x v="1"/>
    <x v="1"/>
    <d v="2025-02-02T00:00:00"/>
    <n v="19200"/>
    <x v="0"/>
  </r>
  <r>
    <n v="102806"/>
    <n v="33"/>
    <n v="83000"/>
    <x v="0"/>
    <n v="52000"/>
    <n v="0"/>
    <x v="1"/>
    <x v="1"/>
    <x v="1"/>
    <d v="2026-03-04T00:00:00"/>
    <n v="52000"/>
    <x v="1"/>
  </r>
  <r>
    <n v="102807"/>
    <n v="59"/>
    <n v="29100"/>
    <x v="0"/>
    <n v="23700"/>
    <n v="0"/>
    <x v="7"/>
    <x v="2"/>
    <x v="1"/>
    <d v="2026-01-16T00:00:00"/>
    <n v="23700"/>
    <x v="0"/>
  </r>
  <r>
    <n v="102808"/>
    <n v="22"/>
    <n v="64300"/>
    <x v="0"/>
    <n v="17700"/>
    <n v="204000"/>
    <x v="3"/>
    <x v="1"/>
    <x v="1"/>
    <d v="2026-08-05T00:00:00"/>
    <n v="221700"/>
    <x v="0"/>
  </r>
  <r>
    <n v="102809"/>
    <n v="25"/>
    <n v="54300"/>
    <x v="0"/>
    <n v="19100"/>
    <n v="0"/>
    <x v="7"/>
    <x v="2"/>
    <x v="1"/>
    <d v="2024-01-30T00:00:00"/>
    <n v="19100"/>
    <x v="0"/>
  </r>
  <r>
    <n v="102810"/>
    <n v="50"/>
    <n v="74900"/>
    <x v="1"/>
    <n v="46900"/>
    <n v="0"/>
    <x v="4"/>
    <x v="1"/>
    <x v="1"/>
    <d v="2025-10-23T00:00:00"/>
    <n v="46900"/>
    <x v="1"/>
  </r>
  <r>
    <n v="102811"/>
    <n v="30"/>
    <n v="78900"/>
    <x v="2"/>
    <n v="40700"/>
    <n v="0"/>
    <x v="3"/>
    <x v="1"/>
    <x v="1"/>
    <d v="2025-11-20T00:00:00"/>
    <n v="40700"/>
    <x v="1"/>
  </r>
  <r>
    <n v="102812"/>
    <n v="35"/>
    <n v="40300"/>
    <x v="1"/>
    <n v="50400"/>
    <n v="217000"/>
    <x v="5"/>
    <x v="1"/>
    <x v="1"/>
    <d v="2026-02-18T00:00:00"/>
    <n v="267400"/>
    <x v="0"/>
  </r>
  <r>
    <n v="102813"/>
    <n v="55"/>
    <n v="94600"/>
    <x v="1"/>
    <n v="44100"/>
    <n v="165000"/>
    <x v="2"/>
    <x v="2"/>
    <x v="1"/>
    <d v="2025-03-25T00:00:00"/>
    <n v="209100"/>
    <x v="1"/>
  </r>
  <r>
    <n v="102814"/>
    <n v="46"/>
    <n v="50000"/>
    <x v="2"/>
    <n v="44200"/>
    <n v="0"/>
    <x v="0"/>
    <x v="3"/>
    <x v="1"/>
    <d v="2024-10-07T00:00:00"/>
    <n v="44200"/>
    <x v="0"/>
  </r>
  <r>
    <n v="102815"/>
    <n v="20"/>
    <n v="68200"/>
    <x v="0"/>
    <n v="33400"/>
    <n v="216000"/>
    <x v="0"/>
    <x v="0"/>
    <x v="1"/>
    <d v="2024-11-23T00:00:00"/>
    <n v="249400"/>
    <x v="0"/>
  </r>
  <r>
    <n v="102816"/>
    <n v="39"/>
    <n v="89200"/>
    <x v="1"/>
    <n v="0"/>
    <n v="0"/>
    <x v="6"/>
    <x v="1"/>
    <x v="1"/>
    <d v="2026-04-24T00:00:00"/>
    <n v="0"/>
    <x v="1"/>
  </r>
  <r>
    <n v="102817"/>
    <n v="31"/>
    <n v="52200"/>
    <x v="1"/>
    <n v="0"/>
    <n v="0"/>
    <x v="6"/>
    <x v="1"/>
    <x v="1"/>
    <d v="2024-11-21T00:00:00"/>
    <n v="0"/>
    <x v="0"/>
  </r>
  <r>
    <n v="102818"/>
    <n v="44"/>
    <n v="48100"/>
    <x v="1"/>
    <n v="0"/>
    <n v="0"/>
    <x v="4"/>
    <x v="2"/>
    <x v="1"/>
    <d v="2024-06-27T00:00:00"/>
    <n v="0"/>
    <x v="0"/>
  </r>
  <r>
    <n v="102819"/>
    <n v="35"/>
    <n v="58400"/>
    <x v="0"/>
    <n v="43900"/>
    <n v="0"/>
    <x v="4"/>
    <x v="0"/>
    <x v="1"/>
    <d v="2024-08-27T00:00:00"/>
    <n v="43900"/>
    <x v="0"/>
  </r>
  <r>
    <n v="102820"/>
    <n v="34"/>
    <n v="62500"/>
    <x v="1"/>
    <n v="57600"/>
    <n v="0"/>
    <x v="3"/>
    <x v="1"/>
    <x v="0"/>
    <d v="2025-09-28T00:00:00"/>
    <n v="57600"/>
    <x v="0"/>
  </r>
  <r>
    <n v="102821"/>
    <n v="70"/>
    <n v="42900"/>
    <x v="0"/>
    <n v="43200"/>
    <n v="0"/>
    <x v="5"/>
    <x v="2"/>
    <x v="1"/>
    <d v="2024-06-30T00:00:00"/>
    <n v="43200"/>
    <x v="0"/>
  </r>
  <r>
    <n v="102822"/>
    <n v="52"/>
    <n v="79800"/>
    <x v="1"/>
    <n v="54900"/>
    <n v="0"/>
    <x v="3"/>
    <x v="0"/>
    <x v="1"/>
    <d v="2025-04-28T00:00:00"/>
    <n v="54900"/>
    <x v="1"/>
  </r>
  <r>
    <n v="102823"/>
    <n v="43"/>
    <n v="34600"/>
    <x v="2"/>
    <n v="30200"/>
    <n v="0"/>
    <x v="6"/>
    <x v="1"/>
    <x v="1"/>
    <d v="2025-01-05T00:00:00"/>
    <n v="30200"/>
    <x v="0"/>
  </r>
  <r>
    <n v="102824"/>
    <n v="71"/>
    <n v="46200"/>
    <x v="1"/>
    <n v="0"/>
    <n v="349000"/>
    <x v="4"/>
    <x v="1"/>
    <x v="1"/>
    <d v="2024-12-17T00:00:00"/>
    <n v="349000"/>
    <x v="0"/>
  </r>
  <r>
    <n v="102825"/>
    <n v="21"/>
    <n v="56400"/>
    <x v="1"/>
    <n v="0"/>
    <n v="309000"/>
    <x v="4"/>
    <x v="3"/>
    <x v="1"/>
    <d v="2026-05-23T00:00:00"/>
    <n v="309000"/>
    <x v="0"/>
  </r>
  <r>
    <n v="102826"/>
    <n v="55"/>
    <n v="69900"/>
    <x v="2"/>
    <n v="0"/>
    <n v="0"/>
    <x v="5"/>
    <x v="0"/>
    <x v="1"/>
    <d v="2026-08-01T00:00:00"/>
    <n v="0"/>
    <x v="0"/>
  </r>
  <r>
    <n v="102827"/>
    <n v="50"/>
    <n v="90700"/>
    <x v="2"/>
    <n v="29700"/>
    <n v="0"/>
    <x v="1"/>
    <x v="2"/>
    <x v="1"/>
    <d v="2025-09-07T00:00:00"/>
    <n v="29700"/>
    <x v="1"/>
  </r>
  <r>
    <n v="102828"/>
    <n v="26"/>
    <n v="90200"/>
    <x v="1"/>
    <n v="21500"/>
    <n v="219000"/>
    <x v="3"/>
    <x v="2"/>
    <x v="1"/>
    <d v="2026-03-28T00:00:00"/>
    <n v="240500"/>
    <x v="1"/>
  </r>
  <r>
    <n v="102829"/>
    <n v="57"/>
    <n v="49400"/>
    <x v="1"/>
    <n v="31300"/>
    <n v="0"/>
    <x v="5"/>
    <x v="0"/>
    <x v="1"/>
    <d v="2025-02-15T00:00:00"/>
    <n v="31300"/>
    <x v="0"/>
  </r>
  <r>
    <n v="102830"/>
    <n v="62"/>
    <n v="51700"/>
    <x v="2"/>
    <n v="39000"/>
    <n v="0"/>
    <x v="5"/>
    <x v="1"/>
    <x v="1"/>
    <d v="2024-04-19T00:00:00"/>
    <n v="39000"/>
    <x v="0"/>
  </r>
  <r>
    <n v="102831"/>
    <n v="49"/>
    <n v="75600"/>
    <x v="2"/>
    <n v="60600"/>
    <n v="0"/>
    <x v="6"/>
    <x v="2"/>
    <x v="1"/>
    <d v="2025-03-26T00:00:00"/>
    <n v="60600"/>
    <x v="1"/>
  </r>
  <r>
    <n v="102832"/>
    <n v="25"/>
    <n v="32700"/>
    <x v="2"/>
    <n v="35100"/>
    <n v="0"/>
    <x v="7"/>
    <x v="2"/>
    <x v="1"/>
    <d v="2026-04-29T00:00:00"/>
    <n v="35100"/>
    <x v="0"/>
  </r>
  <r>
    <n v="102833"/>
    <n v="42"/>
    <n v="54300"/>
    <x v="0"/>
    <n v="25300"/>
    <n v="0"/>
    <x v="1"/>
    <x v="3"/>
    <x v="1"/>
    <d v="2025-01-28T00:00:00"/>
    <n v="25300"/>
    <x v="0"/>
  </r>
  <r>
    <n v="102834"/>
    <n v="51"/>
    <n v="72300"/>
    <x v="1"/>
    <n v="0"/>
    <n v="0"/>
    <x v="3"/>
    <x v="2"/>
    <x v="1"/>
    <d v="2024-07-31T00:00:00"/>
    <n v="0"/>
    <x v="1"/>
  </r>
  <r>
    <n v="102835"/>
    <n v="43"/>
    <n v="68100"/>
    <x v="0"/>
    <n v="34700"/>
    <n v="374000"/>
    <x v="5"/>
    <x v="1"/>
    <x v="1"/>
    <d v="2025-10-23T00:00:00"/>
    <n v="408700"/>
    <x v="0"/>
  </r>
  <r>
    <n v="102836"/>
    <n v="41"/>
    <n v="83600"/>
    <x v="1"/>
    <n v="53600"/>
    <n v="177000"/>
    <x v="6"/>
    <x v="2"/>
    <x v="1"/>
    <d v="2026-07-11T00:00:00"/>
    <n v="230600"/>
    <x v="1"/>
  </r>
  <r>
    <n v="102837"/>
    <n v="36"/>
    <n v="98800"/>
    <x v="0"/>
    <n v="32100"/>
    <n v="0"/>
    <x v="4"/>
    <x v="0"/>
    <x v="1"/>
    <d v="2024-05-07T00:00:00"/>
    <n v="32100"/>
    <x v="1"/>
  </r>
  <r>
    <n v="102838"/>
    <n v="39"/>
    <n v="109900"/>
    <x v="2"/>
    <n v="78800"/>
    <n v="0"/>
    <x v="3"/>
    <x v="1"/>
    <x v="1"/>
    <d v="2025-05-17T00:00:00"/>
    <n v="78800"/>
    <x v="1"/>
  </r>
  <r>
    <n v="102839"/>
    <n v="47"/>
    <n v="79800"/>
    <x v="0"/>
    <n v="0"/>
    <n v="0"/>
    <x v="0"/>
    <x v="1"/>
    <x v="1"/>
    <d v="2026-02-17T00:00:00"/>
    <n v="0"/>
    <x v="1"/>
  </r>
  <r>
    <n v="102840"/>
    <n v="68"/>
    <n v="44000"/>
    <x v="0"/>
    <n v="50900"/>
    <n v="0"/>
    <x v="6"/>
    <x v="0"/>
    <x v="1"/>
    <d v="2025-06-08T00:00:00"/>
    <n v="50900"/>
    <x v="0"/>
  </r>
  <r>
    <n v="102841"/>
    <n v="42"/>
    <n v="42400"/>
    <x v="0"/>
    <n v="51800"/>
    <n v="0"/>
    <x v="4"/>
    <x v="1"/>
    <x v="1"/>
    <d v="2025-09-07T00:00:00"/>
    <n v="51800"/>
    <x v="0"/>
  </r>
  <r>
    <n v="102842"/>
    <n v="41"/>
    <n v="33000"/>
    <x v="0"/>
    <n v="3500"/>
    <n v="0"/>
    <x v="2"/>
    <x v="2"/>
    <x v="1"/>
    <d v="2025-12-26T00:00:00"/>
    <n v="3500"/>
    <x v="0"/>
  </r>
  <r>
    <n v="102843"/>
    <n v="51"/>
    <n v="57000"/>
    <x v="0"/>
    <n v="0"/>
    <n v="153000"/>
    <x v="2"/>
    <x v="1"/>
    <x v="1"/>
    <d v="2024-02-22T00:00:00"/>
    <n v="153000"/>
    <x v="0"/>
  </r>
  <r>
    <n v="102844"/>
    <n v="32"/>
    <n v="80100"/>
    <x v="1"/>
    <n v="22500"/>
    <n v="0"/>
    <x v="5"/>
    <x v="2"/>
    <x v="1"/>
    <d v="2025-01-21T00:00:00"/>
    <n v="22500"/>
    <x v="1"/>
  </r>
  <r>
    <n v="102845"/>
    <n v="67"/>
    <n v="79300"/>
    <x v="1"/>
    <n v="12100"/>
    <n v="0"/>
    <x v="3"/>
    <x v="2"/>
    <x v="1"/>
    <d v="2025-03-07T00:00:00"/>
    <n v="12100"/>
    <x v="1"/>
  </r>
  <r>
    <n v="102846"/>
    <n v="25"/>
    <n v="58200"/>
    <x v="2"/>
    <n v="0"/>
    <n v="0"/>
    <x v="3"/>
    <x v="0"/>
    <x v="1"/>
    <d v="2026-06-26T00:00:00"/>
    <n v="0"/>
    <x v="0"/>
  </r>
  <r>
    <n v="102847"/>
    <n v="48"/>
    <n v="47000"/>
    <x v="2"/>
    <n v="58800"/>
    <n v="190000"/>
    <x v="4"/>
    <x v="1"/>
    <x v="1"/>
    <d v="2025-03-31T00:00:00"/>
    <n v="248800"/>
    <x v="0"/>
  </r>
  <r>
    <n v="102848"/>
    <n v="54"/>
    <n v="47700"/>
    <x v="1"/>
    <n v="59600"/>
    <n v="0"/>
    <x v="7"/>
    <x v="0"/>
    <x v="1"/>
    <d v="2025-05-22T00:00:00"/>
    <n v="59600"/>
    <x v="0"/>
  </r>
  <r>
    <n v="102849"/>
    <n v="69"/>
    <n v="92700"/>
    <x v="0"/>
    <n v="42900"/>
    <n v="0"/>
    <x v="2"/>
    <x v="2"/>
    <x v="1"/>
    <d v="2024-07-13T00:00:00"/>
    <n v="42900"/>
    <x v="1"/>
  </r>
  <r>
    <n v="102850"/>
    <n v="48"/>
    <n v="80400"/>
    <x v="0"/>
    <n v="0"/>
    <n v="0"/>
    <x v="3"/>
    <x v="2"/>
    <x v="1"/>
    <d v="2025-04-21T00:00:00"/>
    <n v="0"/>
    <x v="1"/>
  </r>
  <r>
    <n v="102851"/>
    <n v="46"/>
    <n v="64000"/>
    <x v="1"/>
    <n v="16500"/>
    <n v="0"/>
    <x v="7"/>
    <x v="1"/>
    <x v="1"/>
    <d v="2024-11-11T00:00:00"/>
    <n v="16500"/>
    <x v="0"/>
  </r>
  <r>
    <n v="102852"/>
    <n v="58"/>
    <n v="56100"/>
    <x v="1"/>
    <n v="24200"/>
    <n v="0"/>
    <x v="3"/>
    <x v="1"/>
    <x v="1"/>
    <d v="2025-09-28T00:00:00"/>
    <n v="24200"/>
    <x v="0"/>
  </r>
  <r>
    <n v="102853"/>
    <n v="57"/>
    <n v="30500"/>
    <x v="1"/>
    <n v="37900"/>
    <n v="0"/>
    <x v="6"/>
    <x v="0"/>
    <x v="1"/>
    <d v="2024-12-31T00:00:00"/>
    <n v="37900"/>
    <x v="0"/>
  </r>
  <r>
    <n v="102854"/>
    <n v="66"/>
    <n v="60200"/>
    <x v="1"/>
    <n v="21700"/>
    <n v="0"/>
    <x v="2"/>
    <x v="1"/>
    <x v="1"/>
    <d v="2024-09-08T00:00:00"/>
    <n v="21700"/>
    <x v="0"/>
  </r>
  <r>
    <n v="102855"/>
    <n v="41"/>
    <n v="108700"/>
    <x v="2"/>
    <n v="0"/>
    <n v="190000"/>
    <x v="6"/>
    <x v="1"/>
    <x v="1"/>
    <d v="2026-07-26T00:00:00"/>
    <n v="190000"/>
    <x v="1"/>
  </r>
  <r>
    <n v="102856"/>
    <n v="62"/>
    <n v="81600"/>
    <x v="2"/>
    <n v="31900"/>
    <n v="0"/>
    <x v="0"/>
    <x v="2"/>
    <x v="1"/>
    <d v="2026-04-14T00:00:00"/>
    <n v="31900"/>
    <x v="1"/>
  </r>
  <r>
    <n v="102857"/>
    <n v="39"/>
    <n v="66000"/>
    <x v="0"/>
    <n v="29500"/>
    <n v="253000"/>
    <x v="1"/>
    <x v="0"/>
    <x v="1"/>
    <d v="2024-03-29T00:00:00"/>
    <n v="282500"/>
    <x v="0"/>
  </r>
  <r>
    <n v="102858"/>
    <n v="55"/>
    <n v="34500"/>
    <x v="2"/>
    <n v="43100"/>
    <n v="0"/>
    <x v="5"/>
    <x v="1"/>
    <x v="1"/>
    <d v="2026-01-17T00:00:00"/>
    <n v="43100"/>
    <x v="0"/>
  </r>
  <r>
    <n v="102859"/>
    <n v="39"/>
    <n v="57800"/>
    <x v="1"/>
    <n v="42400"/>
    <n v="0"/>
    <x v="7"/>
    <x v="1"/>
    <x v="1"/>
    <d v="2025-04-17T00:00:00"/>
    <n v="42400"/>
    <x v="0"/>
  </r>
  <r>
    <n v="102860"/>
    <n v="66"/>
    <n v="65900"/>
    <x v="1"/>
    <n v="52800"/>
    <n v="0"/>
    <x v="4"/>
    <x v="1"/>
    <x v="0"/>
    <d v="2025-01-16T00:00:00"/>
    <n v="52800"/>
    <x v="0"/>
  </r>
  <r>
    <n v="102861"/>
    <n v="65"/>
    <n v="36900"/>
    <x v="1"/>
    <n v="0"/>
    <n v="0"/>
    <x v="6"/>
    <x v="1"/>
    <x v="1"/>
    <d v="2025-09-25T00:00:00"/>
    <n v="0"/>
    <x v="0"/>
  </r>
  <r>
    <n v="102862"/>
    <n v="24"/>
    <n v="45500"/>
    <x v="1"/>
    <n v="20200"/>
    <n v="0"/>
    <x v="4"/>
    <x v="1"/>
    <x v="1"/>
    <d v="2026-05-25T00:00:00"/>
    <n v="20200"/>
    <x v="0"/>
  </r>
  <r>
    <n v="102863"/>
    <n v="21"/>
    <n v="47900"/>
    <x v="2"/>
    <n v="41100"/>
    <n v="0"/>
    <x v="4"/>
    <x v="2"/>
    <x v="1"/>
    <d v="2024-03-09T00:00:00"/>
    <n v="41100"/>
    <x v="0"/>
  </r>
  <r>
    <n v="102864"/>
    <n v="33"/>
    <n v="95000"/>
    <x v="0"/>
    <n v="23800"/>
    <n v="0"/>
    <x v="3"/>
    <x v="2"/>
    <x v="1"/>
    <d v="2024-04-02T00:00:00"/>
    <n v="23800"/>
    <x v="1"/>
  </r>
  <r>
    <n v="102865"/>
    <n v="36"/>
    <n v="56600"/>
    <x v="0"/>
    <n v="21600"/>
    <n v="0"/>
    <x v="5"/>
    <x v="0"/>
    <x v="0"/>
    <d v="2024-12-01T00:00:00"/>
    <n v="21600"/>
    <x v="0"/>
  </r>
  <r>
    <n v="102866"/>
    <n v="58"/>
    <n v="44700"/>
    <x v="1"/>
    <n v="0"/>
    <n v="0"/>
    <x v="4"/>
    <x v="3"/>
    <x v="1"/>
    <d v="2024-08-19T00:00:00"/>
    <n v="0"/>
    <x v="0"/>
  </r>
  <r>
    <n v="102867"/>
    <n v="70"/>
    <n v="60100"/>
    <x v="0"/>
    <n v="0"/>
    <n v="0"/>
    <x v="1"/>
    <x v="1"/>
    <x v="1"/>
    <d v="2026-08-05T00:00:00"/>
    <n v="0"/>
    <x v="0"/>
  </r>
  <r>
    <n v="102868"/>
    <n v="75"/>
    <n v="93500"/>
    <x v="1"/>
    <n v="13300"/>
    <n v="181000"/>
    <x v="3"/>
    <x v="2"/>
    <x v="1"/>
    <d v="2025-01-17T00:00:00"/>
    <n v="194300"/>
    <x v="1"/>
  </r>
  <r>
    <n v="102869"/>
    <n v="32"/>
    <n v="45000"/>
    <x v="2"/>
    <n v="24300"/>
    <n v="0"/>
    <x v="2"/>
    <x v="2"/>
    <x v="1"/>
    <d v="2025-06-23T00:00:00"/>
    <n v="24300"/>
    <x v="0"/>
  </r>
  <r>
    <n v="102870"/>
    <n v="69"/>
    <n v="62500"/>
    <x v="0"/>
    <n v="33100"/>
    <n v="0"/>
    <x v="2"/>
    <x v="0"/>
    <x v="1"/>
    <d v="2024-02-29T00:00:00"/>
    <n v="33100"/>
    <x v="0"/>
  </r>
  <r>
    <n v="102871"/>
    <n v="71"/>
    <n v="65500"/>
    <x v="1"/>
    <n v="0"/>
    <n v="0"/>
    <x v="0"/>
    <x v="0"/>
    <x v="1"/>
    <d v="2025-07-21T00:00:00"/>
    <n v="0"/>
    <x v="0"/>
  </r>
  <r>
    <n v="102872"/>
    <n v="44"/>
    <n v="48800"/>
    <x v="0"/>
    <n v="0"/>
    <n v="0"/>
    <x v="0"/>
    <x v="1"/>
    <x v="1"/>
    <d v="2024-12-19T00:00:00"/>
    <n v="0"/>
    <x v="0"/>
  </r>
  <r>
    <n v="102873"/>
    <n v="68"/>
    <n v="68900"/>
    <x v="1"/>
    <n v="59600"/>
    <n v="0"/>
    <x v="5"/>
    <x v="1"/>
    <x v="1"/>
    <d v="2024-04-03T00:00:00"/>
    <n v="59600"/>
    <x v="0"/>
  </r>
  <r>
    <n v="102874"/>
    <n v="55"/>
    <n v="97300"/>
    <x v="0"/>
    <n v="0"/>
    <n v="0"/>
    <x v="0"/>
    <x v="1"/>
    <x v="1"/>
    <d v="2026-06-05T00:00:00"/>
    <n v="0"/>
    <x v="1"/>
  </r>
  <r>
    <n v="102875"/>
    <n v="44"/>
    <n v="40500"/>
    <x v="1"/>
    <n v="50600"/>
    <n v="0"/>
    <x v="4"/>
    <x v="2"/>
    <x v="1"/>
    <d v="2025-01-13T00:00:00"/>
    <n v="50600"/>
    <x v="0"/>
  </r>
  <r>
    <n v="102876"/>
    <n v="56"/>
    <n v="57300"/>
    <x v="2"/>
    <n v="0"/>
    <n v="0"/>
    <x v="0"/>
    <x v="2"/>
    <x v="1"/>
    <d v="2025-06-11T00:00:00"/>
    <n v="0"/>
    <x v="0"/>
  </r>
  <r>
    <n v="102877"/>
    <n v="40"/>
    <n v="38400"/>
    <x v="2"/>
    <n v="48000"/>
    <n v="0"/>
    <x v="1"/>
    <x v="2"/>
    <x v="1"/>
    <d v="2024-12-06T00:00:00"/>
    <n v="48000"/>
    <x v="0"/>
  </r>
  <r>
    <n v="102878"/>
    <n v="61"/>
    <n v="50400"/>
    <x v="1"/>
    <n v="11400"/>
    <n v="0"/>
    <x v="3"/>
    <x v="2"/>
    <x v="1"/>
    <d v="2024-01-11T00:00:00"/>
    <n v="11400"/>
    <x v="0"/>
  </r>
  <r>
    <n v="102879"/>
    <n v="48"/>
    <n v="55800"/>
    <x v="1"/>
    <n v="64000"/>
    <n v="0"/>
    <x v="1"/>
    <x v="1"/>
    <x v="1"/>
    <d v="2025-11-10T00:00:00"/>
    <n v="64000"/>
    <x v="0"/>
  </r>
  <r>
    <n v="102880"/>
    <n v="69"/>
    <n v="47700"/>
    <x v="1"/>
    <n v="0"/>
    <n v="0"/>
    <x v="3"/>
    <x v="0"/>
    <x v="1"/>
    <d v="2024-11-08T00:00:00"/>
    <n v="0"/>
    <x v="0"/>
  </r>
  <r>
    <n v="102881"/>
    <n v="40"/>
    <n v="119100"/>
    <x v="1"/>
    <n v="0"/>
    <n v="0"/>
    <x v="4"/>
    <x v="1"/>
    <x v="1"/>
    <d v="2024-04-10T00:00:00"/>
    <n v="0"/>
    <x v="1"/>
  </r>
  <r>
    <n v="102882"/>
    <n v="29"/>
    <n v="53500"/>
    <x v="0"/>
    <n v="0"/>
    <n v="138000"/>
    <x v="1"/>
    <x v="1"/>
    <x v="1"/>
    <d v="2024-03-25T00:00:00"/>
    <n v="138000"/>
    <x v="0"/>
  </r>
  <r>
    <n v="102883"/>
    <n v="59"/>
    <n v="101500"/>
    <x v="0"/>
    <n v="76600"/>
    <n v="0"/>
    <x v="1"/>
    <x v="3"/>
    <x v="1"/>
    <d v="2025-09-22T00:00:00"/>
    <n v="76600"/>
    <x v="1"/>
  </r>
  <r>
    <n v="102884"/>
    <n v="25"/>
    <n v="24800"/>
    <x v="2"/>
    <n v="0"/>
    <n v="0"/>
    <x v="4"/>
    <x v="1"/>
    <x v="1"/>
    <d v="2024-09-13T00:00:00"/>
    <n v="0"/>
    <x v="0"/>
  </r>
  <r>
    <n v="102885"/>
    <n v="28"/>
    <n v="85600"/>
    <x v="1"/>
    <n v="29200"/>
    <n v="0"/>
    <x v="4"/>
    <x v="2"/>
    <x v="1"/>
    <d v="2026-04-10T00:00:00"/>
    <n v="29200"/>
    <x v="1"/>
  </r>
  <r>
    <n v="102886"/>
    <n v="51"/>
    <n v="50300"/>
    <x v="0"/>
    <n v="52800"/>
    <n v="0"/>
    <x v="1"/>
    <x v="3"/>
    <x v="0"/>
    <d v="2024-07-17T00:00:00"/>
    <n v="52800"/>
    <x v="0"/>
  </r>
  <r>
    <n v="102887"/>
    <n v="60"/>
    <n v="45200"/>
    <x v="0"/>
    <n v="0"/>
    <n v="72000"/>
    <x v="2"/>
    <x v="1"/>
    <x v="1"/>
    <d v="2024-05-22T00:00:00"/>
    <n v="72000"/>
    <x v="0"/>
  </r>
  <r>
    <n v="102888"/>
    <n v="62"/>
    <n v="85600"/>
    <x v="0"/>
    <n v="0"/>
    <n v="0"/>
    <x v="7"/>
    <x v="2"/>
    <x v="1"/>
    <d v="2024-05-15T00:00:00"/>
    <n v="0"/>
    <x v="1"/>
  </r>
  <r>
    <n v="102889"/>
    <n v="55"/>
    <n v="69400"/>
    <x v="1"/>
    <n v="16300"/>
    <n v="241000"/>
    <x v="7"/>
    <x v="0"/>
    <x v="1"/>
    <d v="2024-12-13T00:00:00"/>
    <n v="257300"/>
    <x v="0"/>
  </r>
  <r>
    <n v="102890"/>
    <n v="59"/>
    <n v="59300"/>
    <x v="1"/>
    <n v="0"/>
    <n v="0"/>
    <x v="0"/>
    <x v="2"/>
    <x v="1"/>
    <d v="2024-12-24T00:00:00"/>
    <n v="0"/>
    <x v="0"/>
  </r>
  <r>
    <n v="102891"/>
    <n v="25"/>
    <n v="46700"/>
    <x v="1"/>
    <n v="9900"/>
    <n v="0"/>
    <x v="6"/>
    <x v="1"/>
    <x v="1"/>
    <d v="2025-10-08T00:00:00"/>
    <n v="9900"/>
    <x v="0"/>
  </r>
  <r>
    <n v="102892"/>
    <n v="53"/>
    <n v="53100"/>
    <x v="0"/>
    <n v="36700"/>
    <n v="344000"/>
    <x v="4"/>
    <x v="2"/>
    <x v="1"/>
    <d v="2025-01-02T00:00:00"/>
    <n v="380700"/>
    <x v="0"/>
  </r>
  <r>
    <n v="102893"/>
    <n v="74"/>
    <n v="47000"/>
    <x v="1"/>
    <n v="54800"/>
    <n v="0"/>
    <x v="2"/>
    <x v="2"/>
    <x v="1"/>
    <d v="2024-09-20T00:00:00"/>
    <n v="54800"/>
    <x v="0"/>
  </r>
  <r>
    <n v="102894"/>
    <n v="75"/>
    <n v="33000"/>
    <x v="0"/>
    <n v="0"/>
    <n v="0"/>
    <x v="1"/>
    <x v="1"/>
    <x v="1"/>
    <d v="2025-12-05T00:00:00"/>
    <n v="0"/>
    <x v="0"/>
  </r>
  <r>
    <n v="102895"/>
    <n v="36"/>
    <n v="41400"/>
    <x v="1"/>
    <n v="41400"/>
    <n v="0"/>
    <x v="4"/>
    <x v="1"/>
    <x v="1"/>
    <d v="2025-06-27T00:00:00"/>
    <n v="41400"/>
    <x v="0"/>
  </r>
  <r>
    <n v="102896"/>
    <n v="52"/>
    <n v="103100"/>
    <x v="1"/>
    <n v="0"/>
    <n v="0"/>
    <x v="3"/>
    <x v="2"/>
    <x v="1"/>
    <d v="2025-02-02T00:00:00"/>
    <n v="0"/>
    <x v="1"/>
  </r>
  <r>
    <n v="102897"/>
    <n v="62"/>
    <n v="109900"/>
    <x v="1"/>
    <n v="68600"/>
    <n v="0"/>
    <x v="6"/>
    <x v="0"/>
    <x v="1"/>
    <d v="2026-03-29T00:00:00"/>
    <n v="68600"/>
    <x v="1"/>
  </r>
  <r>
    <n v="102898"/>
    <n v="66"/>
    <n v="93900"/>
    <x v="0"/>
    <n v="22400"/>
    <n v="0"/>
    <x v="5"/>
    <x v="1"/>
    <x v="1"/>
    <d v="2026-06-22T00:00:00"/>
    <n v="22400"/>
    <x v="1"/>
  </r>
  <r>
    <n v="102899"/>
    <n v="25"/>
    <n v="80700"/>
    <x v="0"/>
    <n v="6800"/>
    <n v="0"/>
    <x v="5"/>
    <x v="0"/>
    <x v="1"/>
    <d v="2026-03-27T00:00:00"/>
    <n v="6800"/>
    <x v="1"/>
  </r>
  <r>
    <n v="102900"/>
    <n v="68"/>
    <n v="48300"/>
    <x v="1"/>
    <n v="47700"/>
    <n v="0"/>
    <x v="0"/>
    <x v="1"/>
    <x v="1"/>
    <d v="2024-09-22T00:00:00"/>
    <n v="47700"/>
    <x v="0"/>
  </r>
  <r>
    <n v="102901"/>
    <n v="49"/>
    <n v="86600"/>
    <x v="0"/>
    <n v="0"/>
    <n v="196000"/>
    <x v="3"/>
    <x v="1"/>
    <x v="1"/>
    <d v="2026-06-22T00:00:00"/>
    <n v="196000"/>
    <x v="1"/>
  </r>
  <r>
    <n v="102902"/>
    <n v="25"/>
    <n v="109500"/>
    <x v="1"/>
    <n v="10900"/>
    <n v="0"/>
    <x v="3"/>
    <x v="2"/>
    <x v="1"/>
    <d v="2025-05-20T00:00:00"/>
    <n v="10900"/>
    <x v="1"/>
  </r>
  <r>
    <n v="102903"/>
    <n v="20"/>
    <n v="86500"/>
    <x v="1"/>
    <n v="34700"/>
    <n v="0"/>
    <x v="1"/>
    <x v="0"/>
    <x v="1"/>
    <d v="2025-12-06T00:00:00"/>
    <n v="34700"/>
    <x v="1"/>
  </r>
  <r>
    <n v="102904"/>
    <n v="62"/>
    <n v="38000"/>
    <x v="2"/>
    <n v="43800"/>
    <n v="0"/>
    <x v="4"/>
    <x v="3"/>
    <x v="0"/>
    <d v="2026-07-16T00:00:00"/>
    <n v="43800"/>
    <x v="0"/>
  </r>
  <r>
    <n v="102905"/>
    <n v="30"/>
    <n v="77200"/>
    <x v="2"/>
    <n v="0"/>
    <n v="153000"/>
    <x v="3"/>
    <x v="2"/>
    <x v="1"/>
    <d v="2024-02-12T00:00:00"/>
    <n v="153000"/>
    <x v="1"/>
  </r>
  <r>
    <n v="102906"/>
    <n v="47"/>
    <n v="98300"/>
    <x v="0"/>
    <n v="48400"/>
    <n v="0"/>
    <x v="1"/>
    <x v="2"/>
    <x v="1"/>
    <d v="2025-05-22T00:00:00"/>
    <n v="48400"/>
    <x v="1"/>
  </r>
  <r>
    <n v="102907"/>
    <n v="52"/>
    <n v="25000"/>
    <x v="2"/>
    <n v="31200"/>
    <n v="0"/>
    <x v="5"/>
    <x v="0"/>
    <x v="1"/>
    <d v="2026-04-30T00:00:00"/>
    <n v="31200"/>
    <x v="0"/>
  </r>
  <r>
    <n v="102908"/>
    <n v="56"/>
    <n v="58100"/>
    <x v="1"/>
    <n v="42000"/>
    <n v="203000"/>
    <x v="2"/>
    <x v="1"/>
    <x v="1"/>
    <d v="2025-09-06T00:00:00"/>
    <n v="245000"/>
    <x v="0"/>
  </r>
  <r>
    <n v="102909"/>
    <n v="60"/>
    <n v="38700"/>
    <x v="0"/>
    <n v="22200"/>
    <n v="0"/>
    <x v="5"/>
    <x v="2"/>
    <x v="1"/>
    <d v="2025-12-23T00:00:00"/>
    <n v="22200"/>
    <x v="0"/>
  </r>
  <r>
    <n v="102910"/>
    <n v="60"/>
    <n v="46400"/>
    <x v="0"/>
    <n v="58000"/>
    <n v="196000"/>
    <x v="0"/>
    <x v="0"/>
    <x v="1"/>
    <d v="2026-03-19T00:00:00"/>
    <n v="254000"/>
    <x v="0"/>
  </r>
  <r>
    <n v="102911"/>
    <n v="59"/>
    <n v="68700"/>
    <x v="1"/>
    <n v="21900"/>
    <n v="0"/>
    <x v="2"/>
    <x v="2"/>
    <x v="1"/>
    <d v="2025-10-18T00:00:00"/>
    <n v="21900"/>
    <x v="0"/>
  </r>
  <r>
    <n v="102912"/>
    <n v="47"/>
    <n v="47600"/>
    <x v="1"/>
    <n v="35400"/>
    <n v="0"/>
    <x v="6"/>
    <x v="0"/>
    <x v="0"/>
    <d v="2024-07-30T00:00:00"/>
    <n v="35400"/>
    <x v="0"/>
  </r>
  <r>
    <n v="102913"/>
    <n v="42"/>
    <n v="79000"/>
    <x v="0"/>
    <n v="14500"/>
    <n v="0"/>
    <x v="6"/>
    <x v="2"/>
    <x v="1"/>
    <d v="2025-08-12T00:00:00"/>
    <n v="14500"/>
    <x v="1"/>
  </r>
  <r>
    <n v="102914"/>
    <n v="50"/>
    <n v="71500"/>
    <x v="1"/>
    <n v="0"/>
    <n v="213000"/>
    <x v="3"/>
    <x v="1"/>
    <x v="1"/>
    <d v="2025-11-09T00:00:00"/>
    <n v="213000"/>
    <x v="1"/>
  </r>
  <r>
    <n v="102915"/>
    <n v="58"/>
    <n v="39200"/>
    <x v="1"/>
    <n v="37700"/>
    <n v="0"/>
    <x v="5"/>
    <x v="1"/>
    <x v="1"/>
    <d v="2024-03-25T00:00:00"/>
    <n v="37700"/>
    <x v="0"/>
  </r>
  <r>
    <n v="102916"/>
    <n v="71"/>
    <n v="69900"/>
    <x v="0"/>
    <n v="5400"/>
    <n v="330000"/>
    <x v="6"/>
    <x v="2"/>
    <x v="1"/>
    <d v="2026-06-10T00:00:00"/>
    <n v="335400"/>
    <x v="0"/>
  </r>
  <r>
    <n v="102917"/>
    <n v="34"/>
    <n v="55600"/>
    <x v="1"/>
    <n v="0"/>
    <n v="0"/>
    <x v="1"/>
    <x v="3"/>
    <x v="1"/>
    <d v="2025-05-12T00:00:00"/>
    <n v="0"/>
    <x v="0"/>
  </r>
  <r>
    <n v="102918"/>
    <n v="26"/>
    <n v="103500"/>
    <x v="1"/>
    <n v="62500"/>
    <n v="0"/>
    <x v="4"/>
    <x v="0"/>
    <x v="0"/>
    <d v="2026-06-30T00:00:00"/>
    <n v="62500"/>
    <x v="1"/>
  </r>
  <r>
    <n v="102919"/>
    <n v="47"/>
    <n v="58700"/>
    <x v="1"/>
    <n v="0"/>
    <n v="0"/>
    <x v="4"/>
    <x v="1"/>
    <x v="1"/>
    <d v="2024-02-19T00:00:00"/>
    <n v="0"/>
    <x v="0"/>
  </r>
  <r>
    <n v="102920"/>
    <n v="60"/>
    <n v="48900"/>
    <x v="1"/>
    <n v="0"/>
    <n v="0"/>
    <x v="5"/>
    <x v="1"/>
    <x v="1"/>
    <d v="2024-03-05T00:00:00"/>
    <n v="0"/>
    <x v="0"/>
  </r>
  <r>
    <n v="102921"/>
    <n v="26"/>
    <n v="67200"/>
    <x v="1"/>
    <n v="79200"/>
    <n v="0"/>
    <x v="4"/>
    <x v="0"/>
    <x v="1"/>
    <d v="2024-02-13T00:00:00"/>
    <n v="79200"/>
    <x v="0"/>
  </r>
  <r>
    <n v="102922"/>
    <n v="30"/>
    <n v="116400"/>
    <x v="2"/>
    <n v="0"/>
    <n v="0"/>
    <x v="3"/>
    <x v="1"/>
    <x v="1"/>
    <d v="2026-05-31T00:00:00"/>
    <n v="0"/>
    <x v="1"/>
  </r>
  <r>
    <n v="102923"/>
    <n v="21"/>
    <n v="73300"/>
    <x v="1"/>
    <n v="0"/>
    <n v="0"/>
    <x v="0"/>
    <x v="0"/>
    <x v="1"/>
    <d v="2025-01-30T00:00:00"/>
    <n v="0"/>
    <x v="1"/>
  </r>
  <r>
    <n v="102924"/>
    <n v="31"/>
    <n v="54200"/>
    <x v="1"/>
    <n v="28200"/>
    <n v="0"/>
    <x v="5"/>
    <x v="2"/>
    <x v="1"/>
    <d v="2025-04-01T00:00:00"/>
    <n v="28200"/>
    <x v="0"/>
  </r>
  <r>
    <n v="102925"/>
    <n v="55"/>
    <n v="68000"/>
    <x v="2"/>
    <n v="0"/>
    <n v="0"/>
    <x v="0"/>
    <x v="1"/>
    <x v="1"/>
    <d v="2026-07-04T00:00:00"/>
    <n v="0"/>
    <x v="0"/>
  </r>
  <r>
    <n v="102926"/>
    <n v="56"/>
    <n v="75300"/>
    <x v="2"/>
    <n v="11500"/>
    <n v="0"/>
    <x v="2"/>
    <x v="2"/>
    <x v="1"/>
    <d v="2025-12-05T00:00:00"/>
    <n v="11500"/>
    <x v="1"/>
  </r>
  <r>
    <n v="102927"/>
    <n v="37"/>
    <n v="46900"/>
    <x v="0"/>
    <n v="17300"/>
    <n v="123000"/>
    <x v="5"/>
    <x v="1"/>
    <x v="1"/>
    <d v="2026-02-16T00:00:00"/>
    <n v="140300"/>
    <x v="0"/>
  </r>
  <r>
    <n v="102928"/>
    <n v="63"/>
    <n v="81400"/>
    <x v="0"/>
    <n v="43800"/>
    <n v="0"/>
    <x v="7"/>
    <x v="2"/>
    <x v="1"/>
    <d v="2026-03-09T00:00:00"/>
    <n v="43800"/>
    <x v="1"/>
  </r>
  <r>
    <n v="102929"/>
    <n v="40"/>
    <n v="65800"/>
    <x v="1"/>
    <n v="24700"/>
    <n v="0"/>
    <x v="5"/>
    <x v="1"/>
    <x v="1"/>
    <d v="2025-10-15T00:00:00"/>
    <n v="24700"/>
    <x v="0"/>
  </r>
  <r>
    <n v="102930"/>
    <n v="73"/>
    <n v="47300"/>
    <x v="2"/>
    <n v="32100"/>
    <n v="0"/>
    <x v="2"/>
    <x v="0"/>
    <x v="1"/>
    <d v="2024-06-27T00:00:00"/>
    <n v="32100"/>
    <x v="0"/>
  </r>
  <r>
    <n v="102931"/>
    <n v="29"/>
    <n v="78000"/>
    <x v="2"/>
    <n v="40400"/>
    <n v="0"/>
    <x v="7"/>
    <x v="2"/>
    <x v="1"/>
    <d v="2024-09-03T00:00:00"/>
    <n v="40400"/>
    <x v="1"/>
  </r>
  <r>
    <n v="102932"/>
    <n v="39"/>
    <n v="93500"/>
    <x v="1"/>
    <n v="31700"/>
    <n v="105000"/>
    <x v="6"/>
    <x v="2"/>
    <x v="1"/>
    <d v="2025-10-20T00:00:00"/>
    <n v="136700"/>
    <x v="1"/>
  </r>
  <r>
    <n v="102933"/>
    <n v="36"/>
    <n v="57200"/>
    <x v="2"/>
    <n v="0"/>
    <n v="0"/>
    <x v="5"/>
    <x v="2"/>
    <x v="1"/>
    <d v="2024-03-14T00:00:00"/>
    <n v="0"/>
    <x v="0"/>
  </r>
  <r>
    <n v="102934"/>
    <n v="72"/>
    <n v="97700"/>
    <x v="1"/>
    <n v="15700"/>
    <n v="0"/>
    <x v="2"/>
    <x v="2"/>
    <x v="1"/>
    <d v="2025-02-14T00:00:00"/>
    <n v="15700"/>
    <x v="1"/>
  </r>
  <r>
    <n v="102935"/>
    <n v="36"/>
    <n v="34700"/>
    <x v="1"/>
    <n v="43400"/>
    <n v="0"/>
    <x v="0"/>
    <x v="1"/>
    <x v="1"/>
    <d v="2025-10-26T00:00:00"/>
    <n v="43400"/>
    <x v="0"/>
  </r>
  <r>
    <n v="102936"/>
    <n v="43"/>
    <n v="57600"/>
    <x v="0"/>
    <n v="20500"/>
    <n v="181000"/>
    <x v="2"/>
    <x v="1"/>
    <x v="0"/>
    <d v="2026-03-04T00:00:00"/>
    <n v="201500"/>
    <x v="0"/>
  </r>
  <r>
    <n v="102937"/>
    <n v="63"/>
    <n v="80300"/>
    <x v="0"/>
    <n v="0"/>
    <n v="0"/>
    <x v="5"/>
    <x v="0"/>
    <x v="1"/>
    <d v="2025-01-05T00:00:00"/>
    <n v="0"/>
    <x v="1"/>
  </r>
  <r>
    <n v="102938"/>
    <n v="52"/>
    <n v="34200"/>
    <x v="1"/>
    <n v="42800"/>
    <n v="0"/>
    <x v="5"/>
    <x v="0"/>
    <x v="1"/>
    <d v="2024-07-17T00:00:00"/>
    <n v="42800"/>
    <x v="0"/>
  </r>
  <r>
    <n v="102939"/>
    <n v="46"/>
    <n v="39200"/>
    <x v="1"/>
    <n v="0"/>
    <n v="0"/>
    <x v="5"/>
    <x v="1"/>
    <x v="1"/>
    <d v="2024-11-03T00:00:00"/>
    <n v="0"/>
    <x v="0"/>
  </r>
  <r>
    <n v="102940"/>
    <n v="21"/>
    <n v="57400"/>
    <x v="1"/>
    <n v="0"/>
    <n v="0"/>
    <x v="7"/>
    <x v="1"/>
    <x v="1"/>
    <d v="2024-04-08T00:00:00"/>
    <n v="0"/>
    <x v="0"/>
  </r>
  <r>
    <n v="102941"/>
    <n v="36"/>
    <n v="78400"/>
    <x v="1"/>
    <n v="47900"/>
    <n v="0"/>
    <x v="3"/>
    <x v="3"/>
    <x v="0"/>
    <d v="2024-12-23T00:00:00"/>
    <n v="47900"/>
    <x v="1"/>
  </r>
  <r>
    <n v="102942"/>
    <n v="65"/>
    <n v="48100"/>
    <x v="1"/>
    <n v="47300"/>
    <n v="0"/>
    <x v="5"/>
    <x v="1"/>
    <x v="1"/>
    <d v="2024-02-07T00:00:00"/>
    <n v="47300"/>
    <x v="0"/>
  </r>
  <r>
    <n v="102943"/>
    <n v="27"/>
    <n v="57100"/>
    <x v="1"/>
    <n v="0"/>
    <n v="116000"/>
    <x v="2"/>
    <x v="1"/>
    <x v="1"/>
    <d v="2024-02-01T00:00:00"/>
    <n v="116000"/>
    <x v="0"/>
  </r>
  <r>
    <n v="102944"/>
    <n v="62"/>
    <n v="91100"/>
    <x v="0"/>
    <n v="9000"/>
    <n v="0"/>
    <x v="5"/>
    <x v="1"/>
    <x v="1"/>
    <d v="2025-03-18T00:00:00"/>
    <n v="9000"/>
    <x v="1"/>
  </r>
  <r>
    <n v="102945"/>
    <n v="64"/>
    <n v="67000"/>
    <x v="2"/>
    <n v="45000"/>
    <n v="0"/>
    <x v="4"/>
    <x v="2"/>
    <x v="1"/>
    <d v="2025-08-15T00:00:00"/>
    <n v="45000"/>
    <x v="0"/>
  </r>
  <r>
    <n v="102946"/>
    <n v="71"/>
    <n v="83500"/>
    <x v="0"/>
    <n v="0"/>
    <n v="0"/>
    <x v="1"/>
    <x v="2"/>
    <x v="1"/>
    <d v="2025-11-24T00:00:00"/>
    <n v="0"/>
    <x v="1"/>
  </r>
  <r>
    <n v="102947"/>
    <n v="35"/>
    <n v="50100"/>
    <x v="1"/>
    <n v="62600"/>
    <n v="0"/>
    <x v="2"/>
    <x v="1"/>
    <x v="1"/>
    <d v="2024-02-16T00:00:00"/>
    <n v="62600"/>
    <x v="0"/>
  </r>
  <r>
    <n v="102948"/>
    <n v="51"/>
    <n v="30500"/>
    <x v="1"/>
    <n v="19400"/>
    <n v="0"/>
    <x v="3"/>
    <x v="1"/>
    <x v="1"/>
    <d v="2024-04-19T00:00:00"/>
    <n v="19400"/>
    <x v="0"/>
  </r>
  <r>
    <n v="102949"/>
    <n v="68"/>
    <n v="40800"/>
    <x v="1"/>
    <n v="10100"/>
    <n v="0"/>
    <x v="5"/>
    <x v="1"/>
    <x v="1"/>
    <d v="2025-09-21T00:00:00"/>
    <n v="10100"/>
    <x v="0"/>
  </r>
  <r>
    <n v="102950"/>
    <n v="34"/>
    <n v="55200"/>
    <x v="2"/>
    <n v="0"/>
    <n v="0"/>
    <x v="1"/>
    <x v="1"/>
    <x v="1"/>
    <d v="2026-04-19T00:00:00"/>
    <n v="0"/>
    <x v="0"/>
  </r>
  <r>
    <n v="102951"/>
    <n v="24"/>
    <n v="108000"/>
    <x v="1"/>
    <n v="0"/>
    <n v="275000"/>
    <x v="6"/>
    <x v="1"/>
    <x v="1"/>
    <d v="2026-07-25T00:00:00"/>
    <n v="275000"/>
    <x v="1"/>
  </r>
  <r>
    <n v="102952"/>
    <n v="49"/>
    <n v="73300"/>
    <x v="1"/>
    <n v="41500"/>
    <n v="0"/>
    <x v="4"/>
    <x v="1"/>
    <x v="0"/>
    <d v="2024-06-27T00:00:00"/>
    <n v="41500"/>
    <x v="1"/>
  </r>
  <r>
    <n v="102953"/>
    <n v="74"/>
    <n v="49500"/>
    <x v="2"/>
    <n v="20500"/>
    <n v="0"/>
    <x v="5"/>
    <x v="1"/>
    <x v="1"/>
    <d v="2024-05-24T00:00:00"/>
    <n v="20500"/>
    <x v="0"/>
  </r>
  <r>
    <n v="102954"/>
    <n v="52"/>
    <n v="93400"/>
    <x v="0"/>
    <n v="38600"/>
    <n v="131000"/>
    <x v="4"/>
    <x v="0"/>
    <x v="1"/>
    <d v="2024-06-19T00:00:00"/>
    <n v="169600"/>
    <x v="1"/>
  </r>
  <r>
    <n v="102955"/>
    <n v="24"/>
    <n v="44800"/>
    <x v="0"/>
    <n v="17000"/>
    <n v="0"/>
    <x v="0"/>
    <x v="0"/>
    <x v="1"/>
    <d v="2025-07-13T00:00:00"/>
    <n v="17000"/>
    <x v="0"/>
  </r>
  <r>
    <n v="102956"/>
    <n v="56"/>
    <n v="86300"/>
    <x v="1"/>
    <n v="40800"/>
    <n v="0"/>
    <x v="2"/>
    <x v="2"/>
    <x v="1"/>
    <d v="2025-10-06T00:00:00"/>
    <n v="40800"/>
    <x v="1"/>
  </r>
  <r>
    <n v="102957"/>
    <n v="37"/>
    <n v="51700"/>
    <x v="1"/>
    <n v="27100"/>
    <n v="0"/>
    <x v="5"/>
    <x v="2"/>
    <x v="1"/>
    <d v="2025-06-17T00:00:00"/>
    <n v="27100"/>
    <x v="0"/>
  </r>
  <r>
    <n v="102958"/>
    <n v="26"/>
    <n v="85300"/>
    <x v="0"/>
    <n v="51400"/>
    <n v="0"/>
    <x v="0"/>
    <x v="2"/>
    <x v="1"/>
    <d v="2024-07-11T00:00:00"/>
    <n v="51400"/>
    <x v="1"/>
  </r>
  <r>
    <n v="102959"/>
    <n v="52"/>
    <n v="111800"/>
    <x v="0"/>
    <n v="19100"/>
    <n v="0"/>
    <x v="0"/>
    <x v="1"/>
    <x v="1"/>
    <d v="2026-05-07T00:00:00"/>
    <n v="19100"/>
    <x v="1"/>
  </r>
  <r>
    <n v="102960"/>
    <n v="66"/>
    <n v="55000"/>
    <x v="1"/>
    <n v="52500"/>
    <n v="0"/>
    <x v="7"/>
    <x v="0"/>
    <x v="1"/>
    <d v="2025-11-17T00:00:00"/>
    <n v="52500"/>
    <x v="0"/>
  </r>
  <r>
    <n v="102961"/>
    <n v="28"/>
    <n v="39100"/>
    <x v="2"/>
    <n v="35000"/>
    <n v="0"/>
    <x v="2"/>
    <x v="1"/>
    <x v="1"/>
    <d v="2024-04-09T00:00:00"/>
    <n v="35000"/>
    <x v="0"/>
  </r>
  <r>
    <n v="102962"/>
    <n v="27"/>
    <n v="40300"/>
    <x v="1"/>
    <n v="27800"/>
    <n v="0"/>
    <x v="7"/>
    <x v="3"/>
    <x v="1"/>
    <d v="2024-10-25T00:00:00"/>
    <n v="27800"/>
    <x v="0"/>
  </r>
  <r>
    <n v="102963"/>
    <n v="49"/>
    <n v="99900"/>
    <x v="1"/>
    <n v="82600"/>
    <n v="0"/>
    <x v="7"/>
    <x v="2"/>
    <x v="1"/>
    <d v="2024-08-30T00:00:00"/>
    <n v="82600"/>
    <x v="1"/>
  </r>
  <r>
    <n v="102964"/>
    <n v="69"/>
    <n v="57400"/>
    <x v="1"/>
    <n v="3900"/>
    <n v="0"/>
    <x v="7"/>
    <x v="1"/>
    <x v="1"/>
    <d v="2025-03-02T00:00:00"/>
    <n v="3900"/>
    <x v="0"/>
  </r>
  <r>
    <n v="102965"/>
    <n v="31"/>
    <n v="109800"/>
    <x v="1"/>
    <n v="36300"/>
    <n v="0"/>
    <x v="1"/>
    <x v="1"/>
    <x v="1"/>
    <d v="2024-04-15T00:00:00"/>
    <n v="36300"/>
    <x v="1"/>
  </r>
  <r>
    <n v="102966"/>
    <n v="52"/>
    <n v="52500"/>
    <x v="0"/>
    <n v="63100"/>
    <n v="0"/>
    <x v="1"/>
    <x v="0"/>
    <x v="1"/>
    <d v="2026-03-25T00:00:00"/>
    <n v="63100"/>
    <x v="0"/>
  </r>
  <r>
    <n v="102967"/>
    <n v="45"/>
    <n v="44400"/>
    <x v="1"/>
    <n v="39000"/>
    <n v="98000"/>
    <x v="3"/>
    <x v="0"/>
    <x v="0"/>
    <d v="2026-03-14T00:00:00"/>
    <n v="137000"/>
    <x v="0"/>
  </r>
  <r>
    <n v="102968"/>
    <n v="36"/>
    <n v="85200"/>
    <x v="0"/>
    <n v="0"/>
    <n v="0"/>
    <x v="7"/>
    <x v="1"/>
    <x v="1"/>
    <d v="2024-08-22T00:00:00"/>
    <n v="0"/>
    <x v="1"/>
  </r>
  <r>
    <n v="102969"/>
    <n v="39"/>
    <n v="36700"/>
    <x v="0"/>
    <n v="0"/>
    <n v="0"/>
    <x v="7"/>
    <x v="0"/>
    <x v="1"/>
    <d v="2024-05-06T00:00:00"/>
    <n v="0"/>
    <x v="0"/>
  </r>
  <r>
    <n v="102970"/>
    <n v="55"/>
    <n v="31600"/>
    <x v="2"/>
    <n v="13900"/>
    <n v="0"/>
    <x v="4"/>
    <x v="0"/>
    <x v="1"/>
    <d v="2024-01-12T00:00:00"/>
    <n v="13900"/>
    <x v="0"/>
  </r>
  <r>
    <n v="102971"/>
    <n v="49"/>
    <n v="45600"/>
    <x v="1"/>
    <n v="20900"/>
    <n v="0"/>
    <x v="1"/>
    <x v="0"/>
    <x v="1"/>
    <d v="2024-12-15T00:00:00"/>
    <n v="20900"/>
    <x v="0"/>
  </r>
  <r>
    <n v="102972"/>
    <n v="30"/>
    <n v="53200"/>
    <x v="1"/>
    <n v="29600"/>
    <n v="0"/>
    <x v="6"/>
    <x v="1"/>
    <x v="1"/>
    <d v="2025-01-10T00:00:00"/>
    <n v="29600"/>
    <x v="0"/>
  </r>
  <r>
    <n v="102973"/>
    <n v="70"/>
    <n v="45500"/>
    <x v="1"/>
    <n v="0"/>
    <n v="0"/>
    <x v="3"/>
    <x v="2"/>
    <x v="1"/>
    <d v="2025-01-11T00:00:00"/>
    <n v="0"/>
    <x v="0"/>
  </r>
  <r>
    <n v="102974"/>
    <n v="54"/>
    <n v="42900"/>
    <x v="0"/>
    <n v="45100"/>
    <n v="0"/>
    <x v="0"/>
    <x v="2"/>
    <x v="1"/>
    <d v="2024-09-02T00:00:00"/>
    <n v="45100"/>
    <x v="0"/>
  </r>
  <r>
    <n v="102975"/>
    <n v="71"/>
    <n v="48500"/>
    <x v="1"/>
    <n v="60600"/>
    <n v="0"/>
    <x v="3"/>
    <x v="0"/>
    <x v="1"/>
    <d v="2024-05-05T00:00:00"/>
    <n v="60600"/>
    <x v="0"/>
  </r>
  <r>
    <n v="102976"/>
    <n v="21"/>
    <n v="95100"/>
    <x v="0"/>
    <n v="65800"/>
    <n v="0"/>
    <x v="4"/>
    <x v="0"/>
    <x v="1"/>
    <d v="2024-03-29T00:00:00"/>
    <n v="65800"/>
    <x v="1"/>
  </r>
  <r>
    <n v="102977"/>
    <n v="56"/>
    <n v="48800"/>
    <x v="0"/>
    <n v="46900"/>
    <n v="0"/>
    <x v="6"/>
    <x v="0"/>
    <x v="1"/>
    <d v="2026-02-15T00:00:00"/>
    <n v="46900"/>
    <x v="0"/>
  </r>
  <r>
    <n v="102978"/>
    <n v="75"/>
    <n v="67400"/>
    <x v="1"/>
    <n v="0"/>
    <n v="205000"/>
    <x v="6"/>
    <x v="2"/>
    <x v="1"/>
    <d v="2024-12-19T00:00:00"/>
    <n v="205000"/>
    <x v="0"/>
  </r>
  <r>
    <n v="102979"/>
    <n v="46"/>
    <n v="59800"/>
    <x v="2"/>
    <n v="0"/>
    <n v="0"/>
    <x v="4"/>
    <x v="2"/>
    <x v="1"/>
    <d v="2026-08-13T00:00:00"/>
    <n v="0"/>
    <x v="0"/>
  </r>
  <r>
    <n v="102980"/>
    <n v="64"/>
    <n v="52000"/>
    <x v="1"/>
    <n v="0"/>
    <n v="0"/>
    <x v="3"/>
    <x v="0"/>
    <x v="1"/>
    <d v="2025-10-08T00:00:00"/>
    <n v="0"/>
    <x v="0"/>
  </r>
  <r>
    <n v="102981"/>
    <n v="55"/>
    <n v="66500"/>
    <x v="1"/>
    <n v="37100"/>
    <n v="220000"/>
    <x v="1"/>
    <x v="1"/>
    <x v="1"/>
    <d v="2025-03-22T00:00:00"/>
    <n v="257100"/>
    <x v="0"/>
  </r>
  <r>
    <n v="102982"/>
    <n v="74"/>
    <n v="30800"/>
    <x v="1"/>
    <n v="24600"/>
    <n v="0"/>
    <x v="7"/>
    <x v="0"/>
    <x v="1"/>
    <d v="2024-08-26T00:00:00"/>
    <n v="24600"/>
    <x v="0"/>
  </r>
  <r>
    <n v="102983"/>
    <n v="73"/>
    <n v="32700"/>
    <x v="0"/>
    <n v="0"/>
    <n v="155000"/>
    <x v="5"/>
    <x v="0"/>
    <x v="1"/>
    <d v="2025-03-06T00:00:00"/>
    <n v="155000"/>
    <x v="0"/>
  </r>
  <r>
    <n v="102984"/>
    <n v="67"/>
    <n v="88900"/>
    <x v="0"/>
    <n v="50600"/>
    <n v="0"/>
    <x v="5"/>
    <x v="3"/>
    <x v="1"/>
    <d v="2026-03-09T00:00:00"/>
    <n v="50600"/>
    <x v="1"/>
  </r>
  <r>
    <n v="102985"/>
    <n v="20"/>
    <n v="47100"/>
    <x v="1"/>
    <n v="9800"/>
    <n v="0"/>
    <x v="7"/>
    <x v="0"/>
    <x v="1"/>
    <d v="2024-04-29T00:00:00"/>
    <n v="9800"/>
    <x v="0"/>
  </r>
  <r>
    <n v="102986"/>
    <n v="54"/>
    <n v="33800"/>
    <x v="1"/>
    <n v="25400"/>
    <n v="0"/>
    <x v="7"/>
    <x v="2"/>
    <x v="1"/>
    <d v="2026-05-19T00:00:00"/>
    <n v="25400"/>
    <x v="0"/>
  </r>
  <r>
    <n v="102987"/>
    <n v="57"/>
    <n v="97200"/>
    <x v="1"/>
    <n v="63600"/>
    <n v="0"/>
    <x v="1"/>
    <x v="0"/>
    <x v="0"/>
    <d v="2024-02-22T00:00:00"/>
    <n v="63600"/>
    <x v="1"/>
  </r>
  <r>
    <n v="102988"/>
    <n v="50"/>
    <n v="108600"/>
    <x v="0"/>
    <n v="62600"/>
    <n v="0"/>
    <x v="2"/>
    <x v="2"/>
    <x v="1"/>
    <d v="2025-06-08T00:00:00"/>
    <n v="62600"/>
    <x v="1"/>
  </r>
  <r>
    <n v="102989"/>
    <n v="56"/>
    <n v="84500"/>
    <x v="1"/>
    <n v="38200"/>
    <n v="0"/>
    <x v="2"/>
    <x v="2"/>
    <x v="1"/>
    <d v="2024-01-26T00:00:00"/>
    <n v="38200"/>
    <x v="1"/>
  </r>
  <r>
    <n v="102990"/>
    <n v="68"/>
    <n v="41400"/>
    <x v="1"/>
    <n v="51800"/>
    <n v="0"/>
    <x v="2"/>
    <x v="0"/>
    <x v="0"/>
    <d v="2025-03-20T00:00:00"/>
    <n v="51800"/>
    <x v="0"/>
  </r>
  <r>
    <n v="102991"/>
    <n v="44"/>
    <n v="77800"/>
    <x v="0"/>
    <n v="60800"/>
    <n v="0"/>
    <x v="1"/>
    <x v="2"/>
    <x v="1"/>
    <d v="2026-08-11T00:00:00"/>
    <n v="60800"/>
    <x v="1"/>
  </r>
  <r>
    <n v="102992"/>
    <n v="46"/>
    <n v="83600"/>
    <x v="1"/>
    <n v="60500"/>
    <n v="0"/>
    <x v="7"/>
    <x v="2"/>
    <x v="1"/>
    <d v="2024-02-11T00:00:00"/>
    <n v="60500"/>
    <x v="1"/>
  </r>
  <r>
    <n v="102993"/>
    <n v="68"/>
    <n v="71600"/>
    <x v="0"/>
    <n v="0"/>
    <n v="0"/>
    <x v="1"/>
    <x v="2"/>
    <x v="1"/>
    <d v="2025-04-24T00:00:00"/>
    <n v="0"/>
    <x v="1"/>
  </r>
  <r>
    <n v="102994"/>
    <n v="57"/>
    <n v="40200"/>
    <x v="0"/>
    <n v="0"/>
    <n v="0"/>
    <x v="0"/>
    <x v="2"/>
    <x v="1"/>
    <d v="2025-03-24T00:00:00"/>
    <n v="0"/>
    <x v="0"/>
  </r>
  <r>
    <n v="102995"/>
    <n v="68"/>
    <n v="43400"/>
    <x v="1"/>
    <n v="39500"/>
    <n v="0"/>
    <x v="6"/>
    <x v="1"/>
    <x v="1"/>
    <d v="2025-10-30T00:00:00"/>
    <n v="39500"/>
    <x v="0"/>
  </r>
  <r>
    <n v="102996"/>
    <n v="30"/>
    <n v="46200"/>
    <x v="1"/>
    <n v="57800"/>
    <n v="282000"/>
    <x v="3"/>
    <x v="1"/>
    <x v="1"/>
    <d v="2024-09-15T00:00:00"/>
    <n v="339800"/>
    <x v="0"/>
  </r>
  <r>
    <n v="102997"/>
    <n v="37"/>
    <n v="51800"/>
    <x v="0"/>
    <n v="0"/>
    <n v="0"/>
    <x v="1"/>
    <x v="1"/>
    <x v="1"/>
    <d v="2024-09-21T00:00:00"/>
    <n v="0"/>
    <x v="0"/>
  </r>
  <r>
    <n v="102998"/>
    <n v="65"/>
    <n v="42700"/>
    <x v="2"/>
    <n v="25500"/>
    <n v="0"/>
    <x v="2"/>
    <x v="1"/>
    <x v="1"/>
    <d v="2024-11-26T00:00:00"/>
    <n v="25500"/>
    <x v="0"/>
  </r>
  <r>
    <n v="102999"/>
    <n v="69"/>
    <n v="37400"/>
    <x v="1"/>
    <n v="25500"/>
    <n v="0"/>
    <x v="6"/>
    <x v="2"/>
    <x v="1"/>
    <d v="2026-08-20T00:00:00"/>
    <n v="25500"/>
    <x v="0"/>
  </r>
  <r>
    <n v="103000"/>
    <n v="36"/>
    <n v="44200"/>
    <x v="2"/>
    <n v="22800"/>
    <n v="0"/>
    <x v="2"/>
    <x v="1"/>
    <x v="1"/>
    <d v="2025-08-15T00:00:00"/>
    <n v="22800"/>
    <x v="0"/>
  </r>
  <r>
    <n v="103001"/>
    <n v="60"/>
    <n v="80700"/>
    <x v="0"/>
    <n v="0"/>
    <n v="0"/>
    <x v="2"/>
    <x v="2"/>
    <x v="1"/>
    <d v="2024-11-14T00:00:00"/>
    <n v="0"/>
    <x v="1"/>
  </r>
  <r>
    <n v="103002"/>
    <n v="29"/>
    <n v="61900"/>
    <x v="1"/>
    <n v="30700"/>
    <n v="0"/>
    <x v="5"/>
    <x v="3"/>
    <x v="1"/>
    <d v="2026-03-30T00:00:00"/>
    <n v="30700"/>
    <x v="0"/>
  </r>
  <r>
    <n v="103003"/>
    <n v="21"/>
    <n v="58400"/>
    <x v="2"/>
    <n v="0"/>
    <n v="0"/>
    <x v="7"/>
    <x v="1"/>
    <x v="1"/>
    <d v="2024-01-29T00:00:00"/>
    <n v="0"/>
    <x v="0"/>
  </r>
  <r>
    <n v="103004"/>
    <n v="63"/>
    <n v="40000"/>
    <x v="1"/>
    <n v="15500"/>
    <n v="0"/>
    <x v="0"/>
    <x v="3"/>
    <x v="0"/>
    <d v="2026-07-09T00:00:00"/>
    <n v="15500"/>
    <x v="0"/>
  </r>
  <r>
    <n v="103005"/>
    <n v="25"/>
    <n v="68900"/>
    <x v="0"/>
    <n v="28400"/>
    <n v="0"/>
    <x v="3"/>
    <x v="3"/>
    <x v="1"/>
    <d v="2025-11-08T00:00:00"/>
    <n v="28400"/>
    <x v="0"/>
  </r>
  <r>
    <n v="103006"/>
    <n v="28"/>
    <n v="62700"/>
    <x v="1"/>
    <n v="32800"/>
    <n v="0"/>
    <x v="7"/>
    <x v="2"/>
    <x v="1"/>
    <d v="2024-03-19T00:00:00"/>
    <n v="32800"/>
    <x v="0"/>
  </r>
  <r>
    <n v="103007"/>
    <n v="36"/>
    <n v="85800"/>
    <x v="0"/>
    <n v="54200"/>
    <n v="292000"/>
    <x v="7"/>
    <x v="0"/>
    <x v="1"/>
    <d v="2024-11-13T00:00:00"/>
    <n v="346200"/>
    <x v="1"/>
  </r>
  <r>
    <n v="103008"/>
    <n v="39"/>
    <n v="35600"/>
    <x v="1"/>
    <n v="18000"/>
    <n v="0"/>
    <x v="6"/>
    <x v="1"/>
    <x v="0"/>
    <d v="2024-03-21T00:00:00"/>
    <n v="18000"/>
    <x v="0"/>
  </r>
  <r>
    <n v="103009"/>
    <n v="64"/>
    <n v="28500"/>
    <x v="0"/>
    <n v="35600"/>
    <n v="0"/>
    <x v="6"/>
    <x v="2"/>
    <x v="1"/>
    <d v="2025-12-21T00:00:00"/>
    <n v="35600"/>
    <x v="0"/>
  </r>
  <r>
    <n v="103010"/>
    <n v="61"/>
    <n v="80600"/>
    <x v="1"/>
    <n v="0"/>
    <n v="0"/>
    <x v="2"/>
    <x v="0"/>
    <x v="1"/>
    <d v="2024-03-09T00:00:00"/>
    <n v="0"/>
    <x v="1"/>
  </r>
  <r>
    <n v="103011"/>
    <n v="45"/>
    <n v="45500"/>
    <x v="1"/>
    <n v="56900"/>
    <n v="311000"/>
    <x v="5"/>
    <x v="1"/>
    <x v="1"/>
    <d v="2025-04-22T00:00:00"/>
    <n v="367900"/>
    <x v="0"/>
  </r>
  <r>
    <n v="103012"/>
    <n v="40"/>
    <n v="71300"/>
    <x v="1"/>
    <n v="17500"/>
    <n v="0"/>
    <x v="7"/>
    <x v="2"/>
    <x v="1"/>
    <d v="2024-02-22T00:00:00"/>
    <n v="17500"/>
    <x v="1"/>
  </r>
  <r>
    <n v="103013"/>
    <n v="34"/>
    <n v="93900"/>
    <x v="1"/>
    <n v="65900"/>
    <n v="0"/>
    <x v="3"/>
    <x v="2"/>
    <x v="1"/>
    <d v="2025-01-16T00:00:00"/>
    <n v="65900"/>
    <x v="1"/>
  </r>
  <r>
    <n v="103014"/>
    <n v="52"/>
    <n v="108300"/>
    <x v="1"/>
    <n v="36900"/>
    <n v="0"/>
    <x v="6"/>
    <x v="2"/>
    <x v="1"/>
    <d v="2026-06-04T00:00:00"/>
    <n v="36900"/>
    <x v="1"/>
  </r>
  <r>
    <n v="103015"/>
    <n v="36"/>
    <n v="49100"/>
    <x v="2"/>
    <n v="15800"/>
    <n v="0"/>
    <x v="5"/>
    <x v="0"/>
    <x v="1"/>
    <d v="2025-05-27T00:00:00"/>
    <n v="15800"/>
    <x v="0"/>
  </r>
  <r>
    <n v="103016"/>
    <n v="65"/>
    <n v="34400"/>
    <x v="0"/>
    <n v="26600"/>
    <n v="0"/>
    <x v="1"/>
    <x v="1"/>
    <x v="1"/>
    <d v="2025-05-09T00:00:00"/>
    <n v="26600"/>
    <x v="0"/>
  </r>
  <r>
    <n v="103017"/>
    <n v="62"/>
    <n v="36900"/>
    <x v="0"/>
    <n v="37900"/>
    <n v="303000"/>
    <x v="4"/>
    <x v="0"/>
    <x v="1"/>
    <d v="2024-05-09T00:00:00"/>
    <n v="340900"/>
    <x v="0"/>
  </r>
  <r>
    <n v="103018"/>
    <n v="35"/>
    <n v="42700"/>
    <x v="1"/>
    <n v="53400"/>
    <n v="0"/>
    <x v="3"/>
    <x v="0"/>
    <x v="1"/>
    <d v="2025-06-01T00:00:00"/>
    <n v="53400"/>
    <x v="0"/>
  </r>
  <r>
    <n v="103019"/>
    <n v="30"/>
    <n v="66700"/>
    <x v="1"/>
    <n v="70200"/>
    <n v="0"/>
    <x v="2"/>
    <x v="0"/>
    <x v="0"/>
    <d v="2026-05-12T00:00:00"/>
    <n v="70200"/>
    <x v="0"/>
  </r>
  <r>
    <n v="103020"/>
    <n v="33"/>
    <n v="85800"/>
    <x v="0"/>
    <n v="39800"/>
    <n v="0"/>
    <x v="7"/>
    <x v="2"/>
    <x v="1"/>
    <d v="2024-11-05T00:00:00"/>
    <n v="39800"/>
    <x v="1"/>
  </r>
  <r>
    <n v="103021"/>
    <n v="64"/>
    <n v="92700"/>
    <x v="2"/>
    <n v="0"/>
    <n v="0"/>
    <x v="5"/>
    <x v="1"/>
    <x v="1"/>
    <d v="2025-04-23T00:00:00"/>
    <n v="0"/>
    <x v="1"/>
  </r>
  <r>
    <n v="103022"/>
    <n v="72"/>
    <n v="43400"/>
    <x v="1"/>
    <n v="25600"/>
    <n v="338000"/>
    <x v="3"/>
    <x v="0"/>
    <x v="1"/>
    <d v="2025-10-30T00:00:00"/>
    <n v="363600"/>
    <x v="0"/>
  </r>
  <r>
    <n v="103023"/>
    <n v="56"/>
    <n v="108400"/>
    <x v="2"/>
    <n v="0"/>
    <n v="0"/>
    <x v="3"/>
    <x v="1"/>
    <x v="1"/>
    <d v="2025-10-23T00:00:00"/>
    <n v="0"/>
    <x v="1"/>
  </r>
  <r>
    <n v="103024"/>
    <n v="47"/>
    <n v="76400"/>
    <x v="1"/>
    <n v="50300"/>
    <n v="0"/>
    <x v="5"/>
    <x v="2"/>
    <x v="1"/>
    <d v="2026-05-30T00:00:00"/>
    <n v="50300"/>
    <x v="1"/>
  </r>
  <r>
    <n v="103025"/>
    <n v="39"/>
    <n v="69000"/>
    <x v="1"/>
    <n v="39900"/>
    <n v="0"/>
    <x v="2"/>
    <x v="1"/>
    <x v="1"/>
    <d v="2025-02-19T00:00:00"/>
    <n v="39900"/>
    <x v="0"/>
  </r>
  <r>
    <n v="103026"/>
    <n v="68"/>
    <n v="76600"/>
    <x v="1"/>
    <n v="0"/>
    <n v="0"/>
    <x v="6"/>
    <x v="0"/>
    <x v="1"/>
    <d v="2025-09-20T00:00:00"/>
    <n v="0"/>
    <x v="1"/>
  </r>
  <r>
    <n v="103027"/>
    <n v="56"/>
    <n v="29200"/>
    <x v="0"/>
    <n v="35700"/>
    <n v="168000"/>
    <x v="5"/>
    <x v="1"/>
    <x v="1"/>
    <d v="2024-02-21T00:00:00"/>
    <n v="203700"/>
    <x v="0"/>
  </r>
  <r>
    <n v="103028"/>
    <n v="60"/>
    <n v="27100"/>
    <x v="1"/>
    <n v="33900"/>
    <n v="0"/>
    <x v="2"/>
    <x v="1"/>
    <x v="1"/>
    <d v="2024-05-10T00:00:00"/>
    <n v="33900"/>
    <x v="0"/>
  </r>
  <r>
    <n v="103029"/>
    <n v="38"/>
    <n v="95500"/>
    <x v="1"/>
    <n v="76000"/>
    <n v="0"/>
    <x v="4"/>
    <x v="2"/>
    <x v="1"/>
    <d v="2026-08-02T00:00:00"/>
    <n v="76000"/>
    <x v="1"/>
  </r>
  <r>
    <n v="103030"/>
    <n v="22"/>
    <n v="42400"/>
    <x v="0"/>
    <n v="39400"/>
    <n v="358000"/>
    <x v="6"/>
    <x v="3"/>
    <x v="1"/>
    <d v="2024-05-31T00:00:00"/>
    <n v="397400"/>
    <x v="0"/>
  </r>
  <r>
    <n v="103031"/>
    <n v="49"/>
    <n v="43600"/>
    <x v="2"/>
    <n v="31500"/>
    <n v="0"/>
    <x v="1"/>
    <x v="1"/>
    <x v="1"/>
    <d v="2025-05-18T00:00:00"/>
    <n v="31500"/>
    <x v="0"/>
  </r>
  <r>
    <n v="103032"/>
    <n v="75"/>
    <n v="48600"/>
    <x v="0"/>
    <n v="0"/>
    <n v="0"/>
    <x v="0"/>
    <x v="1"/>
    <x v="1"/>
    <d v="2024-05-08T00:00:00"/>
    <n v="0"/>
    <x v="0"/>
  </r>
  <r>
    <n v="103033"/>
    <n v="59"/>
    <n v="85300"/>
    <x v="1"/>
    <n v="35300"/>
    <n v="0"/>
    <x v="7"/>
    <x v="1"/>
    <x v="1"/>
    <d v="2025-08-12T00:00:00"/>
    <n v="35300"/>
    <x v="1"/>
  </r>
  <r>
    <n v="103034"/>
    <n v="54"/>
    <n v="70200"/>
    <x v="2"/>
    <n v="0"/>
    <n v="0"/>
    <x v="2"/>
    <x v="1"/>
    <x v="1"/>
    <d v="2025-12-01T00:00:00"/>
    <n v="0"/>
    <x v="1"/>
  </r>
  <r>
    <n v="103035"/>
    <n v="46"/>
    <n v="100500"/>
    <x v="1"/>
    <n v="69600"/>
    <n v="0"/>
    <x v="3"/>
    <x v="0"/>
    <x v="0"/>
    <d v="2024-06-21T00:00:00"/>
    <n v="69600"/>
    <x v="1"/>
  </r>
  <r>
    <n v="103036"/>
    <n v="30"/>
    <n v="55100"/>
    <x v="2"/>
    <n v="0"/>
    <n v="0"/>
    <x v="3"/>
    <x v="1"/>
    <x v="1"/>
    <d v="2024-01-11T00:00:00"/>
    <n v="0"/>
    <x v="0"/>
  </r>
  <r>
    <n v="103037"/>
    <n v="22"/>
    <n v="77400"/>
    <x v="1"/>
    <n v="38100"/>
    <n v="0"/>
    <x v="6"/>
    <x v="2"/>
    <x v="1"/>
    <d v="2025-02-20T00:00:00"/>
    <n v="38100"/>
    <x v="1"/>
  </r>
  <r>
    <n v="103038"/>
    <n v="24"/>
    <n v="93500"/>
    <x v="0"/>
    <n v="31100"/>
    <n v="0"/>
    <x v="2"/>
    <x v="2"/>
    <x v="1"/>
    <d v="2024-02-23T00:00:00"/>
    <n v="31100"/>
    <x v="1"/>
  </r>
  <r>
    <n v="103039"/>
    <n v="65"/>
    <n v="102100"/>
    <x v="1"/>
    <n v="28400"/>
    <n v="0"/>
    <x v="4"/>
    <x v="1"/>
    <x v="1"/>
    <d v="2026-01-22T00:00:00"/>
    <n v="28400"/>
    <x v="1"/>
  </r>
  <r>
    <n v="103040"/>
    <n v="47"/>
    <n v="55900"/>
    <x v="1"/>
    <n v="0"/>
    <n v="0"/>
    <x v="3"/>
    <x v="1"/>
    <x v="1"/>
    <d v="2024-11-09T00:00:00"/>
    <n v="0"/>
    <x v="0"/>
  </r>
  <r>
    <n v="103041"/>
    <n v="34"/>
    <n v="74200"/>
    <x v="1"/>
    <n v="24300"/>
    <n v="279000"/>
    <x v="4"/>
    <x v="0"/>
    <x v="1"/>
    <d v="2024-06-27T00:00:00"/>
    <n v="303300"/>
    <x v="1"/>
  </r>
  <r>
    <n v="103042"/>
    <n v="52"/>
    <n v="57600"/>
    <x v="0"/>
    <n v="18700"/>
    <n v="0"/>
    <x v="0"/>
    <x v="0"/>
    <x v="1"/>
    <d v="2026-08-14T00:00:00"/>
    <n v="18700"/>
    <x v="0"/>
  </r>
  <r>
    <n v="103043"/>
    <n v="50"/>
    <n v="43000"/>
    <x v="1"/>
    <n v="53800"/>
    <n v="0"/>
    <x v="4"/>
    <x v="3"/>
    <x v="1"/>
    <d v="2024-04-13T00:00:00"/>
    <n v="53800"/>
    <x v="0"/>
  </r>
  <r>
    <n v="103044"/>
    <n v="74"/>
    <n v="39900"/>
    <x v="1"/>
    <n v="21200"/>
    <n v="0"/>
    <x v="2"/>
    <x v="1"/>
    <x v="1"/>
    <d v="2024-06-10T00:00:00"/>
    <n v="21200"/>
    <x v="0"/>
  </r>
  <r>
    <n v="103045"/>
    <n v="23"/>
    <n v="43600"/>
    <x v="1"/>
    <n v="12100"/>
    <n v="159000"/>
    <x v="4"/>
    <x v="1"/>
    <x v="1"/>
    <d v="2025-05-14T00:00:00"/>
    <n v="171100"/>
    <x v="0"/>
  </r>
  <r>
    <n v="103046"/>
    <n v="65"/>
    <n v="33500"/>
    <x v="2"/>
    <n v="41900"/>
    <n v="227000"/>
    <x v="5"/>
    <x v="0"/>
    <x v="1"/>
    <d v="2024-10-06T00:00:00"/>
    <n v="268900"/>
    <x v="0"/>
  </r>
  <r>
    <n v="103047"/>
    <n v="29"/>
    <n v="38200"/>
    <x v="0"/>
    <n v="23400"/>
    <n v="0"/>
    <x v="5"/>
    <x v="2"/>
    <x v="1"/>
    <d v="2024-06-09T00:00:00"/>
    <n v="23400"/>
    <x v="0"/>
  </r>
  <r>
    <n v="103048"/>
    <n v="43"/>
    <n v="87100"/>
    <x v="2"/>
    <n v="20300"/>
    <n v="0"/>
    <x v="6"/>
    <x v="0"/>
    <x v="1"/>
    <d v="2024-03-18T00:00:00"/>
    <n v="20300"/>
    <x v="1"/>
  </r>
  <r>
    <n v="103049"/>
    <n v="57"/>
    <n v="33700"/>
    <x v="1"/>
    <n v="0"/>
    <n v="0"/>
    <x v="2"/>
    <x v="3"/>
    <x v="1"/>
    <d v="2024-12-23T00:00:00"/>
    <n v="0"/>
    <x v="0"/>
  </r>
  <r>
    <n v="103050"/>
    <n v="65"/>
    <n v="79700"/>
    <x v="0"/>
    <n v="74300"/>
    <n v="0"/>
    <x v="0"/>
    <x v="1"/>
    <x v="1"/>
    <d v="2024-04-22T00:00:00"/>
    <n v="74300"/>
    <x v="1"/>
  </r>
  <r>
    <n v="103051"/>
    <n v="41"/>
    <n v="74900"/>
    <x v="2"/>
    <n v="33500"/>
    <n v="342000"/>
    <x v="1"/>
    <x v="0"/>
    <x v="1"/>
    <d v="2025-06-11T00:00:00"/>
    <n v="375500"/>
    <x v="1"/>
  </r>
  <r>
    <n v="103052"/>
    <n v="60"/>
    <n v="71200"/>
    <x v="2"/>
    <n v="7000"/>
    <n v="0"/>
    <x v="0"/>
    <x v="0"/>
    <x v="1"/>
    <d v="2026-05-22T00:00:00"/>
    <n v="7000"/>
    <x v="1"/>
  </r>
  <r>
    <n v="103053"/>
    <n v="24"/>
    <n v="73100"/>
    <x v="2"/>
    <n v="63800"/>
    <n v="0"/>
    <x v="3"/>
    <x v="1"/>
    <x v="0"/>
    <d v="2026-03-08T00:00:00"/>
    <n v="63800"/>
    <x v="1"/>
  </r>
  <r>
    <n v="103054"/>
    <n v="20"/>
    <n v="56900"/>
    <x v="2"/>
    <n v="22900"/>
    <n v="232000"/>
    <x v="1"/>
    <x v="1"/>
    <x v="1"/>
    <d v="2025-10-29T00:00:00"/>
    <n v="254900"/>
    <x v="0"/>
  </r>
  <r>
    <n v="103055"/>
    <n v="46"/>
    <n v="66900"/>
    <x v="1"/>
    <n v="18400"/>
    <n v="363000"/>
    <x v="6"/>
    <x v="0"/>
    <x v="1"/>
    <d v="2026-02-02T00:00:00"/>
    <n v="381400"/>
    <x v="0"/>
  </r>
  <r>
    <n v="103056"/>
    <n v="68"/>
    <n v="66700"/>
    <x v="1"/>
    <n v="22700"/>
    <n v="0"/>
    <x v="0"/>
    <x v="0"/>
    <x v="1"/>
    <d v="2025-09-06T00:00:00"/>
    <n v="22700"/>
    <x v="0"/>
  </r>
  <r>
    <n v="103057"/>
    <n v="29"/>
    <n v="58800"/>
    <x v="0"/>
    <n v="13800"/>
    <n v="0"/>
    <x v="6"/>
    <x v="2"/>
    <x v="1"/>
    <d v="2025-02-04T00:00:00"/>
    <n v="13800"/>
    <x v="0"/>
  </r>
  <r>
    <n v="103058"/>
    <n v="62"/>
    <n v="35500"/>
    <x v="2"/>
    <n v="14700"/>
    <n v="0"/>
    <x v="7"/>
    <x v="0"/>
    <x v="1"/>
    <d v="2024-03-31T00:00:00"/>
    <n v="14700"/>
    <x v="0"/>
  </r>
  <r>
    <n v="103059"/>
    <n v="53"/>
    <n v="87600"/>
    <x v="1"/>
    <n v="39400"/>
    <n v="0"/>
    <x v="6"/>
    <x v="1"/>
    <x v="1"/>
    <d v="2025-02-13T00:00:00"/>
    <n v="39400"/>
    <x v="1"/>
  </r>
  <r>
    <n v="103060"/>
    <n v="68"/>
    <n v="63900"/>
    <x v="0"/>
    <n v="17700"/>
    <n v="203000"/>
    <x v="4"/>
    <x v="1"/>
    <x v="1"/>
    <d v="2024-01-02T00:00:00"/>
    <n v="220700"/>
    <x v="0"/>
  </r>
  <r>
    <n v="103061"/>
    <n v="66"/>
    <n v="70300"/>
    <x v="0"/>
    <n v="71100"/>
    <n v="0"/>
    <x v="4"/>
    <x v="1"/>
    <x v="1"/>
    <d v="2024-12-26T00:00:00"/>
    <n v="71100"/>
    <x v="1"/>
  </r>
  <r>
    <n v="103062"/>
    <n v="46"/>
    <n v="45900"/>
    <x v="1"/>
    <n v="48200"/>
    <n v="0"/>
    <x v="3"/>
    <x v="2"/>
    <x v="1"/>
    <d v="2025-03-30T00:00:00"/>
    <n v="48200"/>
    <x v="0"/>
  </r>
  <r>
    <n v="103063"/>
    <n v="53"/>
    <n v="81400"/>
    <x v="0"/>
    <n v="0"/>
    <n v="0"/>
    <x v="5"/>
    <x v="2"/>
    <x v="1"/>
    <d v="2024-10-17T00:00:00"/>
    <n v="0"/>
    <x v="1"/>
  </r>
  <r>
    <n v="103064"/>
    <n v="58"/>
    <n v="63300"/>
    <x v="1"/>
    <n v="0"/>
    <n v="0"/>
    <x v="7"/>
    <x v="2"/>
    <x v="1"/>
    <d v="2024-02-06T00:00:00"/>
    <n v="0"/>
    <x v="0"/>
  </r>
  <r>
    <n v="103065"/>
    <n v="47"/>
    <n v="51800"/>
    <x v="0"/>
    <n v="26900"/>
    <n v="0"/>
    <x v="2"/>
    <x v="0"/>
    <x v="1"/>
    <d v="2024-03-27T00:00:00"/>
    <n v="26900"/>
    <x v="0"/>
  </r>
  <r>
    <n v="103066"/>
    <n v="47"/>
    <n v="47200"/>
    <x v="1"/>
    <n v="40100"/>
    <n v="0"/>
    <x v="1"/>
    <x v="2"/>
    <x v="1"/>
    <d v="2026-08-06T00:00:00"/>
    <n v="40100"/>
    <x v="0"/>
  </r>
  <r>
    <n v="103067"/>
    <n v="68"/>
    <n v="33500"/>
    <x v="1"/>
    <n v="30400"/>
    <n v="0"/>
    <x v="4"/>
    <x v="2"/>
    <x v="1"/>
    <d v="2024-12-23T00:00:00"/>
    <n v="30400"/>
    <x v="0"/>
  </r>
  <r>
    <n v="103068"/>
    <n v="53"/>
    <n v="89700"/>
    <x v="1"/>
    <n v="53600"/>
    <n v="202000"/>
    <x v="7"/>
    <x v="2"/>
    <x v="1"/>
    <d v="2025-11-24T00:00:00"/>
    <n v="255600"/>
    <x v="1"/>
  </r>
  <r>
    <n v="103069"/>
    <n v="32"/>
    <n v="34300"/>
    <x v="1"/>
    <n v="14300"/>
    <n v="0"/>
    <x v="1"/>
    <x v="2"/>
    <x v="1"/>
    <d v="2025-05-07T00:00:00"/>
    <n v="14300"/>
    <x v="0"/>
  </r>
  <r>
    <n v="103070"/>
    <n v="63"/>
    <n v="38300"/>
    <x v="2"/>
    <n v="43900"/>
    <n v="0"/>
    <x v="2"/>
    <x v="3"/>
    <x v="1"/>
    <d v="2024-11-24T00:00:00"/>
    <n v="43900"/>
    <x v="0"/>
  </r>
  <r>
    <n v="103071"/>
    <n v="21"/>
    <n v="72000"/>
    <x v="2"/>
    <n v="83100"/>
    <n v="0"/>
    <x v="6"/>
    <x v="1"/>
    <x v="1"/>
    <d v="2025-07-17T00:00:00"/>
    <n v="83100"/>
    <x v="1"/>
  </r>
  <r>
    <n v="103072"/>
    <n v="73"/>
    <n v="41700"/>
    <x v="2"/>
    <n v="31400"/>
    <n v="0"/>
    <x v="7"/>
    <x v="2"/>
    <x v="1"/>
    <d v="2025-02-05T00:00:00"/>
    <n v="31400"/>
    <x v="0"/>
  </r>
  <r>
    <n v="103073"/>
    <n v="33"/>
    <n v="24000"/>
    <x v="0"/>
    <n v="0"/>
    <n v="0"/>
    <x v="3"/>
    <x v="0"/>
    <x v="1"/>
    <d v="2024-03-01T00:00:00"/>
    <n v="0"/>
    <x v="0"/>
  </r>
  <r>
    <n v="103074"/>
    <n v="21"/>
    <n v="27000"/>
    <x v="1"/>
    <n v="16900"/>
    <n v="0"/>
    <x v="3"/>
    <x v="3"/>
    <x v="1"/>
    <d v="2026-01-01T00:00:00"/>
    <n v="16900"/>
    <x v="0"/>
  </r>
  <r>
    <n v="103075"/>
    <n v="37"/>
    <n v="34900"/>
    <x v="2"/>
    <n v="42500"/>
    <n v="0"/>
    <x v="5"/>
    <x v="1"/>
    <x v="1"/>
    <d v="2025-06-08T00:00:00"/>
    <n v="42500"/>
    <x v="0"/>
  </r>
  <r>
    <n v="103076"/>
    <n v="59"/>
    <n v="59600"/>
    <x v="1"/>
    <n v="40000"/>
    <n v="0"/>
    <x v="4"/>
    <x v="1"/>
    <x v="1"/>
    <d v="2024-12-01T00:00:00"/>
    <n v="40000"/>
    <x v="0"/>
  </r>
  <r>
    <n v="103077"/>
    <n v="60"/>
    <n v="53400"/>
    <x v="1"/>
    <n v="9300"/>
    <n v="0"/>
    <x v="5"/>
    <x v="2"/>
    <x v="1"/>
    <d v="2025-04-24T00:00:00"/>
    <n v="9300"/>
    <x v="0"/>
  </r>
  <r>
    <n v="103078"/>
    <n v="48"/>
    <n v="92000"/>
    <x v="2"/>
    <n v="26300"/>
    <n v="0"/>
    <x v="6"/>
    <x v="0"/>
    <x v="0"/>
    <d v="2025-06-12T00:00:00"/>
    <n v="26300"/>
    <x v="1"/>
  </r>
  <r>
    <n v="103079"/>
    <n v="74"/>
    <n v="69500"/>
    <x v="0"/>
    <n v="65900"/>
    <n v="0"/>
    <x v="1"/>
    <x v="1"/>
    <x v="0"/>
    <d v="2025-07-09T00:00:00"/>
    <n v="65900"/>
    <x v="0"/>
  </r>
  <r>
    <n v="103080"/>
    <n v="71"/>
    <n v="35600"/>
    <x v="1"/>
    <n v="33000"/>
    <n v="0"/>
    <x v="5"/>
    <x v="1"/>
    <x v="1"/>
    <d v="2025-08-20T00:00:00"/>
    <n v="33000"/>
    <x v="0"/>
  </r>
  <r>
    <n v="103081"/>
    <n v="55"/>
    <n v="51900"/>
    <x v="1"/>
    <n v="16100"/>
    <n v="0"/>
    <x v="2"/>
    <x v="0"/>
    <x v="1"/>
    <d v="2026-05-26T00:00:00"/>
    <n v="16100"/>
    <x v="0"/>
  </r>
  <r>
    <n v="103082"/>
    <n v="74"/>
    <n v="45900"/>
    <x v="1"/>
    <n v="17000"/>
    <n v="0"/>
    <x v="4"/>
    <x v="2"/>
    <x v="1"/>
    <d v="2025-02-06T00:00:00"/>
    <n v="17000"/>
    <x v="0"/>
  </r>
  <r>
    <n v="103083"/>
    <n v="32"/>
    <n v="77900"/>
    <x v="1"/>
    <n v="31600"/>
    <n v="0"/>
    <x v="6"/>
    <x v="2"/>
    <x v="1"/>
    <d v="2026-05-05T00:00:00"/>
    <n v="31600"/>
    <x v="1"/>
  </r>
  <r>
    <n v="103084"/>
    <n v="75"/>
    <n v="35200"/>
    <x v="0"/>
    <n v="27300"/>
    <n v="0"/>
    <x v="0"/>
    <x v="3"/>
    <x v="1"/>
    <d v="2025-09-10T00:00:00"/>
    <n v="27300"/>
    <x v="0"/>
  </r>
  <r>
    <n v="103085"/>
    <n v="68"/>
    <n v="43900"/>
    <x v="0"/>
    <n v="13000"/>
    <n v="0"/>
    <x v="0"/>
    <x v="3"/>
    <x v="1"/>
    <d v="2026-02-01T00:00:00"/>
    <n v="13000"/>
    <x v="0"/>
  </r>
  <r>
    <n v="103086"/>
    <n v="27"/>
    <n v="89200"/>
    <x v="0"/>
    <n v="0"/>
    <n v="0"/>
    <x v="2"/>
    <x v="0"/>
    <x v="1"/>
    <d v="2025-01-22T00:00:00"/>
    <n v="0"/>
    <x v="1"/>
  </r>
  <r>
    <n v="103087"/>
    <n v="62"/>
    <n v="73500"/>
    <x v="1"/>
    <n v="32900"/>
    <n v="0"/>
    <x v="3"/>
    <x v="2"/>
    <x v="1"/>
    <d v="2024-08-13T00:00:00"/>
    <n v="32900"/>
    <x v="1"/>
  </r>
  <r>
    <n v="103088"/>
    <n v="36"/>
    <n v="32500"/>
    <x v="1"/>
    <n v="0"/>
    <n v="0"/>
    <x v="0"/>
    <x v="3"/>
    <x v="1"/>
    <d v="2026-05-25T00:00:00"/>
    <n v="0"/>
    <x v="0"/>
  </r>
  <r>
    <n v="103089"/>
    <n v="55"/>
    <n v="69900"/>
    <x v="1"/>
    <n v="0"/>
    <n v="0"/>
    <x v="0"/>
    <x v="1"/>
    <x v="1"/>
    <d v="2024-08-25T00:00:00"/>
    <n v="0"/>
    <x v="0"/>
  </r>
  <r>
    <n v="103090"/>
    <n v="30"/>
    <n v="47800"/>
    <x v="1"/>
    <n v="0"/>
    <n v="0"/>
    <x v="5"/>
    <x v="1"/>
    <x v="1"/>
    <d v="2024-02-09T00:00:00"/>
    <n v="0"/>
    <x v="0"/>
  </r>
  <r>
    <n v="103091"/>
    <n v="52"/>
    <n v="50700"/>
    <x v="1"/>
    <n v="0"/>
    <n v="0"/>
    <x v="1"/>
    <x v="1"/>
    <x v="1"/>
    <d v="2024-10-30T00:00:00"/>
    <n v="0"/>
    <x v="0"/>
  </r>
  <r>
    <n v="103092"/>
    <n v="62"/>
    <n v="87600"/>
    <x v="1"/>
    <n v="7500"/>
    <n v="289000"/>
    <x v="2"/>
    <x v="1"/>
    <x v="1"/>
    <d v="2024-11-18T00:00:00"/>
    <n v="296500"/>
    <x v="1"/>
  </r>
  <r>
    <n v="103093"/>
    <n v="50"/>
    <n v="36300"/>
    <x v="0"/>
    <n v="43700"/>
    <n v="0"/>
    <x v="5"/>
    <x v="0"/>
    <x v="1"/>
    <d v="2024-10-01T00:00:00"/>
    <n v="43700"/>
    <x v="0"/>
  </r>
  <r>
    <n v="103094"/>
    <n v="21"/>
    <n v="42500"/>
    <x v="2"/>
    <n v="0"/>
    <n v="0"/>
    <x v="7"/>
    <x v="2"/>
    <x v="1"/>
    <d v="2026-08-23T00:00:00"/>
    <n v="0"/>
    <x v="0"/>
  </r>
  <r>
    <n v="103095"/>
    <n v="34"/>
    <n v="43800"/>
    <x v="1"/>
    <n v="50000"/>
    <n v="0"/>
    <x v="5"/>
    <x v="2"/>
    <x v="1"/>
    <d v="2025-02-18T00:00:00"/>
    <n v="50000"/>
    <x v="0"/>
  </r>
  <r>
    <n v="103096"/>
    <n v="39"/>
    <n v="31800"/>
    <x v="2"/>
    <n v="17400"/>
    <n v="0"/>
    <x v="7"/>
    <x v="1"/>
    <x v="1"/>
    <d v="2025-12-20T00:00:00"/>
    <n v="17400"/>
    <x v="0"/>
  </r>
  <r>
    <n v="103097"/>
    <n v="61"/>
    <n v="63900"/>
    <x v="1"/>
    <n v="0"/>
    <n v="0"/>
    <x v="0"/>
    <x v="1"/>
    <x v="1"/>
    <d v="2024-02-07T00:00:00"/>
    <n v="0"/>
    <x v="0"/>
  </r>
  <r>
    <n v="103098"/>
    <n v="25"/>
    <n v="26500"/>
    <x v="0"/>
    <n v="25000"/>
    <n v="0"/>
    <x v="0"/>
    <x v="1"/>
    <x v="1"/>
    <d v="2024-02-08T00:00:00"/>
    <n v="25000"/>
    <x v="0"/>
  </r>
  <r>
    <n v="103099"/>
    <n v="44"/>
    <n v="103900"/>
    <x v="1"/>
    <n v="23000"/>
    <n v="0"/>
    <x v="7"/>
    <x v="1"/>
    <x v="1"/>
    <d v="2025-01-22T00:00:00"/>
    <n v="23000"/>
    <x v="1"/>
  </r>
  <r>
    <n v="103100"/>
    <n v="69"/>
    <n v="70100"/>
    <x v="0"/>
    <n v="22100"/>
    <n v="0"/>
    <x v="0"/>
    <x v="1"/>
    <x v="1"/>
    <d v="2024-09-09T00:00:00"/>
    <n v="22100"/>
    <x v="1"/>
  </r>
  <r>
    <n v="103101"/>
    <n v="45"/>
    <n v="86500"/>
    <x v="1"/>
    <n v="63800"/>
    <n v="0"/>
    <x v="6"/>
    <x v="1"/>
    <x v="1"/>
    <d v="2026-08-30T00:00:00"/>
    <n v="63800"/>
    <x v="1"/>
  </r>
  <r>
    <n v="103102"/>
    <n v="68"/>
    <n v="93100"/>
    <x v="0"/>
    <n v="65800"/>
    <n v="0"/>
    <x v="3"/>
    <x v="1"/>
    <x v="1"/>
    <d v="2025-03-30T00:00:00"/>
    <n v="65800"/>
    <x v="1"/>
  </r>
  <r>
    <n v="103103"/>
    <n v="53"/>
    <n v="34700"/>
    <x v="2"/>
    <n v="14300"/>
    <n v="0"/>
    <x v="1"/>
    <x v="0"/>
    <x v="1"/>
    <d v="2024-10-11T00:00:00"/>
    <n v="14300"/>
    <x v="0"/>
  </r>
  <r>
    <n v="103104"/>
    <n v="59"/>
    <n v="26000"/>
    <x v="2"/>
    <n v="23100"/>
    <n v="0"/>
    <x v="2"/>
    <x v="1"/>
    <x v="1"/>
    <d v="2025-04-03T00:00:00"/>
    <n v="23100"/>
    <x v="0"/>
  </r>
  <r>
    <n v="103105"/>
    <n v="37"/>
    <n v="42700"/>
    <x v="1"/>
    <n v="23500"/>
    <n v="0"/>
    <x v="1"/>
    <x v="3"/>
    <x v="1"/>
    <d v="2025-01-18T00:00:00"/>
    <n v="23500"/>
    <x v="0"/>
  </r>
  <r>
    <n v="103106"/>
    <n v="30"/>
    <n v="42800"/>
    <x v="2"/>
    <n v="45000"/>
    <n v="0"/>
    <x v="3"/>
    <x v="1"/>
    <x v="1"/>
    <d v="2026-06-16T00:00:00"/>
    <n v="45000"/>
    <x v="0"/>
  </r>
  <r>
    <n v="103107"/>
    <n v="68"/>
    <n v="30200"/>
    <x v="0"/>
    <n v="0"/>
    <n v="0"/>
    <x v="1"/>
    <x v="0"/>
    <x v="1"/>
    <d v="2024-12-22T00:00:00"/>
    <n v="0"/>
    <x v="0"/>
  </r>
  <r>
    <n v="103108"/>
    <n v="33"/>
    <n v="77400"/>
    <x v="0"/>
    <n v="0"/>
    <n v="0"/>
    <x v="7"/>
    <x v="2"/>
    <x v="1"/>
    <d v="2025-04-10T00:00:00"/>
    <n v="0"/>
    <x v="1"/>
  </r>
  <r>
    <n v="103109"/>
    <n v="33"/>
    <n v="110500"/>
    <x v="2"/>
    <n v="0"/>
    <n v="0"/>
    <x v="4"/>
    <x v="2"/>
    <x v="1"/>
    <d v="2025-05-22T00:00:00"/>
    <n v="0"/>
    <x v="1"/>
  </r>
  <r>
    <n v="103110"/>
    <n v="65"/>
    <n v="77700"/>
    <x v="2"/>
    <n v="49900"/>
    <n v="0"/>
    <x v="2"/>
    <x v="0"/>
    <x v="1"/>
    <d v="2024-12-03T00:00:00"/>
    <n v="49900"/>
    <x v="1"/>
  </r>
  <r>
    <n v="103111"/>
    <n v="62"/>
    <n v="43700"/>
    <x v="0"/>
    <n v="0"/>
    <n v="0"/>
    <x v="1"/>
    <x v="0"/>
    <x v="1"/>
    <d v="2025-11-10T00:00:00"/>
    <n v="0"/>
    <x v="0"/>
  </r>
  <r>
    <n v="103112"/>
    <n v="25"/>
    <n v="44600"/>
    <x v="1"/>
    <n v="0"/>
    <n v="0"/>
    <x v="3"/>
    <x v="0"/>
    <x v="1"/>
    <d v="2026-07-05T00:00:00"/>
    <n v="0"/>
    <x v="0"/>
  </r>
  <r>
    <n v="103113"/>
    <n v="68"/>
    <n v="58500"/>
    <x v="0"/>
    <n v="8900"/>
    <n v="181000"/>
    <x v="0"/>
    <x v="1"/>
    <x v="1"/>
    <d v="2024-11-23T00:00:00"/>
    <n v="189900"/>
    <x v="0"/>
  </r>
  <r>
    <n v="103114"/>
    <n v="49"/>
    <n v="67800"/>
    <x v="1"/>
    <n v="27800"/>
    <n v="0"/>
    <x v="1"/>
    <x v="1"/>
    <x v="1"/>
    <d v="2025-09-19T00:00:00"/>
    <n v="27800"/>
    <x v="0"/>
  </r>
  <r>
    <n v="103115"/>
    <n v="32"/>
    <n v="104600"/>
    <x v="1"/>
    <n v="23500"/>
    <n v="228000"/>
    <x v="7"/>
    <x v="2"/>
    <x v="1"/>
    <d v="2025-11-09T00:00:00"/>
    <n v="251500"/>
    <x v="1"/>
  </r>
  <r>
    <n v="103116"/>
    <n v="60"/>
    <n v="70900"/>
    <x v="1"/>
    <n v="61700"/>
    <n v="0"/>
    <x v="3"/>
    <x v="2"/>
    <x v="1"/>
    <d v="2025-12-13T00:00:00"/>
    <n v="61700"/>
    <x v="1"/>
  </r>
  <r>
    <n v="103117"/>
    <n v="73"/>
    <n v="116800"/>
    <x v="0"/>
    <n v="0"/>
    <n v="0"/>
    <x v="4"/>
    <x v="2"/>
    <x v="1"/>
    <d v="2024-05-09T00:00:00"/>
    <n v="0"/>
    <x v="1"/>
  </r>
  <r>
    <n v="103118"/>
    <n v="58"/>
    <n v="89500"/>
    <x v="0"/>
    <n v="41000"/>
    <n v="383000"/>
    <x v="6"/>
    <x v="2"/>
    <x v="1"/>
    <d v="2026-03-26T00:00:00"/>
    <n v="424000"/>
    <x v="1"/>
  </r>
  <r>
    <n v="103119"/>
    <n v="72"/>
    <n v="35300"/>
    <x v="0"/>
    <n v="44100"/>
    <n v="0"/>
    <x v="1"/>
    <x v="2"/>
    <x v="1"/>
    <d v="2024-07-16T00:00:00"/>
    <n v="44100"/>
    <x v="0"/>
  </r>
  <r>
    <n v="103120"/>
    <n v="55"/>
    <n v="44500"/>
    <x v="1"/>
    <n v="0"/>
    <n v="0"/>
    <x v="0"/>
    <x v="2"/>
    <x v="1"/>
    <d v="2024-03-30T00:00:00"/>
    <n v="0"/>
    <x v="0"/>
  </r>
  <r>
    <n v="103121"/>
    <n v="74"/>
    <n v="42900"/>
    <x v="1"/>
    <n v="0"/>
    <n v="0"/>
    <x v="3"/>
    <x v="0"/>
    <x v="1"/>
    <d v="2024-11-06T00:00:00"/>
    <n v="0"/>
    <x v="0"/>
  </r>
  <r>
    <n v="103122"/>
    <n v="62"/>
    <n v="113200"/>
    <x v="2"/>
    <n v="51300"/>
    <n v="0"/>
    <x v="1"/>
    <x v="2"/>
    <x v="1"/>
    <d v="2026-08-12T00:00:00"/>
    <n v="51300"/>
    <x v="1"/>
  </r>
  <r>
    <n v="103123"/>
    <n v="33"/>
    <n v="32100"/>
    <x v="1"/>
    <n v="15300"/>
    <n v="0"/>
    <x v="7"/>
    <x v="3"/>
    <x v="1"/>
    <d v="2025-02-26T00:00:00"/>
    <n v="15300"/>
    <x v="0"/>
  </r>
  <r>
    <n v="103124"/>
    <n v="74"/>
    <n v="98800"/>
    <x v="1"/>
    <n v="29300"/>
    <n v="0"/>
    <x v="4"/>
    <x v="3"/>
    <x v="1"/>
    <d v="2025-06-27T00:00:00"/>
    <n v="29300"/>
    <x v="1"/>
  </r>
  <r>
    <n v="103125"/>
    <n v="55"/>
    <n v="37100"/>
    <x v="1"/>
    <n v="46400"/>
    <n v="0"/>
    <x v="1"/>
    <x v="0"/>
    <x v="1"/>
    <d v="2025-01-28T00:00:00"/>
    <n v="46400"/>
    <x v="0"/>
  </r>
  <r>
    <n v="103126"/>
    <n v="24"/>
    <n v="70300"/>
    <x v="0"/>
    <n v="57000"/>
    <n v="190000"/>
    <x v="0"/>
    <x v="1"/>
    <x v="1"/>
    <d v="2024-09-01T00:00:00"/>
    <n v="247000"/>
    <x v="1"/>
  </r>
  <r>
    <n v="103127"/>
    <n v="47"/>
    <n v="60300"/>
    <x v="1"/>
    <n v="39100"/>
    <n v="0"/>
    <x v="7"/>
    <x v="1"/>
    <x v="0"/>
    <d v="2024-09-06T00:00:00"/>
    <n v="39100"/>
    <x v="0"/>
  </r>
  <r>
    <n v="103128"/>
    <n v="29"/>
    <n v="42600"/>
    <x v="0"/>
    <n v="37900"/>
    <n v="0"/>
    <x v="4"/>
    <x v="3"/>
    <x v="0"/>
    <d v="2026-07-10T00:00:00"/>
    <n v="37900"/>
    <x v="0"/>
  </r>
  <r>
    <n v="103129"/>
    <n v="54"/>
    <n v="38000"/>
    <x v="2"/>
    <n v="0"/>
    <n v="0"/>
    <x v="0"/>
    <x v="1"/>
    <x v="1"/>
    <d v="2026-06-28T00:00:00"/>
    <n v="0"/>
    <x v="0"/>
  </r>
  <r>
    <n v="103130"/>
    <n v="58"/>
    <n v="43500"/>
    <x v="0"/>
    <n v="41200"/>
    <n v="0"/>
    <x v="4"/>
    <x v="3"/>
    <x v="1"/>
    <d v="2026-07-17T00:00:00"/>
    <n v="41200"/>
    <x v="0"/>
  </r>
  <r>
    <n v="103131"/>
    <n v="59"/>
    <n v="54000"/>
    <x v="1"/>
    <n v="34900"/>
    <n v="0"/>
    <x v="3"/>
    <x v="0"/>
    <x v="1"/>
    <d v="2025-03-15T00:00:00"/>
    <n v="34900"/>
    <x v="0"/>
  </r>
  <r>
    <n v="103132"/>
    <n v="69"/>
    <n v="75900"/>
    <x v="0"/>
    <n v="61500"/>
    <n v="0"/>
    <x v="0"/>
    <x v="2"/>
    <x v="1"/>
    <d v="2024-08-14T00:00:00"/>
    <n v="61500"/>
    <x v="1"/>
  </r>
  <r>
    <n v="103133"/>
    <n v="22"/>
    <n v="54800"/>
    <x v="1"/>
    <n v="7900"/>
    <n v="0"/>
    <x v="7"/>
    <x v="2"/>
    <x v="1"/>
    <d v="2025-12-20T00:00:00"/>
    <n v="7900"/>
    <x v="0"/>
  </r>
  <r>
    <n v="103134"/>
    <n v="42"/>
    <n v="66700"/>
    <x v="0"/>
    <n v="51900"/>
    <n v="0"/>
    <x v="4"/>
    <x v="0"/>
    <x v="1"/>
    <d v="2026-08-09T00:00:00"/>
    <n v="51900"/>
    <x v="0"/>
  </r>
  <r>
    <n v="103135"/>
    <n v="59"/>
    <n v="29800"/>
    <x v="2"/>
    <n v="37200"/>
    <n v="264000"/>
    <x v="1"/>
    <x v="3"/>
    <x v="1"/>
    <d v="2024-04-29T00:00:00"/>
    <n v="301200"/>
    <x v="0"/>
  </r>
  <r>
    <n v="103136"/>
    <n v="46"/>
    <n v="39900"/>
    <x v="0"/>
    <n v="48200"/>
    <n v="0"/>
    <x v="3"/>
    <x v="1"/>
    <x v="1"/>
    <d v="2025-07-02T00:00:00"/>
    <n v="48200"/>
    <x v="0"/>
  </r>
  <r>
    <n v="103137"/>
    <n v="70"/>
    <n v="22200"/>
    <x v="0"/>
    <n v="27800"/>
    <n v="0"/>
    <x v="7"/>
    <x v="1"/>
    <x v="1"/>
    <d v="2025-04-11T00:00:00"/>
    <n v="27800"/>
    <x v="0"/>
  </r>
  <r>
    <n v="103138"/>
    <n v="70"/>
    <n v="65000"/>
    <x v="0"/>
    <n v="33100"/>
    <n v="0"/>
    <x v="2"/>
    <x v="2"/>
    <x v="1"/>
    <d v="2026-04-15T00:00:00"/>
    <n v="33100"/>
    <x v="0"/>
  </r>
  <r>
    <n v="103139"/>
    <n v="29"/>
    <n v="44300"/>
    <x v="1"/>
    <n v="12200"/>
    <n v="0"/>
    <x v="3"/>
    <x v="3"/>
    <x v="1"/>
    <d v="2025-04-11T00:00:00"/>
    <n v="12200"/>
    <x v="0"/>
  </r>
  <r>
    <n v="103140"/>
    <n v="20"/>
    <n v="42200"/>
    <x v="0"/>
    <n v="26100"/>
    <n v="0"/>
    <x v="7"/>
    <x v="0"/>
    <x v="0"/>
    <d v="2024-06-13T00:00:00"/>
    <n v="26100"/>
    <x v="0"/>
  </r>
  <r>
    <n v="103141"/>
    <n v="43"/>
    <n v="107400"/>
    <x v="1"/>
    <n v="0"/>
    <n v="95000"/>
    <x v="6"/>
    <x v="1"/>
    <x v="1"/>
    <d v="2025-01-05T00:00:00"/>
    <n v="95000"/>
    <x v="1"/>
  </r>
  <r>
    <n v="103142"/>
    <n v="45"/>
    <n v="109200"/>
    <x v="1"/>
    <n v="0"/>
    <n v="0"/>
    <x v="4"/>
    <x v="1"/>
    <x v="1"/>
    <d v="2025-10-14T00:00:00"/>
    <n v="0"/>
    <x v="1"/>
  </r>
  <r>
    <n v="103143"/>
    <n v="55"/>
    <n v="37400"/>
    <x v="1"/>
    <n v="0"/>
    <n v="0"/>
    <x v="4"/>
    <x v="0"/>
    <x v="1"/>
    <d v="2024-02-10T00:00:00"/>
    <n v="0"/>
    <x v="0"/>
  </r>
  <r>
    <n v="103144"/>
    <n v="50"/>
    <n v="74100"/>
    <x v="0"/>
    <n v="17600"/>
    <n v="0"/>
    <x v="1"/>
    <x v="3"/>
    <x v="1"/>
    <d v="2024-10-24T00:00:00"/>
    <n v="17600"/>
    <x v="1"/>
  </r>
  <r>
    <n v="103145"/>
    <n v="54"/>
    <n v="49900"/>
    <x v="1"/>
    <n v="5000"/>
    <n v="0"/>
    <x v="6"/>
    <x v="1"/>
    <x v="1"/>
    <d v="2025-04-26T00:00:00"/>
    <n v="5000"/>
    <x v="0"/>
  </r>
  <r>
    <n v="103146"/>
    <n v="36"/>
    <n v="89000"/>
    <x v="1"/>
    <n v="17000"/>
    <n v="0"/>
    <x v="1"/>
    <x v="1"/>
    <x v="1"/>
    <d v="2025-02-09T00:00:00"/>
    <n v="17000"/>
    <x v="1"/>
  </r>
  <r>
    <n v="103147"/>
    <n v="40"/>
    <n v="31300"/>
    <x v="0"/>
    <n v="0"/>
    <n v="0"/>
    <x v="0"/>
    <x v="0"/>
    <x v="1"/>
    <d v="2024-01-20T00:00:00"/>
    <n v="0"/>
    <x v="0"/>
  </r>
  <r>
    <n v="103148"/>
    <n v="21"/>
    <n v="109400"/>
    <x v="2"/>
    <n v="14700"/>
    <n v="0"/>
    <x v="5"/>
    <x v="1"/>
    <x v="1"/>
    <d v="2026-06-17T00:00:00"/>
    <n v="14700"/>
    <x v="1"/>
  </r>
  <r>
    <n v="103149"/>
    <n v="31"/>
    <n v="41600"/>
    <x v="1"/>
    <n v="5900"/>
    <n v="0"/>
    <x v="4"/>
    <x v="1"/>
    <x v="0"/>
    <d v="2026-02-02T00:00:00"/>
    <n v="5900"/>
    <x v="0"/>
  </r>
  <r>
    <n v="103150"/>
    <n v="61"/>
    <n v="61900"/>
    <x v="1"/>
    <n v="0"/>
    <n v="0"/>
    <x v="4"/>
    <x v="0"/>
    <x v="1"/>
    <d v="2025-10-17T00:00:00"/>
    <n v="0"/>
    <x v="0"/>
  </r>
  <r>
    <n v="103151"/>
    <n v="37"/>
    <n v="41000"/>
    <x v="1"/>
    <n v="0"/>
    <n v="0"/>
    <x v="1"/>
    <x v="0"/>
    <x v="1"/>
    <d v="2024-05-24T00:00:00"/>
    <n v="0"/>
    <x v="0"/>
  </r>
  <r>
    <n v="103152"/>
    <n v="74"/>
    <n v="109300"/>
    <x v="1"/>
    <n v="61400"/>
    <n v="0"/>
    <x v="3"/>
    <x v="2"/>
    <x v="1"/>
    <d v="2026-03-14T00:00:00"/>
    <n v="61400"/>
    <x v="1"/>
  </r>
  <r>
    <n v="103153"/>
    <n v="47"/>
    <n v="68200"/>
    <x v="2"/>
    <n v="44700"/>
    <n v="150000"/>
    <x v="6"/>
    <x v="2"/>
    <x v="1"/>
    <d v="2024-09-15T00:00:00"/>
    <n v="194700"/>
    <x v="0"/>
  </r>
  <r>
    <n v="103154"/>
    <n v="24"/>
    <n v="106300"/>
    <x v="1"/>
    <n v="21700"/>
    <n v="0"/>
    <x v="6"/>
    <x v="1"/>
    <x v="1"/>
    <d v="2026-03-18T00:00:00"/>
    <n v="21700"/>
    <x v="1"/>
  </r>
  <r>
    <n v="103155"/>
    <n v="67"/>
    <n v="48800"/>
    <x v="1"/>
    <n v="43300"/>
    <n v="0"/>
    <x v="5"/>
    <x v="2"/>
    <x v="1"/>
    <d v="2026-04-30T00:00:00"/>
    <n v="43300"/>
    <x v="0"/>
  </r>
  <r>
    <n v="103156"/>
    <n v="64"/>
    <n v="39400"/>
    <x v="1"/>
    <n v="13600"/>
    <n v="0"/>
    <x v="2"/>
    <x v="0"/>
    <x v="1"/>
    <d v="2026-04-05T00:00:00"/>
    <n v="13600"/>
    <x v="0"/>
  </r>
  <r>
    <n v="103157"/>
    <n v="46"/>
    <n v="68400"/>
    <x v="2"/>
    <n v="48700"/>
    <n v="0"/>
    <x v="0"/>
    <x v="1"/>
    <x v="1"/>
    <d v="2024-12-05T00:00:00"/>
    <n v="48700"/>
    <x v="0"/>
  </r>
  <r>
    <n v="103158"/>
    <n v="43"/>
    <n v="38700"/>
    <x v="1"/>
    <n v="43600"/>
    <n v="0"/>
    <x v="6"/>
    <x v="1"/>
    <x v="1"/>
    <d v="2024-07-16T00:00:00"/>
    <n v="43600"/>
    <x v="0"/>
  </r>
  <r>
    <n v="103159"/>
    <n v="49"/>
    <n v="71100"/>
    <x v="0"/>
    <n v="67700"/>
    <n v="0"/>
    <x v="5"/>
    <x v="1"/>
    <x v="1"/>
    <d v="2026-08-18T00:00:00"/>
    <n v="67700"/>
    <x v="1"/>
  </r>
  <r>
    <n v="103160"/>
    <n v="41"/>
    <n v="80000"/>
    <x v="0"/>
    <n v="10100"/>
    <n v="128000"/>
    <x v="2"/>
    <x v="1"/>
    <x v="1"/>
    <d v="2024-11-23T00:00:00"/>
    <n v="138100"/>
    <x v="1"/>
  </r>
  <r>
    <n v="103161"/>
    <n v="52"/>
    <n v="74400"/>
    <x v="2"/>
    <n v="46700"/>
    <n v="0"/>
    <x v="4"/>
    <x v="1"/>
    <x v="1"/>
    <d v="2025-03-31T00:00:00"/>
    <n v="46700"/>
    <x v="1"/>
  </r>
  <r>
    <n v="103162"/>
    <n v="37"/>
    <n v="62000"/>
    <x v="1"/>
    <n v="21300"/>
    <n v="0"/>
    <x v="6"/>
    <x v="1"/>
    <x v="1"/>
    <d v="2024-04-30T00:00:00"/>
    <n v="21300"/>
    <x v="0"/>
  </r>
  <r>
    <n v="103163"/>
    <n v="73"/>
    <n v="62900"/>
    <x v="1"/>
    <n v="0"/>
    <n v="0"/>
    <x v="4"/>
    <x v="2"/>
    <x v="1"/>
    <d v="2026-07-03T00:00:00"/>
    <n v="0"/>
    <x v="0"/>
  </r>
  <r>
    <n v="103164"/>
    <n v="34"/>
    <n v="51100"/>
    <x v="0"/>
    <n v="0"/>
    <n v="0"/>
    <x v="2"/>
    <x v="1"/>
    <x v="1"/>
    <d v="2024-07-04T00:00:00"/>
    <n v="0"/>
    <x v="0"/>
  </r>
  <r>
    <n v="103165"/>
    <n v="22"/>
    <n v="48500"/>
    <x v="0"/>
    <n v="30600"/>
    <n v="0"/>
    <x v="0"/>
    <x v="2"/>
    <x v="1"/>
    <d v="2025-04-04T00:00:00"/>
    <n v="30600"/>
    <x v="0"/>
  </r>
  <r>
    <n v="103166"/>
    <n v="57"/>
    <n v="85300"/>
    <x v="1"/>
    <n v="50900"/>
    <n v="0"/>
    <x v="4"/>
    <x v="2"/>
    <x v="1"/>
    <d v="2026-02-24T00:00:00"/>
    <n v="50900"/>
    <x v="1"/>
  </r>
  <r>
    <n v="103167"/>
    <n v="75"/>
    <n v="74100"/>
    <x v="1"/>
    <n v="36600"/>
    <n v="0"/>
    <x v="2"/>
    <x v="3"/>
    <x v="1"/>
    <d v="2026-07-22T00:00:00"/>
    <n v="36600"/>
    <x v="1"/>
  </r>
  <r>
    <n v="103168"/>
    <n v="22"/>
    <n v="85400"/>
    <x v="1"/>
    <n v="68700"/>
    <n v="128000"/>
    <x v="3"/>
    <x v="2"/>
    <x v="1"/>
    <d v="2025-09-01T00:00:00"/>
    <n v="196700"/>
    <x v="1"/>
  </r>
  <r>
    <n v="103169"/>
    <n v="69"/>
    <n v="51600"/>
    <x v="1"/>
    <n v="22100"/>
    <n v="0"/>
    <x v="0"/>
    <x v="2"/>
    <x v="1"/>
    <d v="2025-08-14T00:00:00"/>
    <n v="22100"/>
    <x v="0"/>
  </r>
  <r>
    <n v="103170"/>
    <n v="53"/>
    <n v="66200"/>
    <x v="0"/>
    <n v="81400"/>
    <n v="0"/>
    <x v="1"/>
    <x v="0"/>
    <x v="1"/>
    <d v="2026-02-04T00:00:00"/>
    <n v="81400"/>
    <x v="0"/>
  </r>
  <r>
    <n v="103171"/>
    <n v="35"/>
    <n v="78500"/>
    <x v="0"/>
    <n v="0"/>
    <n v="0"/>
    <x v="4"/>
    <x v="2"/>
    <x v="1"/>
    <d v="2025-10-10T00:00:00"/>
    <n v="0"/>
    <x v="1"/>
  </r>
  <r>
    <n v="103172"/>
    <n v="41"/>
    <n v="75300"/>
    <x v="2"/>
    <n v="0"/>
    <n v="0"/>
    <x v="3"/>
    <x v="2"/>
    <x v="1"/>
    <d v="2025-11-24T00:00:00"/>
    <n v="0"/>
    <x v="1"/>
  </r>
  <r>
    <n v="103173"/>
    <n v="51"/>
    <n v="80200"/>
    <x v="2"/>
    <n v="62700"/>
    <n v="181000"/>
    <x v="1"/>
    <x v="1"/>
    <x v="1"/>
    <d v="2026-03-02T00:00:00"/>
    <n v="243700"/>
    <x v="1"/>
  </r>
  <r>
    <n v="103174"/>
    <n v="69"/>
    <n v="44500"/>
    <x v="1"/>
    <n v="28100"/>
    <n v="0"/>
    <x v="6"/>
    <x v="0"/>
    <x v="1"/>
    <d v="2025-05-23T00:00:00"/>
    <n v="28100"/>
    <x v="0"/>
  </r>
  <r>
    <n v="103175"/>
    <n v="57"/>
    <n v="46000"/>
    <x v="0"/>
    <n v="52900"/>
    <n v="0"/>
    <x v="5"/>
    <x v="0"/>
    <x v="1"/>
    <d v="2025-12-01T00:00:00"/>
    <n v="52900"/>
    <x v="0"/>
  </r>
  <r>
    <n v="103176"/>
    <n v="61"/>
    <n v="72100"/>
    <x v="2"/>
    <n v="14500"/>
    <n v="0"/>
    <x v="7"/>
    <x v="1"/>
    <x v="1"/>
    <d v="2024-06-23T00:00:00"/>
    <n v="14500"/>
    <x v="1"/>
  </r>
  <r>
    <n v="103177"/>
    <n v="67"/>
    <n v="54800"/>
    <x v="1"/>
    <n v="0"/>
    <n v="0"/>
    <x v="3"/>
    <x v="2"/>
    <x v="1"/>
    <d v="2025-04-07T00:00:00"/>
    <n v="0"/>
    <x v="0"/>
  </r>
  <r>
    <n v="103178"/>
    <n v="73"/>
    <n v="50200"/>
    <x v="0"/>
    <n v="8600"/>
    <n v="0"/>
    <x v="5"/>
    <x v="2"/>
    <x v="1"/>
    <d v="2026-07-30T00:00:00"/>
    <n v="8600"/>
    <x v="0"/>
  </r>
  <r>
    <n v="103179"/>
    <n v="52"/>
    <n v="41700"/>
    <x v="0"/>
    <n v="41400"/>
    <n v="0"/>
    <x v="6"/>
    <x v="1"/>
    <x v="1"/>
    <d v="2026-03-12T00:00:00"/>
    <n v="41400"/>
    <x v="0"/>
  </r>
  <r>
    <n v="103180"/>
    <n v="56"/>
    <n v="111700"/>
    <x v="1"/>
    <n v="0"/>
    <n v="0"/>
    <x v="3"/>
    <x v="0"/>
    <x v="1"/>
    <d v="2025-05-23T00:00:00"/>
    <n v="0"/>
    <x v="1"/>
  </r>
  <r>
    <n v="103181"/>
    <n v="41"/>
    <n v="54200"/>
    <x v="2"/>
    <n v="27200"/>
    <n v="0"/>
    <x v="3"/>
    <x v="3"/>
    <x v="1"/>
    <d v="2025-05-15T00:00:00"/>
    <n v="27200"/>
    <x v="0"/>
  </r>
  <r>
    <n v="103182"/>
    <n v="73"/>
    <n v="109000"/>
    <x v="1"/>
    <n v="0"/>
    <n v="0"/>
    <x v="0"/>
    <x v="1"/>
    <x v="1"/>
    <d v="2026-05-10T00:00:00"/>
    <n v="0"/>
    <x v="1"/>
  </r>
  <r>
    <n v="103183"/>
    <n v="49"/>
    <n v="57400"/>
    <x v="1"/>
    <n v="0"/>
    <n v="0"/>
    <x v="3"/>
    <x v="1"/>
    <x v="1"/>
    <d v="2024-01-27T00:00:00"/>
    <n v="0"/>
    <x v="0"/>
  </r>
  <r>
    <n v="103184"/>
    <n v="61"/>
    <n v="69300"/>
    <x v="1"/>
    <n v="27700"/>
    <n v="147000"/>
    <x v="2"/>
    <x v="2"/>
    <x v="1"/>
    <d v="2024-07-12T00:00:00"/>
    <n v="174700"/>
    <x v="0"/>
  </r>
  <r>
    <n v="103185"/>
    <n v="46"/>
    <n v="65800"/>
    <x v="0"/>
    <n v="36900"/>
    <n v="0"/>
    <x v="6"/>
    <x v="0"/>
    <x v="1"/>
    <d v="2026-02-22T00:00:00"/>
    <n v="36900"/>
    <x v="0"/>
  </r>
  <r>
    <n v="103186"/>
    <n v="28"/>
    <n v="103700"/>
    <x v="0"/>
    <n v="18600"/>
    <n v="0"/>
    <x v="2"/>
    <x v="1"/>
    <x v="1"/>
    <d v="2026-04-08T00:00:00"/>
    <n v="18600"/>
    <x v="1"/>
  </r>
  <r>
    <n v="103187"/>
    <n v="27"/>
    <n v="46000"/>
    <x v="1"/>
    <n v="45700"/>
    <n v="367000"/>
    <x v="3"/>
    <x v="2"/>
    <x v="1"/>
    <d v="2024-10-26T00:00:00"/>
    <n v="412700"/>
    <x v="0"/>
  </r>
  <r>
    <n v="103188"/>
    <n v="47"/>
    <n v="84700"/>
    <x v="1"/>
    <n v="20700"/>
    <n v="0"/>
    <x v="2"/>
    <x v="2"/>
    <x v="1"/>
    <d v="2024-02-12T00:00:00"/>
    <n v="20700"/>
    <x v="1"/>
  </r>
  <r>
    <n v="103189"/>
    <n v="29"/>
    <n v="27900"/>
    <x v="1"/>
    <n v="12200"/>
    <n v="0"/>
    <x v="5"/>
    <x v="1"/>
    <x v="1"/>
    <d v="2025-01-04T00:00:00"/>
    <n v="12200"/>
    <x v="0"/>
  </r>
  <r>
    <n v="103190"/>
    <n v="56"/>
    <n v="45400"/>
    <x v="1"/>
    <n v="51500"/>
    <n v="222000"/>
    <x v="0"/>
    <x v="3"/>
    <x v="0"/>
    <d v="2025-11-24T00:00:00"/>
    <n v="273500"/>
    <x v="0"/>
  </r>
  <r>
    <n v="103191"/>
    <n v="66"/>
    <n v="80900"/>
    <x v="1"/>
    <n v="8500"/>
    <n v="0"/>
    <x v="0"/>
    <x v="0"/>
    <x v="1"/>
    <d v="2024-06-02T00:00:00"/>
    <n v="8500"/>
    <x v="1"/>
  </r>
  <r>
    <n v="103192"/>
    <n v="54"/>
    <n v="71200"/>
    <x v="0"/>
    <n v="26600"/>
    <n v="0"/>
    <x v="1"/>
    <x v="1"/>
    <x v="1"/>
    <d v="2025-11-18T00:00:00"/>
    <n v="26600"/>
    <x v="1"/>
  </r>
  <r>
    <n v="103193"/>
    <n v="20"/>
    <n v="105000"/>
    <x v="1"/>
    <n v="70400"/>
    <n v="0"/>
    <x v="6"/>
    <x v="2"/>
    <x v="1"/>
    <d v="2025-12-23T00:00:00"/>
    <n v="70400"/>
    <x v="1"/>
  </r>
  <r>
    <n v="103194"/>
    <n v="41"/>
    <n v="55000"/>
    <x v="1"/>
    <n v="36000"/>
    <n v="0"/>
    <x v="5"/>
    <x v="0"/>
    <x v="1"/>
    <d v="2025-10-23T00:00:00"/>
    <n v="36000"/>
    <x v="0"/>
  </r>
  <r>
    <n v="103195"/>
    <n v="28"/>
    <n v="59000"/>
    <x v="2"/>
    <n v="48100"/>
    <n v="250000"/>
    <x v="1"/>
    <x v="2"/>
    <x v="1"/>
    <d v="2025-12-11T00:00:00"/>
    <n v="298100"/>
    <x v="0"/>
  </r>
  <r>
    <n v="103196"/>
    <n v="67"/>
    <n v="88400"/>
    <x v="1"/>
    <n v="43600"/>
    <n v="0"/>
    <x v="4"/>
    <x v="0"/>
    <x v="1"/>
    <d v="2026-08-09T00:00:00"/>
    <n v="43600"/>
    <x v="1"/>
  </r>
  <r>
    <n v="103197"/>
    <n v="56"/>
    <n v="24800"/>
    <x v="2"/>
    <n v="11300"/>
    <n v="0"/>
    <x v="2"/>
    <x v="0"/>
    <x v="1"/>
    <d v="2025-04-13T00:00:00"/>
    <n v="11300"/>
    <x v="0"/>
  </r>
  <r>
    <n v="103198"/>
    <n v="69"/>
    <n v="67600"/>
    <x v="1"/>
    <n v="0"/>
    <n v="0"/>
    <x v="0"/>
    <x v="3"/>
    <x v="1"/>
    <d v="2025-11-25T00:00:00"/>
    <n v="0"/>
    <x v="0"/>
  </r>
  <r>
    <n v="103199"/>
    <n v="26"/>
    <n v="39500"/>
    <x v="1"/>
    <n v="19200"/>
    <n v="0"/>
    <x v="6"/>
    <x v="1"/>
    <x v="1"/>
    <d v="2026-07-04T00:00:00"/>
    <n v="19200"/>
    <x v="0"/>
  </r>
  <r>
    <n v="103200"/>
    <n v="30"/>
    <n v="100600"/>
    <x v="1"/>
    <n v="0"/>
    <n v="0"/>
    <x v="3"/>
    <x v="1"/>
    <x v="1"/>
    <d v="2026-02-12T00:00:00"/>
    <n v="0"/>
    <x v="1"/>
  </r>
  <r>
    <n v="103201"/>
    <n v="63"/>
    <n v="87600"/>
    <x v="0"/>
    <n v="58100"/>
    <n v="0"/>
    <x v="4"/>
    <x v="1"/>
    <x v="1"/>
    <d v="2025-10-26T00:00:00"/>
    <n v="58100"/>
    <x v="1"/>
  </r>
  <r>
    <n v="103202"/>
    <n v="59"/>
    <n v="37900"/>
    <x v="1"/>
    <n v="7900"/>
    <n v="143000"/>
    <x v="1"/>
    <x v="2"/>
    <x v="1"/>
    <d v="2025-07-26T00:00:00"/>
    <n v="150900"/>
    <x v="0"/>
  </r>
  <r>
    <n v="103203"/>
    <n v="28"/>
    <n v="96300"/>
    <x v="0"/>
    <n v="30700"/>
    <n v="198000"/>
    <x v="6"/>
    <x v="2"/>
    <x v="1"/>
    <d v="2024-11-27T00:00:00"/>
    <n v="228700"/>
    <x v="1"/>
  </r>
  <r>
    <n v="103204"/>
    <n v="51"/>
    <n v="78900"/>
    <x v="0"/>
    <n v="17300"/>
    <n v="0"/>
    <x v="4"/>
    <x v="2"/>
    <x v="1"/>
    <d v="2024-06-11T00:00:00"/>
    <n v="17300"/>
    <x v="1"/>
  </r>
  <r>
    <n v="103205"/>
    <n v="64"/>
    <n v="72100"/>
    <x v="2"/>
    <n v="0"/>
    <n v="116000"/>
    <x v="4"/>
    <x v="1"/>
    <x v="1"/>
    <d v="2025-08-13T00:00:00"/>
    <n v="116000"/>
    <x v="1"/>
  </r>
  <r>
    <n v="103206"/>
    <n v="55"/>
    <n v="29900"/>
    <x v="1"/>
    <n v="29300"/>
    <n v="0"/>
    <x v="2"/>
    <x v="2"/>
    <x v="1"/>
    <d v="2025-05-17T00:00:00"/>
    <n v="29300"/>
    <x v="0"/>
  </r>
  <r>
    <n v="103207"/>
    <n v="46"/>
    <n v="23900"/>
    <x v="0"/>
    <n v="0"/>
    <n v="0"/>
    <x v="1"/>
    <x v="3"/>
    <x v="1"/>
    <d v="2026-08-31T00:00:00"/>
    <n v="0"/>
    <x v="0"/>
  </r>
  <r>
    <n v="103208"/>
    <n v="36"/>
    <n v="55700"/>
    <x v="0"/>
    <n v="55900"/>
    <n v="0"/>
    <x v="2"/>
    <x v="1"/>
    <x v="1"/>
    <d v="2025-04-21T00:00:00"/>
    <n v="55900"/>
    <x v="0"/>
  </r>
  <r>
    <n v="103209"/>
    <n v="64"/>
    <n v="44100"/>
    <x v="1"/>
    <n v="0"/>
    <n v="0"/>
    <x v="7"/>
    <x v="2"/>
    <x v="1"/>
    <d v="2025-12-14T00:00:00"/>
    <n v="0"/>
    <x v="0"/>
  </r>
  <r>
    <n v="103210"/>
    <n v="64"/>
    <n v="67700"/>
    <x v="1"/>
    <n v="31400"/>
    <n v="0"/>
    <x v="1"/>
    <x v="2"/>
    <x v="1"/>
    <d v="2025-06-10T00:00:00"/>
    <n v="31400"/>
    <x v="0"/>
  </r>
  <r>
    <n v="103211"/>
    <n v="52"/>
    <n v="67700"/>
    <x v="2"/>
    <n v="23700"/>
    <n v="0"/>
    <x v="6"/>
    <x v="0"/>
    <x v="1"/>
    <d v="2026-03-26T00:00:00"/>
    <n v="23700"/>
    <x v="0"/>
  </r>
  <r>
    <n v="103212"/>
    <n v="29"/>
    <n v="97600"/>
    <x v="0"/>
    <n v="42500"/>
    <n v="0"/>
    <x v="0"/>
    <x v="2"/>
    <x v="0"/>
    <d v="2024-07-19T00:00:00"/>
    <n v="42500"/>
    <x v="1"/>
  </r>
  <r>
    <n v="103213"/>
    <n v="75"/>
    <n v="59300"/>
    <x v="0"/>
    <n v="0"/>
    <n v="185000"/>
    <x v="1"/>
    <x v="1"/>
    <x v="1"/>
    <d v="2024-01-11T00:00:00"/>
    <n v="185000"/>
    <x v="0"/>
  </r>
  <r>
    <n v="103214"/>
    <n v="70"/>
    <n v="41300"/>
    <x v="0"/>
    <n v="0"/>
    <n v="0"/>
    <x v="5"/>
    <x v="3"/>
    <x v="1"/>
    <d v="2026-06-09T00:00:00"/>
    <n v="0"/>
    <x v="0"/>
  </r>
  <r>
    <n v="103215"/>
    <n v="56"/>
    <n v="90100"/>
    <x v="0"/>
    <n v="38600"/>
    <n v="130000"/>
    <x v="4"/>
    <x v="1"/>
    <x v="1"/>
    <d v="2024-05-16T00:00:00"/>
    <n v="168600"/>
    <x v="1"/>
  </r>
  <r>
    <n v="103216"/>
    <n v="55"/>
    <n v="74300"/>
    <x v="1"/>
    <n v="45400"/>
    <n v="187000"/>
    <x v="6"/>
    <x v="2"/>
    <x v="1"/>
    <d v="2025-09-23T00:00:00"/>
    <n v="232400"/>
    <x v="1"/>
  </r>
  <r>
    <n v="103217"/>
    <n v="55"/>
    <n v="73900"/>
    <x v="0"/>
    <n v="4000"/>
    <n v="0"/>
    <x v="7"/>
    <x v="2"/>
    <x v="1"/>
    <d v="2026-01-11T00:00:00"/>
    <n v="4000"/>
    <x v="1"/>
  </r>
  <r>
    <n v="103218"/>
    <n v="63"/>
    <n v="53100"/>
    <x v="2"/>
    <n v="17500"/>
    <n v="0"/>
    <x v="0"/>
    <x v="0"/>
    <x v="0"/>
    <d v="2026-04-26T00:00:00"/>
    <n v="17500"/>
    <x v="0"/>
  </r>
  <r>
    <n v="103219"/>
    <n v="38"/>
    <n v="30500"/>
    <x v="1"/>
    <n v="36500"/>
    <n v="0"/>
    <x v="7"/>
    <x v="0"/>
    <x v="1"/>
    <d v="2024-06-04T00:00:00"/>
    <n v="36500"/>
    <x v="0"/>
  </r>
  <r>
    <n v="103220"/>
    <n v="61"/>
    <n v="100600"/>
    <x v="1"/>
    <n v="24700"/>
    <n v="97000"/>
    <x v="6"/>
    <x v="2"/>
    <x v="1"/>
    <d v="2026-04-14T00:00:00"/>
    <n v="121700"/>
    <x v="1"/>
  </r>
  <r>
    <n v="103221"/>
    <n v="26"/>
    <n v="59500"/>
    <x v="0"/>
    <n v="17800"/>
    <n v="0"/>
    <x v="4"/>
    <x v="1"/>
    <x v="1"/>
    <d v="2025-04-29T00:00:00"/>
    <n v="17800"/>
    <x v="0"/>
  </r>
  <r>
    <n v="103222"/>
    <n v="30"/>
    <n v="74400"/>
    <x v="2"/>
    <n v="45200"/>
    <n v="117000"/>
    <x v="4"/>
    <x v="1"/>
    <x v="1"/>
    <d v="2025-01-08T00:00:00"/>
    <n v="162200"/>
    <x v="1"/>
  </r>
  <r>
    <n v="103223"/>
    <n v="59"/>
    <n v="84600"/>
    <x v="1"/>
    <n v="44600"/>
    <n v="0"/>
    <x v="2"/>
    <x v="1"/>
    <x v="1"/>
    <d v="2025-03-08T00:00:00"/>
    <n v="44600"/>
    <x v="1"/>
  </r>
  <r>
    <n v="103224"/>
    <n v="40"/>
    <n v="66800"/>
    <x v="0"/>
    <n v="23800"/>
    <n v="0"/>
    <x v="4"/>
    <x v="1"/>
    <x v="1"/>
    <d v="2025-11-25T00:00:00"/>
    <n v="23800"/>
    <x v="0"/>
  </r>
  <r>
    <n v="103225"/>
    <n v="63"/>
    <n v="68400"/>
    <x v="0"/>
    <n v="17300"/>
    <n v="0"/>
    <x v="1"/>
    <x v="2"/>
    <x v="1"/>
    <d v="2026-01-06T00:00:00"/>
    <n v="17300"/>
    <x v="0"/>
  </r>
  <r>
    <n v="103226"/>
    <n v="33"/>
    <n v="55800"/>
    <x v="1"/>
    <n v="0"/>
    <n v="0"/>
    <x v="2"/>
    <x v="2"/>
    <x v="1"/>
    <d v="2026-07-08T00:00:00"/>
    <n v="0"/>
    <x v="0"/>
  </r>
  <r>
    <n v="103227"/>
    <n v="32"/>
    <n v="43400"/>
    <x v="2"/>
    <n v="0"/>
    <n v="0"/>
    <x v="7"/>
    <x v="0"/>
    <x v="1"/>
    <d v="2026-03-26T00:00:00"/>
    <n v="0"/>
    <x v="0"/>
  </r>
  <r>
    <n v="103228"/>
    <n v="68"/>
    <n v="52800"/>
    <x v="0"/>
    <n v="0"/>
    <n v="0"/>
    <x v="1"/>
    <x v="1"/>
    <x v="1"/>
    <d v="2026-01-31T00:00:00"/>
    <n v="0"/>
    <x v="0"/>
  </r>
  <r>
    <n v="103229"/>
    <n v="63"/>
    <n v="98700"/>
    <x v="0"/>
    <n v="35400"/>
    <n v="0"/>
    <x v="0"/>
    <x v="1"/>
    <x v="1"/>
    <d v="2025-09-05T00:00:00"/>
    <n v="35400"/>
    <x v="1"/>
  </r>
  <r>
    <n v="103230"/>
    <n v="62"/>
    <n v="29200"/>
    <x v="1"/>
    <n v="36500"/>
    <n v="0"/>
    <x v="0"/>
    <x v="1"/>
    <x v="1"/>
    <d v="2024-02-05T00:00:00"/>
    <n v="36500"/>
    <x v="0"/>
  </r>
  <r>
    <n v="103231"/>
    <n v="52"/>
    <n v="30500"/>
    <x v="2"/>
    <n v="0"/>
    <n v="0"/>
    <x v="4"/>
    <x v="1"/>
    <x v="1"/>
    <d v="2024-02-16T00:00:00"/>
    <n v="0"/>
    <x v="0"/>
  </r>
  <r>
    <n v="103232"/>
    <n v="63"/>
    <n v="50300"/>
    <x v="1"/>
    <n v="37500"/>
    <n v="0"/>
    <x v="1"/>
    <x v="2"/>
    <x v="1"/>
    <d v="2026-02-22T00:00:00"/>
    <n v="37500"/>
    <x v="0"/>
  </r>
  <r>
    <n v="103233"/>
    <n v="35"/>
    <n v="48000"/>
    <x v="2"/>
    <n v="0"/>
    <n v="326000"/>
    <x v="0"/>
    <x v="1"/>
    <x v="1"/>
    <d v="2024-02-28T00:00:00"/>
    <n v="326000"/>
    <x v="0"/>
  </r>
  <r>
    <n v="103234"/>
    <n v="64"/>
    <n v="61100"/>
    <x v="0"/>
    <n v="0"/>
    <n v="0"/>
    <x v="5"/>
    <x v="1"/>
    <x v="1"/>
    <d v="2025-03-10T00:00:00"/>
    <n v="0"/>
    <x v="0"/>
  </r>
  <r>
    <n v="103235"/>
    <n v="52"/>
    <n v="68000"/>
    <x v="0"/>
    <n v="0"/>
    <n v="0"/>
    <x v="4"/>
    <x v="2"/>
    <x v="1"/>
    <d v="2024-12-31T00:00:00"/>
    <n v="0"/>
    <x v="0"/>
  </r>
  <r>
    <n v="103236"/>
    <n v="72"/>
    <n v="65400"/>
    <x v="1"/>
    <n v="10600"/>
    <n v="0"/>
    <x v="3"/>
    <x v="1"/>
    <x v="1"/>
    <d v="2026-05-21T00:00:00"/>
    <n v="10600"/>
    <x v="0"/>
  </r>
  <r>
    <n v="103237"/>
    <n v="54"/>
    <n v="22700"/>
    <x v="0"/>
    <n v="0"/>
    <n v="307000"/>
    <x v="5"/>
    <x v="1"/>
    <x v="1"/>
    <d v="2025-09-22T00:00:00"/>
    <n v="307000"/>
    <x v="0"/>
  </r>
  <r>
    <n v="103238"/>
    <n v="51"/>
    <n v="72300"/>
    <x v="1"/>
    <n v="24900"/>
    <n v="0"/>
    <x v="4"/>
    <x v="0"/>
    <x v="1"/>
    <d v="2026-06-24T00:00:00"/>
    <n v="24900"/>
    <x v="1"/>
  </r>
  <r>
    <n v="103239"/>
    <n v="50"/>
    <n v="102200"/>
    <x v="0"/>
    <n v="40300"/>
    <n v="0"/>
    <x v="5"/>
    <x v="2"/>
    <x v="1"/>
    <d v="2025-09-15T00:00:00"/>
    <n v="40300"/>
    <x v="1"/>
  </r>
  <r>
    <n v="103240"/>
    <n v="66"/>
    <n v="62700"/>
    <x v="1"/>
    <n v="23200"/>
    <n v="0"/>
    <x v="7"/>
    <x v="3"/>
    <x v="1"/>
    <d v="2025-07-14T00:00:00"/>
    <n v="23200"/>
    <x v="0"/>
  </r>
  <r>
    <n v="103241"/>
    <n v="36"/>
    <n v="74000"/>
    <x v="2"/>
    <n v="0"/>
    <n v="193000"/>
    <x v="7"/>
    <x v="2"/>
    <x v="1"/>
    <d v="2024-12-10T00:00:00"/>
    <n v="193000"/>
    <x v="1"/>
  </r>
  <r>
    <n v="103242"/>
    <n v="54"/>
    <n v="29300"/>
    <x v="1"/>
    <n v="0"/>
    <n v="0"/>
    <x v="4"/>
    <x v="1"/>
    <x v="1"/>
    <d v="2026-06-04T00:00:00"/>
    <n v="0"/>
    <x v="0"/>
  </r>
  <r>
    <n v="103243"/>
    <n v="73"/>
    <n v="54900"/>
    <x v="2"/>
    <n v="40800"/>
    <n v="0"/>
    <x v="7"/>
    <x v="3"/>
    <x v="1"/>
    <d v="2024-10-12T00:00:00"/>
    <n v="40800"/>
    <x v="0"/>
  </r>
  <r>
    <n v="103244"/>
    <n v="41"/>
    <n v="60700"/>
    <x v="2"/>
    <n v="0"/>
    <n v="0"/>
    <x v="3"/>
    <x v="2"/>
    <x v="1"/>
    <d v="2024-04-28T00:00:00"/>
    <n v="0"/>
    <x v="0"/>
  </r>
  <r>
    <n v="103245"/>
    <n v="59"/>
    <n v="103000"/>
    <x v="1"/>
    <n v="0"/>
    <n v="0"/>
    <x v="3"/>
    <x v="2"/>
    <x v="1"/>
    <d v="2026-06-30T00:00:00"/>
    <n v="0"/>
    <x v="1"/>
  </r>
  <r>
    <n v="103246"/>
    <n v="20"/>
    <n v="74800"/>
    <x v="2"/>
    <n v="46100"/>
    <n v="0"/>
    <x v="0"/>
    <x v="3"/>
    <x v="1"/>
    <d v="2024-09-14T00:00:00"/>
    <n v="46100"/>
    <x v="1"/>
  </r>
  <r>
    <n v="103247"/>
    <n v="44"/>
    <n v="98000"/>
    <x v="0"/>
    <n v="16700"/>
    <n v="375000"/>
    <x v="5"/>
    <x v="1"/>
    <x v="1"/>
    <d v="2024-09-05T00:00:00"/>
    <n v="391700"/>
    <x v="1"/>
  </r>
  <r>
    <n v="103248"/>
    <n v="47"/>
    <n v="77400"/>
    <x v="0"/>
    <n v="67600"/>
    <n v="180000"/>
    <x v="1"/>
    <x v="2"/>
    <x v="1"/>
    <d v="2026-08-01T00:00:00"/>
    <n v="247600"/>
    <x v="1"/>
  </r>
  <r>
    <n v="103249"/>
    <n v="35"/>
    <n v="93900"/>
    <x v="1"/>
    <n v="0"/>
    <n v="0"/>
    <x v="1"/>
    <x v="2"/>
    <x v="1"/>
    <d v="2024-09-15T00:00:00"/>
    <n v="0"/>
    <x v="1"/>
  </r>
  <r>
    <n v="103250"/>
    <n v="53"/>
    <n v="27000"/>
    <x v="1"/>
    <n v="27300"/>
    <n v="132000"/>
    <x v="5"/>
    <x v="1"/>
    <x v="0"/>
    <d v="2026-05-07T00:00:00"/>
    <n v="159300"/>
    <x v="0"/>
  </r>
  <r>
    <n v="103251"/>
    <n v="48"/>
    <n v="110200"/>
    <x v="1"/>
    <n v="0"/>
    <n v="0"/>
    <x v="7"/>
    <x v="2"/>
    <x v="1"/>
    <d v="2025-02-27T00:00:00"/>
    <n v="0"/>
    <x v="1"/>
  </r>
  <r>
    <n v="103252"/>
    <n v="60"/>
    <n v="71200"/>
    <x v="1"/>
    <n v="61800"/>
    <n v="0"/>
    <x v="0"/>
    <x v="0"/>
    <x v="0"/>
    <d v="2025-10-02T00:00:00"/>
    <n v="61800"/>
    <x v="1"/>
  </r>
  <r>
    <n v="103253"/>
    <n v="24"/>
    <n v="41700"/>
    <x v="0"/>
    <n v="52100"/>
    <n v="0"/>
    <x v="7"/>
    <x v="0"/>
    <x v="1"/>
    <d v="2026-07-16T00:00:00"/>
    <n v="52100"/>
    <x v="0"/>
  </r>
  <r>
    <n v="103254"/>
    <n v="45"/>
    <n v="54100"/>
    <x v="1"/>
    <n v="0"/>
    <n v="0"/>
    <x v="2"/>
    <x v="1"/>
    <x v="1"/>
    <d v="2025-01-20T00:00:00"/>
    <n v="0"/>
    <x v="0"/>
  </r>
  <r>
    <n v="103255"/>
    <n v="34"/>
    <n v="50200"/>
    <x v="1"/>
    <n v="0"/>
    <n v="341000"/>
    <x v="4"/>
    <x v="1"/>
    <x v="1"/>
    <d v="2025-07-18T00:00:00"/>
    <n v="341000"/>
    <x v="0"/>
  </r>
  <r>
    <n v="103256"/>
    <n v="63"/>
    <n v="61400"/>
    <x v="1"/>
    <n v="17500"/>
    <n v="0"/>
    <x v="1"/>
    <x v="1"/>
    <x v="0"/>
    <d v="2026-08-05T00:00:00"/>
    <n v="17500"/>
    <x v="0"/>
  </r>
  <r>
    <n v="103257"/>
    <n v="40"/>
    <n v="89600"/>
    <x v="0"/>
    <n v="67800"/>
    <n v="0"/>
    <x v="5"/>
    <x v="2"/>
    <x v="1"/>
    <d v="2024-06-09T00:00:00"/>
    <n v="67800"/>
    <x v="1"/>
  </r>
  <r>
    <n v="103258"/>
    <n v="64"/>
    <n v="90400"/>
    <x v="2"/>
    <n v="9100"/>
    <n v="158000"/>
    <x v="3"/>
    <x v="0"/>
    <x v="1"/>
    <d v="2025-09-23T00:00:00"/>
    <n v="167100"/>
    <x v="1"/>
  </r>
  <r>
    <n v="103259"/>
    <n v="54"/>
    <n v="63800"/>
    <x v="2"/>
    <n v="48900"/>
    <n v="0"/>
    <x v="3"/>
    <x v="0"/>
    <x v="1"/>
    <d v="2024-07-31T00:00:00"/>
    <n v="48900"/>
    <x v="0"/>
  </r>
  <r>
    <n v="103260"/>
    <n v="75"/>
    <n v="55200"/>
    <x v="1"/>
    <n v="23100"/>
    <n v="0"/>
    <x v="7"/>
    <x v="1"/>
    <x v="1"/>
    <d v="2026-08-25T00:00:00"/>
    <n v="23100"/>
    <x v="0"/>
  </r>
  <r>
    <n v="103261"/>
    <n v="54"/>
    <n v="75800"/>
    <x v="0"/>
    <n v="16200"/>
    <n v="0"/>
    <x v="1"/>
    <x v="3"/>
    <x v="1"/>
    <d v="2024-06-02T00:00:00"/>
    <n v="16200"/>
    <x v="1"/>
  </r>
  <r>
    <n v="103262"/>
    <n v="20"/>
    <n v="60200"/>
    <x v="2"/>
    <n v="20000"/>
    <n v="0"/>
    <x v="0"/>
    <x v="3"/>
    <x v="0"/>
    <d v="2024-07-05T00:00:00"/>
    <n v="20000"/>
    <x v="0"/>
  </r>
  <r>
    <n v="103263"/>
    <n v="62"/>
    <n v="62400"/>
    <x v="2"/>
    <n v="41800"/>
    <n v="0"/>
    <x v="2"/>
    <x v="1"/>
    <x v="1"/>
    <d v="2025-03-11T00:00:00"/>
    <n v="41800"/>
    <x v="0"/>
  </r>
  <r>
    <n v="103264"/>
    <n v="31"/>
    <n v="40800"/>
    <x v="0"/>
    <n v="0"/>
    <n v="0"/>
    <x v="7"/>
    <x v="1"/>
    <x v="1"/>
    <d v="2025-12-31T00:00:00"/>
    <n v="0"/>
    <x v="0"/>
  </r>
  <r>
    <n v="103265"/>
    <n v="69"/>
    <n v="27900"/>
    <x v="1"/>
    <n v="34900"/>
    <n v="0"/>
    <x v="7"/>
    <x v="1"/>
    <x v="1"/>
    <d v="2026-03-05T00:00:00"/>
    <n v="34900"/>
    <x v="0"/>
  </r>
  <r>
    <n v="103266"/>
    <n v="49"/>
    <n v="42400"/>
    <x v="0"/>
    <n v="0"/>
    <n v="177000"/>
    <x v="7"/>
    <x v="3"/>
    <x v="1"/>
    <d v="2024-01-24T00:00:00"/>
    <n v="177000"/>
    <x v="0"/>
  </r>
  <r>
    <n v="103267"/>
    <n v="39"/>
    <n v="76500"/>
    <x v="0"/>
    <n v="48400"/>
    <n v="177000"/>
    <x v="5"/>
    <x v="0"/>
    <x v="1"/>
    <d v="2026-01-13T00:00:00"/>
    <n v="225400"/>
    <x v="1"/>
  </r>
  <r>
    <n v="103268"/>
    <n v="70"/>
    <n v="75700"/>
    <x v="1"/>
    <n v="31000"/>
    <n v="0"/>
    <x v="7"/>
    <x v="1"/>
    <x v="1"/>
    <d v="2024-04-16T00:00:00"/>
    <n v="31000"/>
    <x v="1"/>
  </r>
  <r>
    <n v="103269"/>
    <n v="46"/>
    <n v="58200"/>
    <x v="0"/>
    <n v="0"/>
    <n v="282000"/>
    <x v="1"/>
    <x v="1"/>
    <x v="1"/>
    <d v="2026-06-03T00:00:00"/>
    <n v="282000"/>
    <x v="0"/>
  </r>
  <r>
    <n v="103270"/>
    <n v="38"/>
    <n v="53100"/>
    <x v="0"/>
    <n v="27900"/>
    <n v="0"/>
    <x v="2"/>
    <x v="1"/>
    <x v="0"/>
    <d v="2024-10-12T00:00:00"/>
    <n v="27900"/>
    <x v="0"/>
  </r>
  <r>
    <n v="103271"/>
    <n v="52"/>
    <n v="73100"/>
    <x v="2"/>
    <n v="0"/>
    <n v="0"/>
    <x v="3"/>
    <x v="2"/>
    <x v="1"/>
    <d v="2025-12-29T00:00:00"/>
    <n v="0"/>
    <x v="1"/>
  </r>
  <r>
    <n v="103272"/>
    <n v="31"/>
    <n v="69100"/>
    <x v="1"/>
    <n v="22600"/>
    <n v="0"/>
    <x v="2"/>
    <x v="1"/>
    <x v="1"/>
    <d v="2025-03-24T00:00:00"/>
    <n v="22600"/>
    <x v="0"/>
  </r>
  <r>
    <n v="103273"/>
    <n v="21"/>
    <n v="23300"/>
    <x v="2"/>
    <n v="0"/>
    <n v="0"/>
    <x v="5"/>
    <x v="3"/>
    <x v="1"/>
    <d v="2025-08-19T00:00:00"/>
    <n v="0"/>
    <x v="0"/>
  </r>
  <r>
    <n v="103274"/>
    <n v="73"/>
    <n v="66700"/>
    <x v="2"/>
    <n v="0"/>
    <n v="0"/>
    <x v="6"/>
    <x v="1"/>
    <x v="1"/>
    <d v="2024-01-25T00:00:00"/>
    <n v="0"/>
    <x v="0"/>
  </r>
  <r>
    <n v="103275"/>
    <n v="60"/>
    <n v="63800"/>
    <x v="1"/>
    <n v="15500"/>
    <n v="0"/>
    <x v="3"/>
    <x v="0"/>
    <x v="1"/>
    <d v="2025-06-07T00:00:00"/>
    <n v="15500"/>
    <x v="0"/>
  </r>
  <r>
    <n v="103276"/>
    <n v="21"/>
    <n v="75100"/>
    <x v="1"/>
    <n v="0"/>
    <n v="0"/>
    <x v="1"/>
    <x v="2"/>
    <x v="1"/>
    <d v="2024-08-17T00:00:00"/>
    <n v="0"/>
    <x v="1"/>
  </r>
  <r>
    <n v="103277"/>
    <n v="35"/>
    <n v="50300"/>
    <x v="0"/>
    <n v="62900"/>
    <n v="0"/>
    <x v="0"/>
    <x v="2"/>
    <x v="1"/>
    <d v="2026-08-27T00:00:00"/>
    <n v="62900"/>
    <x v="0"/>
  </r>
  <r>
    <n v="103278"/>
    <n v="27"/>
    <n v="50900"/>
    <x v="1"/>
    <n v="57900"/>
    <n v="188000"/>
    <x v="6"/>
    <x v="2"/>
    <x v="1"/>
    <d v="2025-05-17T00:00:00"/>
    <n v="245900"/>
    <x v="0"/>
  </r>
  <r>
    <n v="103279"/>
    <n v="30"/>
    <n v="60600"/>
    <x v="1"/>
    <n v="0"/>
    <n v="0"/>
    <x v="2"/>
    <x v="1"/>
    <x v="1"/>
    <d v="2025-11-06T00:00:00"/>
    <n v="0"/>
    <x v="0"/>
  </r>
  <r>
    <n v="103280"/>
    <n v="59"/>
    <n v="51100"/>
    <x v="0"/>
    <n v="63900"/>
    <n v="0"/>
    <x v="7"/>
    <x v="1"/>
    <x v="1"/>
    <d v="2025-08-06T00:00:00"/>
    <n v="63900"/>
    <x v="0"/>
  </r>
  <r>
    <n v="103281"/>
    <n v="43"/>
    <n v="114700"/>
    <x v="1"/>
    <n v="64400"/>
    <n v="237000"/>
    <x v="4"/>
    <x v="1"/>
    <x v="1"/>
    <d v="2025-03-29T00:00:00"/>
    <n v="301400"/>
    <x v="1"/>
  </r>
  <r>
    <n v="103282"/>
    <n v="27"/>
    <n v="47000"/>
    <x v="1"/>
    <n v="0"/>
    <n v="0"/>
    <x v="0"/>
    <x v="1"/>
    <x v="1"/>
    <d v="2025-10-01T00:00:00"/>
    <n v="0"/>
    <x v="0"/>
  </r>
  <r>
    <n v="103283"/>
    <n v="42"/>
    <n v="106100"/>
    <x v="0"/>
    <n v="59500"/>
    <n v="0"/>
    <x v="4"/>
    <x v="1"/>
    <x v="1"/>
    <d v="2025-04-09T00:00:00"/>
    <n v="59500"/>
    <x v="1"/>
  </r>
  <r>
    <n v="103284"/>
    <n v="62"/>
    <n v="82800"/>
    <x v="0"/>
    <n v="52200"/>
    <n v="243000"/>
    <x v="0"/>
    <x v="0"/>
    <x v="1"/>
    <d v="2025-12-27T00:00:00"/>
    <n v="295200"/>
    <x v="1"/>
  </r>
  <r>
    <n v="103285"/>
    <n v="31"/>
    <n v="33800"/>
    <x v="2"/>
    <n v="23200"/>
    <n v="0"/>
    <x v="4"/>
    <x v="2"/>
    <x v="1"/>
    <d v="2026-03-19T00:00:00"/>
    <n v="23200"/>
    <x v="0"/>
  </r>
  <r>
    <n v="103286"/>
    <n v="71"/>
    <n v="72500"/>
    <x v="1"/>
    <n v="41100"/>
    <n v="0"/>
    <x v="3"/>
    <x v="2"/>
    <x v="1"/>
    <d v="2025-07-14T00:00:00"/>
    <n v="41100"/>
    <x v="1"/>
  </r>
  <r>
    <n v="103287"/>
    <n v="29"/>
    <n v="46900"/>
    <x v="1"/>
    <n v="0"/>
    <n v="0"/>
    <x v="3"/>
    <x v="2"/>
    <x v="1"/>
    <d v="2026-08-17T00:00:00"/>
    <n v="0"/>
    <x v="0"/>
  </r>
  <r>
    <n v="103288"/>
    <n v="25"/>
    <n v="84000"/>
    <x v="0"/>
    <n v="82600"/>
    <n v="256000"/>
    <x v="3"/>
    <x v="3"/>
    <x v="1"/>
    <d v="2024-10-23T00:00:00"/>
    <n v="338600"/>
    <x v="1"/>
  </r>
  <r>
    <n v="103289"/>
    <n v="61"/>
    <n v="89700"/>
    <x v="0"/>
    <n v="13300"/>
    <n v="0"/>
    <x v="0"/>
    <x v="0"/>
    <x v="1"/>
    <d v="2025-01-05T00:00:00"/>
    <n v="13300"/>
    <x v="1"/>
  </r>
  <r>
    <n v="103290"/>
    <n v="65"/>
    <n v="89100"/>
    <x v="1"/>
    <n v="24200"/>
    <n v="0"/>
    <x v="6"/>
    <x v="2"/>
    <x v="1"/>
    <d v="2025-09-14T00:00:00"/>
    <n v="24200"/>
    <x v="1"/>
  </r>
  <r>
    <n v="103291"/>
    <n v="36"/>
    <n v="33400"/>
    <x v="0"/>
    <n v="41800"/>
    <n v="0"/>
    <x v="1"/>
    <x v="2"/>
    <x v="1"/>
    <d v="2025-08-31T00:00:00"/>
    <n v="41800"/>
    <x v="0"/>
  </r>
  <r>
    <n v="103292"/>
    <n v="25"/>
    <n v="108900"/>
    <x v="0"/>
    <n v="23500"/>
    <n v="0"/>
    <x v="3"/>
    <x v="2"/>
    <x v="1"/>
    <d v="2025-01-10T00:00:00"/>
    <n v="23500"/>
    <x v="1"/>
  </r>
  <r>
    <n v="103293"/>
    <n v="50"/>
    <n v="31600"/>
    <x v="1"/>
    <n v="0"/>
    <n v="0"/>
    <x v="4"/>
    <x v="3"/>
    <x v="1"/>
    <d v="2025-03-13T00:00:00"/>
    <n v="0"/>
    <x v="0"/>
  </r>
  <r>
    <n v="103294"/>
    <n v="54"/>
    <n v="54100"/>
    <x v="1"/>
    <n v="56200"/>
    <n v="128000"/>
    <x v="6"/>
    <x v="0"/>
    <x v="1"/>
    <d v="2026-06-23T00:00:00"/>
    <n v="184200"/>
    <x v="0"/>
  </r>
  <r>
    <n v="103295"/>
    <n v="64"/>
    <n v="76300"/>
    <x v="0"/>
    <n v="0"/>
    <n v="167000"/>
    <x v="5"/>
    <x v="1"/>
    <x v="1"/>
    <d v="2024-06-15T00:00:00"/>
    <n v="167000"/>
    <x v="1"/>
  </r>
  <r>
    <n v="103296"/>
    <n v="59"/>
    <n v="61600"/>
    <x v="0"/>
    <n v="42600"/>
    <n v="0"/>
    <x v="1"/>
    <x v="1"/>
    <x v="1"/>
    <d v="2025-01-04T00:00:00"/>
    <n v="42600"/>
    <x v="0"/>
  </r>
  <r>
    <n v="103297"/>
    <n v="30"/>
    <n v="40500"/>
    <x v="2"/>
    <n v="38200"/>
    <n v="0"/>
    <x v="4"/>
    <x v="2"/>
    <x v="1"/>
    <d v="2024-11-24T00:00:00"/>
    <n v="38200"/>
    <x v="0"/>
  </r>
  <r>
    <n v="103298"/>
    <n v="45"/>
    <n v="111200"/>
    <x v="0"/>
    <n v="13500"/>
    <n v="0"/>
    <x v="3"/>
    <x v="1"/>
    <x v="1"/>
    <d v="2025-10-03T00:00:00"/>
    <n v="13500"/>
    <x v="1"/>
  </r>
  <r>
    <n v="103299"/>
    <n v="45"/>
    <n v="59000"/>
    <x v="2"/>
    <n v="0"/>
    <n v="0"/>
    <x v="0"/>
    <x v="0"/>
    <x v="1"/>
    <d v="2024-03-28T00:00:00"/>
    <n v="0"/>
    <x v="0"/>
  </r>
  <r>
    <n v="103300"/>
    <n v="20"/>
    <n v="92600"/>
    <x v="1"/>
    <n v="37400"/>
    <n v="0"/>
    <x v="7"/>
    <x v="2"/>
    <x v="1"/>
    <d v="2026-06-06T00:00:00"/>
    <n v="37400"/>
    <x v="1"/>
  </r>
  <r>
    <n v="103301"/>
    <n v="21"/>
    <n v="35400"/>
    <x v="0"/>
    <n v="0"/>
    <n v="319000"/>
    <x v="3"/>
    <x v="1"/>
    <x v="1"/>
    <d v="2026-03-29T00:00:00"/>
    <n v="319000"/>
    <x v="0"/>
  </r>
  <r>
    <n v="103302"/>
    <n v="36"/>
    <n v="66600"/>
    <x v="1"/>
    <n v="0"/>
    <n v="322000"/>
    <x v="7"/>
    <x v="0"/>
    <x v="1"/>
    <d v="2024-12-19T00:00:00"/>
    <n v="322000"/>
    <x v="0"/>
  </r>
  <r>
    <n v="103303"/>
    <n v="23"/>
    <n v="88600"/>
    <x v="1"/>
    <n v="46600"/>
    <n v="0"/>
    <x v="7"/>
    <x v="2"/>
    <x v="1"/>
    <d v="2025-01-21T00:00:00"/>
    <n v="46600"/>
    <x v="1"/>
  </r>
  <r>
    <n v="103304"/>
    <n v="68"/>
    <n v="80000"/>
    <x v="1"/>
    <n v="18600"/>
    <n v="0"/>
    <x v="0"/>
    <x v="2"/>
    <x v="1"/>
    <d v="2025-11-18T00:00:00"/>
    <n v="18600"/>
    <x v="1"/>
  </r>
  <r>
    <n v="103305"/>
    <n v="67"/>
    <n v="114800"/>
    <x v="1"/>
    <n v="0"/>
    <n v="0"/>
    <x v="7"/>
    <x v="3"/>
    <x v="1"/>
    <d v="2024-02-01T00:00:00"/>
    <n v="0"/>
    <x v="1"/>
  </r>
  <r>
    <n v="103306"/>
    <n v="32"/>
    <n v="81300"/>
    <x v="0"/>
    <n v="51900"/>
    <n v="187000"/>
    <x v="7"/>
    <x v="2"/>
    <x v="1"/>
    <d v="2025-09-14T00:00:00"/>
    <n v="238900"/>
    <x v="1"/>
  </r>
  <r>
    <n v="103307"/>
    <n v="37"/>
    <n v="53300"/>
    <x v="0"/>
    <n v="0"/>
    <n v="0"/>
    <x v="3"/>
    <x v="0"/>
    <x v="1"/>
    <d v="2024-05-20T00:00:00"/>
    <n v="0"/>
    <x v="0"/>
  </r>
  <r>
    <n v="103308"/>
    <n v="69"/>
    <n v="43900"/>
    <x v="0"/>
    <n v="33300"/>
    <n v="0"/>
    <x v="2"/>
    <x v="1"/>
    <x v="0"/>
    <d v="2024-01-28T00:00:00"/>
    <n v="33300"/>
    <x v="0"/>
  </r>
  <r>
    <n v="103309"/>
    <n v="57"/>
    <n v="59500"/>
    <x v="2"/>
    <n v="10300"/>
    <n v="0"/>
    <x v="3"/>
    <x v="2"/>
    <x v="1"/>
    <d v="2026-05-14T00:00:00"/>
    <n v="10300"/>
    <x v="0"/>
  </r>
  <r>
    <n v="103310"/>
    <n v="21"/>
    <n v="85500"/>
    <x v="1"/>
    <n v="0"/>
    <n v="0"/>
    <x v="5"/>
    <x v="2"/>
    <x v="1"/>
    <d v="2025-12-13T00:00:00"/>
    <n v="0"/>
    <x v="1"/>
  </r>
  <r>
    <n v="103311"/>
    <n v="54"/>
    <n v="75000"/>
    <x v="0"/>
    <n v="43000"/>
    <n v="175000"/>
    <x v="6"/>
    <x v="0"/>
    <x v="1"/>
    <d v="2024-05-25T00:00:00"/>
    <n v="218000"/>
    <x v="1"/>
  </r>
  <r>
    <n v="103312"/>
    <n v="53"/>
    <n v="91700"/>
    <x v="1"/>
    <n v="45900"/>
    <n v="0"/>
    <x v="2"/>
    <x v="1"/>
    <x v="1"/>
    <d v="2026-06-10T00:00:00"/>
    <n v="45900"/>
    <x v="1"/>
  </r>
  <r>
    <n v="103313"/>
    <n v="27"/>
    <n v="41800"/>
    <x v="0"/>
    <n v="0"/>
    <n v="0"/>
    <x v="6"/>
    <x v="3"/>
    <x v="1"/>
    <d v="2026-07-30T00:00:00"/>
    <n v="0"/>
    <x v="0"/>
  </r>
  <r>
    <n v="103314"/>
    <n v="39"/>
    <n v="61200"/>
    <x v="1"/>
    <n v="0"/>
    <n v="0"/>
    <x v="3"/>
    <x v="1"/>
    <x v="1"/>
    <d v="2025-05-15T00:00:00"/>
    <n v="0"/>
    <x v="0"/>
  </r>
  <r>
    <n v="103315"/>
    <n v="32"/>
    <n v="52900"/>
    <x v="0"/>
    <n v="16300"/>
    <n v="86000"/>
    <x v="5"/>
    <x v="1"/>
    <x v="1"/>
    <d v="2025-03-25T00:00:00"/>
    <n v="102300"/>
    <x v="0"/>
  </r>
  <r>
    <n v="103316"/>
    <n v="43"/>
    <n v="61100"/>
    <x v="1"/>
    <n v="0"/>
    <n v="194000"/>
    <x v="7"/>
    <x v="3"/>
    <x v="1"/>
    <d v="2024-09-29T00:00:00"/>
    <n v="194000"/>
    <x v="0"/>
  </r>
  <r>
    <n v="103317"/>
    <n v="26"/>
    <n v="52600"/>
    <x v="1"/>
    <n v="9400"/>
    <n v="0"/>
    <x v="7"/>
    <x v="1"/>
    <x v="1"/>
    <d v="2025-08-11T00:00:00"/>
    <n v="9400"/>
    <x v="0"/>
  </r>
  <r>
    <n v="103318"/>
    <n v="48"/>
    <n v="58500"/>
    <x v="1"/>
    <n v="34500"/>
    <n v="124000"/>
    <x v="5"/>
    <x v="2"/>
    <x v="1"/>
    <d v="2025-03-25T00:00:00"/>
    <n v="158500"/>
    <x v="0"/>
  </r>
  <r>
    <n v="103319"/>
    <n v="31"/>
    <n v="63000"/>
    <x v="0"/>
    <n v="46600"/>
    <n v="0"/>
    <x v="0"/>
    <x v="1"/>
    <x v="1"/>
    <d v="2024-04-14T00:00:00"/>
    <n v="46600"/>
    <x v="0"/>
  </r>
  <r>
    <n v="103320"/>
    <n v="39"/>
    <n v="52300"/>
    <x v="1"/>
    <n v="27100"/>
    <n v="232000"/>
    <x v="1"/>
    <x v="0"/>
    <x v="0"/>
    <d v="2024-12-06T00:00:00"/>
    <n v="259100"/>
    <x v="0"/>
  </r>
  <r>
    <n v="103321"/>
    <n v="41"/>
    <n v="49300"/>
    <x v="0"/>
    <n v="25900"/>
    <n v="267000"/>
    <x v="3"/>
    <x v="1"/>
    <x v="1"/>
    <d v="2026-08-05T00:00:00"/>
    <n v="292900"/>
    <x v="0"/>
  </r>
  <r>
    <n v="103322"/>
    <n v="74"/>
    <n v="106300"/>
    <x v="2"/>
    <n v="0"/>
    <n v="0"/>
    <x v="0"/>
    <x v="3"/>
    <x v="1"/>
    <d v="2026-04-06T00:00:00"/>
    <n v="0"/>
    <x v="1"/>
  </r>
  <r>
    <n v="103323"/>
    <n v="21"/>
    <n v="41100"/>
    <x v="2"/>
    <n v="41700"/>
    <n v="0"/>
    <x v="2"/>
    <x v="0"/>
    <x v="1"/>
    <d v="2025-02-24T00:00:00"/>
    <n v="41700"/>
    <x v="0"/>
  </r>
  <r>
    <n v="103324"/>
    <n v="70"/>
    <n v="54700"/>
    <x v="1"/>
    <n v="0"/>
    <n v="0"/>
    <x v="0"/>
    <x v="1"/>
    <x v="1"/>
    <d v="2025-02-27T00:00:00"/>
    <n v="0"/>
    <x v="0"/>
  </r>
  <r>
    <n v="103325"/>
    <n v="61"/>
    <n v="115800"/>
    <x v="1"/>
    <n v="0"/>
    <n v="0"/>
    <x v="1"/>
    <x v="1"/>
    <x v="1"/>
    <d v="2025-04-27T00:00:00"/>
    <n v="0"/>
    <x v="1"/>
  </r>
  <r>
    <n v="103326"/>
    <n v="37"/>
    <n v="74500"/>
    <x v="0"/>
    <n v="48400"/>
    <n v="0"/>
    <x v="3"/>
    <x v="1"/>
    <x v="1"/>
    <d v="2025-07-01T00:00:00"/>
    <n v="48400"/>
    <x v="1"/>
  </r>
  <r>
    <n v="103327"/>
    <n v="43"/>
    <n v="72000"/>
    <x v="2"/>
    <n v="0"/>
    <n v="0"/>
    <x v="7"/>
    <x v="2"/>
    <x v="1"/>
    <d v="2026-03-19T00:00:00"/>
    <n v="0"/>
    <x v="1"/>
  </r>
  <r>
    <n v="103328"/>
    <n v="57"/>
    <n v="40800"/>
    <x v="1"/>
    <n v="38000"/>
    <n v="0"/>
    <x v="2"/>
    <x v="2"/>
    <x v="1"/>
    <d v="2024-07-12T00:00:00"/>
    <n v="38000"/>
    <x v="0"/>
  </r>
  <r>
    <n v="103329"/>
    <n v="46"/>
    <n v="86000"/>
    <x v="0"/>
    <n v="0"/>
    <n v="0"/>
    <x v="6"/>
    <x v="2"/>
    <x v="1"/>
    <d v="2026-04-15T00:00:00"/>
    <n v="0"/>
    <x v="1"/>
  </r>
  <r>
    <n v="103330"/>
    <n v="53"/>
    <n v="69500"/>
    <x v="0"/>
    <n v="49800"/>
    <n v="0"/>
    <x v="7"/>
    <x v="2"/>
    <x v="1"/>
    <d v="2024-06-25T00:00:00"/>
    <n v="49800"/>
    <x v="0"/>
  </r>
  <r>
    <n v="103331"/>
    <n v="71"/>
    <n v="58900"/>
    <x v="0"/>
    <n v="38200"/>
    <n v="0"/>
    <x v="0"/>
    <x v="1"/>
    <x v="1"/>
    <d v="2024-12-29T00:00:00"/>
    <n v="38200"/>
    <x v="0"/>
  </r>
  <r>
    <n v="103332"/>
    <n v="36"/>
    <n v="46100"/>
    <x v="0"/>
    <n v="24800"/>
    <n v="118000"/>
    <x v="7"/>
    <x v="0"/>
    <x v="1"/>
    <d v="2024-12-28T00:00:00"/>
    <n v="142800"/>
    <x v="0"/>
  </r>
  <r>
    <n v="103333"/>
    <n v="74"/>
    <n v="55400"/>
    <x v="1"/>
    <n v="5300"/>
    <n v="191000"/>
    <x v="0"/>
    <x v="1"/>
    <x v="1"/>
    <d v="2024-10-04T00:00:00"/>
    <n v="196300"/>
    <x v="0"/>
  </r>
  <r>
    <n v="103334"/>
    <n v="39"/>
    <n v="57100"/>
    <x v="0"/>
    <n v="50300"/>
    <n v="0"/>
    <x v="3"/>
    <x v="1"/>
    <x v="1"/>
    <d v="2025-02-23T00:00:00"/>
    <n v="50300"/>
    <x v="0"/>
  </r>
  <r>
    <n v="103335"/>
    <n v="65"/>
    <n v="41900"/>
    <x v="1"/>
    <n v="22400"/>
    <n v="0"/>
    <x v="7"/>
    <x v="0"/>
    <x v="1"/>
    <d v="2025-11-30T00:00:00"/>
    <n v="22400"/>
    <x v="0"/>
  </r>
  <r>
    <n v="103336"/>
    <n v="74"/>
    <n v="29100"/>
    <x v="1"/>
    <n v="36400"/>
    <n v="0"/>
    <x v="4"/>
    <x v="0"/>
    <x v="1"/>
    <d v="2025-10-13T00:00:00"/>
    <n v="36400"/>
    <x v="0"/>
  </r>
  <r>
    <n v="103337"/>
    <n v="61"/>
    <n v="49200"/>
    <x v="1"/>
    <n v="49300"/>
    <n v="164000"/>
    <x v="5"/>
    <x v="1"/>
    <x v="1"/>
    <d v="2026-08-01T00:00:00"/>
    <n v="213300"/>
    <x v="0"/>
  </r>
  <r>
    <n v="103338"/>
    <n v="74"/>
    <n v="46300"/>
    <x v="0"/>
    <n v="0"/>
    <n v="0"/>
    <x v="3"/>
    <x v="1"/>
    <x v="1"/>
    <d v="2024-12-25T00:00:00"/>
    <n v="0"/>
    <x v="0"/>
  </r>
  <r>
    <n v="103339"/>
    <n v="69"/>
    <n v="38100"/>
    <x v="2"/>
    <n v="0"/>
    <n v="0"/>
    <x v="3"/>
    <x v="1"/>
    <x v="1"/>
    <d v="2025-11-21T00:00:00"/>
    <n v="0"/>
    <x v="0"/>
  </r>
  <r>
    <n v="103340"/>
    <n v="54"/>
    <n v="86700"/>
    <x v="0"/>
    <n v="0"/>
    <n v="0"/>
    <x v="0"/>
    <x v="1"/>
    <x v="1"/>
    <d v="2024-02-19T00:00:00"/>
    <n v="0"/>
    <x v="1"/>
  </r>
  <r>
    <n v="103341"/>
    <n v="28"/>
    <n v="54000"/>
    <x v="1"/>
    <n v="31300"/>
    <n v="0"/>
    <x v="0"/>
    <x v="0"/>
    <x v="1"/>
    <d v="2025-07-27T00:00:00"/>
    <n v="31300"/>
    <x v="0"/>
  </r>
  <r>
    <n v="103342"/>
    <n v="28"/>
    <n v="96100"/>
    <x v="0"/>
    <n v="35100"/>
    <n v="0"/>
    <x v="7"/>
    <x v="0"/>
    <x v="1"/>
    <d v="2025-06-18T00:00:00"/>
    <n v="35100"/>
    <x v="1"/>
  </r>
  <r>
    <n v="103343"/>
    <n v="70"/>
    <n v="66800"/>
    <x v="1"/>
    <n v="0"/>
    <n v="263000"/>
    <x v="0"/>
    <x v="2"/>
    <x v="1"/>
    <d v="2025-03-02T00:00:00"/>
    <n v="263000"/>
    <x v="0"/>
  </r>
  <r>
    <n v="103344"/>
    <n v="27"/>
    <n v="32300"/>
    <x v="2"/>
    <n v="27400"/>
    <n v="0"/>
    <x v="0"/>
    <x v="3"/>
    <x v="1"/>
    <d v="2024-09-03T00:00:00"/>
    <n v="27400"/>
    <x v="0"/>
  </r>
  <r>
    <n v="103345"/>
    <n v="23"/>
    <n v="81200"/>
    <x v="1"/>
    <n v="0"/>
    <n v="275000"/>
    <x v="7"/>
    <x v="2"/>
    <x v="1"/>
    <d v="2026-01-19T00:00:00"/>
    <n v="275000"/>
    <x v="1"/>
  </r>
  <r>
    <n v="103346"/>
    <n v="72"/>
    <n v="82300"/>
    <x v="0"/>
    <n v="43000"/>
    <n v="0"/>
    <x v="4"/>
    <x v="2"/>
    <x v="1"/>
    <d v="2025-11-16T00:00:00"/>
    <n v="43000"/>
    <x v="1"/>
  </r>
  <r>
    <n v="103347"/>
    <n v="50"/>
    <n v="112900"/>
    <x v="0"/>
    <n v="0"/>
    <n v="0"/>
    <x v="7"/>
    <x v="2"/>
    <x v="1"/>
    <d v="2025-04-25T00:00:00"/>
    <n v="0"/>
    <x v="1"/>
  </r>
  <r>
    <n v="103348"/>
    <n v="55"/>
    <n v="64200"/>
    <x v="1"/>
    <n v="20700"/>
    <n v="0"/>
    <x v="0"/>
    <x v="2"/>
    <x v="1"/>
    <d v="2026-01-14T00:00:00"/>
    <n v="20700"/>
    <x v="0"/>
  </r>
  <r>
    <n v="103349"/>
    <n v="69"/>
    <n v="63800"/>
    <x v="1"/>
    <n v="0"/>
    <n v="0"/>
    <x v="1"/>
    <x v="1"/>
    <x v="1"/>
    <d v="2025-08-22T00:00:00"/>
    <n v="0"/>
    <x v="0"/>
  </r>
  <r>
    <n v="103350"/>
    <n v="23"/>
    <n v="68400"/>
    <x v="0"/>
    <n v="7200"/>
    <n v="0"/>
    <x v="2"/>
    <x v="0"/>
    <x v="1"/>
    <d v="2025-07-16T00:00:00"/>
    <n v="7200"/>
    <x v="0"/>
  </r>
  <r>
    <n v="103351"/>
    <n v="33"/>
    <n v="88900"/>
    <x v="0"/>
    <n v="11400"/>
    <n v="0"/>
    <x v="4"/>
    <x v="3"/>
    <x v="1"/>
    <d v="2024-01-02T00:00:00"/>
    <n v="11400"/>
    <x v="1"/>
  </r>
  <r>
    <n v="103352"/>
    <n v="73"/>
    <n v="24100"/>
    <x v="0"/>
    <n v="0"/>
    <n v="272000"/>
    <x v="6"/>
    <x v="1"/>
    <x v="1"/>
    <d v="2026-04-10T00:00:00"/>
    <n v="272000"/>
    <x v="0"/>
  </r>
  <r>
    <n v="103353"/>
    <n v="35"/>
    <n v="58900"/>
    <x v="0"/>
    <n v="34400"/>
    <n v="0"/>
    <x v="1"/>
    <x v="0"/>
    <x v="1"/>
    <d v="2024-08-18T00:00:00"/>
    <n v="34400"/>
    <x v="0"/>
  </r>
  <r>
    <n v="103354"/>
    <n v="30"/>
    <n v="27900"/>
    <x v="0"/>
    <n v="0"/>
    <n v="0"/>
    <x v="3"/>
    <x v="1"/>
    <x v="1"/>
    <d v="2024-10-04T00:00:00"/>
    <n v="0"/>
    <x v="0"/>
  </r>
  <r>
    <n v="103355"/>
    <n v="58"/>
    <n v="38400"/>
    <x v="0"/>
    <n v="48000"/>
    <n v="0"/>
    <x v="1"/>
    <x v="3"/>
    <x v="0"/>
    <d v="2025-02-23T00:00:00"/>
    <n v="48000"/>
    <x v="0"/>
  </r>
  <r>
    <n v="103356"/>
    <n v="42"/>
    <n v="30600"/>
    <x v="1"/>
    <n v="38200"/>
    <n v="0"/>
    <x v="1"/>
    <x v="1"/>
    <x v="1"/>
    <d v="2025-04-27T00:00:00"/>
    <n v="38200"/>
    <x v="0"/>
  </r>
  <r>
    <n v="103357"/>
    <n v="45"/>
    <n v="50600"/>
    <x v="1"/>
    <n v="0"/>
    <n v="0"/>
    <x v="0"/>
    <x v="1"/>
    <x v="1"/>
    <d v="2025-08-23T00:00:00"/>
    <n v="0"/>
    <x v="0"/>
  </r>
  <r>
    <n v="103358"/>
    <n v="37"/>
    <n v="59700"/>
    <x v="0"/>
    <n v="67400"/>
    <n v="170000"/>
    <x v="4"/>
    <x v="0"/>
    <x v="0"/>
    <d v="2025-03-23T00:00:00"/>
    <n v="237400"/>
    <x v="0"/>
  </r>
  <r>
    <n v="103359"/>
    <n v="31"/>
    <n v="52900"/>
    <x v="2"/>
    <n v="19600"/>
    <n v="0"/>
    <x v="1"/>
    <x v="1"/>
    <x v="1"/>
    <d v="2024-12-19T00:00:00"/>
    <n v="19600"/>
    <x v="0"/>
  </r>
  <r>
    <n v="103360"/>
    <n v="30"/>
    <n v="108500"/>
    <x v="1"/>
    <n v="20700"/>
    <n v="0"/>
    <x v="6"/>
    <x v="3"/>
    <x v="1"/>
    <d v="2026-03-04T00:00:00"/>
    <n v="20700"/>
    <x v="1"/>
  </r>
  <r>
    <n v="103361"/>
    <n v="72"/>
    <n v="44500"/>
    <x v="0"/>
    <n v="0"/>
    <n v="0"/>
    <x v="0"/>
    <x v="1"/>
    <x v="1"/>
    <d v="2024-12-17T00:00:00"/>
    <n v="0"/>
    <x v="0"/>
  </r>
  <r>
    <n v="103362"/>
    <n v="29"/>
    <n v="71000"/>
    <x v="1"/>
    <n v="32500"/>
    <n v="177000"/>
    <x v="3"/>
    <x v="1"/>
    <x v="1"/>
    <d v="2025-08-30T00:00:00"/>
    <n v="209500"/>
    <x v="1"/>
  </r>
  <r>
    <n v="103363"/>
    <n v="21"/>
    <n v="30900"/>
    <x v="0"/>
    <n v="0"/>
    <n v="0"/>
    <x v="1"/>
    <x v="0"/>
    <x v="1"/>
    <d v="2026-02-24T00:00:00"/>
    <n v="0"/>
    <x v="0"/>
  </r>
  <r>
    <n v="103364"/>
    <n v="46"/>
    <n v="67200"/>
    <x v="1"/>
    <n v="30100"/>
    <n v="161000"/>
    <x v="4"/>
    <x v="1"/>
    <x v="1"/>
    <d v="2025-02-13T00:00:00"/>
    <n v="191100"/>
    <x v="0"/>
  </r>
  <r>
    <n v="103365"/>
    <n v="30"/>
    <n v="82700"/>
    <x v="0"/>
    <n v="16000"/>
    <n v="0"/>
    <x v="3"/>
    <x v="2"/>
    <x v="1"/>
    <d v="2024-12-11T00:00:00"/>
    <n v="16000"/>
    <x v="1"/>
  </r>
  <r>
    <n v="103366"/>
    <n v="68"/>
    <n v="65600"/>
    <x v="1"/>
    <n v="20100"/>
    <n v="0"/>
    <x v="6"/>
    <x v="2"/>
    <x v="1"/>
    <d v="2024-11-15T00:00:00"/>
    <n v="20100"/>
    <x v="0"/>
  </r>
  <r>
    <n v="103367"/>
    <n v="29"/>
    <n v="71700"/>
    <x v="1"/>
    <n v="0"/>
    <n v="197000"/>
    <x v="5"/>
    <x v="2"/>
    <x v="1"/>
    <d v="2024-08-26T00:00:00"/>
    <n v="197000"/>
    <x v="1"/>
  </r>
  <r>
    <n v="103368"/>
    <n v="68"/>
    <n v="41000"/>
    <x v="1"/>
    <n v="51200"/>
    <n v="0"/>
    <x v="5"/>
    <x v="1"/>
    <x v="1"/>
    <d v="2024-03-25T00:00:00"/>
    <n v="51200"/>
    <x v="0"/>
  </r>
  <r>
    <n v="103369"/>
    <n v="28"/>
    <n v="50600"/>
    <x v="1"/>
    <n v="63200"/>
    <n v="153000"/>
    <x v="0"/>
    <x v="1"/>
    <x v="1"/>
    <d v="2025-10-19T00:00:00"/>
    <n v="216200"/>
    <x v="0"/>
  </r>
  <r>
    <n v="103370"/>
    <n v="60"/>
    <n v="51300"/>
    <x v="2"/>
    <n v="32500"/>
    <n v="0"/>
    <x v="1"/>
    <x v="1"/>
    <x v="1"/>
    <d v="2025-10-30T00:00:00"/>
    <n v="32500"/>
    <x v="0"/>
  </r>
  <r>
    <n v="103371"/>
    <n v="60"/>
    <n v="52200"/>
    <x v="1"/>
    <n v="23700"/>
    <n v="0"/>
    <x v="4"/>
    <x v="2"/>
    <x v="1"/>
    <d v="2025-12-14T00:00:00"/>
    <n v="23700"/>
    <x v="0"/>
  </r>
  <r>
    <n v="103372"/>
    <n v="54"/>
    <n v="84700"/>
    <x v="1"/>
    <n v="30200"/>
    <n v="150000"/>
    <x v="4"/>
    <x v="1"/>
    <x v="1"/>
    <d v="2025-10-25T00:00:00"/>
    <n v="180200"/>
    <x v="1"/>
  </r>
  <r>
    <n v="103373"/>
    <n v="58"/>
    <n v="55000"/>
    <x v="0"/>
    <n v="21700"/>
    <n v="0"/>
    <x v="3"/>
    <x v="1"/>
    <x v="1"/>
    <d v="2024-08-14T00:00:00"/>
    <n v="21700"/>
    <x v="0"/>
  </r>
  <r>
    <n v="103374"/>
    <n v="58"/>
    <n v="56800"/>
    <x v="2"/>
    <n v="67000"/>
    <n v="0"/>
    <x v="3"/>
    <x v="1"/>
    <x v="1"/>
    <d v="2025-01-16T00:00:00"/>
    <n v="67000"/>
    <x v="0"/>
  </r>
  <r>
    <n v="103375"/>
    <n v="21"/>
    <n v="43300"/>
    <x v="1"/>
    <n v="50800"/>
    <n v="0"/>
    <x v="1"/>
    <x v="3"/>
    <x v="1"/>
    <d v="2026-03-09T00:00:00"/>
    <n v="50800"/>
    <x v="0"/>
  </r>
  <r>
    <n v="103376"/>
    <n v="25"/>
    <n v="73900"/>
    <x v="0"/>
    <n v="6100"/>
    <n v="0"/>
    <x v="1"/>
    <x v="1"/>
    <x v="1"/>
    <d v="2025-02-16T00:00:00"/>
    <n v="6100"/>
    <x v="1"/>
  </r>
  <r>
    <n v="103377"/>
    <n v="61"/>
    <n v="56900"/>
    <x v="2"/>
    <n v="32100"/>
    <n v="0"/>
    <x v="1"/>
    <x v="2"/>
    <x v="1"/>
    <d v="2025-01-01T00:00:00"/>
    <n v="32100"/>
    <x v="0"/>
  </r>
  <r>
    <n v="103378"/>
    <n v="66"/>
    <n v="68500"/>
    <x v="2"/>
    <n v="35300"/>
    <n v="136000"/>
    <x v="7"/>
    <x v="1"/>
    <x v="1"/>
    <d v="2024-11-29T00:00:00"/>
    <n v="171300"/>
    <x v="0"/>
  </r>
  <r>
    <n v="103379"/>
    <n v="42"/>
    <n v="64600"/>
    <x v="1"/>
    <n v="0"/>
    <n v="0"/>
    <x v="3"/>
    <x v="1"/>
    <x v="1"/>
    <d v="2025-02-28T00:00:00"/>
    <n v="0"/>
    <x v="0"/>
  </r>
  <r>
    <n v="103380"/>
    <n v="34"/>
    <n v="66900"/>
    <x v="1"/>
    <n v="39400"/>
    <n v="220000"/>
    <x v="2"/>
    <x v="1"/>
    <x v="1"/>
    <d v="2025-02-28T00:00:00"/>
    <n v="259400"/>
    <x v="0"/>
  </r>
  <r>
    <n v="103381"/>
    <n v="43"/>
    <n v="55400"/>
    <x v="0"/>
    <n v="12200"/>
    <n v="206000"/>
    <x v="6"/>
    <x v="2"/>
    <x v="1"/>
    <d v="2024-04-03T00:00:00"/>
    <n v="218200"/>
    <x v="0"/>
  </r>
  <r>
    <n v="103382"/>
    <n v="21"/>
    <n v="72300"/>
    <x v="0"/>
    <n v="0"/>
    <n v="0"/>
    <x v="1"/>
    <x v="1"/>
    <x v="1"/>
    <d v="2024-08-14T00:00:00"/>
    <n v="0"/>
    <x v="1"/>
  </r>
  <r>
    <n v="103383"/>
    <n v="63"/>
    <n v="79700"/>
    <x v="1"/>
    <n v="0"/>
    <n v="0"/>
    <x v="7"/>
    <x v="2"/>
    <x v="1"/>
    <d v="2025-12-22T00:00:00"/>
    <n v="0"/>
    <x v="1"/>
  </r>
  <r>
    <n v="103384"/>
    <n v="72"/>
    <n v="40400"/>
    <x v="2"/>
    <n v="50500"/>
    <n v="0"/>
    <x v="3"/>
    <x v="0"/>
    <x v="0"/>
    <d v="2025-11-14T00:00:00"/>
    <n v="50500"/>
    <x v="0"/>
  </r>
  <r>
    <n v="103385"/>
    <n v="45"/>
    <n v="21700"/>
    <x v="1"/>
    <n v="27100"/>
    <n v="0"/>
    <x v="1"/>
    <x v="1"/>
    <x v="1"/>
    <d v="2024-01-24T00:00:00"/>
    <n v="27100"/>
    <x v="0"/>
  </r>
  <r>
    <n v="103386"/>
    <n v="67"/>
    <n v="55900"/>
    <x v="2"/>
    <n v="0"/>
    <n v="0"/>
    <x v="5"/>
    <x v="0"/>
    <x v="1"/>
    <d v="2025-04-03T00:00:00"/>
    <n v="0"/>
    <x v="0"/>
  </r>
  <r>
    <n v="103387"/>
    <n v="69"/>
    <n v="82300"/>
    <x v="2"/>
    <n v="18700"/>
    <n v="0"/>
    <x v="2"/>
    <x v="1"/>
    <x v="1"/>
    <d v="2024-10-13T00:00:00"/>
    <n v="18700"/>
    <x v="1"/>
  </r>
  <r>
    <n v="103388"/>
    <n v="25"/>
    <n v="58700"/>
    <x v="1"/>
    <n v="55900"/>
    <n v="0"/>
    <x v="3"/>
    <x v="1"/>
    <x v="1"/>
    <d v="2024-10-26T00:00:00"/>
    <n v="55900"/>
    <x v="0"/>
  </r>
  <r>
    <n v="103389"/>
    <n v="69"/>
    <n v="76300"/>
    <x v="0"/>
    <n v="37200"/>
    <n v="178000"/>
    <x v="7"/>
    <x v="1"/>
    <x v="1"/>
    <d v="2025-03-04T00:00:00"/>
    <n v="215200"/>
    <x v="1"/>
  </r>
  <r>
    <n v="103390"/>
    <n v="47"/>
    <n v="110500"/>
    <x v="2"/>
    <n v="33400"/>
    <n v="360000"/>
    <x v="3"/>
    <x v="1"/>
    <x v="1"/>
    <d v="2026-06-22T00:00:00"/>
    <n v="393400"/>
    <x v="1"/>
  </r>
  <r>
    <n v="103391"/>
    <n v="23"/>
    <n v="79800"/>
    <x v="0"/>
    <n v="0"/>
    <n v="0"/>
    <x v="6"/>
    <x v="1"/>
    <x v="1"/>
    <d v="2025-02-02T00:00:00"/>
    <n v="0"/>
    <x v="1"/>
  </r>
  <r>
    <n v="103392"/>
    <n v="47"/>
    <n v="49600"/>
    <x v="2"/>
    <n v="30600"/>
    <n v="0"/>
    <x v="5"/>
    <x v="0"/>
    <x v="1"/>
    <d v="2025-08-30T00:00:00"/>
    <n v="30600"/>
    <x v="0"/>
  </r>
  <r>
    <n v="103393"/>
    <n v="53"/>
    <n v="102300"/>
    <x v="0"/>
    <n v="30700"/>
    <n v="162000"/>
    <x v="6"/>
    <x v="1"/>
    <x v="1"/>
    <d v="2024-11-22T00:00:00"/>
    <n v="192700"/>
    <x v="1"/>
  </r>
  <r>
    <n v="103394"/>
    <n v="59"/>
    <n v="42000"/>
    <x v="1"/>
    <n v="24500"/>
    <n v="0"/>
    <x v="6"/>
    <x v="1"/>
    <x v="1"/>
    <d v="2025-08-28T00:00:00"/>
    <n v="24500"/>
    <x v="0"/>
  </r>
  <r>
    <n v="103395"/>
    <n v="73"/>
    <n v="73200"/>
    <x v="1"/>
    <n v="0"/>
    <n v="0"/>
    <x v="4"/>
    <x v="2"/>
    <x v="1"/>
    <d v="2024-08-15T00:00:00"/>
    <n v="0"/>
    <x v="1"/>
  </r>
  <r>
    <n v="103396"/>
    <n v="39"/>
    <n v="82900"/>
    <x v="1"/>
    <n v="28600"/>
    <n v="0"/>
    <x v="0"/>
    <x v="2"/>
    <x v="1"/>
    <d v="2024-12-30T00:00:00"/>
    <n v="28600"/>
    <x v="1"/>
  </r>
  <r>
    <n v="103397"/>
    <n v="44"/>
    <n v="27300"/>
    <x v="1"/>
    <n v="4700"/>
    <n v="0"/>
    <x v="3"/>
    <x v="1"/>
    <x v="1"/>
    <d v="2025-09-28T00:00:00"/>
    <n v="4700"/>
    <x v="0"/>
  </r>
  <r>
    <n v="103398"/>
    <n v="38"/>
    <n v="51900"/>
    <x v="1"/>
    <n v="54600"/>
    <n v="188000"/>
    <x v="7"/>
    <x v="2"/>
    <x v="1"/>
    <d v="2026-07-24T00:00:00"/>
    <n v="242600"/>
    <x v="0"/>
  </r>
  <r>
    <n v="103399"/>
    <n v="57"/>
    <n v="36100"/>
    <x v="0"/>
    <n v="12700"/>
    <n v="0"/>
    <x v="2"/>
    <x v="2"/>
    <x v="1"/>
    <d v="2026-01-14T00:00:00"/>
    <n v="12700"/>
    <x v="0"/>
  </r>
  <r>
    <n v="103400"/>
    <n v="56"/>
    <n v="87400"/>
    <x v="1"/>
    <n v="25900"/>
    <n v="0"/>
    <x v="0"/>
    <x v="1"/>
    <x v="1"/>
    <d v="2024-02-15T00:00:00"/>
    <n v="25900"/>
    <x v="1"/>
  </r>
  <r>
    <n v="103401"/>
    <n v="22"/>
    <n v="84300"/>
    <x v="1"/>
    <n v="39800"/>
    <n v="182000"/>
    <x v="1"/>
    <x v="1"/>
    <x v="1"/>
    <d v="2024-01-02T00:00:00"/>
    <n v="221800"/>
    <x v="1"/>
  </r>
  <r>
    <n v="103402"/>
    <n v="26"/>
    <n v="87300"/>
    <x v="0"/>
    <n v="2700"/>
    <n v="0"/>
    <x v="4"/>
    <x v="1"/>
    <x v="1"/>
    <d v="2025-05-08T00:00:00"/>
    <n v="2700"/>
    <x v="1"/>
  </r>
  <r>
    <n v="103403"/>
    <n v="32"/>
    <n v="84500"/>
    <x v="1"/>
    <n v="0"/>
    <n v="0"/>
    <x v="0"/>
    <x v="2"/>
    <x v="1"/>
    <d v="2024-10-28T00:00:00"/>
    <n v="0"/>
    <x v="1"/>
  </r>
  <r>
    <n v="103404"/>
    <n v="71"/>
    <n v="50200"/>
    <x v="1"/>
    <n v="0"/>
    <n v="183000"/>
    <x v="6"/>
    <x v="1"/>
    <x v="1"/>
    <d v="2026-07-25T00:00:00"/>
    <n v="183000"/>
    <x v="0"/>
  </r>
  <r>
    <n v="103405"/>
    <n v="61"/>
    <n v="86500"/>
    <x v="0"/>
    <n v="51900"/>
    <n v="332000"/>
    <x v="2"/>
    <x v="2"/>
    <x v="1"/>
    <d v="2024-05-03T00:00:00"/>
    <n v="383900"/>
    <x v="1"/>
  </r>
  <r>
    <n v="103406"/>
    <n v="56"/>
    <n v="34000"/>
    <x v="0"/>
    <n v="0"/>
    <n v="0"/>
    <x v="1"/>
    <x v="0"/>
    <x v="1"/>
    <d v="2024-03-24T00:00:00"/>
    <n v="0"/>
    <x v="0"/>
  </r>
  <r>
    <n v="103407"/>
    <n v="52"/>
    <n v="55300"/>
    <x v="0"/>
    <n v="5300"/>
    <n v="171000"/>
    <x v="4"/>
    <x v="1"/>
    <x v="1"/>
    <d v="2024-06-15T00:00:00"/>
    <n v="176300"/>
    <x v="0"/>
  </r>
  <r>
    <n v="103408"/>
    <n v="68"/>
    <n v="89700"/>
    <x v="2"/>
    <n v="47500"/>
    <n v="0"/>
    <x v="2"/>
    <x v="2"/>
    <x v="1"/>
    <d v="2025-12-19T00:00:00"/>
    <n v="47500"/>
    <x v="1"/>
  </r>
  <r>
    <n v="103409"/>
    <n v="26"/>
    <n v="67200"/>
    <x v="1"/>
    <n v="0"/>
    <n v="0"/>
    <x v="4"/>
    <x v="2"/>
    <x v="1"/>
    <d v="2024-07-18T00:00:00"/>
    <n v="0"/>
    <x v="0"/>
  </r>
  <r>
    <n v="103410"/>
    <n v="37"/>
    <n v="65400"/>
    <x v="1"/>
    <n v="37400"/>
    <n v="0"/>
    <x v="5"/>
    <x v="2"/>
    <x v="1"/>
    <d v="2026-04-26T00:00:00"/>
    <n v="37400"/>
    <x v="0"/>
  </r>
  <r>
    <n v="103411"/>
    <n v="33"/>
    <n v="58300"/>
    <x v="0"/>
    <n v="0"/>
    <n v="0"/>
    <x v="2"/>
    <x v="1"/>
    <x v="1"/>
    <d v="2024-12-23T00:00:00"/>
    <n v="0"/>
    <x v="0"/>
  </r>
  <r>
    <n v="103412"/>
    <n v="44"/>
    <n v="38400"/>
    <x v="1"/>
    <n v="27800"/>
    <n v="253000"/>
    <x v="4"/>
    <x v="3"/>
    <x v="1"/>
    <d v="2026-01-28T00:00:00"/>
    <n v="280800"/>
    <x v="0"/>
  </r>
  <r>
    <n v="103413"/>
    <n v="28"/>
    <n v="77500"/>
    <x v="0"/>
    <n v="0"/>
    <n v="0"/>
    <x v="2"/>
    <x v="0"/>
    <x v="1"/>
    <d v="2025-03-15T00:00:00"/>
    <n v="0"/>
    <x v="1"/>
  </r>
  <r>
    <n v="103414"/>
    <n v="40"/>
    <n v="59100"/>
    <x v="1"/>
    <n v="36900"/>
    <n v="241000"/>
    <x v="0"/>
    <x v="0"/>
    <x v="1"/>
    <d v="2024-05-14T00:00:00"/>
    <n v="277900"/>
    <x v="0"/>
  </r>
  <r>
    <n v="103415"/>
    <n v="75"/>
    <n v="72800"/>
    <x v="0"/>
    <n v="44900"/>
    <n v="0"/>
    <x v="3"/>
    <x v="2"/>
    <x v="1"/>
    <d v="2024-12-31T00:00:00"/>
    <n v="44900"/>
    <x v="1"/>
  </r>
  <r>
    <n v="103416"/>
    <n v="57"/>
    <n v="94900"/>
    <x v="0"/>
    <n v="47900"/>
    <n v="193000"/>
    <x v="4"/>
    <x v="2"/>
    <x v="1"/>
    <d v="2026-04-15T00:00:00"/>
    <n v="240900"/>
    <x v="1"/>
  </r>
  <r>
    <n v="103417"/>
    <n v="62"/>
    <n v="49400"/>
    <x v="1"/>
    <n v="34000"/>
    <n v="0"/>
    <x v="0"/>
    <x v="0"/>
    <x v="1"/>
    <d v="2025-12-21T00:00:00"/>
    <n v="34000"/>
    <x v="0"/>
  </r>
  <r>
    <n v="103418"/>
    <n v="44"/>
    <n v="69900"/>
    <x v="0"/>
    <n v="36500"/>
    <n v="0"/>
    <x v="2"/>
    <x v="2"/>
    <x v="1"/>
    <d v="2024-03-07T00:00:00"/>
    <n v="36500"/>
    <x v="0"/>
  </r>
  <r>
    <n v="103419"/>
    <n v="29"/>
    <n v="80800"/>
    <x v="2"/>
    <n v="0"/>
    <n v="130000"/>
    <x v="5"/>
    <x v="1"/>
    <x v="1"/>
    <d v="2026-08-22T00:00:00"/>
    <n v="130000"/>
    <x v="1"/>
  </r>
  <r>
    <n v="103420"/>
    <n v="64"/>
    <n v="97100"/>
    <x v="0"/>
    <n v="50000"/>
    <n v="0"/>
    <x v="6"/>
    <x v="0"/>
    <x v="1"/>
    <d v="2025-12-09T00:00:00"/>
    <n v="50000"/>
    <x v="1"/>
  </r>
  <r>
    <n v="103421"/>
    <n v="59"/>
    <n v="59800"/>
    <x v="1"/>
    <n v="52200"/>
    <n v="0"/>
    <x v="5"/>
    <x v="1"/>
    <x v="1"/>
    <d v="2024-10-14T00:00:00"/>
    <n v="52200"/>
    <x v="0"/>
  </r>
  <r>
    <n v="103422"/>
    <n v="56"/>
    <n v="94900"/>
    <x v="1"/>
    <n v="39100"/>
    <n v="0"/>
    <x v="2"/>
    <x v="0"/>
    <x v="1"/>
    <d v="2024-02-05T00:00:00"/>
    <n v="39100"/>
    <x v="1"/>
  </r>
  <r>
    <n v="103423"/>
    <n v="46"/>
    <n v="88800"/>
    <x v="0"/>
    <n v="25400"/>
    <n v="0"/>
    <x v="3"/>
    <x v="1"/>
    <x v="1"/>
    <d v="2026-07-25T00:00:00"/>
    <n v="25400"/>
    <x v="1"/>
  </r>
  <r>
    <n v="103424"/>
    <n v="73"/>
    <n v="49900"/>
    <x v="0"/>
    <n v="16100"/>
    <n v="0"/>
    <x v="0"/>
    <x v="1"/>
    <x v="1"/>
    <d v="2025-11-04T00:00:00"/>
    <n v="16100"/>
    <x v="0"/>
  </r>
  <r>
    <n v="103425"/>
    <n v="21"/>
    <n v="46400"/>
    <x v="1"/>
    <n v="0"/>
    <n v="0"/>
    <x v="7"/>
    <x v="0"/>
    <x v="1"/>
    <d v="2024-07-02T00:00:00"/>
    <n v="0"/>
    <x v="0"/>
  </r>
  <r>
    <n v="103426"/>
    <n v="40"/>
    <n v="91300"/>
    <x v="0"/>
    <n v="22800"/>
    <n v="0"/>
    <x v="1"/>
    <x v="1"/>
    <x v="1"/>
    <d v="2026-04-05T00:00:00"/>
    <n v="22800"/>
    <x v="1"/>
  </r>
  <r>
    <n v="103427"/>
    <n v="42"/>
    <n v="40900"/>
    <x v="1"/>
    <n v="0"/>
    <n v="0"/>
    <x v="7"/>
    <x v="2"/>
    <x v="1"/>
    <d v="2025-10-07T00:00:00"/>
    <n v="0"/>
    <x v="0"/>
  </r>
  <r>
    <n v="103428"/>
    <n v="45"/>
    <n v="36200"/>
    <x v="2"/>
    <n v="27100"/>
    <n v="0"/>
    <x v="6"/>
    <x v="2"/>
    <x v="1"/>
    <d v="2025-12-03T00:00:00"/>
    <n v="27100"/>
    <x v="0"/>
  </r>
  <r>
    <n v="103429"/>
    <n v="44"/>
    <n v="36700"/>
    <x v="0"/>
    <n v="0"/>
    <n v="273000"/>
    <x v="1"/>
    <x v="2"/>
    <x v="1"/>
    <d v="2026-01-06T00:00:00"/>
    <n v="273000"/>
    <x v="0"/>
  </r>
  <r>
    <n v="103430"/>
    <n v="54"/>
    <n v="53000"/>
    <x v="1"/>
    <n v="39500"/>
    <n v="289000"/>
    <x v="1"/>
    <x v="0"/>
    <x v="1"/>
    <d v="2025-10-08T00:00:00"/>
    <n v="328500"/>
    <x v="0"/>
  </r>
  <r>
    <n v="103431"/>
    <n v="70"/>
    <n v="73400"/>
    <x v="1"/>
    <n v="28100"/>
    <n v="0"/>
    <x v="7"/>
    <x v="0"/>
    <x v="1"/>
    <d v="2024-10-29T00:00:00"/>
    <n v="28100"/>
    <x v="1"/>
  </r>
  <r>
    <n v="103432"/>
    <n v="22"/>
    <n v="38600"/>
    <x v="2"/>
    <n v="0"/>
    <n v="0"/>
    <x v="4"/>
    <x v="1"/>
    <x v="1"/>
    <d v="2026-01-04T00:00:00"/>
    <n v="0"/>
    <x v="0"/>
  </r>
  <r>
    <n v="103433"/>
    <n v="29"/>
    <n v="48300"/>
    <x v="1"/>
    <n v="0"/>
    <n v="0"/>
    <x v="2"/>
    <x v="0"/>
    <x v="1"/>
    <d v="2025-02-03T00:00:00"/>
    <n v="0"/>
    <x v="0"/>
  </r>
  <r>
    <n v="103434"/>
    <n v="73"/>
    <n v="27500"/>
    <x v="0"/>
    <n v="0"/>
    <n v="0"/>
    <x v="5"/>
    <x v="0"/>
    <x v="1"/>
    <d v="2026-06-18T00:00:00"/>
    <n v="0"/>
    <x v="0"/>
  </r>
  <r>
    <n v="103435"/>
    <n v="24"/>
    <n v="56500"/>
    <x v="1"/>
    <n v="0"/>
    <n v="277000"/>
    <x v="6"/>
    <x v="1"/>
    <x v="1"/>
    <d v="2026-07-18T00:00:00"/>
    <n v="277000"/>
    <x v="0"/>
  </r>
  <r>
    <n v="103436"/>
    <n v="66"/>
    <n v="98200"/>
    <x v="1"/>
    <n v="0"/>
    <n v="129000"/>
    <x v="5"/>
    <x v="2"/>
    <x v="1"/>
    <d v="2025-02-27T00:00:00"/>
    <n v="129000"/>
    <x v="1"/>
  </r>
  <r>
    <n v="103437"/>
    <n v="21"/>
    <n v="48700"/>
    <x v="2"/>
    <n v="22800"/>
    <n v="137000"/>
    <x v="0"/>
    <x v="2"/>
    <x v="1"/>
    <d v="2024-05-30T00:00:00"/>
    <n v="159800"/>
    <x v="0"/>
  </r>
  <r>
    <n v="103438"/>
    <n v="57"/>
    <n v="45200"/>
    <x v="1"/>
    <n v="0"/>
    <n v="0"/>
    <x v="5"/>
    <x v="0"/>
    <x v="1"/>
    <d v="2025-10-18T00:00:00"/>
    <n v="0"/>
    <x v="0"/>
  </r>
  <r>
    <n v="103439"/>
    <n v="71"/>
    <n v="32200"/>
    <x v="2"/>
    <n v="0"/>
    <n v="0"/>
    <x v="7"/>
    <x v="1"/>
    <x v="1"/>
    <d v="2024-09-28T00:00:00"/>
    <n v="0"/>
    <x v="0"/>
  </r>
  <r>
    <n v="103440"/>
    <n v="64"/>
    <n v="99700"/>
    <x v="2"/>
    <n v="41900"/>
    <n v="0"/>
    <x v="7"/>
    <x v="1"/>
    <x v="1"/>
    <d v="2025-12-06T00:00:00"/>
    <n v="41900"/>
    <x v="1"/>
  </r>
  <r>
    <n v="103441"/>
    <n v="75"/>
    <n v="47200"/>
    <x v="0"/>
    <n v="14700"/>
    <n v="0"/>
    <x v="4"/>
    <x v="2"/>
    <x v="1"/>
    <d v="2025-09-29T00:00:00"/>
    <n v="14700"/>
    <x v="0"/>
  </r>
  <r>
    <n v="103442"/>
    <n v="56"/>
    <n v="93600"/>
    <x v="2"/>
    <n v="33800"/>
    <n v="0"/>
    <x v="6"/>
    <x v="1"/>
    <x v="1"/>
    <d v="2024-06-03T00:00:00"/>
    <n v="33800"/>
    <x v="1"/>
  </r>
  <r>
    <n v="103443"/>
    <n v="75"/>
    <n v="47600"/>
    <x v="2"/>
    <n v="31700"/>
    <n v="0"/>
    <x v="1"/>
    <x v="0"/>
    <x v="1"/>
    <d v="2025-01-05T00:00:00"/>
    <n v="31700"/>
    <x v="0"/>
  </r>
  <r>
    <n v="103444"/>
    <n v="52"/>
    <n v="58000"/>
    <x v="2"/>
    <n v="0"/>
    <n v="0"/>
    <x v="4"/>
    <x v="1"/>
    <x v="1"/>
    <d v="2026-02-24T00:00:00"/>
    <n v="0"/>
    <x v="0"/>
  </r>
  <r>
    <n v="103445"/>
    <n v="64"/>
    <n v="47000"/>
    <x v="0"/>
    <n v="18600"/>
    <n v="0"/>
    <x v="7"/>
    <x v="0"/>
    <x v="1"/>
    <d v="2024-11-14T00:00:00"/>
    <n v="18600"/>
    <x v="0"/>
  </r>
  <r>
    <n v="103446"/>
    <n v="38"/>
    <n v="80100"/>
    <x v="1"/>
    <n v="24700"/>
    <n v="201000"/>
    <x v="4"/>
    <x v="1"/>
    <x v="1"/>
    <d v="2024-09-12T00:00:00"/>
    <n v="225700"/>
    <x v="1"/>
  </r>
  <r>
    <n v="103447"/>
    <n v="36"/>
    <n v="49100"/>
    <x v="1"/>
    <n v="0"/>
    <n v="362000"/>
    <x v="4"/>
    <x v="2"/>
    <x v="1"/>
    <d v="2024-09-25T00:00:00"/>
    <n v="362000"/>
    <x v="0"/>
  </r>
  <r>
    <n v="103448"/>
    <n v="48"/>
    <n v="52900"/>
    <x v="1"/>
    <n v="0"/>
    <n v="0"/>
    <x v="4"/>
    <x v="1"/>
    <x v="1"/>
    <d v="2025-05-22T00:00:00"/>
    <n v="0"/>
    <x v="0"/>
  </r>
  <r>
    <n v="103449"/>
    <n v="39"/>
    <n v="48200"/>
    <x v="0"/>
    <n v="12500"/>
    <n v="0"/>
    <x v="6"/>
    <x v="1"/>
    <x v="1"/>
    <d v="2024-03-14T00:00:00"/>
    <n v="12500"/>
    <x v="0"/>
  </r>
  <r>
    <n v="103450"/>
    <n v="63"/>
    <n v="90500"/>
    <x v="1"/>
    <n v="0"/>
    <n v="0"/>
    <x v="3"/>
    <x v="2"/>
    <x v="1"/>
    <d v="2026-03-06T00:00:00"/>
    <n v="0"/>
    <x v="1"/>
  </r>
  <r>
    <n v="103451"/>
    <n v="68"/>
    <n v="76500"/>
    <x v="1"/>
    <n v="43200"/>
    <n v="0"/>
    <x v="5"/>
    <x v="1"/>
    <x v="1"/>
    <d v="2024-09-20T00:00:00"/>
    <n v="43200"/>
    <x v="1"/>
  </r>
  <r>
    <n v="103452"/>
    <n v="70"/>
    <n v="108900"/>
    <x v="1"/>
    <n v="15100"/>
    <n v="0"/>
    <x v="0"/>
    <x v="2"/>
    <x v="1"/>
    <d v="2024-05-25T00:00:00"/>
    <n v="15100"/>
    <x v="1"/>
  </r>
  <r>
    <n v="103453"/>
    <n v="57"/>
    <n v="84300"/>
    <x v="0"/>
    <n v="0"/>
    <n v="0"/>
    <x v="7"/>
    <x v="2"/>
    <x v="1"/>
    <d v="2026-08-11T00:00:00"/>
    <n v="0"/>
    <x v="1"/>
  </r>
  <r>
    <n v="103454"/>
    <n v="33"/>
    <n v="42000"/>
    <x v="0"/>
    <n v="32500"/>
    <n v="0"/>
    <x v="2"/>
    <x v="1"/>
    <x v="1"/>
    <d v="2026-06-27T00:00:00"/>
    <n v="32500"/>
    <x v="0"/>
  </r>
  <r>
    <n v="103455"/>
    <n v="37"/>
    <n v="84000"/>
    <x v="2"/>
    <n v="30000"/>
    <n v="0"/>
    <x v="6"/>
    <x v="2"/>
    <x v="1"/>
    <d v="2026-02-03T00:00:00"/>
    <n v="30000"/>
    <x v="1"/>
  </r>
  <r>
    <n v="103456"/>
    <n v="33"/>
    <n v="84700"/>
    <x v="1"/>
    <n v="39600"/>
    <n v="0"/>
    <x v="2"/>
    <x v="1"/>
    <x v="1"/>
    <d v="2025-10-03T00:00:00"/>
    <n v="39600"/>
    <x v="1"/>
  </r>
  <r>
    <n v="103457"/>
    <n v="24"/>
    <n v="78800"/>
    <x v="0"/>
    <n v="69300"/>
    <n v="0"/>
    <x v="6"/>
    <x v="0"/>
    <x v="1"/>
    <d v="2026-04-08T00:00:00"/>
    <n v="69300"/>
    <x v="1"/>
  </r>
  <r>
    <n v="103458"/>
    <n v="28"/>
    <n v="35600"/>
    <x v="0"/>
    <n v="40100"/>
    <n v="0"/>
    <x v="1"/>
    <x v="3"/>
    <x v="0"/>
    <d v="2024-05-10T00:00:00"/>
    <n v="40100"/>
    <x v="0"/>
  </r>
  <r>
    <n v="103459"/>
    <n v="51"/>
    <n v="99100"/>
    <x v="0"/>
    <n v="67500"/>
    <n v="140000"/>
    <x v="4"/>
    <x v="2"/>
    <x v="1"/>
    <d v="2024-09-27T00:00:00"/>
    <n v="207500"/>
    <x v="1"/>
  </r>
  <r>
    <n v="103460"/>
    <n v="55"/>
    <n v="28500"/>
    <x v="2"/>
    <n v="31000"/>
    <n v="0"/>
    <x v="5"/>
    <x v="0"/>
    <x v="1"/>
    <d v="2026-06-17T00:00:00"/>
    <n v="31000"/>
    <x v="0"/>
  </r>
  <r>
    <n v="103461"/>
    <n v="53"/>
    <n v="42200"/>
    <x v="1"/>
    <n v="31500"/>
    <n v="0"/>
    <x v="7"/>
    <x v="1"/>
    <x v="1"/>
    <d v="2024-08-14T00:00:00"/>
    <n v="31500"/>
    <x v="0"/>
  </r>
  <r>
    <n v="103462"/>
    <n v="45"/>
    <n v="52100"/>
    <x v="2"/>
    <n v="0"/>
    <n v="0"/>
    <x v="6"/>
    <x v="2"/>
    <x v="1"/>
    <d v="2025-04-05T00:00:00"/>
    <n v="0"/>
    <x v="0"/>
  </r>
  <r>
    <n v="103463"/>
    <n v="44"/>
    <n v="110700"/>
    <x v="1"/>
    <n v="0"/>
    <n v="0"/>
    <x v="4"/>
    <x v="2"/>
    <x v="1"/>
    <d v="2024-07-04T00:00:00"/>
    <n v="0"/>
    <x v="1"/>
  </r>
  <r>
    <n v="103464"/>
    <n v="70"/>
    <n v="74500"/>
    <x v="0"/>
    <n v="57100"/>
    <n v="306000"/>
    <x v="1"/>
    <x v="0"/>
    <x v="1"/>
    <d v="2025-05-07T00:00:00"/>
    <n v="363100"/>
    <x v="1"/>
  </r>
  <r>
    <n v="103465"/>
    <n v="55"/>
    <n v="84500"/>
    <x v="0"/>
    <n v="21600"/>
    <n v="0"/>
    <x v="3"/>
    <x v="2"/>
    <x v="0"/>
    <d v="2024-11-02T00:00:00"/>
    <n v="21600"/>
    <x v="1"/>
  </r>
  <r>
    <n v="103466"/>
    <n v="66"/>
    <n v="83400"/>
    <x v="0"/>
    <n v="0"/>
    <n v="0"/>
    <x v="4"/>
    <x v="1"/>
    <x v="1"/>
    <d v="2024-02-07T00:00:00"/>
    <n v="0"/>
    <x v="1"/>
  </r>
  <r>
    <n v="103467"/>
    <n v="45"/>
    <n v="53200"/>
    <x v="2"/>
    <n v="22100"/>
    <n v="0"/>
    <x v="3"/>
    <x v="2"/>
    <x v="1"/>
    <d v="2025-10-31T00:00:00"/>
    <n v="22100"/>
    <x v="0"/>
  </r>
  <r>
    <n v="103468"/>
    <n v="36"/>
    <n v="41500"/>
    <x v="1"/>
    <n v="0"/>
    <n v="0"/>
    <x v="0"/>
    <x v="2"/>
    <x v="1"/>
    <d v="2025-06-17T00:00:00"/>
    <n v="0"/>
    <x v="0"/>
  </r>
  <r>
    <n v="103469"/>
    <n v="62"/>
    <n v="47500"/>
    <x v="2"/>
    <n v="13800"/>
    <n v="0"/>
    <x v="4"/>
    <x v="2"/>
    <x v="1"/>
    <d v="2026-02-06T00:00:00"/>
    <n v="13800"/>
    <x v="0"/>
  </r>
  <r>
    <n v="103470"/>
    <n v="35"/>
    <n v="57600"/>
    <x v="0"/>
    <n v="47000"/>
    <n v="0"/>
    <x v="3"/>
    <x v="0"/>
    <x v="1"/>
    <d v="2026-08-30T00:00:00"/>
    <n v="47000"/>
    <x v="0"/>
  </r>
  <r>
    <n v="103471"/>
    <n v="53"/>
    <n v="34000"/>
    <x v="0"/>
    <n v="0"/>
    <n v="0"/>
    <x v="2"/>
    <x v="0"/>
    <x v="1"/>
    <d v="2026-04-19T00:00:00"/>
    <n v="0"/>
    <x v="0"/>
  </r>
  <r>
    <n v="103472"/>
    <n v="55"/>
    <n v="86300"/>
    <x v="0"/>
    <n v="21400"/>
    <n v="159000"/>
    <x v="3"/>
    <x v="0"/>
    <x v="1"/>
    <d v="2026-05-23T00:00:00"/>
    <n v="180400"/>
    <x v="1"/>
  </r>
  <r>
    <n v="103473"/>
    <n v="46"/>
    <n v="40800"/>
    <x v="0"/>
    <n v="33500"/>
    <n v="0"/>
    <x v="7"/>
    <x v="1"/>
    <x v="1"/>
    <d v="2025-05-14T00:00:00"/>
    <n v="33500"/>
    <x v="0"/>
  </r>
  <r>
    <n v="103474"/>
    <n v="43"/>
    <n v="64700"/>
    <x v="1"/>
    <n v="12100"/>
    <n v="0"/>
    <x v="5"/>
    <x v="2"/>
    <x v="1"/>
    <d v="2025-09-01T00:00:00"/>
    <n v="12100"/>
    <x v="0"/>
  </r>
  <r>
    <n v="103475"/>
    <n v="24"/>
    <n v="66000"/>
    <x v="1"/>
    <n v="0"/>
    <n v="0"/>
    <x v="5"/>
    <x v="2"/>
    <x v="1"/>
    <d v="2026-03-16T00:00:00"/>
    <n v="0"/>
    <x v="0"/>
  </r>
  <r>
    <n v="103476"/>
    <n v="51"/>
    <n v="92200"/>
    <x v="1"/>
    <n v="6300"/>
    <n v="0"/>
    <x v="1"/>
    <x v="2"/>
    <x v="1"/>
    <d v="2024-02-03T00:00:00"/>
    <n v="6300"/>
    <x v="1"/>
  </r>
  <r>
    <n v="103477"/>
    <n v="26"/>
    <n v="32200"/>
    <x v="1"/>
    <n v="23800"/>
    <n v="0"/>
    <x v="5"/>
    <x v="1"/>
    <x v="1"/>
    <d v="2025-02-26T00:00:00"/>
    <n v="23800"/>
    <x v="0"/>
  </r>
  <r>
    <n v="103478"/>
    <n v="36"/>
    <n v="59800"/>
    <x v="1"/>
    <n v="74800"/>
    <n v="0"/>
    <x v="0"/>
    <x v="2"/>
    <x v="1"/>
    <d v="2026-08-31T00:00:00"/>
    <n v="74800"/>
    <x v="0"/>
  </r>
  <r>
    <n v="103479"/>
    <n v="45"/>
    <n v="34200"/>
    <x v="2"/>
    <n v="0"/>
    <n v="0"/>
    <x v="5"/>
    <x v="0"/>
    <x v="1"/>
    <d v="2025-12-21T00:00:00"/>
    <n v="0"/>
    <x v="0"/>
  </r>
  <r>
    <n v="103480"/>
    <n v="58"/>
    <n v="25100"/>
    <x v="2"/>
    <n v="0"/>
    <n v="0"/>
    <x v="0"/>
    <x v="1"/>
    <x v="1"/>
    <d v="2026-07-16T00:00:00"/>
    <n v="0"/>
    <x v="0"/>
  </r>
  <r>
    <n v="103481"/>
    <n v="50"/>
    <n v="42600"/>
    <x v="0"/>
    <n v="31200"/>
    <n v="0"/>
    <x v="1"/>
    <x v="1"/>
    <x v="1"/>
    <d v="2025-04-07T00:00:00"/>
    <n v="31200"/>
    <x v="0"/>
  </r>
  <r>
    <n v="103482"/>
    <n v="31"/>
    <n v="115200"/>
    <x v="0"/>
    <n v="10000"/>
    <n v="148000"/>
    <x v="4"/>
    <x v="2"/>
    <x v="1"/>
    <d v="2024-06-26T00:00:00"/>
    <n v="158000"/>
    <x v="1"/>
  </r>
  <r>
    <n v="103483"/>
    <n v="23"/>
    <n v="50800"/>
    <x v="0"/>
    <n v="30400"/>
    <n v="163000"/>
    <x v="2"/>
    <x v="1"/>
    <x v="1"/>
    <d v="2025-11-11T00:00:00"/>
    <n v="193400"/>
    <x v="0"/>
  </r>
  <r>
    <n v="103484"/>
    <n v="74"/>
    <n v="80700"/>
    <x v="1"/>
    <n v="0"/>
    <n v="0"/>
    <x v="3"/>
    <x v="2"/>
    <x v="1"/>
    <d v="2026-06-16T00:00:00"/>
    <n v="0"/>
    <x v="1"/>
  </r>
  <r>
    <n v="103485"/>
    <n v="51"/>
    <n v="57500"/>
    <x v="1"/>
    <n v="23800"/>
    <n v="0"/>
    <x v="7"/>
    <x v="1"/>
    <x v="1"/>
    <d v="2026-04-07T00:00:00"/>
    <n v="23800"/>
    <x v="0"/>
  </r>
  <r>
    <n v="103486"/>
    <n v="31"/>
    <n v="78400"/>
    <x v="2"/>
    <n v="75400"/>
    <n v="0"/>
    <x v="2"/>
    <x v="2"/>
    <x v="1"/>
    <d v="2025-07-02T00:00:00"/>
    <n v="75400"/>
    <x v="1"/>
  </r>
  <r>
    <n v="103487"/>
    <n v="75"/>
    <n v="70500"/>
    <x v="0"/>
    <n v="0"/>
    <n v="272000"/>
    <x v="2"/>
    <x v="1"/>
    <x v="1"/>
    <d v="2025-04-30T00:00:00"/>
    <n v="272000"/>
    <x v="1"/>
  </r>
  <r>
    <n v="103488"/>
    <n v="32"/>
    <n v="106000"/>
    <x v="0"/>
    <n v="0"/>
    <n v="0"/>
    <x v="5"/>
    <x v="0"/>
    <x v="1"/>
    <d v="2026-08-29T00:00:00"/>
    <n v="0"/>
    <x v="1"/>
  </r>
  <r>
    <n v="103489"/>
    <n v="64"/>
    <n v="101200"/>
    <x v="2"/>
    <n v="22100"/>
    <n v="0"/>
    <x v="4"/>
    <x v="2"/>
    <x v="1"/>
    <d v="2025-02-09T00:00:00"/>
    <n v="22100"/>
    <x v="1"/>
  </r>
  <r>
    <n v="103490"/>
    <n v="73"/>
    <n v="59300"/>
    <x v="1"/>
    <n v="0"/>
    <n v="0"/>
    <x v="1"/>
    <x v="0"/>
    <x v="1"/>
    <d v="2026-03-28T00:00:00"/>
    <n v="0"/>
    <x v="0"/>
  </r>
  <r>
    <n v="103491"/>
    <n v="36"/>
    <n v="78900"/>
    <x v="0"/>
    <n v="27700"/>
    <n v="0"/>
    <x v="5"/>
    <x v="3"/>
    <x v="1"/>
    <d v="2024-12-23T00:00:00"/>
    <n v="27700"/>
    <x v="1"/>
  </r>
  <r>
    <n v="103492"/>
    <n v="42"/>
    <n v="90500"/>
    <x v="0"/>
    <n v="59600"/>
    <n v="0"/>
    <x v="2"/>
    <x v="1"/>
    <x v="1"/>
    <d v="2024-05-12T00:00:00"/>
    <n v="59600"/>
    <x v="1"/>
  </r>
  <r>
    <n v="103493"/>
    <n v="36"/>
    <n v="26000"/>
    <x v="1"/>
    <n v="17500"/>
    <n v="0"/>
    <x v="5"/>
    <x v="0"/>
    <x v="1"/>
    <d v="2025-09-17T00:00:00"/>
    <n v="17500"/>
    <x v="0"/>
  </r>
  <r>
    <n v="103494"/>
    <n v="45"/>
    <n v="47800"/>
    <x v="1"/>
    <n v="25000"/>
    <n v="196000"/>
    <x v="2"/>
    <x v="2"/>
    <x v="1"/>
    <d v="2024-02-03T00:00:00"/>
    <n v="221000"/>
    <x v="0"/>
  </r>
  <r>
    <n v="103495"/>
    <n v="69"/>
    <n v="112200"/>
    <x v="0"/>
    <n v="35600"/>
    <n v="215000"/>
    <x v="1"/>
    <x v="1"/>
    <x v="1"/>
    <d v="2025-09-13T00:00:00"/>
    <n v="250600"/>
    <x v="1"/>
  </r>
  <r>
    <n v="103496"/>
    <n v="27"/>
    <n v="43900"/>
    <x v="0"/>
    <n v="49400"/>
    <n v="335000"/>
    <x v="6"/>
    <x v="1"/>
    <x v="1"/>
    <d v="2024-02-26T00:00:00"/>
    <n v="384400"/>
    <x v="0"/>
  </r>
  <r>
    <n v="103497"/>
    <n v="71"/>
    <n v="95000"/>
    <x v="1"/>
    <n v="62400"/>
    <n v="290000"/>
    <x v="5"/>
    <x v="0"/>
    <x v="1"/>
    <d v="2024-02-16T00:00:00"/>
    <n v="352400"/>
    <x v="1"/>
  </r>
  <r>
    <n v="103498"/>
    <n v="71"/>
    <n v="79200"/>
    <x v="1"/>
    <n v="20200"/>
    <n v="0"/>
    <x v="1"/>
    <x v="2"/>
    <x v="1"/>
    <d v="2026-08-04T00:00:00"/>
    <n v="20200"/>
    <x v="1"/>
  </r>
  <r>
    <n v="103499"/>
    <n v="45"/>
    <n v="57500"/>
    <x v="0"/>
    <n v="71900"/>
    <n v="0"/>
    <x v="1"/>
    <x v="0"/>
    <x v="1"/>
    <d v="2024-09-10T00:00:00"/>
    <n v="71900"/>
    <x v="0"/>
  </r>
  <r>
    <n v="103500"/>
    <n v="33"/>
    <n v="91600"/>
    <x v="2"/>
    <n v="0"/>
    <n v="281000"/>
    <x v="7"/>
    <x v="2"/>
    <x v="1"/>
    <d v="2024-12-09T00:00:00"/>
    <n v="281000"/>
    <x v="1"/>
  </r>
  <r>
    <n v="103501"/>
    <n v="58"/>
    <n v="37900"/>
    <x v="1"/>
    <n v="0"/>
    <n v="0"/>
    <x v="0"/>
    <x v="2"/>
    <x v="1"/>
    <d v="2024-03-31T00:00:00"/>
    <n v="0"/>
    <x v="0"/>
  </r>
  <r>
    <n v="103502"/>
    <n v="21"/>
    <n v="39900"/>
    <x v="1"/>
    <n v="49900"/>
    <n v="313000"/>
    <x v="2"/>
    <x v="2"/>
    <x v="1"/>
    <d v="2025-06-14T00:00:00"/>
    <n v="362900"/>
    <x v="0"/>
  </r>
  <r>
    <n v="103503"/>
    <n v="36"/>
    <n v="66600"/>
    <x v="1"/>
    <n v="32000"/>
    <n v="0"/>
    <x v="3"/>
    <x v="0"/>
    <x v="0"/>
    <d v="2024-03-30T00:00:00"/>
    <n v="32000"/>
    <x v="0"/>
  </r>
  <r>
    <n v="103504"/>
    <n v="36"/>
    <n v="44100"/>
    <x v="2"/>
    <n v="43300"/>
    <n v="0"/>
    <x v="7"/>
    <x v="1"/>
    <x v="1"/>
    <d v="2024-12-15T00:00:00"/>
    <n v="43300"/>
    <x v="0"/>
  </r>
  <r>
    <n v="103505"/>
    <n v="21"/>
    <n v="106900"/>
    <x v="2"/>
    <n v="51700"/>
    <n v="0"/>
    <x v="1"/>
    <x v="2"/>
    <x v="1"/>
    <d v="2024-01-30T00:00:00"/>
    <n v="51700"/>
    <x v="1"/>
  </r>
  <r>
    <n v="103506"/>
    <n v="66"/>
    <n v="53300"/>
    <x v="0"/>
    <n v="50700"/>
    <n v="118000"/>
    <x v="0"/>
    <x v="3"/>
    <x v="1"/>
    <d v="2024-09-01T00:00:00"/>
    <n v="168700"/>
    <x v="0"/>
  </r>
  <r>
    <n v="103507"/>
    <n v="66"/>
    <n v="53000"/>
    <x v="1"/>
    <n v="14400"/>
    <n v="200000"/>
    <x v="2"/>
    <x v="1"/>
    <x v="1"/>
    <d v="2024-10-31T00:00:00"/>
    <n v="214400"/>
    <x v="0"/>
  </r>
  <r>
    <n v="103508"/>
    <n v="63"/>
    <n v="34600"/>
    <x v="0"/>
    <n v="43200"/>
    <n v="0"/>
    <x v="7"/>
    <x v="2"/>
    <x v="1"/>
    <d v="2025-06-01T00:00:00"/>
    <n v="43200"/>
    <x v="0"/>
  </r>
  <r>
    <n v="103509"/>
    <n v="69"/>
    <n v="115700"/>
    <x v="1"/>
    <n v="9900"/>
    <n v="0"/>
    <x v="1"/>
    <x v="0"/>
    <x v="1"/>
    <d v="2026-06-26T00:00:00"/>
    <n v="9900"/>
    <x v="1"/>
  </r>
  <r>
    <n v="103510"/>
    <n v="21"/>
    <n v="87700"/>
    <x v="1"/>
    <n v="75200"/>
    <n v="0"/>
    <x v="5"/>
    <x v="2"/>
    <x v="1"/>
    <d v="2025-06-08T00:00:00"/>
    <n v="75200"/>
    <x v="1"/>
  </r>
  <r>
    <n v="103511"/>
    <n v="32"/>
    <n v="86200"/>
    <x v="1"/>
    <n v="51700"/>
    <n v="0"/>
    <x v="1"/>
    <x v="0"/>
    <x v="1"/>
    <d v="2024-10-18T00:00:00"/>
    <n v="51700"/>
    <x v="1"/>
  </r>
  <r>
    <n v="103512"/>
    <n v="64"/>
    <n v="73700"/>
    <x v="2"/>
    <n v="0"/>
    <n v="0"/>
    <x v="7"/>
    <x v="2"/>
    <x v="1"/>
    <d v="2024-02-29T00:00:00"/>
    <n v="0"/>
    <x v="1"/>
  </r>
  <r>
    <n v="103513"/>
    <n v="59"/>
    <n v="23200"/>
    <x v="1"/>
    <n v="29000"/>
    <n v="0"/>
    <x v="1"/>
    <x v="0"/>
    <x v="1"/>
    <d v="2026-01-27T00:00:00"/>
    <n v="29000"/>
    <x v="0"/>
  </r>
  <r>
    <n v="103514"/>
    <n v="25"/>
    <n v="54900"/>
    <x v="0"/>
    <n v="41200"/>
    <n v="0"/>
    <x v="5"/>
    <x v="3"/>
    <x v="1"/>
    <d v="2025-07-18T00:00:00"/>
    <n v="41200"/>
    <x v="0"/>
  </r>
  <r>
    <n v="103515"/>
    <n v="55"/>
    <n v="72000"/>
    <x v="2"/>
    <n v="0"/>
    <n v="0"/>
    <x v="6"/>
    <x v="2"/>
    <x v="1"/>
    <d v="2024-07-09T00:00:00"/>
    <n v="0"/>
    <x v="1"/>
  </r>
  <r>
    <n v="103516"/>
    <n v="60"/>
    <n v="27500"/>
    <x v="0"/>
    <n v="4700"/>
    <n v="0"/>
    <x v="2"/>
    <x v="1"/>
    <x v="1"/>
    <d v="2026-03-10T00:00:00"/>
    <n v="4700"/>
    <x v="0"/>
  </r>
  <r>
    <n v="103517"/>
    <n v="23"/>
    <n v="36300"/>
    <x v="1"/>
    <n v="45400"/>
    <n v="132000"/>
    <x v="1"/>
    <x v="1"/>
    <x v="1"/>
    <d v="2025-09-06T00:00:00"/>
    <n v="177400"/>
    <x v="0"/>
  </r>
  <r>
    <n v="103518"/>
    <n v="72"/>
    <n v="97300"/>
    <x v="2"/>
    <n v="75000"/>
    <n v="0"/>
    <x v="6"/>
    <x v="3"/>
    <x v="0"/>
    <d v="2025-09-03T00:00:00"/>
    <n v="75000"/>
    <x v="1"/>
  </r>
  <r>
    <n v="103519"/>
    <n v="61"/>
    <n v="66700"/>
    <x v="0"/>
    <n v="53900"/>
    <n v="144000"/>
    <x v="7"/>
    <x v="2"/>
    <x v="1"/>
    <d v="2024-04-30T00:00:00"/>
    <n v="197900"/>
    <x v="0"/>
  </r>
  <r>
    <n v="103520"/>
    <n v="29"/>
    <n v="93700"/>
    <x v="0"/>
    <n v="13500"/>
    <n v="0"/>
    <x v="2"/>
    <x v="2"/>
    <x v="1"/>
    <d v="2024-07-24T00:00:00"/>
    <n v="13500"/>
    <x v="1"/>
  </r>
  <r>
    <n v="103521"/>
    <n v="25"/>
    <n v="72500"/>
    <x v="0"/>
    <n v="50800"/>
    <n v="0"/>
    <x v="1"/>
    <x v="0"/>
    <x v="1"/>
    <d v="2026-07-19T00:00:00"/>
    <n v="50800"/>
    <x v="1"/>
  </r>
  <r>
    <n v="103522"/>
    <n v="23"/>
    <n v="47000"/>
    <x v="2"/>
    <n v="0"/>
    <n v="157000"/>
    <x v="6"/>
    <x v="0"/>
    <x v="1"/>
    <d v="2024-12-20T00:00:00"/>
    <n v="157000"/>
    <x v="0"/>
  </r>
  <r>
    <n v="103523"/>
    <n v="39"/>
    <n v="62000"/>
    <x v="0"/>
    <n v="34600"/>
    <n v="0"/>
    <x v="7"/>
    <x v="1"/>
    <x v="1"/>
    <d v="2025-08-23T00:00:00"/>
    <n v="34600"/>
    <x v="0"/>
  </r>
  <r>
    <n v="103524"/>
    <n v="71"/>
    <n v="61600"/>
    <x v="0"/>
    <n v="47600"/>
    <n v="0"/>
    <x v="2"/>
    <x v="2"/>
    <x v="1"/>
    <d v="2025-01-18T00:00:00"/>
    <n v="47600"/>
    <x v="0"/>
  </r>
  <r>
    <n v="103525"/>
    <n v="74"/>
    <n v="33100"/>
    <x v="1"/>
    <n v="41400"/>
    <n v="0"/>
    <x v="4"/>
    <x v="1"/>
    <x v="1"/>
    <d v="2024-05-14T00:00:00"/>
    <n v="41400"/>
    <x v="0"/>
  </r>
  <r>
    <n v="103526"/>
    <n v="57"/>
    <n v="50300"/>
    <x v="2"/>
    <n v="18100"/>
    <n v="0"/>
    <x v="7"/>
    <x v="1"/>
    <x v="1"/>
    <d v="2026-03-13T00:00:00"/>
    <n v="18100"/>
    <x v="0"/>
  </r>
  <r>
    <n v="103527"/>
    <n v="53"/>
    <n v="72200"/>
    <x v="1"/>
    <n v="0"/>
    <n v="0"/>
    <x v="3"/>
    <x v="2"/>
    <x v="1"/>
    <d v="2025-06-09T00:00:00"/>
    <n v="0"/>
    <x v="1"/>
  </r>
  <r>
    <n v="103528"/>
    <n v="27"/>
    <n v="65300"/>
    <x v="0"/>
    <n v="0"/>
    <n v="0"/>
    <x v="5"/>
    <x v="2"/>
    <x v="1"/>
    <d v="2025-05-28T00:00:00"/>
    <n v="0"/>
    <x v="0"/>
  </r>
  <r>
    <n v="103529"/>
    <n v="49"/>
    <n v="52300"/>
    <x v="0"/>
    <n v="56700"/>
    <n v="0"/>
    <x v="5"/>
    <x v="1"/>
    <x v="1"/>
    <d v="2025-12-31T00:00:00"/>
    <n v="56700"/>
    <x v="0"/>
  </r>
  <r>
    <n v="103530"/>
    <n v="74"/>
    <n v="48500"/>
    <x v="1"/>
    <n v="43200"/>
    <n v="0"/>
    <x v="5"/>
    <x v="2"/>
    <x v="1"/>
    <d v="2024-01-28T00:00:00"/>
    <n v="43200"/>
    <x v="0"/>
  </r>
  <r>
    <n v="103531"/>
    <n v="48"/>
    <n v="104300"/>
    <x v="1"/>
    <n v="0"/>
    <n v="0"/>
    <x v="2"/>
    <x v="1"/>
    <x v="1"/>
    <d v="2026-03-30T00:00:00"/>
    <n v="0"/>
    <x v="1"/>
  </r>
  <r>
    <n v="103532"/>
    <n v="69"/>
    <n v="104500"/>
    <x v="1"/>
    <n v="34300"/>
    <n v="0"/>
    <x v="4"/>
    <x v="1"/>
    <x v="1"/>
    <d v="2026-03-05T00:00:00"/>
    <n v="34300"/>
    <x v="1"/>
  </r>
  <r>
    <n v="103533"/>
    <n v="41"/>
    <n v="46900"/>
    <x v="0"/>
    <n v="33500"/>
    <n v="0"/>
    <x v="2"/>
    <x v="1"/>
    <x v="1"/>
    <d v="2024-10-17T00:00:00"/>
    <n v="33500"/>
    <x v="0"/>
  </r>
  <r>
    <n v="103534"/>
    <n v="65"/>
    <n v="35800"/>
    <x v="1"/>
    <n v="44800"/>
    <n v="0"/>
    <x v="3"/>
    <x v="1"/>
    <x v="1"/>
    <d v="2024-02-09T00:00:00"/>
    <n v="44800"/>
    <x v="0"/>
  </r>
  <r>
    <n v="103535"/>
    <n v="21"/>
    <n v="59300"/>
    <x v="0"/>
    <n v="0"/>
    <n v="0"/>
    <x v="5"/>
    <x v="1"/>
    <x v="1"/>
    <d v="2024-11-13T00:00:00"/>
    <n v="0"/>
    <x v="0"/>
  </r>
  <r>
    <n v="103536"/>
    <n v="56"/>
    <n v="74500"/>
    <x v="1"/>
    <n v="0"/>
    <n v="0"/>
    <x v="0"/>
    <x v="1"/>
    <x v="1"/>
    <d v="2024-05-15T00:00:00"/>
    <n v="0"/>
    <x v="1"/>
  </r>
  <r>
    <n v="103537"/>
    <n v="32"/>
    <n v="73600"/>
    <x v="1"/>
    <n v="58700"/>
    <n v="174000"/>
    <x v="3"/>
    <x v="1"/>
    <x v="0"/>
    <d v="2024-06-21T00:00:00"/>
    <n v="232700"/>
    <x v="1"/>
  </r>
  <r>
    <n v="103538"/>
    <n v="69"/>
    <n v="56400"/>
    <x v="1"/>
    <n v="53600"/>
    <n v="0"/>
    <x v="0"/>
    <x v="0"/>
    <x v="1"/>
    <d v="2024-06-05T00:00:00"/>
    <n v="53600"/>
    <x v="0"/>
  </r>
  <r>
    <n v="103539"/>
    <n v="51"/>
    <n v="37900"/>
    <x v="1"/>
    <n v="47400"/>
    <n v="0"/>
    <x v="2"/>
    <x v="3"/>
    <x v="1"/>
    <d v="2024-07-25T00:00:00"/>
    <n v="47400"/>
    <x v="0"/>
  </r>
  <r>
    <n v="103540"/>
    <n v="37"/>
    <n v="34700"/>
    <x v="2"/>
    <n v="10300"/>
    <n v="0"/>
    <x v="2"/>
    <x v="1"/>
    <x v="1"/>
    <d v="2024-10-23T00:00:00"/>
    <n v="10300"/>
    <x v="0"/>
  </r>
  <r>
    <n v="103541"/>
    <n v="42"/>
    <n v="50300"/>
    <x v="2"/>
    <n v="0"/>
    <n v="0"/>
    <x v="1"/>
    <x v="0"/>
    <x v="1"/>
    <d v="2024-05-05T00:00:00"/>
    <n v="0"/>
    <x v="0"/>
  </r>
  <r>
    <n v="103542"/>
    <n v="47"/>
    <n v="121200"/>
    <x v="2"/>
    <n v="19000"/>
    <n v="0"/>
    <x v="7"/>
    <x v="1"/>
    <x v="1"/>
    <d v="2025-02-28T00:00:00"/>
    <n v="19000"/>
    <x v="1"/>
  </r>
  <r>
    <n v="103543"/>
    <n v="46"/>
    <n v="60400"/>
    <x v="0"/>
    <n v="0"/>
    <n v="0"/>
    <x v="6"/>
    <x v="1"/>
    <x v="1"/>
    <d v="2026-04-02T00:00:00"/>
    <n v="0"/>
    <x v="0"/>
  </r>
  <r>
    <n v="103544"/>
    <n v="67"/>
    <n v="65700"/>
    <x v="1"/>
    <n v="47700"/>
    <n v="0"/>
    <x v="0"/>
    <x v="1"/>
    <x v="1"/>
    <d v="2024-12-03T00:00:00"/>
    <n v="47700"/>
    <x v="0"/>
  </r>
  <r>
    <n v="103545"/>
    <n v="63"/>
    <n v="57800"/>
    <x v="1"/>
    <n v="41300"/>
    <n v="0"/>
    <x v="3"/>
    <x v="2"/>
    <x v="1"/>
    <d v="2026-06-27T00:00:00"/>
    <n v="41300"/>
    <x v="0"/>
  </r>
  <r>
    <n v="103546"/>
    <n v="22"/>
    <n v="83300"/>
    <x v="0"/>
    <n v="0"/>
    <n v="0"/>
    <x v="1"/>
    <x v="2"/>
    <x v="1"/>
    <d v="2025-08-12T00:00:00"/>
    <n v="0"/>
    <x v="1"/>
  </r>
  <r>
    <n v="103547"/>
    <n v="53"/>
    <n v="117200"/>
    <x v="0"/>
    <n v="7900"/>
    <n v="182000"/>
    <x v="3"/>
    <x v="1"/>
    <x v="1"/>
    <d v="2025-01-13T00:00:00"/>
    <n v="189900"/>
    <x v="1"/>
  </r>
  <r>
    <n v="103548"/>
    <n v="73"/>
    <n v="41500"/>
    <x v="1"/>
    <n v="10300"/>
    <n v="0"/>
    <x v="3"/>
    <x v="0"/>
    <x v="1"/>
    <d v="2025-12-25T00:00:00"/>
    <n v="10300"/>
    <x v="0"/>
  </r>
  <r>
    <n v="103549"/>
    <n v="33"/>
    <n v="105800"/>
    <x v="1"/>
    <n v="9700"/>
    <n v="0"/>
    <x v="3"/>
    <x v="1"/>
    <x v="1"/>
    <d v="2025-06-15T00:00:00"/>
    <n v="9700"/>
    <x v="1"/>
  </r>
  <r>
    <n v="103550"/>
    <n v="30"/>
    <n v="106400"/>
    <x v="2"/>
    <n v="35600"/>
    <n v="168000"/>
    <x v="7"/>
    <x v="1"/>
    <x v="1"/>
    <d v="2025-02-26T00:00:00"/>
    <n v="203600"/>
    <x v="1"/>
  </r>
  <r>
    <n v="103551"/>
    <n v="69"/>
    <n v="56600"/>
    <x v="1"/>
    <n v="0"/>
    <n v="0"/>
    <x v="4"/>
    <x v="0"/>
    <x v="1"/>
    <d v="2025-07-10T00:00:00"/>
    <n v="0"/>
    <x v="0"/>
  </r>
  <r>
    <n v="103552"/>
    <n v="34"/>
    <n v="46900"/>
    <x v="0"/>
    <n v="18200"/>
    <n v="0"/>
    <x v="1"/>
    <x v="2"/>
    <x v="1"/>
    <d v="2026-01-15T00:00:00"/>
    <n v="18200"/>
    <x v="0"/>
  </r>
  <r>
    <n v="103553"/>
    <n v="72"/>
    <n v="53900"/>
    <x v="1"/>
    <n v="31700"/>
    <n v="0"/>
    <x v="4"/>
    <x v="0"/>
    <x v="1"/>
    <d v="2025-03-20T00:00:00"/>
    <n v="31700"/>
    <x v="0"/>
  </r>
  <r>
    <n v="103554"/>
    <n v="46"/>
    <n v="43400"/>
    <x v="0"/>
    <n v="34800"/>
    <n v="0"/>
    <x v="7"/>
    <x v="1"/>
    <x v="1"/>
    <d v="2024-10-06T00:00:00"/>
    <n v="34800"/>
    <x v="0"/>
  </r>
  <r>
    <n v="103555"/>
    <n v="59"/>
    <n v="64600"/>
    <x v="1"/>
    <n v="43800"/>
    <n v="0"/>
    <x v="5"/>
    <x v="1"/>
    <x v="1"/>
    <d v="2026-03-23T00:00:00"/>
    <n v="43800"/>
    <x v="0"/>
  </r>
  <r>
    <n v="103556"/>
    <n v="56"/>
    <n v="68500"/>
    <x v="1"/>
    <n v="24700"/>
    <n v="0"/>
    <x v="1"/>
    <x v="1"/>
    <x v="1"/>
    <d v="2025-09-21T00:00:00"/>
    <n v="24700"/>
    <x v="0"/>
  </r>
  <r>
    <n v="103557"/>
    <n v="37"/>
    <n v="23200"/>
    <x v="1"/>
    <n v="29000"/>
    <n v="0"/>
    <x v="1"/>
    <x v="1"/>
    <x v="1"/>
    <d v="2025-02-01T00:00:00"/>
    <n v="29000"/>
    <x v="0"/>
  </r>
  <r>
    <n v="103558"/>
    <n v="44"/>
    <n v="54300"/>
    <x v="2"/>
    <n v="67900"/>
    <n v="385000"/>
    <x v="4"/>
    <x v="0"/>
    <x v="1"/>
    <d v="2026-03-20T00:00:00"/>
    <n v="452900"/>
    <x v="0"/>
  </r>
  <r>
    <n v="103559"/>
    <n v="29"/>
    <n v="43600"/>
    <x v="0"/>
    <n v="54500"/>
    <n v="184000"/>
    <x v="7"/>
    <x v="2"/>
    <x v="1"/>
    <d v="2024-08-19T00:00:00"/>
    <n v="238500"/>
    <x v="0"/>
  </r>
  <r>
    <n v="103560"/>
    <n v="49"/>
    <n v="41600"/>
    <x v="1"/>
    <n v="22000"/>
    <n v="0"/>
    <x v="0"/>
    <x v="1"/>
    <x v="1"/>
    <d v="2026-07-30T00:00:00"/>
    <n v="22000"/>
    <x v="0"/>
  </r>
  <r>
    <n v="103561"/>
    <n v="39"/>
    <n v="76200"/>
    <x v="2"/>
    <n v="0"/>
    <n v="0"/>
    <x v="3"/>
    <x v="2"/>
    <x v="1"/>
    <d v="2024-09-28T00:00:00"/>
    <n v="0"/>
    <x v="1"/>
  </r>
  <r>
    <n v="103562"/>
    <n v="70"/>
    <n v="48700"/>
    <x v="0"/>
    <n v="60900"/>
    <n v="0"/>
    <x v="7"/>
    <x v="1"/>
    <x v="1"/>
    <d v="2025-11-13T00:00:00"/>
    <n v="60900"/>
    <x v="0"/>
  </r>
  <r>
    <n v="103563"/>
    <n v="70"/>
    <n v="116300"/>
    <x v="2"/>
    <n v="27600"/>
    <n v="0"/>
    <x v="6"/>
    <x v="0"/>
    <x v="1"/>
    <d v="2026-05-20T00:00:00"/>
    <n v="27600"/>
    <x v="1"/>
  </r>
  <r>
    <n v="103564"/>
    <n v="67"/>
    <n v="36800"/>
    <x v="1"/>
    <n v="0"/>
    <n v="0"/>
    <x v="5"/>
    <x v="0"/>
    <x v="1"/>
    <d v="2026-08-21T00:00:00"/>
    <n v="0"/>
    <x v="0"/>
  </r>
  <r>
    <n v="103565"/>
    <n v="58"/>
    <n v="44800"/>
    <x v="2"/>
    <n v="0"/>
    <n v="0"/>
    <x v="6"/>
    <x v="1"/>
    <x v="1"/>
    <d v="2024-04-19T00:00:00"/>
    <n v="0"/>
    <x v="0"/>
  </r>
  <r>
    <n v="103566"/>
    <n v="36"/>
    <n v="110700"/>
    <x v="1"/>
    <n v="0"/>
    <n v="0"/>
    <x v="4"/>
    <x v="2"/>
    <x v="1"/>
    <d v="2024-10-25T00:00:00"/>
    <n v="0"/>
    <x v="1"/>
  </r>
  <r>
    <n v="103567"/>
    <n v="29"/>
    <n v="33400"/>
    <x v="0"/>
    <n v="21100"/>
    <n v="0"/>
    <x v="2"/>
    <x v="2"/>
    <x v="1"/>
    <d v="2024-03-25T00:00:00"/>
    <n v="21100"/>
    <x v="0"/>
  </r>
  <r>
    <n v="103568"/>
    <n v="60"/>
    <n v="65200"/>
    <x v="0"/>
    <n v="44300"/>
    <n v="0"/>
    <x v="2"/>
    <x v="1"/>
    <x v="1"/>
    <d v="2024-08-29T00:00:00"/>
    <n v="44300"/>
    <x v="0"/>
  </r>
  <r>
    <n v="103569"/>
    <n v="34"/>
    <n v="47900"/>
    <x v="2"/>
    <n v="36200"/>
    <n v="0"/>
    <x v="3"/>
    <x v="0"/>
    <x v="1"/>
    <d v="2025-12-27T00:00:00"/>
    <n v="36200"/>
    <x v="0"/>
  </r>
  <r>
    <n v="103570"/>
    <n v="56"/>
    <n v="59800"/>
    <x v="2"/>
    <n v="0"/>
    <n v="0"/>
    <x v="3"/>
    <x v="2"/>
    <x v="1"/>
    <d v="2025-05-16T00:00:00"/>
    <n v="0"/>
    <x v="0"/>
  </r>
  <r>
    <n v="103571"/>
    <n v="62"/>
    <n v="66500"/>
    <x v="0"/>
    <n v="0"/>
    <n v="150000"/>
    <x v="0"/>
    <x v="2"/>
    <x v="1"/>
    <d v="2024-02-11T00:00:00"/>
    <n v="150000"/>
    <x v="0"/>
  </r>
  <r>
    <n v="103572"/>
    <n v="67"/>
    <n v="85600"/>
    <x v="0"/>
    <n v="56600"/>
    <n v="181000"/>
    <x v="4"/>
    <x v="1"/>
    <x v="1"/>
    <d v="2024-12-23T00:00:00"/>
    <n v="237600"/>
    <x v="1"/>
  </r>
  <r>
    <n v="103573"/>
    <n v="49"/>
    <n v="98600"/>
    <x v="0"/>
    <n v="0"/>
    <n v="0"/>
    <x v="1"/>
    <x v="2"/>
    <x v="1"/>
    <d v="2025-09-04T00:00:00"/>
    <n v="0"/>
    <x v="1"/>
  </r>
  <r>
    <n v="103574"/>
    <n v="21"/>
    <n v="49000"/>
    <x v="1"/>
    <n v="17900"/>
    <n v="0"/>
    <x v="1"/>
    <x v="2"/>
    <x v="1"/>
    <d v="2024-10-23T00:00:00"/>
    <n v="17900"/>
    <x v="0"/>
  </r>
  <r>
    <n v="103575"/>
    <n v="33"/>
    <n v="47900"/>
    <x v="2"/>
    <n v="0"/>
    <n v="348000"/>
    <x v="6"/>
    <x v="1"/>
    <x v="1"/>
    <d v="2025-05-05T00:00:00"/>
    <n v="348000"/>
    <x v="0"/>
  </r>
  <r>
    <n v="103576"/>
    <n v="66"/>
    <n v="98100"/>
    <x v="0"/>
    <n v="9500"/>
    <n v="229000"/>
    <x v="4"/>
    <x v="0"/>
    <x v="1"/>
    <d v="2024-04-21T00:00:00"/>
    <n v="238500"/>
    <x v="1"/>
  </r>
  <r>
    <n v="103577"/>
    <n v="45"/>
    <n v="63400"/>
    <x v="1"/>
    <n v="69800"/>
    <n v="0"/>
    <x v="0"/>
    <x v="2"/>
    <x v="1"/>
    <d v="2026-05-04T00:00:00"/>
    <n v="69800"/>
    <x v="0"/>
  </r>
  <r>
    <n v="103578"/>
    <n v="29"/>
    <n v="28800"/>
    <x v="1"/>
    <n v="30600"/>
    <n v="0"/>
    <x v="0"/>
    <x v="1"/>
    <x v="1"/>
    <d v="2024-12-25T00:00:00"/>
    <n v="30600"/>
    <x v="0"/>
  </r>
  <r>
    <n v="103579"/>
    <n v="45"/>
    <n v="92300"/>
    <x v="1"/>
    <n v="13000"/>
    <n v="0"/>
    <x v="2"/>
    <x v="2"/>
    <x v="0"/>
    <d v="2026-02-20T00:00:00"/>
    <n v="13000"/>
    <x v="1"/>
  </r>
  <r>
    <n v="103580"/>
    <n v="29"/>
    <n v="44100"/>
    <x v="1"/>
    <n v="29400"/>
    <n v="0"/>
    <x v="6"/>
    <x v="0"/>
    <x v="1"/>
    <d v="2026-07-02T00:00:00"/>
    <n v="29400"/>
    <x v="0"/>
  </r>
  <r>
    <n v="103581"/>
    <n v="50"/>
    <n v="80100"/>
    <x v="1"/>
    <n v="0"/>
    <n v="77000"/>
    <x v="2"/>
    <x v="0"/>
    <x v="1"/>
    <d v="2026-05-15T00:00:00"/>
    <n v="77000"/>
    <x v="1"/>
  </r>
  <r>
    <n v="103582"/>
    <n v="73"/>
    <n v="101500"/>
    <x v="2"/>
    <n v="9700"/>
    <n v="0"/>
    <x v="2"/>
    <x v="2"/>
    <x v="1"/>
    <d v="2024-03-13T00:00:00"/>
    <n v="9700"/>
    <x v="1"/>
  </r>
  <r>
    <n v="103583"/>
    <n v="31"/>
    <n v="33000"/>
    <x v="0"/>
    <n v="0"/>
    <n v="0"/>
    <x v="3"/>
    <x v="0"/>
    <x v="1"/>
    <d v="2024-09-03T00:00:00"/>
    <n v="0"/>
    <x v="0"/>
  </r>
  <r>
    <n v="103584"/>
    <n v="43"/>
    <n v="85500"/>
    <x v="1"/>
    <n v="0"/>
    <n v="0"/>
    <x v="3"/>
    <x v="2"/>
    <x v="1"/>
    <d v="2026-06-04T00:00:00"/>
    <n v="0"/>
    <x v="1"/>
  </r>
  <r>
    <n v="103585"/>
    <n v="43"/>
    <n v="45300"/>
    <x v="1"/>
    <n v="24300"/>
    <n v="312000"/>
    <x v="2"/>
    <x v="1"/>
    <x v="1"/>
    <d v="2025-03-28T00:00:00"/>
    <n v="336300"/>
    <x v="0"/>
  </r>
  <r>
    <n v="103586"/>
    <n v="57"/>
    <n v="46700"/>
    <x v="1"/>
    <n v="35300"/>
    <n v="164000"/>
    <x v="1"/>
    <x v="1"/>
    <x v="1"/>
    <d v="2025-06-25T00:00:00"/>
    <n v="199300"/>
    <x v="0"/>
  </r>
  <r>
    <n v="103587"/>
    <n v="70"/>
    <n v="49000"/>
    <x v="2"/>
    <n v="14500"/>
    <n v="261000"/>
    <x v="5"/>
    <x v="2"/>
    <x v="1"/>
    <d v="2026-07-16T00:00:00"/>
    <n v="275500"/>
    <x v="0"/>
  </r>
  <r>
    <n v="103588"/>
    <n v="24"/>
    <n v="48300"/>
    <x v="1"/>
    <n v="52600"/>
    <n v="232000"/>
    <x v="3"/>
    <x v="2"/>
    <x v="1"/>
    <d v="2026-01-10T00:00:00"/>
    <n v="284600"/>
    <x v="0"/>
  </r>
  <r>
    <n v="103589"/>
    <n v="35"/>
    <n v="42600"/>
    <x v="1"/>
    <n v="0"/>
    <n v="204000"/>
    <x v="2"/>
    <x v="0"/>
    <x v="1"/>
    <d v="2024-07-17T00:00:00"/>
    <n v="204000"/>
    <x v="0"/>
  </r>
  <r>
    <n v="103590"/>
    <n v="49"/>
    <n v="75700"/>
    <x v="1"/>
    <n v="36000"/>
    <n v="0"/>
    <x v="1"/>
    <x v="1"/>
    <x v="1"/>
    <d v="2025-04-06T00:00:00"/>
    <n v="36000"/>
    <x v="1"/>
  </r>
  <r>
    <n v="103591"/>
    <n v="48"/>
    <n v="27400"/>
    <x v="0"/>
    <n v="31600"/>
    <n v="0"/>
    <x v="5"/>
    <x v="1"/>
    <x v="1"/>
    <d v="2024-07-07T00:00:00"/>
    <n v="31600"/>
    <x v="0"/>
  </r>
  <r>
    <n v="103592"/>
    <n v="41"/>
    <n v="76000"/>
    <x v="2"/>
    <n v="64600"/>
    <n v="0"/>
    <x v="3"/>
    <x v="0"/>
    <x v="1"/>
    <d v="2025-10-04T00:00:00"/>
    <n v="64600"/>
    <x v="1"/>
  </r>
  <r>
    <n v="103593"/>
    <n v="72"/>
    <n v="64600"/>
    <x v="1"/>
    <n v="58200"/>
    <n v="0"/>
    <x v="1"/>
    <x v="1"/>
    <x v="1"/>
    <d v="2025-09-11T00:00:00"/>
    <n v="58200"/>
    <x v="0"/>
  </r>
  <r>
    <n v="103594"/>
    <n v="48"/>
    <n v="51500"/>
    <x v="1"/>
    <n v="64400"/>
    <n v="253000"/>
    <x v="3"/>
    <x v="2"/>
    <x v="1"/>
    <d v="2024-02-28T00:00:00"/>
    <n v="317400"/>
    <x v="0"/>
  </r>
  <r>
    <n v="103595"/>
    <n v="63"/>
    <n v="49800"/>
    <x v="1"/>
    <n v="0"/>
    <n v="183000"/>
    <x v="3"/>
    <x v="2"/>
    <x v="1"/>
    <d v="2025-10-28T00:00:00"/>
    <n v="183000"/>
    <x v="0"/>
  </r>
  <r>
    <n v="103596"/>
    <n v="24"/>
    <n v="59000"/>
    <x v="1"/>
    <n v="0"/>
    <n v="0"/>
    <x v="7"/>
    <x v="2"/>
    <x v="1"/>
    <d v="2025-09-08T00:00:00"/>
    <n v="0"/>
    <x v="0"/>
  </r>
  <r>
    <n v="103597"/>
    <n v="65"/>
    <n v="87500"/>
    <x v="0"/>
    <n v="25800"/>
    <n v="0"/>
    <x v="5"/>
    <x v="0"/>
    <x v="1"/>
    <d v="2026-04-27T00:00:00"/>
    <n v="25800"/>
    <x v="1"/>
  </r>
  <r>
    <n v="103598"/>
    <n v="29"/>
    <n v="115700"/>
    <x v="1"/>
    <n v="58300"/>
    <n v="0"/>
    <x v="7"/>
    <x v="0"/>
    <x v="1"/>
    <d v="2026-06-04T00:00:00"/>
    <n v="58300"/>
    <x v="1"/>
  </r>
  <r>
    <n v="103599"/>
    <n v="43"/>
    <n v="22200"/>
    <x v="1"/>
    <n v="6200"/>
    <n v="0"/>
    <x v="2"/>
    <x v="1"/>
    <x v="1"/>
    <d v="2026-01-08T00:00:00"/>
    <n v="6200"/>
    <x v="0"/>
  </r>
  <r>
    <n v="103600"/>
    <n v="31"/>
    <n v="56400"/>
    <x v="0"/>
    <n v="0"/>
    <n v="0"/>
    <x v="4"/>
    <x v="3"/>
    <x v="1"/>
    <d v="2026-04-30T00:00:00"/>
    <n v="0"/>
    <x v="0"/>
  </r>
  <r>
    <n v="103601"/>
    <n v="60"/>
    <n v="71900"/>
    <x v="0"/>
    <n v="0"/>
    <n v="221000"/>
    <x v="6"/>
    <x v="0"/>
    <x v="1"/>
    <d v="2024-01-28T00:00:00"/>
    <n v="221000"/>
    <x v="1"/>
  </r>
  <r>
    <n v="103602"/>
    <n v="58"/>
    <n v="96500"/>
    <x v="0"/>
    <n v="4100"/>
    <n v="0"/>
    <x v="5"/>
    <x v="0"/>
    <x v="0"/>
    <d v="2025-07-23T00:00:00"/>
    <n v="4100"/>
    <x v="1"/>
  </r>
  <r>
    <n v="103603"/>
    <n v="24"/>
    <n v="71600"/>
    <x v="1"/>
    <n v="0"/>
    <n v="0"/>
    <x v="7"/>
    <x v="1"/>
    <x v="1"/>
    <d v="2025-11-13T00:00:00"/>
    <n v="0"/>
    <x v="1"/>
  </r>
  <r>
    <n v="103604"/>
    <n v="30"/>
    <n v="61700"/>
    <x v="1"/>
    <n v="0"/>
    <n v="0"/>
    <x v="7"/>
    <x v="1"/>
    <x v="1"/>
    <d v="2025-05-17T00:00:00"/>
    <n v="0"/>
    <x v="0"/>
  </r>
  <r>
    <n v="103605"/>
    <n v="74"/>
    <n v="59500"/>
    <x v="1"/>
    <n v="38900"/>
    <n v="185000"/>
    <x v="4"/>
    <x v="0"/>
    <x v="0"/>
    <d v="2025-07-30T00:00:00"/>
    <n v="223900"/>
    <x v="0"/>
  </r>
  <r>
    <n v="103606"/>
    <n v="41"/>
    <n v="54800"/>
    <x v="0"/>
    <n v="0"/>
    <n v="0"/>
    <x v="5"/>
    <x v="1"/>
    <x v="1"/>
    <d v="2025-05-17T00:00:00"/>
    <n v="0"/>
    <x v="0"/>
  </r>
  <r>
    <n v="103607"/>
    <n v="48"/>
    <n v="41300"/>
    <x v="1"/>
    <n v="27800"/>
    <n v="0"/>
    <x v="0"/>
    <x v="3"/>
    <x v="1"/>
    <d v="2024-06-01T00:00:00"/>
    <n v="27800"/>
    <x v="0"/>
  </r>
  <r>
    <n v="103608"/>
    <n v="22"/>
    <n v="50200"/>
    <x v="0"/>
    <n v="0"/>
    <n v="0"/>
    <x v="2"/>
    <x v="1"/>
    <x v="1"/>
    <d v="2026-05-26T00:00:00"/>
    <n v="0"/>
    <x v="0"/>
  </r>
  <r>
    <n v="103609"/>
    <n v="66"/>
    <n v="89500"/>
    <x v="2"/>
    <n v="54100"/>
    <n v="0"/>
    <x v="4"/>
    <x v="2"/>
    <x v="1"/>
    <d v="2024-12-31T00:00:00"/>
    <n v="54100"/>
    <x v="1"/>
  </r>
  <r>
    <n v="103610"/>
    <n v="26"/>
    <n v="54700"/>
    <x v="0"/>
    <n v="0"/>
    <n v="0"/>
    <x v="1"/>
    <x v="1"/>
    <x v="1"/>
    <d v="2024-07-12T00:00:00"/>
    <n v="0"/>
    <x v="0"/>
  </r>
  <r>
    <n v="103611"/>
    <n v="43"/>
    <n v="62800"/>
    <x v="0"/>
    <n v="0"/>
    <n v="0"/>
    <x v="7"/>
    <x v="2"/>
    <x v="1"/>
    <d v="2025-04-05T00:00:00"/>
    <n v="0"/>
    <x v="0"/>
  </r>
  <r>
    <n v="103612"/>
    <n v="38"/>
    <n v="59700"/>
    <x v="0"/>
    <n v="74600"/>
    <n v="0"/>
    <x v="2"/>
    <x v="1"/>
    <x v="1"/>
    <d v="2025-07-03T00:00:00"/>
    <n v="74600"/>
    <x v="0"/>
  </r>
  <r>
    <n v="103613"/>
    <n v="35"/>
    <n v="51400"/>
    <x v="0"/>
    <n v="50300"/>
    <n v="136000"/>
    <x v="6"/>
    <x v="0"/>
    <x v="1"/>
    <d v="2024-03-04T00:00:00"/>
    <n v="186300"/>
    <x v="0"/>
  </r>
  <r>
    <n v="103614"/>
    <n v="64"/>
    <n v="51800"/>
    <x v="1"/>
    <n v="15200"/>
    <n v="0"/>
    <x v="7"/>
    <x v="2"/>
    <x v="1"/>
    <d v="2025-03-06T00:00:00"/>
    <n v="15200"/>
    <x v="0"/>
  </r>
  <r>
    <n v="103615"/>
    <n v="57"/>
    <n v="65300"/>
    <x v="1"/>
    <n v="9300"/>
    <n v="0"/>
    <x v="3"/>
    <x v="0"/>
    <x v="1"/>
    <d v="2024-08-09T00:00:00"/>
    <n v="9300"/>
    <x v="0"/>
  </r>
  <r>
    <n v="103616"/>
    <n v="22"/>
    <n v="48200"/>
    <x v="1"/>
    <n v="54200"/>
    <n v="0"/>
    <x v="7"/>
    <x v="1"/>
    <x v="1"/>
    <d v="2026-05-13T00:00:00"/>
    <n v="54200"/>
    <x v="0"/>
  </r>
  <r>
    <n v="103617"/>
    <n v="41"/>
    <n v="39900"/>
    <x v="0"/>
    <n v="39500"/>
    <n v="0"/>
    <x v="7"/>
    <x v="1"/>
    <x v="1"/>
    <d v="2024-04-26T00:00:00"/>
    <n v="39500"/>
    <x v="0"/>
  </r>
  <r>
    <n v="103618"/>
    <n v="31"/>
    <n v="64000"/>
    <x v="1"/>
    <n v="0"/>
    <n v="0"/>
    <x v="5"/>
    <x v="0"/>
    <x v="1"/>
    <d v="2024-05-05T00:00:00"/>
    <n v="0"/>
    <x v="0"/>
  </r>
  <r>
    <n v="103619"/>
    <n v="48"/>
    <n v="42900"/>
    <x v="2"/>
    <n v="0"/>
    <n v="154000"/>
    <x v="7"/>
    <x v="0"/>
    <x v="1"/>
    <d v="2025-06-06T00:00:00"/>
    <n v="154000"/>
    <x v="0"/>
  </r>
  <r>
    <n v="103620"/>
    <n v="47"/>
    <n v="49100"/>
    <x v="2"/>
    <n v="0"/>
    <n v="0"/>
    <x v="5"/>
    <x v="1"/>
    <x v="1"/>
    <d v="2026-04-10T00:00:00"/>
    <n v="0"/>
    <x v="0"/>
  </r>
  <r>
    <n v="103621"/>
    <n v="74"/>
    <n v="55700"/>
    <x v="2"/>
    <n v="10800"/>
    <n v="0"/>
    <x v="7"/>
    <x v="1"/>
    <x v="1"/>
    <d v="2025-05-09T00:00:00"/>
    <n v="10800"/>
    <x v="0"/>
  </r>
  <r>
    <n v="103622"/>
    <n v="69"/>
    <n v="90900"/>
    <x v="1"/>
    <n v="12200"/>
    <n v="169000"/>
    <x v="5"/>
    <x v="1"/>
    <x v="1"/>
    <d v="2024-09-10T00:00:00"/>
    <n v="181200"/>
    <x v="1"/>
  </r>
  <r>
    <n v="103623"/>
    <n v="52"/>
    <n v="102800"/>
    <x v="1"/>
    <n v="33400"/>
    <n v="227000"/>
    <x v="7"/>
    <x v="2"/>
    <x v="1"/>
    <d v="2025-06-11T00:00:00"/>
    <n v="260400"/>
    <x v="1"/>
  </r>
  <r>
    <n v="103624"/>
    <n v="22"/>
    <n v="78700"/>
    <x v="1"/>
    <n v="59700"/>
    <n v="0"/>
    <x v="2"/>
    <x v="3"/>
    <x v="0"/>
    <d v="2025-09-18T00:00:00"/>
    <n v="59700"/>
    <x v="1"/>
  </r>
  <r>
    <n v="103625"/>
    <n v="36"/>
    <n v="41000"/>
    <x v="0"/>
    <n v="27200"/>
    <n v="0"/>
    <x v="7"/>
    <x v="3"/>
    <x v="1"/>
    <d v="2025-07-03T00:00:00"/>
    <n v="27200"/>
    <x v="0"/>
  </r>
  <r>
    <n v="103626"/>
    <n v="40"/>
    <n v="48400"/>
    <x v="1"/>
    <n v="0"/>
    <n v="337000"/>
    <x v="5"/>
    <x v="2"/>
    <x v="1"/>
    <d v="2024-04-18T00:00:00"/>
    <n v="337000"/>
    <x v="0"/>
  </r>
  <r>
    <n v="103627"/>
    <n v="23"/>
    <n v="84100"/>
    <x v="1"/>
    <n v="60000"/>
    <n v="0"/>
    <x v="7"/>
    <x v="2"/>
    <x v="1"/>
    <d v="2024-10-12T00:00:00"/>
    <n v="60000"/>
    <x v="1"/>
  </r>
  <r>
    <n v="103628"/>
    <n v="73"/>
    <n v="66000"/>
    <x v="1"/>
    <n v="0"/>
    <n v="213000"/>
    <x v="0"/>
    <x v="1"/>
    <x v="1"/>
    <d v="2026-06-17T00:00:00"/>
    <n v="213000"/>
    <x v="0"/>
  </r>
  <r>
    <n v="103629"/>
    <n v="60"/>
    <n v="68400"/>
    <x v="0"/>
    <n v="0"/>
    <n v="0"/>
    <x v="3"/>
    <x v="3"/>
    <x v="1"/>
    <d v="2026-02-19T00:00:00"/>
    <n v="0"/>
    <x v="0"/>
  </r>
  <r>
    <n v="103630"/>
    <n v="74"/>
    <n v="93200"/>
    <x v="0"/>
    <n v="76500"/>
    <n v="0"/>
    <x v="5"/>
    <x v="1"/>
    <x v="1"/>
    <d v="2024-03-20T00:00:00"/>
    <n v="76500"/>
    <x v="1"/>
  </r>
  <r>
    <n v="103631"/>
    <n v="26"/>
    <n v="33500"/>
    <x v="0"/>
    <n v="18300"/>
    <n v="0"/>
    <x v="1"/>
    <x v="2"/>
    <x v="1"/>
    <d v="2026-05-07T00:00:00"/>
    <n v="18300"/>
    <x v="0"/>
  </r>
  <r>
    <n v="103632"/>
    <n v="46"/>
    <n v="46100"/>
    <x v="2"/>
    <n v="27500"/>
    <n v="0"/>
    <x v="2"/>
    <x v="0"/>
    <x v="1"/>
    <d v="2024-06-15T00:00:00"/>
    <n v="27500"/>
    <x v="0"/>
  </r>
  <r>
    <n v="103633"/>
    <n v="20"/>
    <n v="100600"/>
    <x v="2"/>
    <n v="0"/>
    <n v="0"/>
    <x v="5"/>
    <x v="1"/>
    <x v="1"/>
    <d v="2025-09-29T00:00:00"/>
    <n v="0"/>
    <x v="1"/>
  </r>
  <r>
    <n v="103634"/>
    <n v="65"/>
    <n v="75200"/>
    <x v="1"/>
    <n v="22700"/>
    <n v="0"/>
    <x v="0"/>
    <x v="1"/>
    <x v="1"/>
    <d v="2024-10-29T00:00:00"/>
    <n v="22700"/>
    <x v="1"/>
  </r>
  <r>
    <n v="103635"/>
    <n v="34"/>
    <n v="45500"/>
    <x v="1"/>
    <n v="56900"/>
    <n v="0"/>
    <x v="2"/>
    <x v="0"/>
    <x v="1"/>
    <d v="2025-12-02T00:00:00"/>
    <n v="56900"/>
    <x v="0"/>
  </r>
  <r>
    <n v="103636"/>
    <n v="23"/>
    <n v="77500"/>
    <x v="1"/>
    <n v="53600"/>
    <n v="0"/>
    <x v="0"/>
    <x v="2"/>
    <x v="1"/>
    <d v="2026-03-03T00:00:00"/>
    <n v="53600"/>
    <x v="1"/>
  </r>
  <r>
    <n v="103637"/>
    <n v="42"/>
    <n v="35100"/>
    <x v="1"/>
    <n v="21500"/>
    <n v="0"/>
    <x v="0"/>
    <x v="0"/>
    <x v="0"/>
    <d v="2024-06-23T00:00:00"/>
    <n v="21500"/>
    <x v="0"/>
  </r>
  <r>
    <n v="103638"/>
    <n v="30"/>
    <n v="46400"/>
    <x v="1"/>
    <n v="11700"/>
    <n v="0"/>
    <x v="2"/>
    <x v="1"/>
    <x v="1"/>
    <d v="2024-03-28T00:00:00"/>
    <n v="11700"/>
    <x v="0"/>
  </r>
  <r>
    <n v="103639"/>
    <n v="53"/>
    <n v="78600"/>
    <x v="2"/>
    <n v="18400"/>
    <n v="0"/>
    <x v="1"/>
    <x v="2"/>
    <x v="1"/>
    <d v="2024-01-13T00:00:00"/>
    <n v="18400"/>
    <x v="1"/>
  </r>
  <r>
    <n v="103640"/>
    <n v="28"/>
    <n v="61100"/>
    <x v="2"/>
    <n v="67600"/>
    <n v="0"/>
    <x v="1"/>
    <x v="1"/>
    <x v="1"/>
    <d v="2025-07-19T00:00:00"/>
    <n v="67600"/>
    <x v="0"/>
  </r>
  <r>
    <n v="103641"/>
    <n v="27"/>
    <n v="55700"/>
    <x v="0"/>
    <n v="48400"/>
    <n v="0"/>
    <x v="6"/>
    <x v="1"/>
    <x v="1"/>
    <d v="2026-04-02T00:00:00"/>
    <n v="48400"/>
    <x v="0"/>
  </r>
  <r>
    <n v="103642"/>
    <n v="39"/>
    <n v="66600"/>
    <x v="1"/>
    <n v="0"/>
    <n v="0"/>
    <x v="0"/>
    <x v="1"/>
    <x v="1"/>
    <d v="2024-06-12T00:00:00"/>
    <n v="0"/>
    <x v="0"/>
  </r>
  <r>
    <n v="103643"/>
    <n v="56"/>
    <n v="65900"/>
    <x v="0"/>
    <n v="22900"/>
    <n v="0"/>
    <x v="0"/>
    <x v="2"/>
    <x v="1"/>
    <d v="2025-01-05T00:00:00"/>
    <n v="22900"/>
    <x v="0"/>
  </r>
  <r>
    <n v="103644"/>
    <n v="64"/>
    <n v="75900"/>
    <x v="2"/>
    <n v="38400"/>
    <n v="0"/>
    <x v="4"/>
    <x v="2"/>
    <x v="1"/>
    <d v="2026-07-16T00:00:00"/>
    <n v="38400"/>
    <x v="1"/>
  </r>
  <r>
    <n v="103645"/>
    <n v="27"/>
    <n v="88900"/>
    <x v="2"/>
    <n v="31000"/>
    <n v="0"/>
    <x v="4"/>
    <x v="2"/>
    <x v="1"/>
    <d v="2025-10-24T00:00:00"/>
    <n v="31000"/>
    <x v="1"/>
  </r>
  <r>
    <n v="103646"/>
    <n v="39"/>
    <n v="75800"/>
    <x v="1"/>
    <n v="0"/>
    <n v="0"/>
    <x v="1"/>
    <x v="2"/>
    <x v="1"/>
    <d v="2025-10-01T00:00:00"/>
    <n v="0"/>
    <x v="1"/>
  </r>
  <r>
    <n v="103647"/>
    <n v="39"/>
    <n v="62900"/>
    <x v="0"/>
    <n v="18200"/>
    <n v="0"/>
    <x v="0"/>
    <x v="2"/>
    <x v="1"/>
    <d v="2026-06-27T00:00:00"/>
    <n v="18200"/>
    <x v="0"/>
  </r>
  <r>
    <n v="103648"/>
    <n v="62"/>
    <n v="48600"/>
    <x v="0"/>
    <n v="29200"/>
    <n v="0"/>
    <x v="0"/>
    <x v="3"/>
    <x v="1"/>
    <d v="2024-07-14T00:00:00"/>
    <n v="29200"/>
    <x v="0"/>
  </r>
  <r>
    <n v="103649"/>
    <n v="70"/>
    <n v="38000"/>
    <x v="1"/>
    <n v="47500"/>
    <n v="109000"/>
    <x v="2"/>
    <x v="3"/>
    <x v="0"/>
    <d v="2025-01-02T00:00:00"/>
    <n v="156500"/>
    <x v="0"/>
  </r>
  <r>
    <n v="103650"/>
    <n v="45"/>
    <n v="88900"/>
    <x v="0"/>
    <n v="75000"/>
    <n v="0"/>
    <x v="5"/>
    <x v="0"/>
    <x v="1"/>
    <d v="2026-01-14T00:00:00"/>
    <n v="75000"/>
    <x v="1"/>
  </r>
  <r>
    <n v="103651"/>
    <n v="28"/>
    <n v="37900"/>
    <x v="0"/>
    <n v="0"/>
    <n v="0"/>
    <x v="4"/>
    <x v="3"/>
    <x v="1"/>
    <d v="2025-05-03T00:00:00"/>
    <n v="0"/>
    <x v="0"/>
  </r>
  <r>
    <n v="103652"/>
    <n v="73"/>
    <n v="32800"/>
    <x v="1"/>
    <n v="0"/>
    <n v="134000"/>
    <x v="3"/>
    <x v="3"/>
    <x v="1"/>
    <d v="2026-02-14T00:00:00"/>
    <n v="134000"/>
    <x v="0"/>
  </r>
  <r>
    <n v="103653"/>
    <n v="36"/>
    <n v="38700"/>
    <x v="0"/>
    <n v="9400"/>
    <n v="0"/>
    <x v="1"/>
    <x v="2"/>
    <x v="1"/>
    <d v="2025-09-25T00:00:00"/>
    <n v="9400"/>
    <x v="0"/>
  </r>
  <r>
    <n v="103654"/>
    <n v="66"/>
    <n v="41100"/>
    <x v="2"/>
    <n v="0"/>
    <n v="0"/>
    <x v="7"/>
    <x v="0"/>
    <x v="1"/>
    <d v="2026-07-20T00:00:00"/>
    <n v="0"/>
    <x v="0"/>
  </r>
  <r>
    <n v="103655"/>
    <n v="47"/>
    <n v="76400"/>
    <x v="2"/>
    <n v="76500"/>
    <n v="0"/>
    <x v="7"/>
    <x v="2"/>
    <x v="1"/>
    <d v="2024-02-10T00:00:00"/>
    <n v="76500"/>
    <x v="1"/>
  </r>
  <r>
    <n v="103656"/>
    <n v="48"/>
    <n v="71300"/>
    <x v="1"/>
    <n v="45500"/>
    <n v="297000"/>
    <x v="6"/>
    <x v="0"/>
    <x v="1"/>
    <d v="2024-03-15T00:00:00"/>
    <n v="342500"/>
    <x v="1"/>
  </r>
  <r>
    <n v="103657"/>
    <n v="21"/>
    <n v="74500"/>
    <x v="0"/>
    <n v="0"/>
    <n v="0"/>
    <x v="7"/>
    <x v="3"/>
    <x v="1"/>
    <d v="2024-05-28T00:00:00"/>
    <n v="0"/>
    <x v="1"/>
  </r>
  <r>
    <n v="103658"/>
    <n v="38"/>
    <n v="85400"/>
    <x v="0"/>
    <n v="22300"/>
    <n v="0"/>
    <x v="5"/>
    <x v="0"/>
    <x v="1"/>
    <d v="2026-04-10T00:00:00"/>
    <n v="22300"/>
    <x v="1"/>
  </r>
  <r>
    <n v="103659"/>
    <n v="62"/>
    <n v="119500"/>
    <x v="0"/>
    <n v="17800"/>
    <n v="0"/>
    <x v="1"/>
    <x v="1"/>
    <x v="1"/>
    <d v="2025-12-27T00:00:00"/>
    <n v="17800"/>
    <x v="1"/>
  </r>
  <r>
    <n v="103660"/>
    <n v="65"/>
    <n v="43100"/>
    <x v="0"/>
    <n v="19700"/>
    <n v="0"/>
    <x v="4"/>
    <x v="0"/>
    <x v="1"/>
    <d v="2024-07-14T00:00:00"/>
    <n v="19700"/>
    <x v="0"/>
  </r>
  <r>
    <n v="103661"/>
    <n v="44"/>
    <n v="71100"/>
    <x v="2"/>
    <n v="52400"/>
    <n v="0"/>
    <x v="1"/>
    <x v="1"/>
    <x v="1"/>
    <d v="2026-01-25T00:00:00"/>
    <n v="52400"/>
    <x v="1"/>
  </r>
  <r>
    <n v="103662"/>
    <n v="22"/>
    <n v="45400"/>
    <x v="0"/>
    <n v="56800"/>
    <n v="0"/>
    <x v="3"/>
    <x v="2"/>
    <x v="1"/>
    <d v="2025-01-11T00:00:00"/>
    <n v="56800"/>
    <x v="0"/>
  </r>
  <r>
    <n v="103663"/>
    <n v="57"/>
    <n v="43200"/>
    <x v="2"/>
    <n v="0"/>
    <n v="0"/>
    <x v="4"/>
    <x v="0"/>
    <x v="1"/>
    <d v="2025-10-28T00:00:00"/>
    <n v="0"/>
    <x v="0"/>
  </r>
  <r>
    <n v="103664"/>
    <n v="32"/>
    <n v="48100"/>
    <x v="1"/>
    <n v="11000"/>
    <n v="201000"/>
    <x v="6"/>
    <x v="1"/>
    <x v="1"/>
    <d v="2026-01-10T00:00:00"/>
    <n v="212000"/>
    <x v="0"/>
  </r>
  <r>
    <n v="103665"/>
    <n v="55"/>
    <n v="63500"/>
    <x v="0"/>
    <n v="22600"/>
    <n v="0"/>
    <x v="1"/>
    <x v="2"/>
    <x v="1"/>
    <d v="2025-01-21T00:00:00"/>
    <n v="22600"/>
    <x v="0"/>
  </r>
  <r>
    <n v="103666"/>
    <n v="52"/>
    <n v="54100"/>
    <x v="2"/>
    <n v="12000"/>
    <n v="0"/>
    <x v="6"/>
    <x v="0"/>
    <x v="1"/>
    <d v="2025-01-02T00:00:00"/>
    <n v="12000"/>
    <x v="0"/>
  </r>
  <r>
    <n v="103667"/>
    <n v="24"/>
    <n v="68100"/>
    <x v="2"/>
    <n v="49400"/>
    <n v="0"/>
    <x v="4"/>
    <x v="2"/>
    <x v="1"/>
    <d v="2024-12-06T00:00:00"/>
    <n v="49400"/>
    <x v="0"/>
  </r>
  <r>
    <n v="103668"/>
    <n v="41"/>
    <n v="34500"/>
    <x v="0"/>
    <n v="0"/>
    <n v="0"/>
    <x v="2"/>
    <x v="0"/>
    <x v="1"/>
    <d v="2024-12-25T00:00:00"/>
    <n v="0"/>
    <x v="0"/>
  </r>
  <r>
    <n v="103669"/>
    <n v="38"/>
    <n v="34100"/>
    <x v="1"/>
    <n v="26000"/>
    <n v="0"/>
    <x v="0"/>
    <x v="2"/>
    <x v="1"/>
    <d v="2024-11-12T00:00:00"/>
    <n v="26000"/>
    <x v="0"/>
  </r>
  <r>
    <n v="103670"/>
    <n v="41"/>
    <n v="35000"/>
    <x v="1"/>
    <n v="0"/>
    <n v="0"/>
    <x v="3"/>
    <x v="1"/>
    <x v="1"/>
    <d v="2024-12-30T00:00:00"/>
    <n v="0"/>
    <x v="0"/>
  </r>
  <r>
    <n v="103671"/>
    <n v="66"/>
    <n v="67600"/>
    <x v="2"/>
    <n v="8500"/>
    <n v="157000"/>
    <x v="4"/>
    <x v="2"/>
    <x v="1"/>
    <d v="2025-03-05T00:00:00"/>
    <n v="165500"/>
    <x v="0"/>
  </r>
  <r>
    <n v="103672"/>
    <n v="75"/>
    <n v="75800"/>
    <x v="2"/>
    <n v="0"/>
    <n v="0"/>
    <x v="6"/>
    <x v="3"/>
    <x v="1"/>
    <d v="2024-07-22T00:00:00"/>
    <n v="0"/>
    <x v="1"/>
  </r>
  <r>
    <n v="103673"/>
    <n v="72"/>
    <n v="73700"/>
    <x v="1"/>
    <n v="0"/>
    <n v="211000"/>
    <x v="7"/>
    <x v="2"/>
    <x v="1"/>
    <d v="2026-03-22T00:00:00"/>
    <n v="211000"/>
    <x v="1"/>
  </r>
  <r>
    <n v="103674"/>
    <n v="75"/>
    <n v="61700"/>
    <x v="0"/>
    <n v="0"/>
    <n v="0"/>
    <x v="2"/>
    <x v="3"/>
    <x v="1"/>
    <d v="2024-11-10T00:00:00"/>
    <n v="0"/>
    <x v="0"/>
  </r>
  <r>
    <n v="103675"/>
    <n v="63"/>
    <n v="55900"/>
    <x v="0"/>
    <n v="0"/>
    <n v="0"/>
    <x v="0"/>
    <x v="2"/>
    <x v="1"/>
    <d v="2024-06-14T00:00:00"/>
    <n v="0"/>
    <x v="0"/>
  </r>
  <r>
    <n v="103676"/>
    <n v="48"/>
    <n v="80300"/>
    <x v="2"/>
    <n v="50800"/>
    <n v="0"/>
    <x v="3"/>
    <x v="2"/>
    <x v="1"/>
    <d v="2026-05-11T00:00:00"/>
    <n v="50800"/>
    <x v="1"/>
  </r>
  <r>
    <n v="103677"/>
    <n v="33"/>
    <n v="43400"/>
    <x v="2"/>
    <n v="0"/>
    <n v="0"/>
    <x v="1"/>
    <x v="1"/>
    <x v="1"/>
    <d v="2024-09-03T00:00:00"/>
    <n v="0"/>
    <x v="0"/>
  </r>
  <r>
    <n v="103678"/>
    <n v="23"/>
    <n v="87500"/>
    <x v="0"/>
    <n v="76500"/>
    <n v="0"/>
    <x v="6"/>
    <x v="2"/>
    <x v="1"/>
    <d v="2025-06-29T00:00:00"/>
    <n v="76500"/>
    <x v="1"/>
  </r>
  <r>
    <n v="103679"/>
    <n v="26"/>
    <n v="60500"/>
    <x v="1"/>
    <n v="23300"/>
    <n v="0"/>
    <x v="0"/>
    <x v="1"/>
    <x v="1"/>
    <d v="2024-05-12T00:00:00"/>
    <n v="23300"/>
    <x v="0"/>
  </r>
  <r>
    <n v="103680"/>
    <n v="24"/>
    <n v="59900"/>
    <x v="1"/>
    <n v="7800"/>
    <n v="102000"/>
    <x v="5"/>
    <x v="3"/>
    <x v="0"/>
    <d v="2025-10-11T00:00:00"/>
    <n v="109800"/>
    <x v="0"/>
  </r>
  <r>
    <n v="103681"/>
    <n v="55"/>
    <n v="57800"/>
    <x v="1"/>
    <n v="0"/>
    <n v="273000"/>
    <x v="5"/>
    <x v="1"/>
    <x v="1"/>
    <d v="2025-08-10T00:00:00"/>
    <n v="273000"/>
    <x v="0"/>
  </r>
  <r>
    <n v="103682"/>
    <n v="50"/>
    <n v="93100"/>
    <x v="2"/>
    <n v="15400"/>
    <n v="146000"/>
    <x v="5"/>
    <x v="1"/>
    <x v="1"/>
    <d v="2026-01-11T00:00:00"/>
    <n v="161400"/>
    <x v="1"/>
  </r>
  <r>
    <n v="103683"/>
    <n v="33"/>
    <n v="47300"/>
    <x v="1"/>
    <n v="26400"/>
    <n v="0"/>
    <x v="6"/>
    <x v="2"/>
    <x v="1"/>
    <d v="2024-03-08T00:00:00"/>
    <n v="26400"/>
    <x v="0"/>
  </r>
  <r>
    <n v="103684"/>
    <n v="20"/>
    <n v="69500"/>
    <x v="1"/>
    <n v="25100"/>
    <n v="0"/>
    <x v="7"/>
    <x v="1"/>
    <x v="1"/>
    <d v="2026-01-08T00:00:00"/>
    <n v="25100"/>
    <x v="0"/>
  </r>
  <r>
    <n v="103685"/>
    <n v="50"/>
    <n v="81300"/>
    <x v="2"/>
    <n v="15400"/>
    <n v="360000"/>
    <x v="1"/>
    <x v="1"/>
    <x v="1"/>
    <d v="2025-04-20T00:00:00"/>
    <n v="375400"/>
    <x v="1"/>
  </r>
  <r>
    <n v="103686"/>
    <n v="28"/>
    <n v="71900"/>
    <x v="1"/>
    <n v="0"/>
    <n v="213000"/>
    <x v="7"/>
    <x v="1"/>
    <x v="1"/>
    <d v="2026-07-16T00:00:00"/>
    <n v="213000"/>
    <x v="1"/>
  </r>
  <r>
    <n v="103687"/>
    <n v="74"/>
    <n v="88300"/>
    <x v="1"/>
    <n v="30300"/>
    <n v="0"/>
    <x v="0"/>
    <x v="2"/>
    <x v="1"/>
    <d v="2025-11-03T00:00:00"/>
    <n v="30300"/>
    <x v="1"/>
  </r>
  <r>
    <n v="103688"/>
    <n v="24"/>
    <n v="36600"/>
    <x v="1"/>
    <n v="35600"/>
    <n v="0"/>
    <x v="7"/>
    <x v="0"/>
    <x v="1"/>
    <d v="2024-02-12T00:00:00"/>
    <n v="35600"/>
    <x v="0"/>
  </r>
  <r>
    <n v="103689"/>
    <n v="37"/>
    <n v="60300"/>
    <x v="1"/>
    <n v="14800"/>
    <n v="177000"/>
    <x v="1"/>
    <x v="0"/>
    <x v="1"/>
    <d v="2024-03-27T00:00:00"/>
    <n v="191800"/>
    <x v="0"/>
  </r>
  <r>
    <n v="103690"/>
    <n v="61"/>
    <n v="79000"/>
    <x v="1"/>
    <n v="0"/>
    <n v="0"/>
    <x v="6"/>
    <x v="2"/>
    <x v="1"/>
    <d v="2025-08-15T00:00:00"/>
    <n v="0"/>
    <x v="1"/>
  </r>
  <r>
    <n v="103691"/>
    <n v="62"/>
    <n v="53300"/>
    <x v="1"/>
    <n v="21000"/>
    <n v="0"/>
    <x v="0"/>
    <x v="1"/>
    <x v="1"/>
    <d v="2024-11-22T00:00:00"/>
    <n v="21000"/>
    <x v="0"/>
  </r>
  <r>
    <n v="103692"/>
    <n v="52"/>
    <n v="48800"/>
    <x v="1"/>
    <n v="51600"/>
    <n v="0"/>
    <x v="2"/>
    <x v="2"/>
    <x v="1"/>
    <d v="2024-05-23T00:00:00"/>
    <n v="51600"/>
    <x v="0"/>
  </r>
  <r>
    <n v="103693"/>
    <n v="22"/>
    <n v="50700"/>
    <x v="1"/>
    <n v="18400"/>
    <n v="0"/>
    <x v="4"/>
    <x v="1"/>
    <x v="1"/>
    <d v="2024-11-19T00:00:00"/>
    <n v="18400"/>
    <x v="0"/>
  </r>
  <r>
    <n v="103694"/>
    <n v="36"/>
    <n v="27100"/>
    <x v="1"/>
    <n v="33900"/>
    <n v="0"/>
    <x v="6"/>
    <x v="2"/>
    <x v="1"/>
    <d v="2025-04-24T00:00:00"/>
    <n v="33900"/>
    <x v="0"/>
  </r>
  <r>
    <n v="103695"/>
    <n v="60"/>
    <n v="32200"/>
    <x v="1"/>
    <n v="40200"/>
    <n v="0"/>
    <x v="2"/>
    <x v="1"/>
    <x v="1"/>
    <d v="2026-01-06T00:00:00"/>
    <n v="40200"/>
    <x v="0"/>
  </r>
  <r>
    <n v="103696"/>
    <n v="41"/>
    <n v="80900"/>
    <x v="0"/>
    <n v="70000"/>
    <n v="0"/>
    <x v="7"/>
    <x v="1"/>
    <x v="1"/>
    <d v="2025-12-26T00:00:00"/>
    <n v="70000"/>
    <x v="1"/>
  </r>
  <r>
    <n v="103697"/>
    <n v="57"/>
    <n v="73600"/>
    <x v="1"/>
    <n v="33900"/>
    <n v="0"/>
    <x v="4"/>
    <x v="1"/>
    <x v="1"/>
    <d v="2024-05-18T00:00:00"/>
    <n v="33900"/>
    <x v="1"/>
  </r>
  <r>
    <n v="103698"/>
    <n v="71"/>
    <n v="34900"/>
    <x v="2"/>
    <n v="0"/>
    <n v="0"/>
    <x v="4"/>
    <x v="0"/>
    <x v="1"/>
    <d v="2024-01-10T00:00:00"/>
    <n v="0"/>
    <x v="0"/>
  </r>
  <r>
    <n v="103699"/>
    <n v="37"/>
    <n v="25600"/>
    <x v="0"/>
    <n v="32000"/>
    <n v="130000"/>
    <x v="4"/>
    <x v="1"/>
    <x v="1"/>
    <d v="2025-03-30T00:00:00"/>
    <n v="162000"/>
    <x v="0"/>
  </r>
  <r>
    <n v="103700"/>
    <n v="43"/>
    <n v="72900"/>
    <x v="0"/>
    <n v="71100"/>
    <n v="319000"/>
    <x v="5"/>
    <x v="1"/>
    <x v="1"/>
    <d v="2024-03-24T00:00:00"/>
    <n v="390100"/>
    <x v="1"/>
  </r>
  <r>
    <n v="103701"/>
    <n v="53"/>
    <n v="54300"/>
    <x v="2"/>
    <n v="30100"/>
    <n v="0"/>
    <x v="5"/>
    <x v="0"/>
    <x v="1"/>
    <d v="2024-03-01T00:00:00"/>
    <n v="30100"/>
    <x v="0"/>
  </r>
  <r>
    <n v="103702"/>
    <n v="64"/>
    <n v="44500"/>
    <x v="0"/>
    <n v="14700"/>
    <n v="128000"/>
    <x v="7"/>
    <x v="1"/>
    <x v="0"/>
    <d v="2024-09-05T00:00:00"/>
    <n v="142700"/>
    <x v="0"/>
  </r>
  <r>
    <n v="103703"/>
    <n v="30"/>
    <n v="48500"/>
    <x v="0"/>
    <n v="43600"/>
    <n v="271000"/>
    <x v="7"/>
    <x v="2"/>
    <x v="1"/>
    <d v="2025-01-20T00:00:00"/>
    <n v="314600"/>
    <x v="0"/>
  </r>
  <r>
    <n v="103704"/>
    <n v="62"/>
    <n v="54600"/>
    <x v="0"/>
    <n v="0"/>
    <n v="0"/>
    <x v="5"/>
    <x v="1"/>
    <x v="1"/>
    <d v="2026-04-10T00:00:00"/>
    <n v="0"/>
    <x v="0"/>
  </r>
  <r>
    <n v="103705"/>
    <n v="63"/>
    <n v="30700"/>
    <x v="1"/>
    <n v="0"/>
    <n v="0"/>
    <x v="3"/>
    <x v="1"/>
    <x v="1"/>
    <d v="2024-04-13T00:00:00"/>
    <n v="0"/>
    <x v="0"/>
  </r>
  <r>
    <n v="103706"/>
    <n v="71"/>
    <n v="57300"/>
    <x v="0"/>
    <n v="0"/>
    <n v="0"/>
    <x v="4"/>
    <x v="2"/>
    <x v="1"/>
    <d v="2026-05-11T00:00:00"/>
    <n v="0"/>
    <x v="0"/>
  </r>
  <r>
    <n v="103707"/>
    <n v="56"/>
    <n v="38800"/>
    <x v="1"/>
    <n v="35300"/>
    <n v="343000"/>
    <x v="3"/>
    <x v="2"/>
    <x v="1"/>
    <d v="2026-02-25T00:00:00"/>
    <n v="378300"/>
    <x v="0"/>
  </r>
  <r>
    <n v="103708"/>
    <n v="38"/>
    <n v="43700"/>
    <x v="1"/>
    <n v="0"/>
    <n v="0"/>
    <x v="1"/>
    <x v="0"/>
    <x v="1"/>
    <d v="2024-04-09T00:00:00"/>
    <n v="0"/>
    <x v="0"/>
  </r>
  <r>
    <n v="103709"/>
    <n v="52"/>
    <n v="84200"/>
    <x v="1"/>
    <n v="12700"/>
    <n v="0"/>
    <x v="6"/>
    <x v="2"/>
    <x v="1"/>
    <d v="2026-07-14T00:00:00"/>
    <n v="12700"/>
    <x v="1"/>
  </r>
  <r>
    <n v="103710"/>
    <n v="68"/>
    <n v="57100"/>
    <x v="1"/>
    <n v="0"/>
    <n v="0"/>
    <x v="1"/>
    <x v="0"/>
    <x v="1"/>
    <d v="2025-04-25T00:00:00"/>
    <n v="0"/>
    <x v="0"/>
  </r>
  <r>
    <n v="103711"/>
    <n v="38"/>
    <n v="26700"/>
    <x v="0"/>
    <n v="0"/>
    <n v="0"/>
    <x v="3"/>
    <x v="1"/>
    <x v="1"/>
    <d v="2024-11-18T00:00:00"/>
    <n v="0"/>
    <x v="0"/>
  </r>
  <r>
    <n v="103712"/>
    <n v="25"/>
    <n v="94900"/>
    <x v="0"/>
    <n v="12100"/>
    <n v="0"/>
    <x v="0"/>
    <x v="1"/>
    <x v="1"/>
    <d v="2026-05-06T00:00:00"/>
    <n v="12100"/>
    <x v="1"/>
  </r>
  <r>
    <n v="103713"/>
    <n v="21"/>
    <n v="70400"/>
    <x v="1"/>
    <n v="14000"/>
    <n v="0"/>
    <x v="3"/>
    <x v="2"/>
    <x v="1"/>
    <d v="2026-06-11T00:00:00"/>
    <n v="14000"/>
    <x v="1"/>
  </r>
  <r>
    <n v="103714"/>
    <n v="28"/>
    <n v="39800"/>
    <x v="2"/>
    <n v="17200"/>
    <n v="0"/>
    <x v="7"/>
    <x v="0"/>
    <x v="1"/>
    <d v="2026-02-05T00:00:00"/>
    <n v="17200"/>
    <x v="0"/>
  </r>
  <r>
    <n v="103715"/>
    <n v="68"/>
    <n v="50900"/>
    <x v="1"/>
    <n v="15800"/>
    <n v="0"/>
    <x v="0"/>
    <x v="2"/>
    <x v="1"/>
    <d v="2025-12-02T00:00:00"/>
    <n v="15800"/>
    <x v="0"/>
  </r>
  <r>
    <n v="103716"/>
    <n v="40"/>
    <n v="72800"/>
    <x v="0"/>
    <n v="23900"/>
    <n v="0"/>
    <x v="1"/>
    <x v="0"/>
    <x v="0"/>
    <d v="2024-10-08T00:00:00"/>
    <n v="23900"/>
    <x v="1"/>
  </r>
  <r>
    <n v="103717"/>
    <n v="74"/>
    <n v="88700"/>
    <x v="1"/>
    <n v="52200"/>
    <n v="0"/>
    <x v="4"/>
    <x v="2"/>
    <x v="1"/>
    <d v="2025-10-18T00:00:00"/>
    <n v="52200"/>
    <x v="1"/>
  </r>
  <r>
    <n v="103718"/>
    <n v="59"/>
    <n v="51100"/>
    <x v="0"/>
    <n v="40400"/>
    <n v="0"/>
    <x v="5"/>
    <x v="3"/>
    <x v="0"/>
    <d v="2024-07-15T00:00:00"/>
    <n v="40400"/>
    <x v="0"/>
  </r>
  <r>
    <n v="103719"/>
    <n v="28"/>
    <n v="40900"/>
    <x v="0"/>
    <n v="51100"/>
    <n v="0"/>
    <x v="3"/>
    <x v="3"/>
    <x v="1"/>
    <d v="2025-10-05T00:00:00"/>
    <n v="51100"/>
    <x v="0"/>
  </r>
  <r>
    <n v="103720"/>
    <n v="41"/>
    <n v="95000"/>
    <x v="1"/>
    <n v="25100"/>
    <n v="0"/>
    <x v="7"/>
    <x v="2"/>
    <x v="1"/>
    <d v="2026-01-03T00:00:00"/>
    <n v="25100"/>
    <x v="1"/>
  </r>
  <r>
    <n v="103721"/>
    <n v="62"/>
    <n v="60400"/>
    <x v="0"/>
    <n v="0"/>
    <n v="0"/>
    <x v="7"/>
    <x v="0"/>
    <x v="1"/>
    <d v="2025-01-04T00:00:00"/>
    <n v="0"/>
    <x v="0"/>
  </r>
  <r>
    <n v="103722"/>
    <n v="36"/>
    <n v="84300"/>
    <x v="2"/>
    <n v="0"/>
    <n v="0"/>
    <x v="5"/>
    <x v="1"/>
    <x v="1"/>
    <d v="2025-04-29T00:00:00"/>
    <n v="0"/>
    <x v="1"/>
  </r>
  <r>
    <n v="103723"/>
    <n v="51"/>
    <n v="59000"/>
    <x v="1"/>
    <n v="0"/>
    <n v="186000"/>
    <x v="3"/>
    <x v="2"/>
    <x v="1"/>
    <d v="2025-03-13T00:00:00"/>
    <n v="186000"/>
    <x v="0"/>
  </r>
  <r>
    <n v="103724"/>
    <n v="38"/>
    <n v="86400"/>
    <x v="1"/>
    <n v="37700"/>
    <n v="0"/>
    <x v="4"/>
    <x v="2"/>
    <x v="1"/>
    <d v="2024-05-08T00:00:00"/>
    <n v="37700"/>
    <x v="1"/>
  </r>
  <r>
    <n v="103725"/>
    <n v="67"/>
    <n v="73100"/>
    <x v="1"/>
    <n v="19200"/>
    <n v="0"/>
    <x v="3"/>
    <x v="0"/>
    <x v="1"/>
    <d v="2025-07-29T00:00:00"/>
    <n v="19200"/>
    <x v="1"/>
  </r>
  <r>
    <n v="103726"/>
    <n v="42"/>
    <n v="99100"/>
    <x v="2"/>
    <n v="27300"/>
    <n v="0"/>
    <x v="4"/>
    <x v="2"/>
    <x v="1"/>
    <d v="2024-09-17T00:00:00"/>
    <n v="27300"/>
    <x v="1"/>
  </r>
  <r>
    <n v="103727"/>
    <n v="21"/>
    <n v="57600"/>
    <x v="2"/>
    <n v="72000"/>
    <n v="0"/>
    <x v="1"/>
    <x v="2"/>
    <x v="1"/>
    <d v="2024-03-02T00:00:00"/>
    <n v="72000"/>
    <x v="0"/>
  </r>
  <r>
    <n v="103728"/>
    <n v="56"/>
    <n v="89500"/>
    <x v="0"/>
    <n v="0"/>
    <n v="0"/>
    <x v="5"/>
    <x v="2"/>
    <x v="1"/>
    <d v="2025-03-26T00:00:00"/>
    <n v="0"/>
    <x v="1"/>
  </r>
  <r>
    <n v="103729"/>
    <n v="56"/>
    <n v="37600"/>
    <x v="2"/>
    <n v="47000"/>
    <n v="0"/>
    <x v="7"/>
    <x v="1"/>
    <x v="1"/>
    <d v="2025-02-07T00:00:00"/>
    <n v="47000"/>
    <x v="0"/>
  </r>
  <r>
    <n v="103730"/>
    <n v="69"/>
    <n v="30400"/>
    <x v="1"/>
    <n v="38000"/>
    <n v="0"/>
    <x v="5"/>
    <x v="1"/>
    <x v="1"/>
    <d v="2025-06-04T00:00:00"/>
    <n v="38000"/>
    <x v="0"/>
  </r>
  <r>
    <n v="103731"/>
    <n v="53"/>
    <n v="44500"/>
    <x v="1"/>
    <n v="37000"/>
    <n v="0"/>
    <x v="3"/>
    <x v="1"/>
    <x v="1"/>
    <d v="2025-05-26T00:00:00"/>
    <n v="37000"/>
    <x v="0"/>
  </r>
  <r>
    <n v="103732"/>
    <n v="57"/>
    <n v="100300"/>
    <x v="0"/>
    <n v="0"/>
    <n v="0"/>
    <x v="5"/>
    <x v="1"/>
    <x v="1"/>
    <d v="2026-02-05T00:00:00"/>
    <n v="0"/>
    <x v="1"/>
  </r>
  <r>
    <n v="103733"/>
    <n v="42"/>
    <n v="76700"/>
    <x v="1"/>
    <n v="34100"/>
    <n v="197000"/>
    <x v="3"/>
    <x v="1"/>
    <x v="1"/>
    <d v="2026-06-14T00:00:00"/>
    <n v="231100"/>
    <x v="1"/>
  </r>
  <r>
    <n v="103734"/>
    <n v="38"/>
    <n v="73900"/>
    <x v="2"/>
    <n v="0"/>
    <n v="0"/>
    <x v="0"/>
    <x v="1"/>
    <x v="1"/>
    <d v="2024-05-15T00:00:00"/>
    <n v="0"/>
    <x v="1"/>
  </r>
  <r>
    <n v="103735"/>
    <n v="74"/>
    <n v="37700"/>
    <x v="0"/>
    <n v="0"/>
    <n v="0"/>
    <x v="3"/>
    <x v="1"/>
    <x v="1"/>
    <d v="2025-11-12T00:00:00"/>
    <n v="0"/>
    <x v="0"/>
  </r>
  <r>
    <n v="103736"/>
    <n v="28"/>
    <n v="58100"/>
    <x v="1"/>
    <n v="55800"/>
    <n v="0"/>
    <x v="5"/>
    <x v="3"/>
    <x v="1"/>
    <d v="2026-08-03T00:00:00"/>
    <n v="55800"/>
    <x v="0"/>
  </r>
  <r>
    <n v="103737"/>
    <n v="44"/>
    <n v="49100"/>
    <x v="1"/>
    <n v="36700"/>
    <n v="116000"/>
    <x v="0"/>
    <x v="3"/>
    <x v="1"/>
    <d v="2026-08-18T00:00:00"/>
    <n v="152700"/>
    <x v="0"/>
  </r>
  <r>
    <n v="103738"/>
    <n v="28"/>
    <n v="76300"/>
    <x v="0"/>
    <n v="39900"/>
    <n v="278000"/>
    <x v="5"/>
    <x v="1"/>
    <x v="1"/>
    <d v="2024-12-31T00:00:00"/>
    <n v="317900"/>
    <x v="1"/>
  </r>
  <r>
    <n v="103739"/>
    <n v="30"/>
    <n v="84800"/>
    <x v="2"/>
    <n v="0"/>
    <n v="0"/>
    <x v="7"/>
    <x v="1"/>
    <x v="1"/>
    <d v="2026-07-10T00:00:00"/>
    <n v="0"/>
    <x v="1"/>
  </r>
  <r>
    <n v="103740"/>
    <n v="46"/>
    <n v="59100"/>
    <x v="0"/>
    <n v="41300"/>
    <n v="0"/>
    <x v="5"/>
    <x v="2"/>
    <x v="1"/>
    <d v="2026-04-19T00:00:00"/>
    <n v="41300"/>
    <x v="0"/>
  </r>
  <r>
    <n v="103741"/>
    <n v="60"/>
    <n v="122800"/>
    <x v="1"/>
    <n v="0"/>
    <n v="196000"/>
    <x v="3"/>
    <x v="1"/>
    <x v="1"/>
    <d v="2026-02-27T00:00:00"/>
    <n v="196000"/>
    <x v="1"/>
  </r>
  <r>
    <n v="103742"/>
    <n v="67"/>
    <n v="65500"/>
    <x v="1"/>
    <n v="0"/>
    <n v="82000"/>
    <x v="1"/>
    <x v="2"/>
    <x v="1"/>
    <d v="2025-03-27T00:00:00"/>
    <n v="82000"/>
    <x v="0"/>
  </r>
  <r>
    <n v="103743"/>
    <n v="68"/>
    <n v="39100"/>
    <x v="1"/>
    <n v="0"/>
    <n v="0"/>
    <x v="1"/>
    <x v="3"/>
    <x v="1"/>
    <d v="2025-08-05T00:00:00"/>
    <n v="0"/>
    <x v="0"/>
  </r>
  <r>
    <n v="103744"/>
    <n v="62"/>
    <n v="84200"/>
    <x v="2"/>
    <n v="0"/>
    <n v="0"/>
    <x v="7"/>
    <x v="2"/>
    <x v="1"/>
    <d v="2026-07-13T00:00:00"/>
    <n v="0"/>
    <x v="1"/>
  </r>
  <r>
    <n v="103745"/>
    <n v="42"/>
    <n v="58200"/>
    <x v="1"/>
    <n v="18000"/>
    <n v="0"/>
    <x v="3"/>
    <x v="2"/>
    <x v="1"/>
    <d v="2024-02-01T00:00:00"/>
    <n v="18000"/>
    <x v="0"/>
  </r>
  <r>
    <n v="103746"/>
    <n v="62"/>
    <n v="86700"/>
    <x v="2"/>
    <n v="41100"/>
    <n v="0"/>
    <x v="7"/>
    <x v="2"/>
    <x v="1"/>
    <d v="2024-08-21T00:00:00"/>
    <n v="41100"/>
    <x v="1"/>
  </r>
  <r>
    <n v="103747"/>
    <n v="26"/>
    <n v="116800"/>
    <x v="0"/>
    <n v="0"/>
    <n v="0"/>
    <x v="5"/>
    <x v="0"/>
    <x v="1"/>
    <d v="2026-01-29T00:00:00"/>
    <n v="0"/>
    <x v="1"/>
  </r>
  <r>
    <n v="103748"/>
    <n v="39"/>
    <n v="61000"/>
    <x v="1"/>
    <n v="0"/>
    <n v="253000"/>
    <x v="2"/>
    <x v="1"/>
    <x v="1"/>
    <d v="2026-04-29T00:00:00"/>
    <n v="253000"/>
    <x v="0"/>
  </r>
  <r>
    <n v="103749"/>
    <n v="64"/>
    <n v="26500"/>
    <x v="1"/>
    <n v="7100"/>
    <n v="0"/>
    <x v="7"/>
    <x v="1"/>
    <x v="0"/>
    <d v="2025-11-01T00:00:00"/>
    <n v="7100"/>
    <x v="0"/>
  </r>
  <r>
    <n v="103750"/>
    <n v="60"/>
    <n v="58200"/>
    <x v="2"/>
    <n v="0"/>
    <n v="227000"/>
    <x v="5"/>
    <x v="1"/>
    <x v="1"/>
    <d v="2024-09-08T00:00:00"/>
    <n v="227000"/>
    <x v="0"/>
  </r>
  <r>
    <n v="103751"/>
    <n v="58"/>
    <n v="123700"/>
    <x v="0"/>
    <n v="52000"/>
    <n v="151000"/>
    <x v="2"/>
    <x v="1"/>
    <x v="1"/>
    <d v="2026-07-04T00:00:00"/>
    <n v="203000"/>
    <x v="1"/>
  </r>
  <r>
    <n v="103752"/>
    <n v="59"/>
    <n v="60900"/>
    <x v="1"/>
    <n v="31500"/>
    <n v="0"/>
    <x v="6"/>
    <x v="2"/>
    <x v="1"/>
    <d v="2026-04-18T00:00:00"/>
    <n v="31500"/>
    <x v="0"/>
  </r>
  <r>
    <n v="103753"/>
    <n v="55"/>
    <n v="61600"/>
    <x v="1"/>
    <n v="4100"/>
    <n v="0"/>
    <x v="0"/>
    <x v="1"/>
    <x v="0"/>
    <d v="2026-03-25T00:00:00"/>
    <n v="4100"/>
    <x v="0"/>
  </r>
  <r>
    <n v="103754"/>
    <n v="66"/>
    <n v="45700"/>
    <x v="2"/>
    <n v="0"/>
    <n v="211000"/>
    <x v="1"/>
    <x v="1"/>
    <x v="1"/>
    <d v="2024-12-23T00:00:00"/>
    <n v="211000"/>
    <x v="0"/>
  </r>
  <r>
    <n v="103755"/>
    <n v="53"/>
    <n v="75700"/>
    <x v="1"/>
    <n v="36100"/>
    <n v="0"/>
    <x v="6"/>
    <x v="1"/>
    <x v="1"/>
    <d v="2024-04-09T00:00:00"/>
    <n v="36100"/>
    <x v="1"/>
  </r>
  <r>
    <n v="103756"/>
    <n v="39"/>
    <n v="49100"/>
    <x v="1"/>
    <n v="0"/>
    <n v="0"/>
    <x v="3"/>
    <x v="1"/>
    <x v="1"/>
    <d v="2025-09-28T00:00:00"/>
    <n v="0"/>
    <x v="0"/>
  </r>
  <r>
    <n v="103757"/>
    <n v="38"/>
    <n v="73600"/>
    <x v="1"/>
    <n v="29900"/>
    <n v="0"/>
    <x v="0"/>
    <x v="2"/>
    <x v="1"/>
    <d v="2024-02-10T00:00:00"/>
    <n v="29900"/>
    <x v="1"/>
  </r>
  <r>
    <n v="103758"/>
    <n v="39"/>
    <n v="84900"/>
    <x v="2"/>
    <n v="22000"/>
    <n v="0"/>
    <x v="6"/>
    <x v="1"/>
    <x v="1"/>
    <d v="2026-07-17T00:00:00"/>
    <n v="22000"/>
    <x v="1"/>
  </r>
  <r>
    <n v="103759"/>
    <n v="45"/>
    <n v="37800"/>
    <x v="1"/>
    <n v="43800"/>
    <n v="0"/>
    <x v="3"/>
    <x v="0"/>
    <x v="1"/>
    <d v="2024-04-19T00:00:00"/>
    <n v="43800"/>
    <x v="0"/>
  </r>
  <r>
    <n v="103760"/>
    <n v="47"/>
    <n v="83900"/>
    <x v="2"/>
    <n v="63200"/>
    <n v="0"/>
    <x v="6"/>
    <x v="2"/>
    <x v="1"/>
    <d v="2025-07-27T00:00:00"/>
    <n v="63200"/>
    <x v="1"/>
  </r>
  <r>
    <n v="103761"/>
    <n v="63"/>
    <n v="95200"/>
    <x v="1"/>
    <n v="57600"/>
    <n v="0"/>
    <x v="2"/>
    <x v="1"/>
    <x v="1"/>
    <d v="2025-09-27T00:00:00"/>
    <n v="57600"/>
    <x v="1"/>
  </r>
  <r>
    <n v="103762"/>
    <n v="24"/>
    <n v="109600"/>
    <x v="1"/>
    <n v="55400"/>
    <n v="0"/>
    <x v="4"/>
    <x v="3"/>
    <x v="1"/>
    <d v="2024-04-03T00:00:00"/>
    <n v="55400"/>
    <x v="1"/>
  </r>
  <r>
    <n v="103763"/>
    <n v="52"/>
    <n v="56200"/>
    <x v="1"/>
    <n v="35900"/>
    <n v="0"/>
    <x v="3"/>
    <x v="1"/>
    <x v="0"/>
    <d v="2024-06-12T00:00:00"/>
    <n v="35900"/>
    <x v="0"/>
  </r>
  <r>
    <n v="103764"/>
    <n v="37"/>
    <n v="65300"/>
    <x v="2"/>
    <n v="49500"/>
    <n v="0"/>
    <x v="4"/>
    <x v="0"/>
    <x v="1"/>
    <d v="2024-09-09T00:00:00"/>
    <n v="49500"/>
    <x v="0"/>
  </r>
  <r>
    <n v="103765"/>
    <n v="48"/>
    <n v="63200"/>
    <x v="1"/>
    <n v="9400"/>
    <n v="0"/>
    <x v="3"/>
    <x v="1"/>
    <x v="1"/>
    <d v="2025-06-05T00:00:00"/>
    <n v="9400"/>
    <x v="0"/>
  </r>
  <r>
    <n v="103766"/>
    <n v="73"/>
    <n v="56200"/>
    <x v="1"/>
    <n v="70200"/>
    <n v="0"/>
    <x v="4"/>
    <x v="0"/>
    <x v="1"/>
    <d v="2026-03-03T00:00:00"/>
    <n v="70200"/>
    <x v="0"/>
  </r>
  <r>
    <n v="103767"/>
    <n v="69"/>
    <n v="105800"/>
    <x v="1"/>
    <n v="0"/>
    <n v="0"/>
    <x v="7"/>
    <x v="0"/>
    <x v="1"/>
    <d v="2024-12-16T00:00:00"/>
    <n v="0"/>
    <x v="1"/>
  </r>
  <r>
    <n v="103768"/>
    <n v="69"/>
    <n v="59500"/>
    <x v="1"/>
    <n v="32800"/>
    <n v="114000"/>
    <x v="3"/>
    <x v="2"/>
    <x v="1"/>
    <d v="2024-12-15T00:00:00"/>
    <n v="146800"/>
    <x v="0"/>
  </r>
  <r>
    <n v="103769"/>
    <n v="49"/>
    <n v="72100"/>
    <x v="2"/>
    <n v="38800"/>
    <n v="0"/>
    <x v="4"/>
    <x v="1"/>
    <x v="1"/>
    <d v="2026-03-05T00:00:00"/>
    <n v="38800"/>
    <x v="1"/>
  </r>
  <r>
    <n v="103770"/>
    <n v="44"/>
    <n v="51900"/>
    <x v="1"/>
    <n v="48200"/>
    <n v="313000"/>
    <x v="7"/>
    <x v="0"/>
    <x v="1"/>
    <d v="2025-10-31T00:00:00"/>
    <n v="361200"/>
    <x v="0"/>
  </r>
  <r>
    <n v="103771"/>
    <n v="58"/>
    <n v="29100"/>
    <x v="2"/>
    <n v="36400"/>
    <n v="0"/>
    <x v="3"/>
    <x v="0"/>
    <x v="1"/>
    <d v="2025-10-31T00:00:00"/>
    <n v="36400"/>
    <x v="0"/>
  </r>
  <r>
    <n v="103772"/>
    <n v="32"/>
    <n v="36300"/>
    <x v="0"/>
    <n v="45400"/>
    <n v="0"/>
    <x v="7"/>
    <x v="0"/>
    <x v="1"/>
    <d v="2026-04-15T00:00:00"/>
    <n v="45400"/>
    <x v="0"/>
  </r>
  <r>
    <n v="103773"/>
    <n v="21"/>
    <n v="79000"/>
    <x v="0"/>
    <n v="7900"/>
    <n v="0"/>
    <x v="1"/>
    <x v="2"/>
    <x v="1"/>
    <d v="2024-09-02T00:00:00"/>
    <n v="7900"/>
    <x v="1"/>
  </r>
  <r>
    <n v="103774"/>
    <n v="35"/>
    <n v="94500"/>
    <x v="1"/>
    <n v="22400"/>
    <n v="0"/>
    <x v="7"/>
    <x v="3"/>
    <x v="1"/>
    <d v="2024-10-17T00:00:00"/>
    <n v="22400"/>
    <x v="1"/>
  </r>
  <r>
    <n v="103775"/>
    <n v="32"/>
    <n v="52300"/>
    <x v="1"/>
    <n v="42000"/>
    <n v="0"/>
    <x v="1"/>
    <x v="2"/>
    <x v="1"/>
    <d v="2025-04-14T00:00:00"/>
    <n v="42000"/>
    <x v="0"/>
  </r>
  <r>
    <n v="103776"/>
    <n v="47"/>
    <n v="40400"/>
    <x v="1"/>
    <n v="32500"/>
    <n v="0"/>
    <x v="5"/>
    <x v="0"/>
    <x v="1"/>
    <d v="2024-09-18T00:00:00"/>
    <n v="32500"/>
    <x v="0"/>
  </r>
  <r>
    <n v="103777"/>
    <n v="43"/>
    <n v="89500"/>
    <x v="1"/>
    <n v="16500"/>
    <n v="0"/>
    <x v="7"/>
    <x v="2"/>
    <x v="1"/>
    <d v="2025-05-15T00:00:00"/>
    <n v="16500"/>
    <x v="1"/>
  </r>
  <r>
    <n v="103778"/>
    <n v="52"/>
    <n v="50700"/>
    <x v="1"/>
    <n v="14400"/>
    <n v="0"/>
    <x v="7"/>
    <x v="2"/>
    <x v="1"/>
    <d v="2024-09-21T00:00:00"/>
    <n v="14400"/>
    <x v="0"/>
  </r>
  <r>
    <n v="103779"/>
    <n v="63"/>
    <n v="65000"/>
    <x v="1"/>
    <n v="19000"/>
    <n v="312000"/>
    <x v="4"/>
    <x v="2"/>
    <x v="1"/>
    <d v="2024-01-25T00:00:00"/>
    <n v="331000"/>
    <x v="0"/>
  </r>
  <r>
    <n v="103780"/>
    <n v="20"/>
    <n v="57100"/>
    <x v="2"/>
    <n v="71400"/>
    <n v="0"/>
    <x v="6"/>
    <x v="2"/>
    <x v="1"/>
    <d v="2025-06-07T00:00:00"/>
    <n v="71400"/>
    <x v="0"/>
  </r>
  <r>
    <n v="103781"/>
    <n v="36"/>
    <n v="102500"/>
    <x v="1"/>
    <n v="54000"/>
    <n v="296000"/>
    <x v="5"/>
    <x v="2"/>
    <x v="1"/>
    <d v="2025-10-27T00:00:00"/>
    <n v="350000"/>
    <x v="1"/>
  </r>
  <r>
    <n v="103782"/>
    <n v="64"/>
    <n v="51800"/>
    <x v="1"/>
    <n v="36500"/>
    <n v="0"/>
    <x v="0"/>
    <x v="0"/>
    <x v="1"/>
    <d v="2026-04-18T00:00:00"/>
    <n v="36500"/>
    <x v="0"/>
  </r>
  <r>
    <n v="103783"/>
    <n v="67"/>
    <n v="47500"/>
    <x v="1"/>
    <n v="59400"/>
    <n v="0"/>
    <x v="7"/>
    <x v="0"/>
    <x v="1"/>
    <d v="2025-01-16T00:00:00"/>
    <n v="59400"/>
    <x v="0"/>
  </r>
  <r>
    <n v="103784"/>
    <n v="72"/>
    <n v="58000"/>
    <x v="1"/>
    <n v="21100"/>
    <n v="0"/>
    <x v="6"/>
    <x v="1"/>
    <x v="1"/>
    <d v="2025-05-27T00:00:00"/>
    <n v="21100"/>
    <x v="0"/>
  </r>
  <r>
    <n v="103785"/>
    <n v="62"/>
    <n v="79100"/>
    <x v="1"/>
    <n v="38800"/>
    <n v="0"/>
    <x v="2"/>
    <x v="0"/>
    <x v="0"/>
    <d v="2025-01-07T00:00:00"/>
    <n v="38800"/>
    <x v="1"/>
  </r>
  <r>
    <n v="103786"/>
    <n v="23"/>
    <n v="46200"/>
    <x v="0"/>
    <n v="35400"/>
    <n v="0"/>
    <x v="7"/>
    <x v="3"/>
    <x v="1"/>
    <d v="2024-11-02T00:00:00"/>
    <n v="35400"/>
    <x v="0"/>
  </r>
  <r>
    <n v="103787"/>
    <n v="67"/>
    <n v="45500"/>
    <x v="1"/>
    <n v="45500"/>
    <n v="0"/>
    <x v="6"/>
    <x v="1"/>
    <x v="1"/>
    <d v="2025-09-01T00:00:00"/>
    <n v="45500"/>
    <x v="0"/>
  </r>
  <r>
    <n v="103788"/>
    <n v="72"/>
    <n v="62400"/>
    <x v="0"/>
    <n v="35200"/>
    <n v="0"/>
    <x v="5"/>
    <x v="2"/>
    <x v="1"/>
    <d v="2025-05-05T00:00:00"/>
    <n v="35200"/>
    <x v="0"/>
  </r>
  <r>
    <n v="103789"/>
    <n v="28"/>
    <n v="47300"/>
    <x v="2"/>
    <n v="38700"/>
    <n v="286000"/>
    <x v="0"/>
    <x v="2"/>
    <x v="1"/>
    <d v="2024-04-01T00:00:00"/>
    <n v="324700"/>
    <x v="0"/>
  </r>
  <r>
    <n v="103790"/>
    <n v="54"/>
    <n v="75300"/>
    <x v="2"/>
    <n v="0"/>
    <n v="293000"/>
    <x v="0"/>
    <x v="2"/>
    <x v="1"/>
    <d v="2024-04-24T00:00:00"/>
    <n v="293000"/>
    <x v="1"/>
  </r>
  <r>
    <n v="103791"/>
    <n v="71"/>
    <n v="94000"/>
    <x v="1"/>
    <n v="26000"/>
    <n v="0"/>
    <x v="2"/>
    <x v="2"/>
    <x v="1"/>
    <d v="2025-01-15T00:00:00"/>
    <n v="26000"/>
    <x v="1"/>
  </r>
  <r>
    <n v="103792"/>
    <n v="28"/>
    <n v="75300"/>
    <x v="1"/>
    <n v="14100"/>
    <n v="147000"/>
    <x v="7"/>
    <x v="0"/>
    <x v="1"/>
    <d v="2025-12-25T00:00:00"/>
    <n v="161100"/>
    <x v="1"/>
  </r>
  <r>
    <n v="103793"/>
    <n v="53"/>
    <n v="41800"/>
    <x v="1"/>
    <n v="37900"/>
    <n v="0"/>
    <x v="7"/>
    <x v="0"/>
    <x v="0"/>
    <d v="2024-09-04T00:00:00"/>
    <n v="37900"/>
    <x v="0"/>
  </r>
  <r>
    <n v="103794"/>
    <n v="41"/>
    <n v="49900"/>
    <x v="1"/>
    <n v="40800"/>
    <n v="0"/>
    <x v="3"/>
    <x v="1"/>
    <x v="1"/>
    <d v="2026-05-11T00:00:00"/>
    <n v="40800"/>
    <x v="0"/>
  </r>
  <r>
    <n v="103795"/>
    <n v="54"/>
    <n v="76700"/>
    <x v="0"/>
    <n v="49800"/>
    <n v="0"/>
    <x v="5"/>
    <x v="2"/>
    <x v="1"/>
    <d v="2026-08-03T00:00:00"/>
    <n v="49800"/>
    <x v="1"/>
  </r>
  <r>
    <n v="103796"/>
    <n v="29"/>
    <n v="48600"/>
    <x v="0"/>
    <n v="0"/>
    <n v="0"/>
    <x v="0"/>
    <x v="0"/>
    <x v="1"/>
    <d v="2026-07-27T00:00:00"/>
    <n v="0"/>
    <x v="0"/>
  </r>
  <r>
    <n v="103797"/>
    <n v="67"/>
    <n v="55200"/>
    <x v="1"/>
    <n v="39800"/>
    <n v="0"/>
    <x v="1"/>
    <x v="1"/>
    <x v="1"/>
    <d v="2024-07-19T00:00:00"/>
    <n v="39800"/>
    <x v="0"/>
  </r>
  <r>
    <n v="103798"/>
    <n v="45"/>
    <n v="85800"/>
    <x v="0"/>
    <n v="15900"/>
    <n v="0"/>
    <x v="2"/>
    <x v="0"/>
    <x v="1"/>
    <d v="2025-08-27T00:00:00"/>
    <n v="15900"/>
    <x v="1"/>
  </r>
  <r>
    <n v="103799"/>
    <n v="49"/>
    <n v="40700"/>
    <x v="1"/>
    <n v="0"/>
    <n v="0"/>
    <x v="6"/>
    <x v="2"/>
    <x v="1"/>
    <d v="2026-06-17T00:00:00"/>
    <n v="0"/>
    <x v="0"/>
  </r>
  <r>
    <n v="103800"/>
    <n v="20"/>
    <n v="36800"/>
    <x v="2"/>
    <n v="0"/>
    <n v="0"/>
    <x v="0"/>
    <x v="0"/>
    <x v="1"/>
    <d v="2024-02-29T00:00:00"/>
    <n v="0"/>
    <x v="0"/>
  </r>
  <r>
    <n v="103801"/>
    <n v="63"/>
    <n v="84100"/>
    <x v="0"/>
    <n v="0"/>
    <n v="0"/>
    <x v="4"/>
    <x v="0"/>
    <x v="1"/>
    <d v="2024-07-11T00:00:00"/>
    <n v="0"/>
    <x v="1"/>
  </r>
  <r>
    <n v="103802"/>
    <n v="54"/>
    <n v="109000"/>
    <x v="1"/>
    <n v="15500"/>
    <n v="0"/>
    <x v="2"/>
    <x v="1"/>
    <x v="1"/>
    <d v="2025-10-11T00:00:00"/>
    <n v="15500"/>
    <x v="1"/>
  </r>
  <r>
    <n v="103803"/>
    <n v="37"/>
    <n v="98500"/>
    <x v="0"/>
    <n v="56800"/>
    <n v="0"/>
    <x v="5"/>
    <x v="2"/>
    <x v="1"/>
    <d v="2024-02-06T00:00:00"/>
    <n v="56800"/>
    <x v="1"/>
  </r>
  <r>
    <n v="103804"/>
    <n v="26"/>
    <n v="52500"/>
    <x v="1"/>
    <n v="53700"/>
    <n v="0"/>
    <x v="2"/>
    <x v="2"/>
    <x v="1"/>
    <d v="2024-07-12T00:00:00"/>
    <n v="53700"/>
    <x v="0"/>
  </r>
  <r>
    <n v="103805"/>
    <n v="66"/>
    <n v="36800"/>
    <x v="1"/>
    <n v="35900"/>
    <n v="0"/>
    <x v="6"/>
    <x v="1"/>
    <x v="1"/>
    <d v="2024-11-17T00:00:00"/>
    <n v="35900"/>
    <x v="0"/>
  </r>
  <r>
    <n v="103806"/>
    <n v="40"/>
    <n v="106600"/>
    <x v="0"/>
    <n v="22600"/>
    <n v="0"/>
    <x v="4"/>
    <x v="2"/>
    <x v="1"/>
    <d v="2025-06-25T00:00:00"/>
    <n v="22600"/>
    <x v="1"/>
  </r>
  <r>
    <n v="103807"/>
    <n v="39"/>
    <n v="40600"/>
    <x v="2"/>
    <n v="22500"/>
    <n v="356000"/>
    <x v="3"/>
    <x v="0"/>
    <x v="1"/>
    <d v="2024-07-07T00:00:00"/>
    <n v="378500"/>
    <x v="0"/>
  </r>
  <r>
    <n v="103808"/>
    <n v="52"/>
    <n v="30100"/>
    <x v="0"/>
    <n v="0"/>
    <n v="0"/>
    <x v="7"/>
    <x v="2"/>
    <x v="1"/>
    <d v="2024-09-28T00:00:00"/>
    <n v="0"/>
    <x v="0"/>
  </r>
  <r>
    <n v="103809"/>
    <n v="37"/>
    <n v="21200"/>
    <x v="2"/>
    <n v="7800"/>
    <n v="0"/>
    <x v="7"/>
    <x v="1"/>
    <x v="1"/>
    <d v="2024-06-27T00:00:00"/>
    <n v="7800"/>
    <x v="0"/>
  </r>
  <r>
    <n v="103810"/>
    <n v="35"/>
    <n v="73600"/>
    <x v="0"/>
    <n v="68700"/>
    <n v="0"/>
    <x v="7"/>
    <x v="1"/>
    <x v="1"/>
    <d v="2025-05-16T00:00:00"/>
    <n v="68700"/>
    <x v="1"/>
  </r>
  <r>
    <n v="103811"/>
    <n v="47"/>
    <n v="50200"/>
    <x v="1"/>
    <n v="30300"/>
    <n v="0"/>
    <x v="7"/>
    <x v="3"/>
    <x v="1"/>
    <d v="2024-11-13T00:00:00"/>
    <n v="30300"/>
    <x v="0"/>
  </r>
  <r>
    <n v="103812"/>
    <n v="55"/>
    <n v="103100"/>
    <x v="1"/>
    <n v="0"/>
    <n v="186000"/>
    <x v="1"/>
    <x v="2"/>
    <x v="1"/>
    <d v="2026-07-01T00:00:00"/>
    <n v="186000"/>
    <x v="1"/>
  </r>
  <r>
    <n v="103813"/>
    <n v="63"/>
    <n v="43900"/>
    <x v="1"/>
    <n v="0"/>
    <n v="0"/>
    <x v="4"/>
    <x v="0"/>
    <x v="1"/>
    <d v="2024-07-02T00:00:00"/>
    <n v="0"/>
    <x v="0"/>
  </r>
  <r>
    <n v="103814"/>
    <n v="49"/>
    <n v="76300"/>
    <x v="2"/>
    <n v="0"/>
    <n v="0"/>
    <x v="0"/>
    <x v="2"/>
    <x v="1"/>
    <d v="2024-09-17T00:00:00"/>
    <n v="0"/>
    <x v="1"/>
  </r>
  <r>
    <n v="103815"/>
    <n v="73"/>
    <n v="92100"/>
    <x v="0"/>
    <n v="30300"/>
    <n v="0"/>
    <x v="2"/>
    <x v="1"/>
    <x v="1"/>
    <d v="2026-04-11T00:00:00"/>
    <n v="30300"/>
    <x v="1"/>
  </r>
  <r>
    <n v="103816"/>
    <n v="48"/>
    <n v="57900"/>
    <x v="1"/>
    <n v="0"/>
    <n v="0"/>
    <x v="4"/>
    <x v="1"/>
    <x v="1"/>
    <d v="2025-09-10T00:00:00"/>
    <n v="0"/>
    <x v="0"/>
  </r>
  <r>
    <n v="103817"/>
    <n v="75"/>
    <n v="28800"/>
    <x v="1"/>
    <n v="36000"/>
    <n v="0"/>
    <x v="7"/>
    <x v="1"/>
    <x v="1"/>
    <d v="2025-12-14T00:00:00"/>
    <n v="36000"/>
    <x v="0"/>
  </r>
  <r>
    <n v="103818"/>
    <n v="70"/>
    <n v="50700"/>
    <x v="1"/>
    <n v="0"/>
    <n v="0"/>
    <x v="4"/>
    <x v="2"/>
    <x v="1"/>
    <d v="2026-01-27T00:00:00"/>
    <n v="0"/>
    <x v="0"/>
  </r>
  <r>
    <n v="103819"/>
    <n v="25"/>
    <n v="54500"/>
    <x v="0"/>
    <n v="0"/>
    <n v="338000"/>
    <x v="1"/>
    <x v="0"/>
    <x v="1"/>
    <d v="2026-01-08T00:00:00"/>
    <n v="338000"/>
    <x v="0"/>
  </r>
  <r>
    <n v="103820"/>
    <n v="63"/>
    <n v="48400"/>
    <x v="1"/>
    <n v="22300"/>
    <n v="0"/>
    <x v="1"/>
    <x v="2"/>
    <x v="1"/>
    <d v="2024-09-30T00:00:00"/>
    <n v="22300"/>
    <x v="0"/>
  </r>
  <r>
    <n v="103821"/>
    <n v="38"/>
    <n v="44100"/>
    <x v="2"/>
    <n v="0"/>
    <n v="0"/>
    <x v="1"/>
    <x v="0"/>
    <x v="1"/>
    <d v="2024-09-15T00:00:00"/>
    <n v="0"/>
    <x v="0"/>
  </r>
  <r>
    <n v="103822"/>
    <n v="29"/>
    <n v="38500"/>
    <x v="0"/>
    <n v="0"/>
    <n v="107000"/>
    <x v="4"/>
    <x v="1"/>
    <x v="1"/>
    <d v="2026-06-29T00:00:00"/>
    <n v="107000"/>
    <x v="0"/>
  </r>
  <r>
    <n v="103823"/>
    <n v="48"/>
    <n v="53000"/>
    <x v="0"/>
    <n v="31600"/>
    <n v="237000"/>
    <x v="7"/>
    <x v="0"/>
    <x v="1"/>
    <d v="2025-05-08T00:00:00"/>
    <n v="268600"/>
    <x v="0"/>
  </r>
  <r>
    <n v="103824"/>
    <n v="26"/>
    <n v="30300"/>
    <x v="2"/>
    <n v="37900"/>
    <n v="0"/>
    <x v="6"/>
    <x v="2"/>
    <x v="1"/>
    <d v="2024-03-02T00:00:00"/>
    <n v="37900"/>
    <x v="0"/>
  </r>
  <r>
    <n v="103825"/>
    <n v="62"/>
    <n v="54600"/>
    <x v="0"/>
    <n v="34500"/>
    <n v="0"/>
    <x v="7"/>
    <x v="0"/>
    <x v="1"/>
    <d v="2024-10-17T00:00:00"/>
    <n v="34500"/>
    <x v="0"/>
  </r>
  <r>
    <n v="103826"/>
    <n v="45"/>
    <n v="51200"/>
    <x v="1"/>
    <n v="36800"/>
    <n v="0"/>
    <x v="7"/>
    <x v="1"/>
    <x v="1"/>
    <d v="2024-10-07T00:00:00"/>
    <n v="36800"/>
    <x v="0"/>
  </r>
  <r>
    <n v="103827"/>
    <n v="71"/>
    <n v="54500"/>
    <x v="1"/>
    <n v="22800"/>
    <n v="0"/>
    <x v="1"/>
    <x v="0"/>
    <x v="1"/>
    <d v="2026-08-18T00:00:00"/>
    <n v="22800"/>
    <x v="0"/>
  </r>
  <r>
    <n v="103828"/>
    <n v="72"/>
    <n v="82500"/>
    <x v="1"/>
    <n v="0"/>
    <n v="0"/>
    <x v="2"/>
    <x v="2"/>
    <x v="1"/>
    <d v="2024-11-16T00:00:00"/>
    <n v="0"/>
    <x v="1"/>
  </r>
  <r>
    <n v="103829"/>
    <n v="51"/>
    <n v="41400"/>
    <x v="2"/>
    <n v="0"/>
    <n v="0"/>
    <x v="2"/>
    <x v="2"/>
    <x v="1"/>
    <d v="2026-01-16T00:00:00"/>
    <n v="0"/>
    <x v="0"/>
  </r>
  <r>
    <n v="103830"/>
    <n v="73"/>
    <n v="121300"/>
    <x v="1"/>
    <n v="26300"/>
    <n v="0"/>
    <x v="2"/>
    <x v="0"/>
    <x v="1"/>
    <d v="2026-03-19T00:00:00"/>
    <n v="26300"/>
    <x v="1"/>
  </r>
  <r>
    <n v="103831"/>
    <n v="46"/>
    <n v="23800"/>
    <x v="0"/>
    <n v="29800"/>
    <n v="0"/>
    <x v="3"/>
    <x v="1"/>
    <x v="1"/>
    <d v="2024-07-05T00:00:00"/>
    <n v="29800"/>
    <x v="0"/>
  </r>
  <r>
    <n v="103832"/>
    <n v="56"/>
    <n v="90700"/>
    <x v="0"/>
    <n v="42100"/>
    <n v="222000"/>
    <x v="4"/>
    <x v="3"/>
    <x v="0"/>
    <d v="2024-04-04T00:00:00"/>
    <n v="264100"/>
    <x v="1"/>
  </r>
  <r>
    <n v="103833"/>
    <n v="66"/>
    <n v="44900"/>
    <x v="1"/>
    <n v="0"/>
    <n v="0"/>
    <x v="3"/>
    <x v="1"/>
    <x v="1"/>
    <d v="2024-05-13T00:00:00"/>
    <n v="0"/>
    <x v="0"/>
  </r>
  <r>
    <n v="103834"/>
    <n v="34"/>
    <n v="58700"/>
    <x v="1"/>
    <n v="22700"/>
    <n v="0"/>
    <x v="5"/>
    <x v="2"/>
    <x v="1"/>
    <d v="2026-05-16T00:00:00"/>
    <n v="22700"/>
    <x v="0"/>
  </r>
  <r>
    <n v="103835"/>
    <n v="50"/>
    <n v="29100"/>
    <x v="1"/>
    <n v="0"/>
    <n v="228000"/>
    <x v="4"/>
    <x v="2"/>
    <x v="1"/>
    <d v="2025-09-26T00:00:00"/>
    <n v="228000"/>
    <x v="0"/>
  </r>
  <r>
    <n v="103836"/>
    <n v="69"/>
    <n v="41200"/>
    <x v="0"/>
    <n v="51500"/>
    <n v="0"/>
    <x v="4"/>
    <x v="1"/>
    <x v="1"/>
    <d v="2024-02-03T00:00:00"/>
    <n v="51500"/>
    <x v="0"/>
  </r>
  <r>
    <n v="103837"/>
    <n v="25"/>
    <n v="77100"/>
    <x v="0"/>
    <n v="0"/>
    <n v="0"/>
    <x v="1"/>
    <x v="0"/>
    <x v="1"/>
    <d v="2025-07-24T00:00:00"/>
    <n v="0"/>
    <x v="1"/>
  </r>
  <r>
    <n v="103838"/>
    <n v="36"/>
    <n v="26300"/>
    <x v="0"/>
    <n v="32900"/>
    <n v="0"/>
    <x v="3"/>
    <x v="0"/>
    <x v="1"/>
    <d v="2025-04-24T00:00:00"/>
    <n v="32900"/>
    <x v="0"/>
  </r>
  <r>
    <n v="103839"/>
    <n v="54"/>
    <n v="104500"/>
    <x v="0"/>
    <n v="50300"/>
    <n v="0"/>
    <x v="6"/>
    <x v="2"/>
    <x v="1"/>
    <d v="2025-06-01T00:00:00"/>
    <n v="50300"/>
    <x v="1"/>
  </r>
  <r>
    <n v="103840"/>
    <n v="29"/>
    <n v="47600"/>
    <x v="1"/>
    <n v="0"/>
    <n v="0"/>
    <x v="5"/>
    <x v="1"/>
    <x v="1"/>
    <d v="2024-08-15T00:00:00"/>
    <n v="0"/>
    <x v="0"/>
  </r>
  <r>
    <n v="103841"/>
    <n v="47"/>
    <n v="103600"/>
    <x v="0"/>
    <n v="37500"/>
    <n v="0"/>
    <x v="1"/>
    <x v="1"/>
    <x v="1"/>
    <d v="2026-01-31T00:00:00"/>
    <n v="37500"/>
    <x v="1"/>
  </r>
  <r>
    <n v="103842"/>
    <n v="42"/>
    <n v="99500"/>
    <x v="1"/>
    <n v="38400"/>
    <n v="0"/>
    <x v="1"/>
    <x v="2"/>
    <x v="1"/>
    <d v="2024-07-07T00:00:00"/>
    <n v="38400"/>
    <x v="1"/>
  </r>
  <r>
    <n v="103843"/>
    <n v="44"/>
    <n v="51800"/>
    <x v="0"/>
    <n v="55000"/>
    <n v="0"/>
    <x v="2"/>
    <x v="1"/>
    <x v="1"/>
    <d v="2025-05-14T00:00:00"/>
    <n v="55000"/>
    <x v="0"/>
  </r>
  <r>
    <n v="103844"/>
    <n v="35"/>
    <n v="69800"/>
    <x v="1"/>
    <n v="0"/>
    <n v="0"/>
    <x v="4"/>
    <x v="1"/>
    <x v="1"/>
    <d v="2024-02-26T00:00:00"/>
    <n v="0"/>
    <x v="0"/>
  </r>
  <r>
    <n v="103845"/>
    <n v="66"/>
    <n v="74000"/>
    <x v="1"/>
    <n v="44400"/>
    <n v="0"/>
    <x v="5"/>
    <x v="0"/>
    <x v="1"/>
    <d v="2025-03-02T00:00:00"/>
    <n v="44400"/>
    <x v="1"/>
  </r>
  <r>
    <n v="103846"/>
    <n v="45"/>
    <n v="34800"/>
    <x v="1"/>
    <n v="0"/>
    <n v="0"/>
    <x v="1"/>
    <x v="2"/>
    <x v="1"/>
    <d v="2024-02-19T00:00:00"/>
    <n v="0"/>
    <x v="0"/>
  </r>
  <r>
    <n v="103847"/>
    <n v="44"/>
    <n v="94200"/>
    <x v="1"/>
    <n v="36500"/>
    <n v="0"/>
    <x v="7"/>
    <x v="0"/>
    <x v="1"/>
    <d v="2024-06-22T00:00:00"/>
    <n v="36500"/>
    <x v="1"/>
  </r>
  <r>
    <n v="103848"/>
    <n v="37"/>
    <n v="113300"/>
    <x v="0"/>
    <n v="0"/>
    <n v="0"/>
    <x v="3"/>
    <x v="1"/>
    <x v="1"/>
    <d v="2026-03-26T00:00:00"/>
    <n v="0"/>
    <x v="1"/>
  </r>
  <r>
    <n v="103849"/>
    <n v="68"/>
    <n v="71300"/>
    <x v="2"/>
    <n v="34900"/>
    <n v="0"/>
    <x v="2"/>
    <x v="1"/>
    <x v="1"/>
    <d v="2025-11-14T00:00:00"/>
    <n v="34900"/>
    <x v="1"/>
  </r>
  <r>
    <n v="103850"/>
    <n v="39"/>
    <n v="45400"/>
    <x v="2"/>
    <n v="0"/>
    <n v="244000"/>
    <x v="0"/>
    <x v="1"/>
    <x v="1"/>
    <d v="2025-07-11T00:00:00"/>
    <n v="244000"/>
    <x v="0"/>
  </r>
  <r>
    <n v="103851"/>
    <n v="21"/>
    <n v="36100"/>
    <x v="0"/>
    <n v="32000"/>
    <n v="0"/>
    <x v="4"/>
    <x v="0"/>
    <x v="1"/>
    <d v="2024-07-27T00:00:00"/>
    <n v="32000"/>
    <x v="0"/>
  </r>
  <r>
    <n v="103852"/>
    <n v="51"/>
    <n v="111600"/>
    <x v="0"/>
    <n v="0"/>
    <n v="0"/>
    <x v="6"/>
    <x v="2"/>
    <x v="1"/>
    <d v="2025-11-20T00:00:00"/>
    <n v="0"/>
    <x v="1"/>
  </r>
  <r>
    <n v="103853"/>
    <n v="30"/>
    <n v="38700"/>
    <x v="0"/>
    <n v="19500"/>
    <n v="0"/>
    <x v="2"/>
    <x v="1"/>
    <x v="0"/>
    <d v="2024-06-05T00:00:00"/>
    <n v="19500"/>
    <x v="0"/>
  </r>
  <r>
    <n v="103854"/>
    <n v="35"/>
    <n v="65700"/>
    <x v="1"/>
    <n v="68700"/>
    <n v="295000"/>
    <x v="3"/>
    <x v="1"/>
    <x v="1"/>
    <d v="2024-01-05T00:00:00"/>
    <n v="363700"/>
    <x v="0"/>
  </r>
  <r>
    <n v="103855"/>
    <n v="57"/>
    <n v="63600"/>
    <x v="1"/>
    <n v="18100"/>
    <n v="229000"/>
    <x v="1"/>
    <x v="1"/>
    <x v="0"/>
    <d v="2024-04-25T00:00:00"/>
    <n v="247100"/>
    <x v="0"/>
  </r>
  <r>
    <n v="103856"/>
    <n v="31"/>
    <n v="69000"/>
    <x v="0"/>
    <n v="0"/>
    <n v="0"/>
    <x v="0"/>
    <x v="1"/>
    <x v="1"/>
    <d v="2025-04-12T00:00:00"/>
    <n v="0"/>
    <x v="0"/>
  </r>
  <r>
    <n v="103857"/>
    <n v="51"/>
    <n v="70100"/>
    <x v="1"/>
    <n v="45600"/>
    <n v="75000"/>
    <x v="0"/>
    <x v="1"/>
    <x v="1"/>
    <d v="2026-02-08T00:00:00"/>
    <n v="120600"/>
    <x v="1"/>
  </r>
  <r>
    <n v="103858"/>
    <n v="67"/>
    <n v="32600"/>
    <x v="1"/>
    <n v="0"/>
    <n v="0"/>
    <x v="3"/>
    <x v="0"/>
    <x v="1"/>
    <d v="2024-06-27T00:00:00"/>
    <n v="0"/>
    <x v="0"/>
  </r>
  <r>
    <n v="103859"/>
    <n v="38"/>
    <n v="91500"/>
    <x v="0"/>
    <n v="19600"/>
    <n v="0"/>
    <x v="7"/>
    <x v="2"/>
    <x v="1"/>
    <d v="2024-11-16T00:00:00"/>
    <n v="19600"/>
    <x v="1"/>
  </r>
  <r>
    <n v="103860"/>
    <n v="38"/>
    <n v="77400"/>
    <x v="1"/>
    <n v="14600"/>
    <n v="0"/>
    <x v="6"/>
    <x v="0"/>
    <x v="1"/>
    <d v="2025-04-08T00:00:00"/>
    <n v="14600"/>
    <x v="1"/>
  </r>
  <r>
    <n v="103861"/>
    <n v="20"/>
    <n v="36900"/>
    <x v="1"/>
    <n v="0"/>
    <n v="0"/>
    <x v="5"/>
    <x v="2"/>
    <x v="1"/>
    <d v="2025-09-30T00:00:00"/>
    <n v="0"/>
    <x v="0"/>
  </r>
  <r>
    <n v="103862"/>
    <n v="35"/>
    <n v="71800"/>
    <x v="0"/>
    <n v="60300"/>
    <n v="0"/>
    <x v="3"/>
    <x v="2"/>
    <x v="1"/>
    <d v="2025-10-18T00:00:00"/>
    <n v="60300"/>
    <x v="1"/>
  </r>
  <r>
    <n v="103863"/>
    <n v="27"/>
    <n v="39900"/>
    <x v="1"/>
    <n v="44000"/>
    <n v="183000"/>
    <x v="3"/>
    <x v="1"/>
    <x v="1"/>
    <d v="2025-07-13T00:00:00"/>
    <n v="227000"/>
    <x v="0"/>
  </r>
  <r>
    <n v="103864"/>
    <n v="34"/>
    <n v="37300"/>
    <x v="0"/>
    <n v="46600"/>
    <n v="0"/>
    <x v="2"/>
    <x v="2"/>
    <x v="1"/>
    <d v="2026-06-24T00:00:00"/>
    <n v="46600"/>
    <x v="0"/>
  </r>
  <r>
    <n v="103865"/>
    <n v="30"/>
    <n v="33400"/>
    <x v="1"/>
    <n v="37400"/>
    <n v="0"/>
    <x v="4"/>
    <x v="1"/>
    <x v="1"/>
    <d v="2024-08-08T00:00:00"/>
    <n v="37400"/>
    <x v="0"/>
  </r>
  <r>
    <n v="103866"/>
    <n v="30"/>
    <n v="97200"/>
    <x v="1"/>
    <n v="50100"/>
    <n v="197000"/>
    <x v="0"/>
    <x v="2"/>
    <x v="1"/>
    <d v="2026-08-03T00:00:00"/>
    <n v="247100"/>
    <x v="1"/>
  </r>
  <r>
    <n v="103867"/>
    <n v="49"/>
    <n v="85000"/>
    <x v="0"/>
    <n v="15800"/>
    <n v="0"/>
    <x v="4"/>
    <x v="2"/>
    <x v="1"/>
    <d v="2025-06-03T00:00:00"/>
    <n v="15800"/>
    <x v="1"/>
  </r>
  <r>
    <n v="103868"/>
    <n v="45"/>
    <n v="94900"/>
    <x v="0"/>
    <n v="20300"/>
    <n v="142000"/>
    <x v="5"/>
    <x v="2"/>
    <x v="1"/>
    <d v="2026-08-11T00:00:00"/>
    <n v="162300"/>
    <x v="1"/>
  </r>
  <r>
    <n v="103869"/>
    <n v="41"/>
    <n v="41700"/>
    <x v="2"/>
    <n v="44500"/>
    <n v="0"/>
    <x v="3"/>
    <x v="2"/>
    <x v="1"/>
    <d v="2026-03-09T00:00:00"/>
    <n v="44500"/>
    <x v="0"/>
  </r>
  <r>
    <n v="103870"/>
    <n v="24"/>
    <n v="30800"/>
    <x v="1"/>
    <n v="38500"/>
    <n v="161000"/>
    <x v="2"/>
    <x v="1"/>
    <x v="1"/>
    <d v="2026-08-09T00:00:00"/>
    <n v="199500"/>
    <x v="0"/>
  </r>
  <r>
    <n v="103871"/>
    <n v="51"/>
    <n v="56100"/>
    <x v="1"/>
    <n v="21100"/>
    <n v="0"/>
    <x v="7"/>
    <x v="2"/>
    <x v="0"/>
    <d v="2025-11-01T00:00:00"/>
    <n v="21100"/>
    <x v="0"/>
  </r>
  <r>
    <n v="103872"/>
    <n v="66"/>
    <n v="42700"/>
    <x v="1"/>
    <n v="22100"/>
    <n v="0"/>
    <x v="6"/>
    <x v="1"/>
    <x v="1"/>
    <d v="2024-11-25T00:00:00"/>
    <n v="22100"/>
    <x v="0"/>
  </r>
  <r>
    <n v="103873"/>
    <n v="40"/>
    <n v="77300"/>
    <x v="1"/>
    <n v="17200"/>
    <n v="240000"/>
    <x v="7"/>
    <x v="2"/>
    <x v="1"/>
    <d v="2025-07-15T00:00:00"/>
    <n v="257200"/>
    <x v="1"/>
  </r>
  <r>
    <n v="103874"/>
    <n v="31"/>
    <n v="64500"/>
    <x v="1"/>
    <n v="65800"/>
    <n v="180000"/>
    <x v="0"/>
    <x v="0"/>
    <x v="0"/>
    <d v="2024-07-16T00:00:00"/>
    <n v="245800"/>
    <x v="0"/>
  </r>
  <r>
    <n v="103875"/>
    <n v="36"/>
    <n v="26600"/>
    <x v="2"/>
    <n v="0"/>
    <n v="0"/>
    <x v="0"/>
    <x v="3"/>
    <x v="1"/>
    <d v="2025-09-02T00:00:00"/>
    <n v="0"/>
    <x v="0"/>
  </r>
  <r>
    <n v="103876"/>
    <n v="22"/>
    <n v="50800"/>
    <x v="1"/>
    <n v="24100"/>
    <n v="201000"/>
    <x v="5"/>
    <x v="0"/>
    <x v="1"/>
    <d v="2024-03-20T00:00:00"/>
    <n v="225100"/>
    <x v="0"/>
  </r>
  <r>
    <n v="103877"/>
    <n v="66"/>
    <n v="33400"/>
    <x v="1"/>
    <n v="36100"/>
    <n v="0"/>
    <x v="7"/>
    <x v="0"/>
    <x v="1"/>
    <d v="2025-07-23T00:00:00"/>
    <n v="36100"/>
    <x v="0"/>
  </r>
  <r>
    <n v="103878"/>
    <n v="45"/>
    <n v="108300"/>
    <x v="0"/>
    <n v="64100"/>
    <n v="0"/>
    <x v="5"/>
    <x v="0"/>
    <x v="1"/>
    <d v="2025-11-07T00:00:00"/>
    <n v="64100"/>
    <x v="1"/>
  </r>
  <r>
    <n v="103879"/>
    <n v="58"/>
    <n v="26200"/>
    <x v="0"/>
    <n v="12600"/>
    <n v="0"/>
    <x v="0"/>
    <x v="0"/>
    <x v="1"/>
    <d v="2024-04-12T00:00:00"/>
    <n v="12600"/>
    <x v="0"/>
  </r>
  <r>
    <n v="103880"/>
    <n v="68"/>
    <n v="107500"/>
    <x v="1"/>
    <n v="0"/>
    <n v="0"/>
    <x v="7"/>
    <x v="1"/>
    <x v="1"/>
    <d v="2025-02-15T00:00:00"/>
    <n v="0"/>
    <x v="1"/>
  </r>
  <r>
    <n v="103881"/>
    <n v="49"/>
    <n v="55600"/>
    <x v="2"/>
    <n v="25300"/>
    <n v="187000"/>
    <x v="6"/>
    <x v="2"/>
    <x v="1"/>
    <d v="2024-06-05T00:00:00"/>
    <n v="212300"/>
    <x v="0"/>
  </r>
  <r>
    <n v="103882"/>
    <n v="70"/>
    <n v="33900"/>
    <x v="1"/>
    <n v="42400"/>
    <n v="0"/>
    <x v="7"/>
    <x v="0"/>
    <x v="0"/>
    <d v="2026-06-24T00:00:00"/>
    <n v="42400"/>
    <x v="0"/>
  </r>
  <r>
    <n v="103883"/>
    <n v="29"/>
    <n v="72600"/>
    <x v="0"/>
    <n v="80300"/>
    <n v="0"/>
    <x v="5"/>
    <x v="1"/>
    <x v="1"/>
    <d v="2025-03-26T00:00:00"/>
    <n v="80300"/>
    <x v="1"/>
  </r>
  <r>
    <n v="103884"/>
    <n v="49"/>
    <n v="71900"/>
    <x v="1"/>
    <n v="16500"/>
    <n v="0"/>
    <x v="2"/>
    <x v="1"/>
    <x v="1"/>
    <d v="2024-07-05T00:00:00"/>
    <n v="16500"/>
    <x v="1"/>
  </r>
  <r>
    <n v="103885"/>
    <n v="54"/>
    <n v="45000"/>
    <x v="0"/>
    <n v="20400"/>
    <n v="0"/>
    <x v="7"/>
    <x v="2"/>
    <x v="1"/>
    <d v="2024-06-24T00:00:00"/>
    <n v="20400"/>
    <x v="0"/>
  </r>
  <r>
    <n v="103886"/>
    <n v="59"/>
    <n v="67800"/>
    <x v="2"/>
    <n v="48200"/>
    <n v="0"/>
    <x v="6"/>
    <x v="2"/>
    <x v="1"/>
    <d v="2024-01-31T00:00:00"/>
    <n v="48200"/>
    <x v="0"/>
  </r>
  <r>
    <n v="103887"/>
    <n v="72"/>
    <n v="68200"/>
    <x v="0"/>
    <n v="29600"/>
    <n v="0"/>
    <x v="5"/>
    <x v="0"/>
    <x v="1"/>
    <d v="2024-10-19T00:00:00"/>
    <n v="29600"/>
    <x v="0"/>
  </r>
  <r>
    <n v="103888"/>
    <n v="37"/>
    <n v="37100"/>
    <x v="1"/>
    <n v="20300"/>
    <n v="0"/>
    <x v="1"/>
    <x v="0"/>
    <x v="1"/>
    <d v="2025-12-28T00:00:00"/>
    <n v="20300"/>
    <x v="0"/>
  </r>
  <r>
    <n v="103889"/>
    <n v="35"/>
    <n v="67400"/>
    <x v="0"/>
    <n v="43700"/>
    <n v="0"/>
    <x v="4"/>
    <x v="1"/>
    <x v="1"/>
    <d v="2026-06-06T00:00:00"/>
    <n v="43700"/>
    <x v="0"/>
  </r>
  <r>
    <n v="103890"/>
    <n v="34"/>
    <n v="89100"/>
    <x v="2"/>
    <n v="0"/>
    <n v="0"/>
    <x v="4"/>
    <x v="2"/>
    <x v="1"/>
    <d v="2024-04-16T00:00:00"/>
    <n v="0"/>
    <x v="1"/>
  </r>
  <r>
    <n v="103891"/>
    <n v="46"/>
    <n v="54700"/>
    <x v="1"/>
    <n v="0"/>
    <n v="253000"/>
    <x v="4"/>
    <x v="2"/>
    <x v="1"/>
    <d v="2025-02-11T00:00:00"/>
    <n v="253000"/>
    <x v="0"/>
  </r>
  <r>
    <n v="103892"/>
    <n v="64"/>
    <n v="41000"/>
    <x v="2"/>
    <n v="0"/>
    <n v="0"/>
    <x v="1"/>
    <x v="1"/>
    <x v="1"/>
    <d v="2024-06-24T00:00:00"/>
    <n v="0"/>
    <x v="0"/>
  </r>
  <r>
    <n v="103893"/>
    <n v="71"/>
    <n v="94000"/>
    <x v="0"/>
    <n v="19600"/>
    <n v="0"/>
    <x v="6"/>
    <x v="2"/>
    <x v="1"/>
    <d v="2025-01-06T00:00:00"/>
    <n v="19600"/>
    <x v="1"/>
  </r>
  <r>
    <n v="103894"/>
    <n v="71"/>
    <n v="77100"/>
    <x v="0"/>
    <n v="0"/>
    <n v="0"/>
    <x v="3"/>
    <x v="2"/>
    <x v="1"/>
    <d v="2024-10-24T00:00:00"/>
    <n v="0"/>
    <x v="1"/>
  </r>
  <r>
    <n v="103895"/>
    <n v="29"/>
    <n v="33000"/>
    <x v="1"/>
    <n v="41200"/>
    <n v="0"/>
    <x v="2"/>
    <x v="1"/>
    <x v="1"/>
    <d v="2026-02-22T00:00:00"/>
    <n v="41200"/>
    <x v="0"/>
  </r>
  <r>
    <n v="103896"/>
    <n v="72"/>
    <n v="32800"/>
    <x v="0"/>
    <n v="17900"/>
    <n v="0"/>
    <x v="5"/>
    <x v="1"/>
    <x v="1"/>
    <d v="2026-07-09T00:00:00"/>
    <n v="17900"/>
    <x v="0"/>
  </r>
  <r>
    <n v="103897"/>
    <n v="43"/>
    <n v="32200"/>
    <x v="0"/>
    <n v="40200"/>
    <n v="0"/>
    <x v="7"/>
    <x v="0"/>
    <x v="1"/>
    <d v="2024-09-14T00:00:00"/>
    <n v="40200"/>
    <x v="0"/>
  </r>
  <r>
    <n v="103898"/>
    <n v="62"/>
    <n v="52300"/>
    <x v="1"/>
    <n v="33800"/>
    <n v="0"/>
    <x v="5"/>
    <x v="1"/>
    <x v="1"/>
    <d v="2024-08-07T00:00:00"/>
    <n v="33800"/>
    <x v="0"/>
  </r>
  <r>
    <n v="103899"/>
    <n v="61"/>
    <n v="99800"/>
    <x v="0"/>
    <n v="0"/>
    <n v="0"/>
    <x v="0"/>
    <x v="2"/>
    <x v="1"/>
    <d v="2026-05-24T00:00:00"/>
    <n v="0"/>
    <x v="1"/>
  </r>
  <r>
    <n v="103900"/>
    <n v="20"/>
    <n v="30800"/>
    <x v="1"/>
    <n v="26700"/>
    <n v="0"/>
    <x v="0"/>
    <x v="0"/>
    <x v="1"/>
    <d v="2024-10-11T00:00:00"/>
    <n v="26700"/>
    <x v="0"/>
  </r>
  <r>
    <n v="103901"/>
    <n v="50"/>
    <n v="96100"/>
    <x v="1"/>
    <n v="20400"/>
    <n v="0"/>
    <x v="7"/>
    <x v="1"/>
    <x v="1"/>
    <d v="2024-09-23T00:00:00"/>
    <n v="20400"/>
    <x v="1"/>
  </r>
  <r>
    <n v="103902"/>
    <n v="40"/>
    <n v="79400"/>
    <x v="2"/>
    <n v="33900"/>
    <n v="188000"/>
    <x v="5"/>
    <x v="0"/>
    <x v="1"/>
    <d v="2025-05-04T00:00:00"/>
    <n v="221900"/>
    <x v="1"/>
  </r>
  <r>
    <n v="103903"/>
    <n v="54"/>
    <n v="70400"/>
    <x v="2"/>
    <n v="17400"/>
    <n v="103000"/>
    <x v="0"/>
    <x v="0"/>
    <x v="1"/>
    <d v="2024-01-14T00:00:00"/>
    <n v="120400"/>
    <x v="1"/>
  </r>
  <r>
    <n v="103904"/>
    <n v="47"/>
    <n v="54400"/>
    <x v="0"/>
    <n v="48300"/>
    <n v="0"/>
    <x v="1"/>
    <x v="2"/>
    <x v="1"/>
    <d v="2024-11-12T00:00:00"/>
    <n v="48300"/>
    <x v="0"/>
  </r>
  <r>
    <n v="103905"/>
    <n v="58"/>
    <n v="34600"/>
    <x v="0"/>
    <n v="0"/>
    <n v="0"/>
    <x v="7"/>
    <x v="0"/>
    <x v="1"/>
    <d v="2025-12-17T00:00:00"/>
    <n v="0"/>
    <x v="0"/>
  </r>
  <r>
    <n v="103906"/>
    <n v="60"/>
    <n v="28000"/>
    <x v="1"/>
    <n v="35000"/>
    <n v="0"/>
    <x v="0"/>
    <x v="1"/>
    <x v="0"/>
    <d v="2024-04-20T00:00:00"/>
    <n v="35000"/>
    <x v="0"/>
  </r>
  <r>
    <n v="103907"/>
    <n v="30"/>
    <n v="48000"/>
    <x v="1"/>
    <n v="0"/>
    <n v="102000"/>
    <x v="5"/>
    <x v="0"/>
    <x v="1"/>
    <d v="2024-07-10T00:00:00"/>
    <n v="102000"/>
    <x v="0"/>
  </r>
  <r>
    <n v="103908"/>
    <n v="50"/>
    <n v="39100"/>
    <x v="2"/>
    <n v="29200"/>
    <n v="0"/>
    <x v="3"/>
    <x v="0"/>
    <x v="1"/>
    <d v="2024-06-25T00:00:00"/>
    <n v="29200"/>
    <x v="0"/>
  </r>
  <r>
    <n v="103909"/>
    <n v="23"/>
    <n v="63700"/>
    <x v="2"/>
    <n v="46500"/>
    <n v="0"/>
    <x v="4"/>
    <x v="1"/>
    <x v="1"/>
    <d v="2025-09-25T00:00:00"/>
    <n v="46500"/>
    <x v="0"/>
  </r>
  <r>
    <n v="103910"/>
    <n v="45"/>
    <n v="81700"/>
    <x v="0"/>
    <n v="0"/>
    <n v="0"/>
    <x v="7"/>
    <x v="1"/>
    <x v="1"/>
    <d v="2024-09-24T00:00:00"/>
    <n v="0"/>
    <x v="1"/>
  </r>
  <r>
    <n v="103911"/>
    <n v="30"/>
    <n v="27300"/>
    <x v="1"/>
    <n v="12900"/>
    <n v="0"/>
    <x v="4"/>
    <x v="1"/>
    <x v="0"/>
    <d v="2025-05-02T00:00:00"/>
    <n v="12900"/>
    <x v="0"/>
  </r>
  <r>
    <n v="103912"/>
    <n v="34"/>
    <n v="90600"/>
    <x v="1"/>
    <n v="35600"/>
    <n v="0"/>
    <x v="2"/>
    <x v="1"/>
    <x v="1"/>
    <d v="2025-12-22T00:00:00"/>
    <n v="35600"/>
    <x v="1"/>
  </r>
  <r>
    <n v="103913"/>
    <n v="73"/>
    <n v="48300"/>
    <x v="0"/>
    <n v="0"/>
    <n v="0"/>
    <x v="2"/>
    <x v="1"/>
    <x v="1"/>
    <d v="2025-12-15T00:00:00"/>
    <n v="0"/>
    <x v="0"/>
  </r>
  <r>
    <n v="103914"/>
    <n v="47"/>
    <n v="41900"/>
    <x v="0"/>
    <n v="51400"/>
    <n v="0"/>
    <x v="3"/>
    <x v="2"/>
    <x v="1"/>
    <d v="2025-05-04T00:00:00"/>
    <n v="51400"/>
    <x v="0"/>
  </r>
  <r>
    <n v="103915"/>
    <n v="56"/>
    <n v="57700"/>
    <x v="2"/>
    <n v="59000"/>
    <n v="196000"/>
    <x v="6"/>
    <x v="1"/>
    <x v="1"/>
    <d v="2024-04-12T00:00:00"/>
    <n v="255000"/>
    <x v="0"/>
  </r>
  <r>
    <n v="103916"/>
    <n v="22"/>
    <n v="51100"/>
    <x v="1"/>
    <n v="44500"/>
    <n v="73000"/>
    <x v="5"/>
    <x v="0"/>
    <x v="1"/>
    <d v="2024-02-27T00:00:00"/>
    <n v="117500"/>
    <x v="0"/>
  </r>
  <r>
    <n v="103917"/>
    <n v="35"/>
    <n v="49400"/>
    <x v="0"/>
    <n v="0"/>
    <n v="0"/>
    <x v="2"/>
    <x v="0"/>
    <x v="1"/>
    <d v="2025-10-09T00:00:00"/>
    <n v="0"/>
    <x v="0"/>
  </r>
  <r>
    <n v="103918"/>
    <n v="46"/>
    <n v="68700"/>
    <x v="2"/>
    <n v="6600"/>
    <n v="0"/>
    <x v="3"/>
    <x v="1"/>
    <x v="1"/>
    <d v="2026-07-17T00:00:00"/>
    <n v="6600"/>
    <x v="0"/>
  </r>
  <r>
    <n v="103919"/>
    <n v="45"/>
    <n v="24800"/>
    <x v="1"/>
    <n v="0"/>
    <n v="0"/>
    <x v="0"/>
    <x v="2"/>
    <x v="1"/>
    <d v="2025-05-27T00:00:00"/>
    <n v="0"/>
    <x v="0"/>
  </r>
  <r>
    <n v="103920"/>
    <n v="38"/>
    <n v="36700"/>
    <x v="1"/>
    <n v="23900"/>
    <n v="0"/>
    <x v="0"/>
    <x v="1"/>
    <x v="1"/>
    <d v="2024-05-13T00:00:00"/>
    <n v="23900"/>
    <x v="0"/>
  </r>
  <r>
    <n v="103921"/>
    <n v="74"/>
    <n v="45600"/>
    <x v="0"/>
    <n v="25800"/>
    <n v="0"/>
    <x v="3"/>
    <x v="1"/>
    <x v="1"/>
    <d v="2024-12-10T00:00:00"/>
    <n v="25800"/>
    <x v="0"/>
  </r>
  <r>
    <n v="103922"/>
    <n v="30"/>
    <n v="85700"/>
    <x v="0"/>
    <n v="31100"/>
    <n v="0"/>
    <x v="2"/>
    <x v="2"/>
    <x v="1"/>
    <d v="2026-07-04T00:00:00"/>
    <n v="31100"/>
    <x v="1"/>
  </r>
  <r>
    <n v="103923"/>
    <n v="46"/>
    <n v="102100"/>
    <x v="2"/>
    <n v="0"/>
    <n v="0"/>
    <x v="3"/>
    <x v="2"/>
    <x v="1"/>
    <d v="2026-05-30T00:00:00"/>
    <n v="0"/>
    <x v="1"/>
  </r>
  <r>
    <n v="103924"/>
    <n v="36"/>
    <n v="64200"/>
    <x v="0"/>
    <n v="0"/>
    <n v="0"/>
    <x v="4"/>
    <x v="1"/>
    <x v="1"/>
    <d v="2024-06-23T00:00:00"/>
    <n v="0"/>
    <x v="0"/>
  </r>
  <r>
    <n v="103925"/>
    <n v="30"/>
    <n v="106300"/>
    <x v="2"/>
    <n v="0"/>
    <n v="0"/>
    <x v="1"/>
    <x v="2"/>
    <x v="1"/>
    <d v="2025-08-29T00:00:00"/>
    <n v="0"/>
    <x v="1"/>
  </r>
  <r>
    <n v="103926"/>
    <n v="74"/>
    <n v="70500"/>
    <x v="1"/>
    <n v="24600"/>
    <n v="139000"/>
    <x v="7"/>
    <x v="1"/>
    <x v="1"/>
    <d v="2024-06-28T00:00:00"/>
    <n v="163600"/>
    <x v="1"/>
  </r>
  <r>
    <n v="103927"/>
    <n v="59"/>
    <n v="45400"/>
    <x v="0"/>
    <n v="0"/>
    <n v="0"/>
    <x v="4"/>
    <x v="2"/>
    <x v="1"/>
    <d v="2025-10-01T00:00:00"/>
    <n v="0"/>
    <x v="0"/>
  </r>
  <r>
    <n v="103928"/>
    <n v="45"/>
    <n v="59500"/>
    <x v="0"/>
    <n v="69800"/>
    <n v="0"/>
    <x v="4"/>
    <x v="2"/>
    <x v="1"/>
    <d v="2025-06-13T00:00:00"/>
    <n v="69800"/>
    <x v="0"/>
  </r>
  <r>
    <n v="103929"/>
    <n v="41"/>
    <n v="45100"/>
    <x v="1"/>
    <n v="21600"/>
    <n v="223000"/>
    <x v="0"/>
    <x v="3"/>
    <x v="1"/>
    <d v="2025-02-28T00:00:00"/>
    <n v="244600"/>
    <x v="0"/>
  </r>
  <r>
    <n v="103930"/>
    <n v="56"/>
    <n v="79400"/>
    <x v="1"/>
    <n v="57900"/>
    <n v="0"/>
    <x v="0"/>
    <x v="1"/>
    <x v="1"/>
    <d v="2026-08-22T00:00:00"/>
    <n v="57900"/>
    <x v="1"/>
  </r>
  <r>
    <n v="103931"/>
    <n v="58"/>
    <n v="94300"/>
    <x v="1"/>
    <n v="17100"/>
    <n v="0"/>
    <x v="0"/>
    <x v="2"/>
    <x v="1"/>
    <d v="2026-02-04T00:00:00"/>
    <n v="17100"/>
    <x v="1"/>
  </r>
  <r>
    <n v="103932"/>
    <n v="30"/>
    <n v="25600"/>
    <x v="1"/>
    <n v="7600"/>
    <n v="0"/>
    <x v="3"/>
    <x v="1"/>
    <x v="1"/>
    <d v="2024-03-11T00:00:00"/>
    <n v="7600"/>
    <x v="0"/>
  </r>
  <r>
    <n v="103933"/>
    <n v="53"/>
    <n v="67100"/>
    <x v="0"/>
    <n v="16200"/>
    <n v="184000"/>
    <x v="2"/>
    <x v="3"/>
    <x v="1"/>
    <d v="2024-07-12T00:00:00"/>
    <n v="200200"/>
    <x v="0"/>
  </r>
  <r>
    <n v="103934"/>
    <n v="62"/>
    <n v="42200"/>
    <x v="0"/>
    <n v="47300"/>
    <n v="0"/>
    <x v="7"/>
    <x v="2"/>
    <x v="1"/>
    <d v="2025-01-28T00:00:00"/>
    <n v="47300"/>
    <x v="0"/>
  </r>
  <r>
    <n v="103935"/>
    <n v="23"/>
    <n v="121300"/>
    <x v="1"/>
    <n v="0"/>
    <n v="0"/>
    <x v="3"/>
    <x v="2"/>
    <x v="1"/>
    <d v="2026-04-14T00:00:00"/>
    <n v="0"/>
    <x v="1"/>
  </r>
  <r>
    <n v="103936"/>
    <n v="43"/>
    <n v="46500"/>
    <x v="1"/>
    <n v="21100"/>
    <n v="0"/>
    <x v="1"/>
    <x v="2"/>
    <x v="1"/>
    <d v="2024-01-17T00:00:00"/>
    <n v="21100"/>
    <x v="0"/>
  </r>
  <r>
    <n v="103937"/>
    <n v="60"/>
    <n v="67600"/>
    <x v="1"/>
    <n v="66200"/>
    <n v="0"/>
    <x v="4"/>
    <x v="1"/>
    <x v="1"/>
    <d v="2025-08-17T00:00:00"/>
    <n v="66200"/>
    <x v="0"/>
  </r>
  <r>
    <n v="103938"/>
    <n v="35"/>
    <n v="103700"/>
    <x v="1"/>
    <n v="0"/>
    <n v="0"/>
    <x v="7"/>
    <x v="0"/>
    <x v="1"/>
    <d v="2026-03-12T00:00:00"/>
    <n v="0"/>
    <x v="1"/>
  </r>
  <r>
    <n v="103939"/>
    <n v="49"/>
    <n v="56700"/>
    <x v="2"/>
    <n v="70900"/>
    <n v="0"/>
    <x v="2"/>
    <x v="1"/>
    <x v="1"/>
    <d v="2026-06-25T00:00:00"/>
    <n v="70900"/>
    <x v="0"/>
  </r>
  <r>
    <n v="103940"/>
    <n v="23"/>
    <n v="41600"/>
    <x v="2"/>
    <n v="40500"/>
    <n v="0"/>
    <x v="5"/>
    <x v="1"/>
    <x v="1"/>
    <d v="2026-01-09T00:00:00"/>
    <n v="40500"/>
    <x v="0"/>
  </r>
  <r>
    <n v="103941"/>
    <n v="27"/>
    <n v="35000"/>
    <x v="1"/>
    <n v="19000"/>
    <n v="0"/>
    <x v="3"/>
    <x v="1"/>
    <x v="0"/>
    <d v="2025-09-25T00:00:00"/>
    <n v="19000"/>
    <x v="0"/>
  </r>
  <r>
    <n v="103942"/>
    <n v="66"/>
    <n v="80500"/>
    <x v="1"/>
    <n v="43100"/>
    <n v="0"/>
    <x v="3"/>
    <x v="2"/>
    <x v="1"/>
    <d v="2024-03-12T00:00:00"/>
    <n v="43100"/>
    <x v="1"/>
  </r>
  <r>
    <n v="103943"/>
    <n v="39"/>
    <n v="113900"/>
    <x v="0"/>
    <n v="53100"/>
    <n v="0"/>
    <x v="4"/>
    <x v="2"/>
    <x v="0"/>
    <d v="2024-05-21T00:00:00"/>
    <n v="53100"/>
    <x v="1"/>
  </r>
  <r>
    <n v="103944"/>
    <n v="71"/>
    <n v="85100"/>
    <x v="1"/>
    <n v="47700"/>
    <n v="0"/>
    <x v="0"/>
    <x v="1"/>
    <x v="1"/>
    <d v="2026-04-14T00:00:00"/>
    <n v="47700"/>
    <x v="1"/>
  </r>
  <r>
    <n v="103945"/>
    <n v="52"/>
    <n v="58200"/>
    <x v="1"/>
    <n v="0"/>
    <n v="0"/>
    <x v="1"/>
    <x v="3"/>
    <x v="1"/>
    <d v="2025-07-29T00:00:00"/>
    <n v="0"/>
    <x v="0"/>
  </r>
  <r>
    <n v="103946"/>
    <n v="35"/>
    <n v="78900"/>
    <x v="1"/>
    <n v="46200"/>
    <n v="0"/>
    <x v="7"/>
    <x v="2"/>
    <x v="1"/>
    <d v="2024-10-15T00:00:00"/>
    <n v="46200"/>
    <x v="1"/>
  </r>
  <r>
    <n v="103947"/>
    <n v="23"/>
    <n v="55500"/>
    <x v="1"/>
    <n v="17400"/>
    <n v="96000"/>
    <x v="3"/>
    <x v="0"/>
    <x v="1"/>
    <d v="2025-01-04T00:00:00"/>
    <n v="113400"/>
    <x v="0"/>
  </r>
  <r>
    <n v="103948"/>
    <n v="52"/>
    <n v="68800"/>
    <x v="1"/>
    <n v="0"/>
    <n v="218000"/>
    <x v="5"/>
    <x v="1"/>
    <x v="1"/>
    <d v="2026-02-23T00:00:00"/>
    <n v="218000"/>
    <x v="0"/>
  </r>
  <r>
    <n v="103949"/>
    <n v="55"/>
    <n v="67400"/>
    <x v="1"/>
    <n v="56900"/>
    <n v="0"/>
    <x v="5"/>
    <x v="0"/>
    <x v="1"/>
    <d v="2024-03-25T00:00:00"/>
    <n v="56900"/>
    <x v="0"/>
  </r>
  <r>
    <n v="103950"/>
    <n v="44"/>
    <n v="73700"/>
    <x v="1"/>
    <n v="50100"/>
    <n v="0"/>
    <x v="5"/>
    <x v="1"/>
    <x v="1"/>
    <d v="2025-11-03T00:00:00"/>
    <n v="50100"/>
    <x v="1"/>
  </r>
  <r>
    <n v="103951"/>
    <n v="38"/>
    <n v="126100"/>
    <x v="1"/>
    <n v="0"/>
    <n v="294000"/>
    <x v="6"/>
    <x v="2"/>
    <x v="1"/>
    <d v="2024-03-15T00:00:00"/>
    <n v="294000"/>
    <x v="1"/>
  </r>
  <r>
    <n v="103952"/>
    <n v="43"/>
    <n v="39400"/>
    <x v="2"/>
    <n v="0"/>
    <n v="0"/>
    <x v="1"/>
    <x v="1"/>
    <x v="1"/>
    <d v="2025-01-09T00:00:00"/>
    <n v="0"/>
    <x v="0"/>
  </r>
  <r>
    <n v="103953"/>
    <n v="41"/>
    <n v="44300"/>
    <x v="2"/>
    <n v="0"/>
    <n v="0"/>
    <x v="7"/>
    <x v="0"/>
    <x v="1"/>
    <d v="2025-09-05T00:00:00"/>
    <n v="0"/>
    <x v="0"/>
  </r>
  <r>
    <n v="103954"/>
    <n v="63"/>
    <n v="49800"/>
    <x v="1"/>
    <n v="0"/>
    <n v="0"/>
    <x v="7"/>
    <x v="0"/>
    <x v="1"/>
    <d v="2026-02-05T00:00:00"/>
    <n v="0"/>
    <x v="0"/>
  </r>
  <r>
    <n v="103955"/>
    <n v="59"/>
    <n v="73800"/>
    <x v="1"/>
    <n v="50900"/>
    <n v="0"/>
    <x v="6"/>
    <x v="0"/>
    <x v="1"/>
    <d v="2025-12-15T00:00:00"/>
    <n v="50900"/>
    <x v="1"/>
  </r>
  <r>
    <n v="103956"/>
    <n v="21"/>
    <n v="30400"/>
    <x v="0"/>
    <n v="31600"/>
    <n v="0"/>
    <x v="6"/>
    <x v="0"/>
    <x v="1"/>
    <d v="2024-10-03T00:00:00"/>
    <n v="31600"/>
    <x v="0"/>
  </r>
  <r>
    <n v="103957"/>
    <n v="64"/>
    <n v="91600"/>
    <x v="1"/>
    <n v="29000"/>
    <n v="0"/>
    <x v="5"/>
    <x v="2"/>
    <x v="1"/>
    <d v="2025-09-24T00:00:00"/>
    <n v="29000"/>
    <x v="1"/>
  </r>
  <r>
    <n v="103958"/>
    <n v="28"/>
    <n v="85800"/>
    <x v="0"/>
    <n v="21900"/>
    <n v="0"/>
    <x v="4"/>
    <x v="2"/>
    <x v="1"/>
    <d v="2024-07-02T00:00:00"/>
    <n v="21900"/>
    <x v="1"/>
  </r>
  <r>
    <n v="103959"/>
    <n v="65"/>
    <n v="60000"/>
    <x v="2"/>
    <n v="0"/>
    <n v="0"/>
    <x v="1"/>
    <x v="1"/>
    <x v="1"/>
    <d v="2026-07-09T00:00:00"/>
    <n v="0"/>
    <x v="0"/>
  </r>
  <r>
    <n v="103960"/>
    <n v="52"/>
    <n v="49300"/>
    <x v="1"/>
    <n v="10600"/>
    <n v="0"/>
    <x v="1"/>
    <x v="1"/>
    <x v="1"/>
    <d v="2024-12-21T00:00:00"/>
    <n v="10600"/>
    <x v="0"/>
  </r>
  <r>
    <n v="103961"/>
    <n v="42"/>
    <n v="79600"/>
    <x v="1"/>
    <n v="57800"/>
    <n v="0"/>
    <x v="0"/>
    <x v="0"/>
    <x v="1"/>
    <d v="2025-08-19T00:00:00"/>
    <n v="57800"/>
    <x v="1"/>
  </r>
  <r>
    <n v="103962"/>
    <n v="39"/>
    <n v="116100"/>
    <x v="0"/>
    <n v="49900"/>
    <n v="0"/>
    <x v="1"/>
    <x v="1"/>
    <x v="1"/>
    <d v="2026-06-22T00:00:00"/>
    <n v="49900"/>
    <x v="1"/>
  </r>
  <r>
    <n v="103963"/>
    <n v="43"/>
    <n v="47700"/>
    <x v="0"/>
    <n v="59600"/>
    <n v="227000"/>
    <x v="1"/>
    <x v="3"/>
    <x v="0"/>
    <d v="2024-09-24T00:00:00"/>
    <n v="286600"/>
    <x v="0"/>
  </r>
  <r>
    <n v="103964"/>
    <n v="43"/>
    <n v="103900"/>
    <x v="0"/>
    <n v="40100"/>
    <n v="131000"/>
    <x v="4"/>
    <x v="1"/>
    <x v="1"/>
    <d v="2025-08-04T00:00:00"/>
    <n v="171100"/>
    <x v="1"/>
  </r>
  <r>
    <n v="103965"/>
    <n v="48"/>
    <n v="91000"/>
    <x v="2"/>
    <n v="51000"/>
    <n v="0"/>
    <x v="7"/>
    <x v="1"/>
    <x v="1"/>
    <d v="2025-08-07T00:00:00"/>
    <n v="51000"/>
    <x v="1"/>
  </r>
  <r>
    <n v="103966"/>
    <n v="68"/>
    <n v="88700"/>
    <x v="0"/>
    <n v="0"/>
    <n v="0"/>
    <x v="0"/>
    <x v="1"/>
    <x v="1"/>
    <d v="2026-08-10T00:00:00"/>
    <n v="0"/>
    <x v="1"/>
  </r>
  <r>
    <n v="103967"/>
    <n v="34"/>
    <n v="30500"/>
    <x v="1"/>
    <n v="21500"/>
    <n v="0"/>
    <x v="4"/>
    <x v="1"/>
    <x v="1"/>
    <d v="2025-07-30T00:00:00"/>
    <n v="21500"/>
    <x v="0"/>
  </r>
  <r>
    <n v="103968"/>
    <n v="66"/>
    <n v="32500"/>
    <x v="1"/>
    <n v="40600"/>
    <n v="0"/>
    <x v="5"/>
    <x v="1"/>
    <x v="1"/>
    <d v="2026-02-23T00:00:00"/>
    <n v="40600"/>
    <x v="0"/>
  </r>
  <r>
    <n v="103969"/>
    <n v="20"/>
    <n v="35200"/>
    <x v="1"/>
    <n v="0"/>
    <n v="0"/>
    <x v="0"/>
    <x v="0"/>
    <x v="1"/>
    <d v="2025-05-29T00:00:00"/>
    <n v="0"/>
    <x v="0"/>
  </r>
  <r>
    <n v="103970"/>
    <n v="75"/>
    <n v="54700"/>
    <x v="1"/>
    <n v="6900"/>
    <n v="0"/>
    <x v="2"/>
    <x v="2"/>
    <x v="1"/>
    <d v="2025-03-06T00:00:00"/>
    <n v="6900"/>
    <x v="0"/>
  </r>
  <r>
    <n v="103971"/>
    <n v="70"/>
    <n v="38100"/>
    <x v="1"/>
    <n v="25700"/>
    <n v="0"/>
    <x v="2"/>
    <x v="1"/>
    <x v="1"/>
    <d v="2025-09-27T00:00:00"/>
    <n v="25700"/>
    <x v="0"/>
  </r>
  <r>
    <n v="103972"/>
    <n v="66"/>
    <n v="46300"/>
    <x v="0"/>
    <n v="54400"/>
    <n v="169000"/>
    <x v="6"/>
    <x v="0"/>
    <x v="1"/>
    <d v="2024-08-10T00:00:00"/>
    <n v="223400"/>
    <x v="0"/>
  </r>
  <r>
    <n v="103973"/>
    <n v="74"/>
    <n v="79800"/>
    <x v="1"/>
    <n v="50400"/>
    <n v="0"/>
    <x v="4"/>
    <x v="1"/>
    <x v="1"/>
    <d v="2025-12-12T00:00:00"/>
    <n v="50400"/>
    <x v="1"/>
  </r>
  <r>
    <n v="103974"/>
    <n v="44"/>
    <n v="41600"/>
    <x v="0"/>
    <n v="48200"/>
    <n v="0"/>
    <x v="1"/>
    <x v="2"/>
    <x v="1"/>
    <d v="2025-12-08T00:00:00"/>
    <n v="48200"/>
    <x v="0"/>
  </r>
  <r>
    <n v="103975"/>
    <n v="68"/>
    <n v="38200"/>
    <x v="2"/>
    <n v="0"/>
    <n v="0"/>
    <x v="1"/>
    <x v="0"/>
    <x v="1"/>
    <d v="2025-11-19T00:00:00"/>
    <n v="0"/>
    <x v="0"/>
  </r>
  <r>
    <n v="103976"/>
    <n v="65"/>
    <n v="77500"/>
    <x v="1"/>
    <n v="29000"/>
    <n v="112000"/>
    <x v="2"/>
    <x v="2"/>
    <x v="1"/>
    <d v="2025-11-11T00:00:00"/>
    <n v="141000"/>
    <x v="1"/>
  </r>
  <r>
    <n v="103977"/>
    <n v="75"/>
    <n v="31100"/>
    <x v="1"/>
    <n v="17200"/>
    <n v="0"/>
    <x v="7"/>
    <x v="1"/>
    <x v="1"/>
    <d v="2026-04-08T00:00:00"/>
    <n v="17200"/>
    <x v="0"/>
  </r>
  <r>
    <n v="103978"/>
    <n v="33"/>
    <n v="70200"/>
    <x v="1"/>
    <n v="27900"/>
    <n v="0"/>
    <x v="5"/>
    <x v="1"/>
    <x v="1"/>
    <d v="2025-10-27T00:00:00"/>
    <n v="27900"/>
    <x v="1"/>
  </r>
  <r>
    <n v="103979"/>
    <n v="35"/>
    <n v="38600"/>
    <x v="2"/>
    <n v="34600"/>
    <n v="0"/>
    <x v="3"/>
    <x v="1"/>
    <x v="1"/>
    <d v="2025-09-17T00:00:00"/>
    <n v="34600"/>
    <x v="0"/>
  </r>
  <r>
    <n v="103980"/>
    <n v="23"/>
    <n v="77200"/>
    <x v="0"/>
    <n v="81200"/>
    <n v="154000"/>
    <x v="2"/>
    <x v="2"/>
    <x v="1"/>
    <d v="2024-07-21T00:00:00"/>
    <n v="235200"/>
    <x v="1"/>
  </r>
  <r>
    <n v="103981"/>
    <n v="62"/>
    <n v="79600"/>
    <x v="0"/>
    <n v="21100"/>
    <n v="0"/>
    <x v="7"/>
    <x v="0"/>
    <x v="1"/>
    <d v="2025-04-07T00:00:00"/>
    <n v="21100"/>
    <x v="1"/>
  </r>
  <r>
    <n v="103982"/>
    <n v="73"/>
    <n v="34200"/>
    <x v="0"/>
    <n v="42800"/>
    <n v="0"/>
    <x v="3"/>
    <x v="2"/>
    <x v="1"/>
    <d v="2025-04-10T00:00:00"/>
    <n v="42800"/>
    <x v="0"/>
  </r>
  <r>
    <n v="103983"/>
    <n v="55"/>
    <n v="30900"/>
    <x v="0"/>
    <n v="38600"/>
    <n v="0"/>
    <x v="4"/>
    <x v="1"/>
    <x v="1"/>
    <d v="2024-10-26T00:00:00"/>
    <n v="38600"/>
    <x v="0"/>
  </r>
  <r>
    <n v="103984"/>
    <n v="70"/>
    <n v="62800"/>
    <x v="1"/>
    <n v="54300"/>
    <n v="0"/>
    <x v="3"/>
    <x v="1"/>
    <x v="1"/>
    <d v="2026-07-20T00:00:00"/>
    <n v="54300"/>
    <x v="0"/>
  </r>
  <r>
    <n v="103985"/>
    <n v="20"/>
    <n v="99700"/>
    <x v="1"/>
    <n v="38900"/>
    <n v="0"/>
    <x v="1"/>
    <x v="2"/>
    <x v="1"/>
    <d v="2025-02-13T00:00:00"/>
    <n v="38900"/>
    <x v="1"/>
  </r>
  <r>
    <n v="103986"/>
    <n v="66"/>
    <n v="33100"/>
    <x v="2"/>
    <n v="41400"/>
    <n v="0"/>
    <x v="4"/>
    <x v="3"/>
    <x v="1"/>
    <d v="2026-04-04T00:00:00"/>
    <n v="41400"/>
    <x v="0"/>
  </r>
  <r>
    <n v="103987"/>
    <n v="68"/>
    <n v="52300"/>
    <x v="2"/>
    <n v="43400"/>
    <n v="0"/>
    <x v="6"/>
    <x v="0"/>
    <x v="1"/>
    <d v="2025-07-30T00:00:00"/>
    <n v="43400"/>
    <x v="0"/>
  </r>
  <r>
    <n v="103988"/>
    <n v="39"/>
    <n v="64300"/>
    <x v="1"/>
    <n v="0"/>
    <n v="305000"/>
    <x v="5"/>
    <x v="0"/>
    <x v="1"/>
    <d v="2024-11-23T00:00:00"/>
    <n v="305000"/>
    <x v="0"/>
  </r>
  <r>
    <n v="103989"/>
    <n v="49"/>
    <n v="58400"/>
    <x v="0"/>
    <n v="28100"/>
    <n v="0"/>
    <x v="3"/>
    <x v="0"/>
    <x v="1"/>
    <d v="2025-03-23T00:00:00"/>
    <n v="28100"/>
    <x v="0"/>
  </r>
  <r>
    <n v="103990"/>
    <n v="41"/>
    <n v="69200"/>
    <x v="1"/>
    <n v="0"/>
    <n v="0"/>
    <x v="6"/>
    <x v="1"/>
    <x v="1"/>
    <d v="2025-08-19T00:00:00"/>
    <n v="0"/>
    <x v="0"/>
  </r>
  <r>
    <n v="103991"/>
    <n v="74"/>
    <n v="33600"/>
    <x v="1"/>
    <n v="28400"/>
    <n v="0"/>
    <x v="3"/>
    <x v="2"/>
    <x v="1"/>
    <d v="2025-12-14T00:00:00"/>
    <n v="28400"/>
    <x v="0"/>
  </r>
  <r>
    <n v="103992"/>
    <n v="61"/>
    <n v="113700"/>
    <x v="0"/>
    <n v="69800"/>
    <n v="0"/>
    <x v="3"/>
    <x v="2"/>
    <x v="0"/>
    <d v="2024-04-29T00:00:00"/>
    <n v="69800"/>
    <x v="1"/>
  </r>
  <r>
    <n v="103993"/>
    <n v="57"/>
    <n v="83500"/>
    <x v="1"/>
    <n v="8600"/>
    <n v="0"/>
    <x v="2"/>
    <x v="1"/>
    <x v="1"/>
    <d v="2025-12-23T00:00:00"/>
    <n v="8600"/>
    <x v="1"/>
  </r>
  <r>
    <n v="103994"/>
    <n v="53"/>
    <n v="59300"/>
    <x v="1"/>
    <n v="0"/>
    <n v="247000"/>
    <x v="6"/>
    <x v="0"/>
    <x v="1"/>
    <d v="2026-07-13T00:00:00"/>
    <n v="247000"/>
    <x v="0"/>
  </r>
  <r>
    <n v="103995"/>
    <n v="34"/>
    <n v="103100"/>
    <x v="0"/>
    <n v="36600"/>
    <n v="0"/>
    <x v="4"/>
    <x v="2"/>
    <x v="1"/>
    <d v="2025-09-24T00:00:00"/>
    <n v="36600"/>
    <x v="1"/>
  </r>
  <r>
    <n v="103996"/>
    <n v="47"/>
    <n v="52800"/>
    <x v="1"/>
    <n v="0"/>
    <n v="0"/>
    <x v="6"/>
    <x v="2"/>
    <x v="1"/>
    <d v="2025-03-30T00:00:00"/>
    <n v="0"/>
    <x v="0"/>
  </r>
  <r>
    <n v="103997"/>
    <n v="34"/>
    <n v="46700"/>
    <x v="1"/>
    <n v="58400"/>
    <n v="0"/>
    <x v="7"/>
    <x v="2"/>
    <x v="1"/>
    <d v="2025-08-16T00:00:00"/>
    <n v="58400"/>
    <x v="0"/>
  </r>
  <r>
    <n v="103998"/>
    <n v="60"/>
    <n v="75300"/>
    <x v="1"/>
    <n v="24700"/>
    <n v="0"/>
    <x v="3"/>
    <x v="1"/>
    <x v="1"/>
    <d v="2024-02-04T00:00:00"/>
    <n v="24700"/>
    <x v="1"/>
  </r>
  <r>
    <n v="103999"/>
    <n v="40"/>
    <n v="44600"/>
    <x v="0"/>
    <n v="20800"/>
    <n v="0"/>
    <x v="6"/>
    <x v="0"/>
    <x v="1"/>
    <d v="2024-12-15T00:00:00"/>
    <n v="20800"/>
    <x v="0"/>
  </r>
  <r>
    <n v="104000"/>
    <n v="37"/>
    <n v="119000"/>
    <x v="2"/>
    <n v="33400"/>
    <n v="0"/>
    <x v="6"/>
    <x v="1"/>
    <x v="1"/>
    <d v="2025-05-29T00:00:00"/>
    <n v="33400"/>
    <x v="1"/>
  </r>
  <r>
    <n v="104001"/>
    <n v="47"/>
    <n v="62200"/>
    <x v="1"/>
    <n v="19400"/>
    <n v="366000"/>
    <x v="4"/>
    <x v="1"/>
    <x v="1"/>
    <d v="2024-05-10T00:00:00"/>
    <n v="385400"/>
    <x v="0"/>
  </r>
  <r>
    <n v="104002"/>
    <n v="40"/>
    <n v="45300"/>
    <x v="1"/>
    <n v="10300"/>
    <n v="174000"/>
    <x v="6"/>
    <x v="1"/>
    <x v="1"/>
    <d v="2026-03-09T00:00:00"/>
    <n v="184300"/>
    <x v="0"/>
  </r>
  <r>
    <n v="104003"/>
    <n v="38"/>
    <n v="52200"/>
    <x v="2"/>
    <n v="31900"/>
    <n v="0"/>
    <x v="6"/>
    <x v="2"/>
    <x v="1"/>
    <d v="2025-11-18T00:00:00"/>
    <n v="31900"/>
    <x v="0"/>
  </r>
  <r>
    <n v="104004"/>
    <n v="23"/>
    <n v="111700"/>
    <x v="2"/>
    <n v="34800"/>
    <n v="0"/>
    <x v="5"/>
    <x v="2"/>
    <x v="1"/>
    <d v="2025-12-27T00:00:00"/>
    <n v="34800"/>
    <x v="1"/>
  </r>
  <r>
    <n v="104005"/>
    <n v="34"/>
    <n v="69700"/>
    <x v="0"/>
    <n v="58600"/>
    <n v="0"/>
    <x v="3"/>
    <x v="0"/>
    <x v="1"/>
    <d v="2024-02-03T00:00:00"/>
    <n v="58600"/>
    <x v="0"/>
  </r>
  <r>
    <n v="104006"/>
    <n v="55"/>
    <n v="67600"/>
    <x v="1"/>
    <n v="35500"/>
    <n v="0"/>
    <x v="1"/>
    <x v="1"/>
    <x v="1"/>
    <d v="2024-05-26T00:00:00"/>
    <n v="35500"/>
    <x v="0"/>
  </r>
  <r>
    <n v="104007"/>
    <n v="26"/>
    <n v="41300"/>
    <x v="1"/>
    <n v="51600"/>
    <n v="0"/>
    <x v="5"/>
    <x v="0"/>
    <x v="1"/>
    <d v="2025-01-02T00:00:00"/>
    <n v="51600"/>
    <x v="0"/>
  </r>
  <r>
    <n v="104008"/>
    <n v="60"/>
    <n v="31500"/>
    <x v="1"/>
    <n v="0"/>
    <n v="0"/>
    <x v="3"/>
    <x v="0"/>
    <x v="1"/>
    <d v="2025-09-07T00:00:00"/>
    <n v="0"/>
    <x v="0"/>
  </r>
  <r>
    <n v="104009"/>
    <n v="39"/>
    <n v="92800"/>
    <x v="1"/>
    <n v="43700"/>
    <n v="0"/>
    <x v="4"/>
    <x v="2"/>
    <x v="1"/>
    <d v="2025-10-01T00:00:00"/>
    <n v="43700"/>
    <x v="1"/>
  </r>
  <r>
    <n v="104010"/>
    <n v="67"/>
    <n v="87900"/>
    <x v="1"/>
    <n v="51000"/>
    <n v="221000"/>
    <x v="7"/>
    <x v="1"/>
    <x v="1"/>
    <d v="2025-02-02T00:00:00"/>
    <n v="272000"/>
    <x v="1"/>
  </r>
  <r>
    <n v="104011"/>
    <n v="74"/>
    <n v="55100"/>
    <x v="2"/>
    <n v="17300"/>
    <n v="0"/>
    <x v="2"/>
    <x v="0"/>
    <x v="1"/>
    <d v="2026-07-04T00:00:00"/>
    <n v="17300"/>
    <x v="0"/>
  </r>
  <r>
    <n v="104012"/>
    <n v="32"/>
    <n v="83600"/>
    <x v="2"/>
    <n v="19400"/>
    <n v="0"/>
    <x v="7"/>
    <x v="1"/>
    <x v="1"/>
    <d v="2024-10-20T00:00:00"/>
    <n v="19400"/>
    <x v="1"/>
  </r>
  <r>
    <n v="104013"/>
    <n v="38"/>
    <n v="72900"/>
    <x v="0"/>
    <n v="13900"/>
    <n v="157000"/>
    <x v="3"/>
    <x v="1"/>
    <x v="1"/>
    <d v="2026-04-18T00:00:00"/>
    <n v="170900"/>
    <x v="1"/>
  </r>
  <r>
    <n v="104014"/>
    <n v="48"/>
    <n v="76100"/>
    <x v="1"/>
    <n v="0"/>
    <n v="141000"/>
    <x v="6"/>
    <x v="2"/>
    <x v="1"/>
    <d v="2024-12-22T00:00:00"/>
    <n v="141000"/>
    <x v="1"/>
  </r>
  <r>
    <n v="104015"/>
    <n v="39"/>
    <n v="64100"/>
    <x v="0"/>
    <n v="19800"/>
    <n v="0"/>
    <x v="0"/>
    <x v="0"/>
    <x v="1"/>
    <d v="2024-02-27T00:00:00"/>
    <n v="19800"/>
    <x v="0"/>
  </r>
  <r>
    <n v="104016"/>
    <n v="41"/>
    <n v="55600"/>
    <x v="1"/>
    <n v="0"/>
    <n v="0"/>
    <x v="4"/>
    <x v="3"/>
    <x v="1"/>
    <d v="2026-03-12T00:00:00"/>
    <n v="0"/>
    <x v="0"/>
  </r>
  <r>
    <n v="104017"/>
    <n v="75"/>
    <n v="87000"/>
    <x v="0"/>
    <n v="51300"/>
    <n v="0"/>
    <x v="6"/>
    <x v="0"/>
    <x v="1"/>
    <d v="2025-03-30T00:00:00"/>
    <n v="51300"/>
    <x v="1"/>
  </r>
  <r>
    <n v="104018"/>
    <n v="40"/>
    <n v="86000"/>
    <x v="1"/>
    <n v="41200"/>
    <n v="0"/>
    <x v="3"/>
    <x v="1"/>
    <x v="0"/>
    <d v="2025-03-03T00:00:00"/>
    <n v="41200"/>
    <x v="1"/>
  </r>
  <r>
    <n v="104019"/>
    <n v="20"/>
    <n v="51700"/>
    <x v="1"/>
    <n v="39300"/>
    <n v="0"/>
    <x v="5"/>
    <x v="0"/>
    <x v="1"/>
    <d v="2026-08-09T00:00:00"/>
    <n v="39300"/>
    <x v="0"/>
  </r>
  <r>
    <n v="104020"/>
    <n v="31"/>
    <n v="51700"/>
    <x v="1"/>
    <n v="0"/>
    <n v="337000"/>
    <x v="5"/>
    <x v="1"/>
    <x v="1"/>
    <d v="2025-02-28T00:00:00"/>
    <n v="337000"/>
    <x v="0"/>
  </r>
  <r>
    <n v="104021"/>
    <n v="50"/>
    <n v="107400"/>
    <x v="0"/>
    <n v="49800"/>
    <n v="0"/>
    <x v="7"/>
    <x v="2"/>
    <x v="1"/>
    <d v="2025-03-30T00:00:00"/>
    <n v="49800"/>
    <x v="1"/>
  </r>
  <r>
    <n v="104022"/>
    <n v="66"/>
    <n v="47000"/>
    <x v="0"/>
    <n v="58800"/>
    <n v="0"/>
    <x v="4"/>
    <x v="3"/>
    <x v="1"/>
    <d v="2026-01-07T00:00:00"/>
    <n v="58800"/>
    <x v="0"/>
  </r>
  <r>
    <n v="104023"/>
    <n v="46"/>
    <n v="71700"/>
    <x v="2"/>
    <n v="10300"/>
    <n v="212000"/>
    <x v="0"/>
    <x v="0"/>
    <x v="0"/>
    <d v="2024-04-24T00:00:00"/>
    <n v="222300"/>
    <x v="1"/>
  </r>
  <r>
    <n v="104024"/>
    <n v="40"/>
    <n v="79000"/>
    <x v="1"/>
    <n v="20300"/>
    <n v="0"/>
    <x v="0"/>
    <x v="2"/>
    <x v="1"/>
    <d v="2026-01-23T00:00:00"/>
    <n v="20300"/>
    <x v="1"/>
  </r>
  <r>
    <n v="104025"/>
    <n v="46"/>
    <n v="59400"/>
    <x v="1"/>
    <n v="43700"/>
    <n v="0"/>
    <x v="6"/>
    <x v="3"/>
    <x v="1"/>
    <d v="2025-05-31T00:00:00"/>
    <n v="43700"/>
    <x v="0"/>
  </r>
  <r>
    <n v="104026"/>
    <n v="67"/>
    <n v="41700"/>
    <x v="1"/>
    <n v="21500"/>
    <n v="0"/>
    <x v="6"/>
    <x v="1"/>
    <x v="1"/>
    <d v="2025-06-05T00:00:00"/>
    <n v="21500"/>
    <x v="0"/>
  </r>
  <r>
    <n v="104027"/>
    <n v="47"/>
    <n v="29800"/>
    <x v="2"/>
    <n v="37200"/>
    <n v="0"/>
    <x v="3"/>
    <x v="0"/>
    <x v="1"/>
    <d v="2026-03-07T00:00:00"/>
    <n v="37200"/>
    <x v="0"/>
  </r>
  <r>
    <n v="104028"/>
    <n v="54"/>
    <n v="65500"/>
    <x v="1"/>
    <n v="63100"/>
    <n v="276000"/>
    <x v="7"/>
    <x v="2"/>
    <x v="1"/>
    <d v="2026-06-03T00:00:00"/>
    <n v="339100"/>
    <x v="0"/>
  </r>
  <r>
    <n v="104029"/>
    <n v="75"/>
    <n v="49200"/>
    <x v="1"/>
    <n v="61500"/>
    <n v="147000"/>
    <x v="6"/>
    <x v="0"/>
    <x v="1"/>
    <d v="2024-06-19T00:00:00"/>
    <n v="208500"/>
    <x v="0"/>
  </r>
  <r>
    <n v="104030"/>
    <n v="37"/>
    <n v="123200"/>
    <x v="0"/>
    <n v="0"/>
    <n v="0"/>
    <x v="1"/>
    <x v="2"/>
    <x v="1"/>
    <d v="2025-06-21T00:00:00"/>
    <n v="0"/>
    <x v="1"/>
  </r>
  <r>
    <n v="104031"/>
    <n v="67"/>
    <n v="73100"/>
    <x v="0"/>
    <n v="45500"/>
    <n v="0"/>
    <x v="1"/>
    <x v="1"/>
    <x v="1"/>
    <d v="2026-01-23T00:00:00"/>
    <n v="45500"/>
    <x v="1"/>
  </r>
  <r>
    <n v="104032"/>
    <n v="36"/>
    <n v="58500"/>
    <x v="0"/>
    <n v="63900"/>
    <n v="201000"/>
    <x v="3"/>
    <x v="1"/>
    <x v="1"/>
    <d v="2024-10-12T00:00:00"/>
    <n v="264900"/>
    <x v="0"/>
  </r>
  <r>
    <n v="104033"/>
    <n v="50"/>
    <n v="64200"/>
    <x v="1"/>
    <n v="0"/>
    <n v="214000"/>
    <x v="3"/>
    <x v="0"/>
    <x v="1"/>
    <d v="2026-03-26T00:00:00"/>
    <n v="214000"/>
    <x v="0"/>
  </r>
  <r>
    <n v="104034"/>
    <n v="59"/>
    <n v="38400"/>
    <x v="0"/>
    <n v="0"/>
    <n v="284000"/>
    <x v="4"/>
    <x v="3"/>
    <x v="1"/>
    <d v="2025-12-19T00:00:00"/>
    <n v="284000"/>
    <x v="0"/>
  </r>
  <r>
    <n v="104035"/>
    <n v="34"/>
    <n v="37400"/>
    <x v="0"/>
    <n v="46800"/>
    <n v="0"/>
    <x v="1"/>
    <x v="1"/>
    <x v="1"/>
    <d v="2025-08-16T00:00:00"/>
    <n v="46800"/>
    <x v="0"/>
  </r>
  <r>
    <n v="104036"/>
    <n v="36"/>
    <n v="93900"/>
    <x v="1"/>
    <n v="22200"/>
    <n v="0"/>
    <x v="0"/>
    <x v="0"/>
    <x v="1"/>
    <d v="2024-11-21T00:00:00"/>
    <n v="22200"/>
    <x v="1"/>
  </r>
  <r>
    <n v="104037"/>
    <n v="54"/>
    <n v="98200"/>
    <x v="2"/>
    <n v="0"/>
    <n v="275000"/>
    <x v="6"/>
    <x v="0"/>
    <x v="1"/>
    <d v="2024-12-21T00:00:00"/>
    <n v="275000"/>
    <x v="1"/>
  </r>
  <r>
    <n v="104038"/>
    <n v="45"/>
    <n v="42600"/>
    <x v="1"/>
    <n v="0"/>
    <n v="0"/>
    <x v="1"/>
    <x v="1"/>
    <x v="1"/>
    <d v="2024-11-30T00:00:00"/>
    <n v="0"/>
    <x v="0"/>
  </r>
  <r>
    <n v="104039"/>
    <n v="62"/>
    <n v="47100"/>
    <x v="0"/>
    <n v="30800"/>
    <n v="0"/>
    <x v="1"/>
    <x v="1"/>
    <x v="1"/>
    <d v="2026-04-28T00:00:00"/>
    <n v="30800"/>
    <x v="0"/>
  </r>
  <r>
    <n v="104040"/>
    <n v="70"/>
    <n v="60100"/>
    <x v="0"/>
    <n v="13400"/>
    <n v="267000"/>
    <x v="2"/>
    <x v="2"/>
    <x v="1"/>
    <d v="2026-05-20T00:00:00"/>
    <n v="280400"/>
    <x v="0"/>
  </r>
  <r>
    <n v="104041"/>
    <n v="54"/>
    <n v="53600"/>
    <x v="0"/>
    <n v="67000"/>
    <n v="195000"/>
    <x v="6"/>
    <x v="1"/>
    <x v="1"/>
    <d v="2026-06-13T00:00:00"/>
    <n v="262000"/>
    <x v="0"/>
  </r>
  <r>
    <n v="104042"/>
    <n v="54"/>
    <n v="39700"/>
    <x v="1"/>
    <n v="26400"/>
    <n v="0"/>
    <x v="5"/>
    <x v="1"/>
    <x v="1"/>
    <d v="2025-11-11T00:00:00"/>
    <n v="26400"/>
    <x v="0"/>
  </r>
  <r>
    <n v="104043"/>
    <n v="33"/>
    <n v="52600"/>
    <x v="1"/>
    <n v="6800"/>
    <n v="0"/>
    <x v="1"/>
    <x v="2"/>
    <x v="1"/>
    <d v="2026-02-01T00:00:00"/>
    <n v="6800"/>
    <x v="0"/>
  </r>
  <r>
    <n v="104044"/>
    <n v="45"/>
    <n v="112100"/>
    <x v="1"/>
    <n v="0"/>
    <n v="151000"/>
    <x v="1"/>
    <x v="2"/>
    <x v="1"/>
    <d v="2024-02-20T00:00:00"/>
    <n v="151000"/>
    <x v="1"/>
  </r>
  <r>
    <n v="104045"/>
    <n v="52"/>
    <n v="88500"/>
    <x v="1"/>
    <n v="0"/>
    <n v="0"/>
    <x v="0"/>
    <x v="1"/>
    <x v="1"/>
    <d v="2025-03-19T00:00:00"/>
    <n v="0"/>
    <x v="1"/>
  </r>
  <r>
    <n v="104046"/>
    <n v="71"/>
    <n v="126500"/>
    <x v="1"/>
    <n v="19800"/>
    <n v="0"/>
    <x v="6"/>
    <x v="2"/>
    <x v="1"/>
    <d v="2025-12-31T00:00:00"/>
    <n v="19800"/>
    <x v="1"/>
  </r>
  <r>
    <n v="104047"/>
    <n v="64"/>
    <n v="34200"/>
    <x v="1"/>
    <n v="0"/>
    <n v="0"/>
    <x v="4"/>
    <x v="1"/>
    <x v="1"/>
    <d v="2025-01-06T00:00:00"/>
    <n v="0"/>
    <x v="0"/>
  </r>
  <r>
    <n v="104048"/>
    <n v="73"/>
    <n v="48000"/>
    <x v="1"/>
    <n v="0"/>
    <n v="0"/>
    <x v="2"/>
    <x v="1"/>
    <x v="1"/>
    <d v="2026-07-24T00:00:00"/>
    <n v="0"/>
    <x v="0"/>
  </r>
  <r>
    <n v="104049"/>
    <n v="74"/>
    <n v="108100"/>
    <x v="1"/>
    <n v="0"/>
    <n v="0"/>
    <x v="0"/>
    <x v="1"/>
    <x v="1"/>
    <d v="2025-06-07T00:00:00"/>
    <n v="0"/>
    <x v="1"/>
  </r>
  <r>
    <n v="104050"/>
    <n v="39"/>
    <n v="61700"/>
    <x v="1"/>
    <n v="77100"/>
    <n v="0"/>
    <x v="6"/>
    <x v="0"/>
    <x v="1"/>
    <d v="2024-07-06T00:00:00"/>
    <n v="77100"/>
    <x v="0"/>
  </r>
  <r>
    <n v="104051"/>
    <n v="75"/>
    <n v="52400"/>
    <x v="1"/>
    <n v="7000"/>
    <n v="162000"/>
    <x v="2"/>
    <x v="2"/>
    <x v="1"/>
    <d v="2025-10-01T00:00:00"/>
    <n v="169000"/>
    <x v="0"/>
  </r>
  <r>
    <n v="104052"/>
    <n v="26"/>
    <n v="100100"/>
    <x v="0"/>
    <n v="0"/>
    <n v="171000"/>
    <x v="0"/>
    <x v="3"/>
    <x v="1"/>
    <d v="2025-03-02T00:00:00"/>
    <n v="171000"/>
    <x v="1"/>
  </r>
  <r>
    <n v="104053"/>
    <n v="44"/>
    <n v="69300"/>
    <x v="0"/>
    <n v="80800"/>
    <n v="0"/>
    <x v="3"/>
    <x v="0"/>
    <x v="1"/>
    <d v="2024-03-18T00:00:00"/>
    <n v="80800"/>
    <x v="0"/>
  </r>
  <r>
    <n v="104054"/>
    <n v="47"/>
    <n v="49900"/>
    <x v="2"/>
    <n v="0"/>
    <n v="324000"/>
    <x v="3"/>
    <x v="1"/>
    <x v="1"/>
    <d v="2026-01-30T00:00:00"/>
    <n v="324000"/>
    <x v="0"/>
  </r>
  <r>
    <n v="104055"/>
    <n v="36"/>
    <n v="91200"/>
    <x v="1"/>
    <n v="11800"/>
    <n v="0"/>
    <x v="7"/>
    <x v="1"/>
    <x v="1"/>
    <d v="2025-01-18T00:00:00"/>
    <n v="11800"/>
    <x v="1"/>
  </r>
  <r>
    <n v="104056"/>
    <n v="21"/>
    <n v="39300"/>
    <x v="0"/>
    <n v="25600"/>
    <n v="0"/>
    <x v="6"/>
    <x v="0"/>
    <x v="1"/>
    <d v="2024-04-06T00:00:00"/>
    <n v="25600"/>
    <x v="0"/>
  </r>
  <r>
    <n v="104057"/>
    <n v="36"/>
    <n v="62700"/>
    <x v="1"/>
    <n v="18800"/>
    <n v="274000"/>
    <x v="5"/>
    <x v="1"/>
    <x v="1"/>
    <d v="2024-12-31T00:00:00"/>
    <n v="292800"/>
    <x v="0"/>
  </r>
  <r>
    <n v="104058"/>
    <n v="36"/>
    <n v="78900"/>
    <x v="1"/>
    <n v="54400"/>
    <n v="0"/>
    <x v="4"/>
    <x v="2"/>
    <x v="1"/>
    <d v="2024-07-01T00:00:00"/>
    <n v="54400"/>
    <x v="1"/>
  </r>
  <r>
    <n v="104059"/>
    <n v="30"/>
    <n v="21900"/>
    <x v="0"/>
    <n v="27400"/>
    <n v="0"/>
    <x v="2"/>
    <x v="0"/>
    <x v="1"/>
    <d v="2025-06-05T00:00:00"/>
    <n v="27400"/>
    <x v="0"/>
  </r>
  <r>
    <n v="104060"/>
    <n v="57"/>
    <n v="92800"/>
    <x v="0"/>
    <n v="58600"/>
    <n v="0"/>
    <x v="6"/>
    <x v="2"/>
    <x v="1"/>
    <d v="2025-03-03T00:00:00"/>
    <n v="58600"/>
    <x v="1"/>
  </r>
  <r>
    <n v="104061"/>
    <n v="58"/>
    <n v="55100"/>
    <x v="1"/>
    <n v="24700"/>
    <n v="266000"/>
    <x v="4"/>
    <x v="2"/>
    <x v="1"/>
    <d v="2024-03-05T00:00:00"/>
    <n v="290700"/>
    <x v="0"/>
  </r>
  <r>
    <n v="104062"/>
    <n v="34"/>
    <n v="96700"/>
    <x v="1"/>
    <n v="56100"/>
    <n v="0"/>
    <x v="4"/>
    <x v="2"/>
    <x v="1"/>
    <d v="2024-06-21T00:00:00"/>
    <n v="56100"/>
    <x v="1"/>
  </r>
  <r>
    <n v="104063"/>
    <n v="51"/>
    <n v="44100"/>
    <x v="1"/>
    <n v="55100"/>
    <n v="0"/>
    <x v="5"/>
    <x v="1"/>
    <x v="1"/>
    <d v="2026-08-11T00:00:00"/>
    <n v="55100"/>
    <x v="0"/>
  </r>
  <r>
    <n v="104064"/>
    <n v="63"/>
    <n v="90300"/>
    <x v="1"/>
    <n v="21400"/>
    <n v="0"/>
    <x v="5"/>
    <x v="2"/>
    <x v="1"/>
    <d v="2026-02-14T00:00:00"/>
    <n v="21400"/>
    <x v="1"/>
  </r>
  <r>
    <n v="104065"/>
    <n v="42"/>
    <n v="79100"/>
    <x v="1"/>
    <n v="8100"/>
    <n v="0"/>
    <x v="5"/>
    <x v="0"/>
    <x v="1"/>
    <d v="2025-02-25T00:00:00"/>
    <n v="8100"/>
    <x v="1"/>
  </r>
  <r>
    <n v="104066"/>
    <n v="61"/>
    <n v="43800"/>
    <x v="1"/>
    <n v="34600"/>
    <n v="0"/>
    <x v="2"/>
    <x v="3"/>
    <x v="1"/>
    <d v="2024-10-05T00:00:00"/>
    <n v="34600"/>
    <x v="0"/>
  </r>
  <r>
    <n v="104067"/>
    <n v="62"/>
    <n v="60600"/>
    <x v="1"/>
    <n v="38700"/>
    <n v="0"/>
    <x v="0"/>
    <x v="1"/>
    <x v="1"/>
    <d v="2025-04-22T00:00:00"/>
    <n v="38700"/>
    <x v="0"/>
  </r>
  <r>
    <n v="104068"/>
    <n v="51"/>
    <n v="39400"/>
    <x v="1"/>
    <n v="21200"/>
    <n v="0"/>
    <x v="3"/>
    <x v="0"/>
    <x v="1"/>
    <d v="2025-04-27T00:00:00"/>
    <n v="21200"/>
    <x v="0"/>
  </r>
  <r>
    <n v="104069"/>
    <n v="27"/>
    <n v="58700"/>
    <x v="1"/>
    <n v="8500"/>
    <n v="0"/>
    <x v="2"/>
    <x v="1"/>
    <x v="1"/>
    <d v="2025-05-31T00:00:00"/>
    <n v="8500"/>
    <x v="0"/>
  </r>
  <r>
    <n v="104070"/>
    <n v="64"/>
    <n v="45600"/>
    <x v="2"/>
    <n v="44600"/>
    <n v="0"/>
    <x v="3"/>
    <x v="1"/>
    <x v="1"/>
    <d v="2025-09-05T00:00:00"/>
    <n v="44600"/>
    <x v="0"/>
  </r>
  <r>
    <n v="104071"/>
    <n v="44"/>
    <n v="53400"/>
    <x v="2"/>
    <n v="19700"/>
    <n v="0"/>
    <x v="6"/>
    <x v="0"/>
    <x v="1"/>
    <d v="2026-03-25T00:00:00"/>
    <n v="19700"/>
    <x v="0"/>
  </r>
  <r>
    <n v="104072"/>
    <n v="50"/>
    <n v="44800"/>
    <x v="1"/>
    <n v="36200"/>
    <n v="0"/>
    <x v="3"/>
    <x v="1"/>
    <x v="1"/>
    <d v="2026-05-10T00:00:00"/>
    <n v="36200"/>
    <x v="0"/>
  </r>
  <r>
    <n v="104073"/>
    <n v="74"/>
    <n v="36900"/>
    <x v="0"/>
    <n v="0"/>
    <n v="0"/>
    <x v="6"/>
    <x v="1"/>
    <x v="1"/>
    <d v="2025-08-17T00:00:00"/>
    <n v="0"/>
    <x v="0"/>
  </r>
  <r>
    <n v="104074"/>
    <n v="35"/>
    <n v="82800"/>
    <x v="1"/>
    <n v="28100"/>
    <n v="0"/>
    <x v="2"/>
    <x v="2"/>
    <x v="1"/>
    <d v="2024-05-15T00:00:00"/>
    <n v="28100"/>
    <x v="1"/>
  </r>
  <r>
    <n v="104075"/>
    <n v="64"/>
    <n v="101600"/>
    <x v="1"/>
    <n v="37100"/>
    <n v="247000"/>
    <x v="0"/>
    <x v="2"/>
    <x v="1"/>
    <d v="2025-06-19T00:00:00"/>
    <n v="284100"/>
    <x v="1"/>
  </r>
  <r>
    <n v="104076"/>
    <n v="24"/>
    <n v="57000"/>
    <x v="1"/>
    <n v="0"/>
    <n v="0"/>
    <x v="3"/>
    <x v="1"/>
    <x v="1"/>
    <d v="2025-05-14T00:00:00"/>
    <n v="0"/>
    <x v="0"/>
  </r>
  <r>
    <n v="104077"/>
    <n v="44"/>
    <n v="96500"/>
    <x v="1"/>
    <n v="0"/>
    <n v="0"/>
    <x v="3"/>
    <x v="1"/>
    <x v="1"/>
    <d v="2024-08-13T00:00:00"/>
    <n v="0"/>
    <x v="1"/>
  </r>
  <r>
    <n v="104078"/>
    <n v="20"/>
    <n v="41700"/>
    <x v="0"/>
    <n v="0"/>
    <n v="0"/>
    <x v="2"/>
    <x v="2"/>
    <x v="1"/>
    <d v="2025-12-15T00:00:00"/>
    <n v="0"/>
    <x v="0"/>
  </r>
  <r>
    <n v="104079"/>
    <n v="74"/>
    <n v="52900"/>
    <x v="0"/>
    <n v="25600"/>
    <n v="288000"/>
    <x v="7"/>
    <x v="0"/>
    <x v="1"/>
    <d v="2026-06-04T00:00:00"/>
    <n v="313600"/>
    <x v="0"/>
  </r>
  <r>
    <n v="104080"/>
    <n v="21"/>
    <n v="33800"/>
    <x v="1"/>
    <n v="0"/>
    <n v="0"/>
    <x v="5"/>
    <x v="1"/>
    <x v="1"/>
    <d v="2024-12-02T00:00:00"/>
    <n v="0"/>
    <x v="0"/>
  </r>
  <r>
    <n v="104081"/>
    <n v="37"/>
    <n v="78200"/>
    <x v="1"/>
    <n v="0"/>
    <n v="0"/>
    <x v="7"/>
    <x v="2"/>
    <x v="1"/>
    <d v="2026-02-18T00:00:00"/>
    <n v="0"/>
    <x v="1"/>
  </r>
  <r>
    <n v="104082"/>
    <n v="57"/>
    <n v="108400"/>
    <x v="1"/>
    <n v="0"/>
    <n v="0"/>
    <x v="0"/>
    <x v="1"/>
    <x v="1"/>
    <d v="2025-01-08T00:00:00"/>
    <n v="0"/>
    <x v="1"/>
  </r>
  <r>
    <n v="104083"/>
    <n v="72"/>
    <n v="84700"/>
    <x v="2"/>
    <n v="32600"/>
    <n v="0"/>
    <x v="1"/>
    <x v="2"/>
    <x v="1"/>
    <d v="2025-11-10T00:00:00"/>
    <n v="32600"/>
    <x v="1"/>
  </r>
  <r>
    <n v="104084"/>
    <n v="32"/>
    <n v="82700"/>
    <x v="1"/>
    <n v="19100"/>
    <n v="0"/>
    <x v="0"/>
    <x v="0"/>
    <x v="1"/>
    <d v="2026-02-02T00:00:00"/>
    <n v="19100"/>
    <x v="1"/>
  </r>
  <r>
    <n v="104085"/>
    <n v="21"/>
    <n v="46500"/>
    <x v="1"/>
    <n v="58100"/>
    <n v="0"/>
    <x v="5"/>
    <x v="0"/>
    <x v="0"/>
    <d v="2026-05-26T00:00:00"/>
    <n v="58100"/>
    <x v="0"/>
  </r>
  <r>
    <n v="104086"/>
    <n v="65"/>
    <n v="100500"/>
    <x v="0"/>
    <n v="0"/>
    <n v="0"/>
    <x v="7"/>
    <x v="1"/>
    <x v="1"/>
    <d v="2026-04-01T00:00:00"/>
    <n v="0"/>
    <x v="1"/>
  </r>
  <r>
    <n v="104087"/>
    <n v="24"/>
    <n v="73600"/>
    <x v="1"/>
    <n v="0"/>
    <n v="0"/>
    <x v="1"/>
    <x v="1"/>
    <x v="1"/>
    <d v="2025-04-18T00:00:00"/>
    <n v="0"/>
    <x v="1"/>
  </r>
  <r>
    <n v="104088"/>
    <n v="31"/>
    <n v="43000"/>
    <x v="1"/>
    <n v="0"/>
    <n v="162000"/>
    <x v="2"/>
    <x v="1"/>
    <x v="1"/>
    <d v="2025-07-23T00:00:00"/>
    <n v="162000"/>
    <x v="0"/>
  </r>
  <r>
    <n v="104089"/>
    <n v="65"/>
    <n v="54400"/>
    <x v="2"/>
    <n v="16300"/>
    <n v="0"/>
    <x v="7"/>
    <x v="1"/>
    <x v="1"/>
    <d v="2024-03-09T00:00:00"/>
    <n v="16300"/>
    <x v="0"/>
  </r>
  <r>
    <n v="104090"/>
    <n v="55"/>
    <n v="112500"/>
    <x v="2"/>
    <n v="14900"/>
    <n v="0"/>
    <x v="2"/>
    <x v="0"/>
    <x v="1"/>
    <d v="2025-08-14T00:00:00"/>
    <n v="14900"/>
    <x v="1"/>
  </r>
  <r>
    <n v="104091"/>
    <n v="63"/>
    <n v="65900"/>
    <x v="0"/>
    <n v="42100"/>
    <n v="0"/>
    <x v="2"/>
    <x v="1"/>
    <x v="1"/>
    <d v="2024-12-08T00:00:00"/>
    <n v="42100"/>
    <x v="0"/>
  </r>
  <r>
    <n v="104092"/>
    <n v="43"/>
    <n v="40800"/>
    <x v="0"/>
    <n v="51000"/>
    <n v="0"/>
    <x v="1"/>
    <x v="1"/>
    <x v="1"/>
    <d v="2025-01-12T00:00:00"/>
    <n v="51000"/>
    <x v="0"/>
  </r>
  <r>
    <n v="104093"/>
    <n v="56"/>
    <n v="53300"/>
    <x v="1"/>
    <n v="15200"/>
    <n v="0"/>
    <x v="5"/>
    <x v="2"/>
    <x v="1"/>
    <d v="2026-05-17T00:00:00"/>
    <n v="15200"/>
    <x v="0"/>
  </r>
  <r>
    <n v="104094"/>
    <n v="26"/>
    <n v="45200"/>
    <x v="1"/>
    <n v="49900"/>
    <n v="0"/>
    <x v="7"/>
    <x v="1"/>
    <x v="0"/>
    <d v="2024-09-01T00:00:00"/>
    <n v="49900"/>
    <x v="0"/>
  </r>
  <r>
    <n v="104095"/>
    <n v="69"/>
    <n v="93000"/>
    <x v="1"/>
    <n v="0"/>
    <n v="0"/>
    <x v="6"/>
    <x v="2"/>
    <x v="1"/>
    <d v="2025-09-13T00:00:00"/>
    <n v="0"/>
    <x v="1"/>
  </r>
  <r>
    <n v="104096"/>
    <n v="51"/>
    <n v="38700"/>
    <x v="1"/>
    <n v="0"/>
    <n v="221000"/>
    <x v="2"/>
    <x v="0"/>
    <x v="1"/>
    <d v="2024-11-08T00:00:00"/>
    <n v="221000"/>
    <x v="0"/>
  </r>
  <r>
    <n v="104097"/>
    <n v="29"/>
    <n v="56600"/>
    <x v="1"/>
    <n v="70800"/>
    <n v="0"/>
    <x v="4"/>
    <x v="0"/>
    <x v="1"/>
    <d v="2026-03-27T00:00:00"/>
    <n v="70800"/>
    <x v="0"/>
  </r>
  <r>
    <n v="104098"/>
    <n v="74"/>
    <n v="70600"/>
    <x v="0"/>
    <n v="55500"/>
    <n v="0"/>
    <x v="2"/>
    <x v="3"/>
    <x v="1"/>
    <d v="2026-08-20T00:00:00"/>
    <n v="55500"/>
    <x v="1"/>
  </r>
  <r>
    <n v="104099"/>
    <n v="43"/>
    <n v="60400"/>
    <x v="2"/>
    <n v="0"/>
    <n v="0"/>
    <x v="3"/>
    <x v="3"/>
    <x v="1"/>
    <d v="2025-05-10T00:00:00"/>
    <n v="0"/>
    <x v="0"/>
  </r>
  <r>
    <n v="104100"/>
    <n v="24"/>
    <n v="100300"/>
    <x v="2"/>
    <n v="77100"/>
    <n v="0"/>
    <x v="4"/>
    <x v="2"/>
    <x v="1"/>
    <d v="2024-02-26T00:00:00"/>
    <n v="77100"/>
    <x v="1"/>
  </r>
  <r>
    <n v="104101"/>
    <n v="70"/>
    <n v="55100"/>
    <x v="0"/>
    <n v="37100"/>
    <n v="188000"/>
    <x v="0"/>
    <x v="1"/>
    <x v="1"/>
    <d v="2025-12-18T00:00:00"/>
    <n v="225100"/>
    <x v="0"/>
  </r>
  <r>
    <n v="104102"/>
    <n v="21"/>
    <n v="44400"/>
    <x v="2"/>
    <n v="27200"/>
    <n v="0"/>
    <x v="6"/>
    <x v="1"/>
    <x v="1"/>
    <d v="2024-04-11T00:00:00"/>
    <n v="27200"/>
    <x v="0"/>
  </r>
  <r>
    <n v="104103"/>
    <n v="46"/>
    <n v="74000"/>
    <x v="2"/>
    <n v="16400"/>
    <n v="0"/>
    <x v="6"/>
    <x v="1"/>
    <x v="1"/>
    <d v="2026-06-21T00:00:00"/>
    <n v="16400"/>
    <x v="1"/>
  </r>
  <r>
    <n v="104104"/>
    <n v="48"/>
    <n v="65300"/>
    <x v="0"/>
    <n v="14000"/>
    <n v="0"/>
    <x v="2"/>
    <x v="2"/>
    <x v="1"/>
    <d v="2026-02-18T00:00:00"/>
    <n v="14000"/>
    <x v="0"/>
  </r>
  <r>
    <n v="104105"/>
    <n v="38"/>
    <n v="39900"/>
    <x v="0"/>
    <n v="47900"/>
    <n v="0"/>
    <x v="5"/>
    <x v="1"/>
    <x v="1"/>
    <d v="2024-04-13T00:00:00"/>
    <n v="47900"/>
    <x v="0"/>
  </r>
  <r>
    <n v="104106"/>
    <n v="51"/>
    <n v="100000"/>
    <x v="1"/>
    <n v="69400"/>
    <n v="318000"/>
    <x v="6"/>
    <x v="2"/>
    <x v="1"/>
    <d v="2024-09-09T00:00:00"/>
    <n v="387400"/>
    <x v="1"/>
  </r>
  <r>
    <n v="104107"/>
    <n v="24"/>
    <n v="52900"/>
    <x v="2"/>
    <n v="11700"/>
    <n v="0"/>
    <x v="1"/>
    <x v="2"/>
    <x v="1"/>
    <d v="2024-12-09T00:00:00"/>
    <n v="11700"/>
    <x v="0"/>
  </r>
  <r>
    <n v="104108"/>
    <n v="46"/>
    <n v="30100"/>
    <x v="1"/>
    <n v="0"/>
    <n v="0"/>
    <x v="4"/>
    <x v="3"/>
    <x v="1"/>
    <d v="2024-02-15T00:00:00"/>
    <n v="0"/>
    <x v="0"/>
  </r>
  <r>
    <n v="104109"/>
    <n v="63"/>
    <n v="41400"/>
    <x v="0"/>
    <n v="51800"/>
    <n v="0"/>
    <x v="2"/>
    <x v="2"/>
    <x v="1"/>
    <d v="2025-02-06T00:00:00"/>
    <n v="51800"/>
    <x v="0"/>
  </r>
  <r>
    <n v="104110"/>
    <n v="24"/>
    <n v="43300"/>
    <x v="1"/>
    <n v="54100"/>
    <n v="0"/>
    <x v="4"/>
    <x v="1"/>
    <x v="1"/>
    <d v="2024-02-26T00:00:00"/>
    <n v="54100"/>
    <x v="0"/>
  </r>
  <r>
    <n v="104111"/>
    <n v="72"/>
    <n v="87200"/>
    <x v="1"/>
    <n v="28600"/>
    <n v="0"/>
    <x v="6"/>
    <x v="2"/>
    <x v="1"/>
    <d v="2024-07-02T00:00:00"/>
    <n v="28600"/>
    <x v="1"/>
  </r>
  <r>
    <n v="104112"/>
    <n v="37"/>
    <n v="38500"/>
    <x v="2"/>
    <n v="48100"/>
    <n v="0"/>
    <x v="5"/>
    <x v="1"/>
    <x v="1"/>
    <d v="2024-06-19T00:00:00"/>
    <n v="48100"/>
    <x v="0"/>
  </r>
  <r>
    <n v="104113"/>
    <n v="52"/>
    <n v="79900"/>
    <x v="2"/>
    <n v="44000"/>
    <n v="0"/>
    <x v="0"/>
    <x v="2"/>
    <x v="1"/>
    <d v="2024-02-02T00:00:00"/>
    <n v="44000"/>
    <x v="1"/>
  </r>
  <r>
    <n v="104114"/>
    <n v="41"/>
    <n v="56600"/>
    <x v="1"/>
    <n v="52300"/>
    <n v="0"/>
    <x v="1"/>
    <x v="2"/>
    <x v="1"/>
    <d v="2025-01-16T00:00:00"/>
    <n v="52300"/>
    <x v="0"/>
  </r>
  <r>
    <n v="104115"/>
    <n v="28"/>
    <n v="53700"/>
    <x v="1"/>
    <n v="6000"/>
    <n v="0"/>
    <x v="2"/>
    <x v="3"/>
    <x v="0"/>
    <d v="2024-06-09T00:00:00"/>
    <n v="6000"/>
    <x v="0"/>
  </r>
  <r>
    <n v="104116"/>
    <n v="59"/>
    <n v="107000"/>
    <x v="1"/>
    <n v="33300"/>
    <n v="0"/>
    <x v="5"/>
    <x v="2"/>
    <x v="1"/>
    <d v="2024-12-17T00:00:00"/>
    <n v="33300"/>
    <x v="1"/>
  </r>
  <r>
    <n v="104117"/>
    <n v="63"/>
    <n v="66200"/>
    <x v="2"/>
    <n v="0"/>
    <n v="0"/>
    <x v="1"/>
    <x v="1"/>
    <x v="1"/>
    <d v="2026-08-13T00:00:00"/>
    <n v="0"/>
    <x v="0"/>
  </r>
  <r>
    <n v="104118"/>
    <n v="40"/>
    <n v="64200"/>
    <x v="0"/>
    <n v="0"/>
    <n v="194000"/>
    <x v="6"/>
    <x v="1"/>
    <x v="1"/>
    <d v="2024-07-10T00:00:00"/>
    <n v="194000"/>
    <x v="0"/>
  </r>
  <r>
    <n v="104119"/>
    <n v="41"/>
    <n v="72600"/>
    <x v="1"/>
    <n v="54400"/>
    <n v="0"/>
    <x v="7"/>
    <x v="1"/>
    <x v="1"/>
    <d v="2026-06-05T00:00:00"/>
    <n v="54400"/>
    <x v="1"/>
  </r>
  <r>
    <n v="104120"/>
    <n v="57"/>
    <n v="41200"/>
    <x v="2"/>
    <n v="25100"/>
    <n v="377000"/>
    <x v="7"/>
    <x v="0"/>
    <x v="1"/>
    <d v="2026-06-08T00:00:00"/>
    <n v="402100"/>
    <x v="0"/>
  </r>
  <r>
    <n v="104121"/>
    <n v="36"/>
    <n v="86400"/>
    <x v="1"/>
    <n v="44200"/>
    <n v="0"/>
    <x v="7"/>
    <x v="2"/>
    <x v="1"/>
    <d v="2024-07-21T00:00:00"/>
    <n v="44200"/>
    <x v="1"/>
  </r>
  <r>
    <n v="104122"/>
    <n v="37"/>
    <n v="54200"/>
    <x v="1"/>
    <n v="27200"/>
    <n v="0"/>
    <x v="1"/>
    <x v="0"/>
    <x v="1"/>
    <d v="2026-04-11T00:00:00"/>
    <n v="27200"/>
    <x v="0"/>
  </r>
  <r>
    <n v="104123"/>
    <n v="29"/>
    <n v="36500"/>
    <x v="0"/>
    <n v="45600"/>
    <n v="0"/>
    <x v="0"/>
    <x v="3"/>
    <x v="0"/>
    <d v="2024-10-03T00:00:00"/>
    <n v="45600"/>
    <x v="0"/>
  </r>
  <r>
    <n v="104124"/>
    <n v="53"/>
    <n v="74800"/>
    <x v="1"/>
    <n v="0"/>
    <n v="221000"/>
    <x v="5"/>
    <x v="2"/>
    <x v="1"/>
    <d v="2026-05-10T00:00:00"/>
    <n v="221000"/>
    <x v="1"/>
  </r>
  <r>
    <n v="104125"/>
    <n v="55"/>
    <n v="67300"/>
    <x v="2"/>
    <n v="30800"/>
    <n v="0"/>
    <x v="5"/>
    <x v="1"/>
    <x v="1"/>
    <d v="2026-06-04T00:00:00"/>
    <n v="30800"/>
    <x v="0"/>
  </r>
  <r>
    <n v="104126"/>
    <n v="61"/>
    <n v="78200"/>
    <x v="0"/>
    <n v="15800"/>
    <n v="0"/>
    <x v="0"/>
    <x v="2"/>
    <x v="1"/>
    <d v="2024-09-12T00:00:00"/>
    <n v="15800"/>
    <x v="1"/>
  </r>
  <r>
    <n v="104127"/>
    <n v="20"/>
    <n v="78200"/>
    <x v="0"/>
    <n v="34600"/>
    <n v="0"/>
    <x v="6"/>
    <x v="2"/>
    <x v="1"/>
    <d v="2025-06-04T00:00:00"/>
    <n v="34600"/>
    <x v="1"/>
  </r>
  <r>
    <n v="104128"/>
    <n v="22"/>
    <n v="63100"/>
    <x v="1"/>
    <n v="22600"/>
    <n v="0"/>
    <x v="2"/>
    <x v="3"/>
    <x v="1"/>
    <d v="2026-01-28T00:00:00"/>
    <n v="22600"/>
    <x v="0"/>
  </r>
  <r>
    <n v="104129"/>
    <n v="27"/>
    <n v="75200"/>
    <x v="2"/>
    <n v="79000"/>
    <n v="0"/>
    <x v="2"/>
    <x v="0"/>
    <x v="1"/>
    <d v="2026-04-23T00:00:00"/>
    <n v="79000"/>
    <x v="1"/>
  </r>
  <r>
    <n v="104130"/>
    <n v="62"/>
    <n v="55200"/>
    <x v="0"/>
    <n v="41900"/>
    <n v="0"/>
    <x v="3"/>
    <x v="3"/>
    <x v="0"/>
    <d v="2025-12-19T00:00:00"/>
    <n v="41900"/>
    <x v="0"/>
  </r>
  <r>
    <n v="104131"/>
    <n v="46"/>
    <n v="64800"/>
    <x v="1"/>
    <n v="0"/>
    <n v="0"/>
    <x v="0"/>
    <x v="2"/>
    <x v="1"/>
    <d v="2026-06-20T00:00:00"/>
    <n v="0"/>
    <x v="0"/>
  </r>
  <r>
    <n v="104132"/>
    <n v="38"/>
    <n v="99500"/>
    <x v="2"/>
    <n v="0"/>
    <n v="0"/>
    <x v="4"/>
    <x v="1"/>
    <x v="1"/>
    <d v="2024-06-01T00:00:00"/>
    <n v="0"/>
    <x v="1"/>
  </r>
  <r>
    <n v="104133"/>
    <n v="65"/>
    <n v="74300"/>
    <x v="0"/>
    <n v="60600"/>
    <n v="0"/>
    <x v="4"/>
    <x v="2"/>
    <x v="1"/>
    <d v="2024-09-30T00:00:00"/>
    <n v="60600"/>
    <x v="1"/>
  </r>
  <r>
    <n v="104134"/>
    <n v="59"/>
    <n v="60500"/>
    <x v="0"/>
    <n v="0"/>
    <n v="0"/>
    <x v="2"/>
    <x v="1"/>
    <x v="1"/>
    <d v="2026-05-17T00:00:00"/>
    <n v="0"/>
    <x v="0"/>
  </r>
  <r>
    <n v="104135"/>
    <n v="31"/>
    <n v="52400"/>
    <x v="2"/>
    <n v="20800"/>
    <n v="301000"/>
    <x v="1"/>
    <x v="1"/>
    <x v="1"/>
    <d v="2024-12-28T00:00:00"/>
    <n v="321800"/>
    <x v="0"/>
  </r>
  <r>
    <n v="104136"/>
    <n v="51"/>
    <n v="77000"/>
    <x v="2"/>
    <n v="0"/>
    <n v="0"/>
    <x v="7"/>
    <x v="0"/>
    <x v="1"/>
    <d v="2026-07-30T00:00:00"/>
    <n v="0"/>
    <x v="1"/>
  </r>
  <r>
    <n v="104137"/>
    <n v="52"/>
    <n v="69800"/>
    <x v="1"/>
    <n v="38100"/>
    <n v="0"/>
    <x v="6"/>
    <x v="1"/>
    <x v="1"/>
    <d v="2025-08-06T00:00:00"/>
    <n v="38100"/>
    <x v="0"/>
  </r>
  <r>
    <n v="104138"/>
    <n v="63"/>
    <n v="80700"/>
    <x v="1"/>
    <n v="22000"/>
    <n v="185000"/>
    <x v="2"/>
    <x v="2"/>
    <x v="1"/>
    <d v="2026-02-26T00:00:00"/>
    <n v="207000"/>
    <x v="1"/>
  </r>
  <r>
    <n v="104139"/>
    <n v="28"/>
    <n v="91200"/>
    <x v="1"/>
    <n v="0"/>
    <n v="0"/>
    <x v="7"/>
    <x v="2"/>
    <x v="1"/>
    <d v="2024-04-06T00:00:00"/>
    <n v="0"/>
    <x v="1"/>
  </r>
  <r>
    <n v="104140"/>
    <n v="31"/>
    <n v="54000"/>
    <x v="2"/>
    <n v="37700"/>
    <n v="0"/>
    <x v="2"/>
    <x v="1"/>
    <x v="1"/>
    <d v="2025-02-10T00:00:00"/>
    <n v="37700"/>
    <x v="0"/>
  </r>
  <r>
    <n v="104141"/>
    <n v="27"/>
    <n v="60100"/>
    <x v="1"/>
    <n v="33900"/>
    <n v="0"/>
    <x v="5"/>
    <x v="0"/>
    <x v="0"/>
    <d v="2024-08-12T00:00:00"/>
    <n v="33900"/>
    <x v="0"/>
  </r>
  <r>
    <n v="104142"/>
    <n v="43"/>
    <n v="45300"/>
    <x v="0"/>
    <n v="16100"/>
    <n v="0"/>
    <x v="2"/>
    <x v="1"/>
    <x v="1"/>
    <d v="2024-05-07T00:00:00"/>
    <n v="16100"/>
    <x v="0"/>
  </r>
  <r>
    <n v="104143"/>
    <n v="57"/>
    <n v="39500"/>
    <x v="1"/>
    <n v="27400"/>
    <n v="0"/>
    <x v="2"/>
    <x v="0"/>
    <x v="1"/>
    <d v="2026-04-09T00:00:00"/>
    <n v="27400"/>
    <x v="0"/>
  </r>
  <r>
    <n v="104144"/>
    <n v="29"/>
    <n v="108200"/>
    <x v="1"/>
    <n v="20600"/>
    <n v="0"/>
    <x v="0"/>
    <x v="1"/>
    <x v="1"/>
    <d v="2024-08-24T00:00:00"/>
    <n v="20600"/>
    <x v="1"/>
  </r>
  <r>
    <n v="104145"/>
    <n v="36"/>
    <n v="36200"/>
    <x v="1"/>
    <n v="0"/>
    <n v="0"/>
    <x v="2"/>
    <x v="3"/>
    <x v="1"/>
    <d v="2025-10-12T00:00:00"/>
    <n v="0"/>
    <x v="0"/>
  </r>
  <r>
    <n v="104146"/>
    <n v="50"/>
    <n v="89700"/>
    <x v="2"/>
    <n v="0"/>
    <n v="328000"/>
    <x v="4"/>
    <x v="0"/>
    <x v="1"/>
    <d v="2024-01-19T00:00:00"/>
    <n v="328000"/>
    <x v="1"/>
  </r>
  <r>
    <n v="104147"/>
    <n v="25"/>
    <n v="93000"/>
    <x v="1"/>
    <n v="8100"/>
    <n v="168000"/>
    <x v="6"/>
    <x v="2"/>
    <x v="1"/>
    <d v="2026-02-15T00:00:00"/>
    <n v="176100"/>
    <x v="1"/>
  </r>
  <r>
    <n v="104148"/>
    <n v="56"/>
    <n v="46100"/>
    <x v="1"/>
    <n v="0"/>
    <n v="0"/>
    <x v="5"/>
    <x v="2"/>
    <x v="1"/>
    <d v="2026-06-20T00:00:00"/>
    <n v="0"/>
    <x v="0"/>
  </r>
  <r>
    <n v="104149"/>
    <n v="73"/>
    <n v="70600"/>
    <x v="0"/>
    <n v="8600"/>
    <n v="353000"/>
    <x v="0"/>
    <x v="0"/>
    <x v="1"/>
    <d v="2025-11-09T00:00:00"/>
    <n v="361600"/>
    <x v="1"/>
  </r>
  <r>
    <n v="104150"/>
    <n v="67"/>
    <n v="54800"/>
    <x v="1"/>
    <n v="10400"/>
    <n v="0"/>
    <x v="7"/>
    <x v="3"/>
    <x v="1"/>
    <d v="2025-05-08T00:00:00"/>
    <n v="10400"/>
    <x v="0"/>
  </r>
  <r>
    <n v="104151"/>
    <n v="61"/>
    <n v="70000"/>
    <x v="0"/>
    <n v="13700"/>
    <n v="0"/>
    <x v="6"/>
    <x v="2"/>
    <x v="1"/>
    <d v="2025-06-05T00:00:00"/>
    <n v="13700"/>
    <x v="1"/>
  </r>
  <r>
    <n v="104152"/>
    <n v="36"/>
    <n v="43800"/>
    <x v="1"/>
    <n v="28000"/>
    <n v="0"/>
    <x v="7"/>
    <x v="1"/>
    <x v="1"/>
    <d v="2025-09-27T00:00:00"/>
    <n v="28000"/>
    <x v="0"/>
  </r>
  <r>
    <n v="104153"/>
    <n v="68"/>
    <n v="49700"/>
    <x v="1"/>
    <n v="0"/>
    <n v="0"/>
    <x v="5"/>
    <x v="2"/>
    <x v="1"/>
    <d v="2024-11-28T00:00:00"/>
    <n v="0"/>
    <x v="0"/>
  </r>
  <r>
    <n v="104154"/>
    <n v="33"/>
    <n v="66500"/>
    <x v="2"/>
    <n v="21700"/>
    <n v="0"/>
    <x v="7"/>
    <x v="1"/>
    <x v="1"/>
    <d v="2025-04-11T00:00:00"/>
    <n v="21700"/>
    <x v="0"/>
  </r>
  <r>
    <n v="104155"/>
    <n v="49"/>
    <n v="44200"/>
    <x v="1"/>
    <n v="17200"/>
    <n v="287000"/>
    <x v="2"/>
    <x v="1"/>
    <x v="1"/>
    <d v="2026-08-05T00:00:00"/>
    <n v="304200"/>
    <x v="0"/>
  </r>
  <r>
    <n v="104156"/>
    <n v="38"/>
    <n v="61700"/>
    <x v="1"/>
    <n v="47200"/>
    <n v="155000"/>
    <x v="1"/>
    <x v="1"/>
    <x v="1"/>
    <d v="2025-07-09T00:00:00"/>
    <n v="202200"/>
    <x v="0"/>
  </r>
  <r>
    <n v="104157"/>
    <n v="73"/>
    <n v="60200"/>
    <x v="1"/>
    <n v="0"/>
    <n v="269000"/>
    <x v="5"/>
    <x v="1"/>
    <x v="1"/>
    <d v="2026-07-10T00:00:00"/>
    <n v="269000"/>
    <x v="0"/>
  </r>
  <r>
    <n v="104158"/>
    <n v="64"/>
    <n v="69300"/>
    <x v="2"/>
    <n v="0"/>
    <n v="0"/>
    <x v="5"/>
    <x v="1"/>
    <x v="1"/>
    <d v="2025-05-01T00:00:00"/>
    <n v="0"/>
    <x v="0"/>
  </r>
  <r>
    <n v="104159"/>
    <n v="23"/>
    <n v="95700"/>
    <x v="0"/>
    <n v="0"/>
    <n v="0"/>
    <x v="4"/>
    <x v="1"/>
    <x v="1"/>
    <d v="2024-09-04T00:00:00"/>
    <n v="0"/>
    <x v="1"/>
  </r>
  <r>
    <n v="104160"/>
    <n v="28"/>
    <n v="70900"/>
    <x v="1"/>
    <n v="0"/>
    <n v="0"/>
    <x v="5"/>
    <x v="1"/>
    <x v="1"/>
    <d v="2026-05-22T00:00:00"/>
    <n v="0"/>
    <x v="1"/>
  </r>
  <r>
    <n v="104161"/>
    <n v="46"/>
    <n v="76800"/>
    <x v="0"/>
    <n v="72200"/>
    <n v="0"/>
    <x v="7"/>
    <x v="1"/>
    <x v="1"/>
    <d v="2026-03-23T00:00:00"/>
    <n v="72200"/>
    <x v="1"/>
  </r>
  <r>
    <n v="104162"/>
    <n v="24"/>
    <n v="61200"/>
    <x v="0"/>
    <n v="30100"/>
    <n v="0"/>
    <x v="0"/>
    <x v="0"/>
    <x v="1"/>
    <d v="2024-11-29T00:00:00"/>
    <n v="30100"/>
    <x v="0"/>
  </r>
  <r>
    <n v="104163"/>
    <n v="59"/>
    <n v="77300"/>
    <x v="0"/>
    <n v="53100"/>
    <n v="370000"/>
    <x v="0"/>
    <x v="1"/>
    <x v="1"/>
    <d v="2025-03-24T00:00:00"/>
    <n v="423100"/>
    <x v="1"/>
  </r>
  <r>
    <n v="104164"/>
    <n v="31"/>
    <n v="42900"/>
    <x v="0"/>
    <n v="0"/>
    <n v="235000"/>
    <x v="7"/>
    <x v="1"/>
    <x v="1"/>
    <d v="2025-05-14T00:00:00"/>
    <n v="235000"/>
    <x v="0"/>
  </r>
  <r>
    <n v="104165"/>
    <n v="56"/>
    <n v="54600"/>
    <x v="1"/>
    <n v="66800"/>
    <n v="0"/>
    <x v="2"/>
    <x v="2"/>
    <x v="1"/>
    <d v="2026-08-24T00:00:00"/>
    <n v="66800"/>
    <x v="0"/>
  </r>
  <r>
    <n v="104166"/>
    <n v="59"/>
    <n v="95300"/>
    <x v="0"/>
    <n v="47000"/>
    <n v="0"/>
    <x v="4"/>
    <x v="1"/>
    <x v="1"/>
    <d v="2024-01-21T00:00:00"/>
    <n v="47000"/>
    <x v="1"/>
  </r>
  <r>
    <n v="104167"/>
    <n v="22"/>
    <n v="63400"/>
    <x v="0"/>
    <n v="8500"/>
    <n v="0"/>
    <x v="4"/>
    <x v="1"/>
    <x v="1"/>
    <d v="2025-03-02T00:00:00"/>
    <n v="8500"/>
    <x v="0"/>
  </r>
  <r>
    <n v="104168"/>
    <n v="58"/>
    <n v="30500"/>
    <x v="1"/>
    <n v="33100"/>
    <n v="0"/>
    <x v="0"/>
    <x v="1"/>
    <x v="1"/>
    <d v="2026-02-11T00:00:00"/>
    <n v="33100"/>
    <x v="0"/>
  </r>
  <r>
    <n v="104169"/>
    <n v="68"/>
    <n v="28700"/>
    <x v="0"/>
    <n v="35900"/>
    <n v="0"/>
    <x v="6"/>
    <x v="0"/>
    <x v="0"/>
    <d v="2025-12-31T00:00:00"/>
    <n v="35900"/>
    <x v="0"/>
  </r>
  <r>
    <n v="104170"/>
    <n v="36"/>
    <n v="69700"/>
    <x v="1"/>
    <n v="64900"/>
    <n v="245000"/>
    <x v="7"/>
    <x v="0"/>
    <x v="1"/>
    <d v="2024-10-27T00:00:00"/>
    <n v="309900"/>
    <x v="0"/>
  </r>
  <r>
    <n v="104171"/>
    <n v="66"/>
    <n v="74900"/>
    <x v="2"/>
    <n v="46700"/>
    <n v="169000"/>
    <x v="3"/>
    <x v="0"/>
    <x v="1"/>
    <d v="2024-12-19T00:00:00"/>
    <n v="215700"/>
    <x v="1"/>
  </r>
  <r>
    <n v="104172"/>
    <n v="27"/>
    <n v="56800"/>
    <x v="0"/>
    <n v="24900"/>
    <n v="153000"/>
    <x v="5"/>
    <x v="2"/>
    <x v="1"/>
    <d v="2024-12-01T00:00:00"/>
    <n v="177900"/>
    <x v="0"/>
  </r>
  <r>
    <n v="104173"/>
    <n v="34"/>
    <n v="106600"/>
    <x v="1"/>
    <n v="45000"/>
    <n v="0"/>
    <x v="3"/>
    <x v="2"/>
    <x v="1"/>
    <d v="2026-04-20T00:00:00"/>
    <n v="45000"/>
    <x v="1"/>
  </r>
  <r>
    <n v="104174"/>
    <n v="28"/>
    <n v="52300"/>
    <x v="2"/>
    <n v="59600"/>
    <n v="0"/>
    <x v="3"/>
    <x v="1"/>
    <x v="0"/>
    <d v="2025-12-26T00:00:00"/>
    <n v="59600"/>
    <x v="0"/>
  </r>
  <r>
    <n v="104175"/>
    <n v="61"/>
    <n v="66500"/>
    <x v="0"/>
    <n v="32100"/>
    <n v="0"/>
    <x v="4"/>
    <x v="0"/>
    <x v="0"/>
    <d v="2026-03-18T00:00:00"/>
    <n v="32100"/>
    <x v="0"/>
  </r>
  <r>
    <n v="104176"/>
    <n v="46"/>
    <n v="33100"/>
    <x v="0"/>
    <n v="9000"/>
    <n v="0"/>
    <x v="1"/>
    <x v="1"/>
    <x v="1"/>
    <d v="2025-02-26T00:00:00"/>
    <n v="9000"/>
    <x v="0"/>
  </r>
  <r>
    <n v="104177"/>
    <n v="58"/>
    <n v="81700"/>
    <x v="2"/>
    <n v="16600"/>
    <n v="0"/>
    <x v="0"/>
    <x v="2"/>
    <x v="1"/>
    <d v="2024-06-23T00:00:00"/>
    <n v="16600"/>
    <x v="1"/>
  </r>
  <r>
    <n v="104178"/>
    <n v="38"/>
    <n v="82200"/>
    <x v="1"/>
    <n v="43300"/>
    <n v="389000"/>
    <x v="6"/>
    <x v="2"/>
    <x v="1"/>
    <d v="2024-07-20T00:00:00"/>
    <n v="432300"/>
    <x v="1"/>
  </r>
  <r>
    <n v="104179"/>
    <n v="44"/>
    <n v="103800"/>
    <x v="2"/>
    <n v="47500"/>
    <n v="0"/>
    <x v="2"/>
    <x v="1"/>
    <x v="1"/>
    <d v="2026-06-29T00:00:00"/>
    <n v="47500"/>
    <x v="1"/>
  </r>
  <r>
    <n v="104180"/>
    <n v="44"/>
    <n v="59100"/>
    <x v="1"/>
    <n v="73900"/>
    <n v="0"/>
    <x v="6"/>
    <x v="1"/>
    <x v="1"/>
    <d v="2025-12-06T00:00:00"/>
    <n v="73900"/>
    <x v="0"/>
  </r>
  <r>
    <n v="104181"/>
    <n v="34"/>
    <n v="71500"/>
    <x v="1"/>
    <n v="27600"/>
    <n v="0"/>
    <x v="1"/>
    <x v="0"/>
    <x v="1"/>
    <d v="2024-03-14T00:00:00"/>
    <n v="27600"/>
    <x v="1"/>
  </r>
  <r>
    <n v="104182"/>
    <n v="31"/>
    <n v="73800"/>
    <x v="1"/>
    <n v="42200"/>
    <n v="0"/>
    <x v="1"/>
    <x v="1"/>
    <x v="1"/>
    <d v="2026-02-28T00:00:00"/>
    <n v="42200"/>
    <x v="1"/>
  </r>
  <r>
    <n v="104183"/>
    <n v="56"/>
    <n v="52800"/>
    <x v="2"/>
    <n v="0"/>
    <n v="0"/>
    <x v="5"/>
    <x v="2"/>
    <x v="1"/>
    <d v="2025-08-17T00:00:00"/>
    <n v="0"/>
    <x v="0"/>
  </r>
  <r>
    <n v="104184"/>
    <n v="75"/>
    <n v="81600"/>
    <x v="0"/>
    <n v="40000"/>
    <n v="0"/>
    <x v="1"/>
    <x v="2"/>
    <x v="0"/>
    <d v="2025-10-29T00:00:00"/>
    <n v="40000"/>
    <x v="1"/>
  </r>
  <r>
    <n v="104185"/>
    <n v="45"/>
    <n v="41200"/>
    <x v="1"/>
    <n v="0"/>
    <n v="0"/>
    <x v="6"/>
    <x v="1"/>
    <x v="1"/>
    <d v="2024-03-20T00:00:00"/>
    <n v="0"/>
    <x v="0"/>
  </r>
  <r>
    <n v="104186"/>
    <n v="44"/>
    <n v="44500"/>
    <x v="1"/>
    <n v="49500"/>
    <n v="0"/>
    <x v="6"/>
    <x v="3"/>
    <x v="1"/>
    <d v="2025-05-28T00:00:00"/>
    <n v="49500"/>
    <x v="0"/>
  </r>
  <r>
    <n v="104187"/>
    <n v="26"/>
    <n v="33600"/>
    <x v="0"/>
    <n v="42000"/>
    <n v="0"/>
    <x v="7"/>
    <x v="0"/>
    <x v="1"/>
    <d v="2025-10-08T00:00:00"/>
    <n v="42000"/>
    <x v="0"/>
  </r>
  <r>
    <n v="104188"/>
    <n v="35"/>
    <n v="67600"/>
    <x v="1"/>
    <n v="67800"/>
    <n v="0"/>
    <x v="2"/>
    <x v="1"/>
    <x v="1"/>
    <d v="2025-03-27T00:00:00"/>
    <n v="67800"/>
    <x v="0"/>
  </r>
  <r>
    <n v="104189"/>
    <n v="49"/>
    <n v="57600"/>
    <x v="1"/>
    <n v="34700"/>
    <n v="0"/>
    <x v="6"/>
    <x v="1"/>
    <x v="1"/>
    <d v="2025-12-11T00:00:00"/>
    <n v="34700"/>
    <x v="0"/>
  </r>
  <r>
    <n v="104190"/>
    <n v="57"/>
    <n v="101900"/>
    <x v="1"/>
    <n v="0"/>
    <n v="0"/>
    <x v="2"/>
    <x v="2"/>
    <x v="1"/>
    <d v="2025-07-16T00:00:00"/>
    <n v="0"/>
    <x v="1"/>
  </r>
  <r>
    <n v="104191"/>
    <n v="31"/>
    <n v="114000"/>
    <x v="2"/>
    <n v="43400"/>
    <n v="0"/>
    <x v="3"/>
    <x v="1"/>
    <x v="1"/>
    <d v="2024-08-05T00:00:00"/>
    <n v="43400"/>
    <x v="1"/>
  </r>
  <r>
    <n v="104192"/>
    <n v="28"/>
    <n v="52500"/>
    <x v="0"/>
    <n v="21600"/>
    <n v="110000"/>
    <x v="1"/>
    <x v="0"/>
    <x v="1"/>
    <d v="2024-10-21T00:00:00"/>
    <n v="131600"/>
    <x v="0"/>
  </r>
  <r>
    <n v="104193"/>
    <n v="24"/>
    <n v="50600"/>
    <x v="1"/>
    <n v="49600"/>
    <n v="0"/>
    <x v="5"/>
    <x v="2"/>
    <x v="1"/>
    <d v="2025-01-18T00:00:00"/>
    <n v="49600"/>
    <x v="0"/>
  </r>
  <r>
    <n v="104194"/>
    <n v="24"/>
    <n v="77700"/>
    <x v="1"/>
    <n v="12900"/>
    <n v="0"/>
    <x v="2"/>
    <x v="2"/>
    <x v="1"/>
    <d v="2024-06-07T00:00:00"/>
    <n v="12900"/>
    <x v="1"/>
  </r>
  <r>
    <n v="104195"/>
    <n v="34"/>
    <n v="75000"/>
    <x v="1"/>
    <n v="36400"/>
    <n v="0"/>
    <x v="6"/>
    <x v="0"/>
    <x v="1"/>
    <d v="2024-07-18T00:00:00"/>
    <n v="36400"/>
    <x v="1"/>
  </r>
  <r>
    <n v="104196"/>
    <n v="20"/>
    <n v="83800"/>
    <x v="1"/>
    <n v="52500"/>
    <n v="0"/>
    <x v="3"/>
    <x v="1"/>
    <x v="1"/>
    <d v="2024-05-27T00:00:00"/>
    <n v="52500"/>
    <x v="1"/>
  </r>
  <r>
    <n v="104197"/>
    <n v="54"/>
    <n v="92000"/>
    <x v="0"/>
    <n v="27000"/>
    <n v="0"/>
    <x v="2"/>
    <x v="1"/>
    <x v="1"/>
    <d v="2025-02-23T00:00:00"/>
    <n v="27000"/>
    <x v="1"/>
  </r>
  <r>
    <n v="104198"/>
    <n v="39"/>
    <n v="58700"/>
    <x v="1"/>
    <n v="23900"/>
    <n v="0"/>
    <x v="5"/>
    <x v="1"/>
    <x v="1"/>
    <d v="2024-11-24T00:00:00"/>
    <n v="23900"/>
    <x v="0"/>
  </r>
  <r>
    <n v="104199"/>
    <n v="22"/>
    <n v="56700"/>
    <x v="1"/>
    <n v="14000"/>
    <n v="364000"/>
    <x v="2"/>
    <x v="0"/>
    <x v="0"/>
    <d v="2025-07-13T00:00:00"/>
    <n v="378000"/>
    <x v="0"/>
  </r>
  <r>
    <n v="104200"/>
    <n v="23"/>
    <n v="104600"/>
    <x v="1"/>
    <n v="23900"/>
    <n v="0"/>
    <x v="2"/>
    <x v="1"/>
    <x v="1"/>
    <d v="2024-12-12T00:00:00"/>
    <n v="23900"/>
    <x v="1"/>
  </r>
  <r>
    <n v="104201"/>
    <n v="54"/>
    <n v="35300"/>
    <x v="1"/>
    <n v="14400"/>
    <n v="0"/>
    <x v="1"/>
    <x v="1"/>
    <x v="1"/>
    <d v="2024-09-23T00:00:00"/>
    <n v="14400"/>
    <x v="0"/>
  </r>
  <r>
    <n v="104202"/>
    <n v="36"/>
    <n v="59800"/>
    <x v="1"/>
    <n v="35500"/>
    <n v="0"/>
    <x v="1"/>
    <x v="1"/>
    <x v="1"/>
    <d v="2026-03-15T00:00:00"/>
    <n v="35500"/>
    <x v="0"/>
  </r>
  <r>
    <n v="104203"/>
    <n v="60"/>
    <n v="46700"/>
    <x v="0"/>
    <n v="19700"/>
    <n v="0"/>
    <x v="7"/>
    <x v="1"/>
    <x v="1"/>
    <d v="2025-02-22T00:00:00"/>
    <n v="19700"/>
    <x v="0"/>
  </r>
  <r>
    <n v="104204"/>
    <n v="34"/>
    <n v="41100"/>
    <x v="1"/>
    <n v="0"/>
    <n v="284000"/>
    <x v="1"/>
    <x v="3"/>
    <x v="1"/>
    <d v="2024-06-23T00:00:00"/>
    <n v="284000"/>
    <x v="0"/>
  </r>
  <r>
    <n v="104205"/>
    <n v="52"/>
    <n v="35500"/>
    <x v="2"/>
    <n v="18000"/>
    <n v="0"/>
    <x v="3"/>
    <x v="0"/>
    <x v="1"/>
    <d v="2024-09-07T00:00:00"/>
    <n v="18000"/>
    <x v="0"/>
  </r>
  <r>
    <n v="104206"/>
    <n v="38"/>
    <n v="118700"/>
    <x v="1"/>
    <n v="0"/>
    <n v="167000"/>
    <x v="2"/>
    <x v="0"/>
    <x v="1"/>
    <d v="2024-01-04T00:00:00"/>
    <n v="167000"/>
    <x v="1"/>
  </r>
  <r>
    <n v="104207"/>
    <n v="36"/>
    <n v="57900"/>
    <x v="0"/>
    <n v="32500"/>
    <n v="0"/>
    <x v="1"/>
    <x v="2"/>
    <x v="1"/>
    <d v="2024-12-29T00:00:00"/>
    <n v="32500"/>
    <x v="0"/>
  </r>
  <r>
    <n v="104208"/>
    <n v="57"/>
    <n v="58900"/>
    <x v="1"/>
    <n v="0"/>
    <n v="0"/>
    <x v="2"/>
    <x v="1"/>
    <x v="1"/>
    <d v="2025-09-13T00:00:00"/>
    <n v="0"/>
    <x v="0"/>
  </r>
  <r>
    <n v="104209"/>
    <n v="55"/>
    <n v="33800"/>
    <x v="0"/>
    <n v="42200"/>
    <n v="0"/>
    <x v="2"/>
    <x v="1"/>
    <x v="1"/>
    <d v="2025-06-25T00:00:00"/>
    <n v="42200"/>
    <x v="0"/>
  </r>
  <r>
    <n v="104210"/>
    <n v="53"/>
    <n v="50000"/>
    <x v="1"/>
    <n v="50000"/>
    <n v="0"/>
    <x v="2"/>
    <x v="0"/>
    <x v="1"/>
    <d v="2025-04-08T00:00:00"/>
    <n v="50000"/>
    <x v="0"/>
  </r>
  <r>
    <n v="104211"/>
    <n v="27"/>
    <n v="43700"/>
    <x v="0"/>
    <n v="21200"/>
    <n v="0"/>
    <x v="1"/>
    <x v="2"/>
    <x v="1"/>
    <d v="2026-05-14T00:00:00"/>
    <n v="21200"/>
    <x v="0"/>
  </r>
  <r>
    <n v="104212"/>
    <n v="56"/>
    <n v="48100"/>
    <x v="1"/>
    <n v="32400"/>
    <n v="0"/>
    <x v="7"/>
    <x v="1"/>
    <x v="1"/>
    <d v="2024-08-15T00:00:00"/>
    <n v="32400"/>
    <x v="0"/>
  </r>
  <r>
    <n v="104213"/>
    <n v="52"/>
    <n v="45400"/>
    <x v="1"/>
    <n v="56800"/>
    <n v="307000"/>
    <x v="0"/>
    <x v="0"/>
    <x v="1"/>
    <d v="2026-05-02T00:00:00"/>
    <n v="363800"/>
    <x v="0"/>
  </r>
  <r>
    <n v="104214"/>
    <n v="53"/>
    <n v="57700"/>
    <x v="1"/>
    <n v="44200"/>
    <n v="0"/>
    <x v="3"/>
    <x v="2"/>
    <x v="1"/>
    <d v="2025-08-31T00:00:00"/>
    <n v="44200"/>
    <x v="0"/>
  </r>
  <r>
    <n v="104215"/>
    <n v="22"/>
    <n v="70400"/>
    <x v="1"/>
    <n v="39000"/>
    <n v="0"/>
    <x v="2"/>
    <x v="0"/>
    <x v="1"/>
    <d v="2025-01-23T00:00:00"/>
    <n v="39000"/>
    <x v="1"/>
  </r>
  <r>
    <n v="104216"/>
    <n v="40"/>
    <n v="63400"/>
    <x v="1"/>
    <n v="37600"/>
    <n v="0"/>
    <x v="5"/>
    <x v="1"/>
    <x v="1"/>
    <d v="2025-02-22T00:00:00"/>
    <n v="37600"/>
    <x v="0"/>
  </r>
  <r>
    <n v="104217"/>
    <n v="28"/>
    <n v="92800"/>
    <x v="0"/>
    <n v="78900"/>
    <n v="156000"/>
    <x v="6"/>
    <x v="1"/>
    <x v="1"/>
    <d v="2024-12-10T00:00:00"/>
    <n v="234900"/>
    <x v="1"/>
  </r>
  <r>
    <n v="104218"/>
    <n v="35"/>
    <n v="41300"/>
    <x v="2"/>
    <n v="47400"/>
    <n v="0"/>
    <x v="7"/>
    <x v="1"/>
    <x v="1"/>
    <d v="2025-08-22T00:00:00"/>
    <n v="47400"/>
    <x v="0"/>
  </r>
  <r>
    <n v="104219"/>
    <n v="62"/>
    <n v="62800"/>
    <x v="0"/>
    <n v="0"/>
    <n v="146000"/>
    <x v="0"/>
    <x v="1"/>
    <x v="1"/>
    <d v="2026-07-27T00:00:00"/>
    <n v="146000"/>
    <x v="0"/>
  </r>
  <r>
    <n v="104220"/>
    <n v="20"/>
    <n v="61600"/>
    <x v="0"/>
    <n v="0"/>
    <n v="0"/>
    <x v="7"/>
    <x v="1"/>
    <x v="1"/>
    <d v="2026-05-30T00:00:00"/>
    <n v="0"/>
    <x v="0"/>
  </r>
  <r>
    <n v="104221"/>
    <n v="55"/>
    <n v="37800"/>
    <x v="0"/>
    <n v="18400"/>
    <n v="0"/>
    <x v="1"/>
    <x v="1"/>
    <x v="1"/>
    <d v="2025-04-25T00:00:00"/>
    <n v="18400"/>
    <x v="0"/>
  </r>
  <r>
    <n v="104222"/>
    <n v="49"/>
    <n v="42300"/>
    <x v="0"/>
    <n v="20900"/>
    <n v="0"/>
    <x v="1"/>
    <x v="1"/>
    <x v="1"/>
    <d v="2025-11-04T00:00:00"/>
    <n v="20900"/>
    <x v="0"/>
  </r>
  <r>
    <n v="104223"/>
    <n v="56"/>
    <n v="123500"/>
    <x v="0"/>
    <n v="25100"/>
    <n v="316000"/>
    <x v="6"/>
    <x v="1"/>
    <x v="1"/>
    <d v="2025-01-07T00:00:00"/>
    <n v="341100"/>
    <x v="1"/>
  </r>
  <r>
    <n v="104224"/>
    <n v="62"/>
    <n v="29200"/>
    <x v="0"/>
    <n v="16900"/>
    <n v="0"/>
    <x v="6"/>
    <x v="0"/>
    <x v="0"/>
    <d v="2025-03-28T00:00:00"/>
    <n v="16900"/>
    <x v="0"/>
  </r>
  <r>
    <n v="104225"/>
    <n v="59"/>
    <n v="43000"/>
    <x v="1"/>
    <n v="0"/>
    <n v="0"/>
    <x v="4"/>
    <x v="1"/>
    <x v="1"/>
    <d v="2024-06-11T00:00:00"/>
    <n v="0"/>
    <x v="0"/>
  </r>
  <r>
    <n v="104226"/>
    <n v="42"/>
    <n v="46300"/>
    <x v="1"/>
    <n v="23600"/>
    <n v="178000"/>
    <x v="7"/>
    <x v="2"/>
    <x v="1"/>
    <d v="2024-11-23T00:00:00"/>
    <n v="201600"/>
    <x v="0"/>
  </r>
  <r>
    <n v="104227"/>
    <n v="33"/>
    <n v="66000"/>
    <x v="2"/>
    <n v="0"/>
    <n v="0"/>
    <x v="7"/>
    <x v="2"/>
    <x v="1"/>
    <d v="2026-03-31T00:00:00"/>
    <n v="0"/>
    <x v="0"/>
  </r>
  <r>
    <n v="104228"/>
    <n v="60"/>
    <n v="47900"/>
    <x v="1"/>
    <n v="0"/>
    <n v="0"/>
    <x v="7"/>
    <x v="1"/>
    <x v="1"/>
    <d v="2025-06-02T00:00:00"/>
    <n v="0"/>
    <x v="0"/>
  </r>
  <r>
    <n v="104229"/>
    <n v="62"/>
    <n v="59900"/>
    <x v="1"/>
    <n v="24100"/>
    <n v="219000"/>
    <x v="6"/>
    <x v="1"/>
    <x v="1"/>
    <d v="2024-12-12T00:00:00"/>
    <n v="243100"/>
    <x v="0"/>
  </r>
  <r>
    <n v="104230"/>
    <n v="59"/>
    <n v="69300"/>
    <x v="1"/>
    <n v="61300"/>
    <n v="0"/>
    <x v="6"/>
    <x v="0"/>
    <x v="1"/>
    <d v="2024-01-25T00:00:00"/>
    <n v="61300"/>
    <x v="0"/>
  </r>
  <r>
    <n v="104231"/>
    <n v="42"/>
    <n v="32900"/>
    <x v="1"/>
    <n v="40000"/>
    <n v="0"/>
    <x v="0"/>
    <x v="0"/>
    <x v="1"/>
    <d v="2024-11-21T00:00:00"/>
    <n v="40000"/>
    <x v="0"/>
  </r>
  <r>
    <n v="104232"/>
    <n v="44"/>
    <n v="63200"/>
    <x v="0"/>
    <n v="0"/>
    <n v="0"/>
    <x v="4"/>
    <x v="1"/>
    <x v="1"/>
    <d v="2026-08-25T00:00:00"/>
    <n v="0"/>
    <x v="0"/>
  </r>
  <r>
    <n v="104233"/>
    <n v="53"/>
    <n v="105100"/>
    <x v="1"/>
    <n v="55700"/>
    <n v="0"/>
    <x v="0"/>
    <x v="2"/>
    <x v="1"/>
    <d v="2025-08-10T00:00:00"/>
    <n v="55700"/>
    <x v="1"/>
  </r>
  <r>
    <n v="104234"/>
    <n v="30"/>
    <n v="47500"/>
    <x v="1"/>
    <n v="20700"/>
    <n v="0"/>
    <x v="1"/>
    <x v="1"/>
    <x v="1"/>
    <d v="2026-04-28T00:00:00"/>
    <n v="20700"/>
    <x v="0"/>
  </r>
  <r>
    <n v="104235"/>
    <n v="53"/>
    <n v="51300"/>
    <x v="1"/>
    <n v="21600"/>
    <n v="0"/>
    <x v="3"/>
    <x v="3"/>
    <x v="1"/>
    <d v="2026-08-13T00:00:00"/>
    <n v="21600"/>
    <x v="0"/>
  </r>
  <r>
    <n v="104236"/>
    <n v="68"/>
    <n v="60900"/>
    <x v="1"/>
    <n v="18800"/>
    <n v="0"/>
    <x v="2"/>
    <x v="1"/>
    <x v="0"/>
    <d v="2025-02-12T00:00:00"/>
    <n v="18800"/>
    <x v="0"/>
  </r>
  <r>
    <n v="104237"/>
    <n v="50"/>
    <n v="58500"/>
    <x v="2"/>
    <n v="26100"/>
    <n v="0"/>
    <x v="2"/>
    <x v="2"/>
    <x v="1"/>
    <d v="2024-11-22T00:00:00"/>
    <n v="26100"/>
    <x v="0"/>
  </r>
  <r>
    <n v="104238"/>
    <n v="67"/>
    <n v="81100"/>
    <x v="0"/>
    <n v="64900"/>
    <n v="375000"/>
    <x v="5"/>
    <x v="2"/>
    <x v="1"/>
    <d v="2026-04-24T00:00:00"/>
    <n v="439900"/>
    <x v="1"/>
  </r>
  <r>
    <n v="104239"/>
    <n v="71"/>
    <n v="80200"/>
    <x v="0"/>
    <n v="0"/>
    <n v="0"/>
    <x v="6"/>
    <x v="1"/>
    <x v="1"/>
    <d v="2026-07-22T00:00:00"/>
    <n v="0"/>
    <x v="1"/>
  </r>
  <r>
    <n v="104240"/>
    <n v="40"/>
    <n v="86300"/>
    <x v="0"/>
    <n v="25500"/>
    <n v="0"/>
    <x v="2"/>
    <x v="1"/>
    <x v="1"/>
    <d v="2024-02-17T00:00:00"/>
    <n v="25500"/>
    <x v="1"/>
  </r>
  <r>
    <n v="104241"/>
    <n v="53"/>
    <n v="25600"/>
    <x v="1"/>
    <n v="32000"/>
    <n v="108000"/>
    <x v="7"/>
    <x v="0"/>
    <x v="1"/>
    <d v="2024-11-06T00:00:00"/>
    <n v="140000"/>
    <x v="0"/>
  </r>
  <r>
    <n v="104242"/>
    <n v="57"/>
    <n v="43700"/>
    <x v="1"/>
    <n v="44400"/>
    <n v="0"/>
    <x v="0"/>
    <x v="2"/>
    <x v="1"/>
    <d v="2025-10-06T00:00:00"/>
    <n v="44400"/>
    <x v="0"/>
  </r>
  <r>
    <n v="104243"/>
    <n v="44"/>
    <n v="112600"/>
    <x v="1"/>
    <n v="6800"/>
    <n v="246000"/>
    <x v="2"/>
    <x v="2"/>
    <x v="1"/>
    <d v="2026-04-29T00:00:00"/>
    <n v="252800"/>
    <x v="1"/>
  </r>
  <r>
    <n v="104244"/>
    <n v="39"/>
    <n v="49100"/>
    <x v="1"/>
    <n v="0"/>
    <n v="0"/>
    <x v="4"/>
    <x v="2"/>
    <x v="1"/>
    <d v="2025-05-04T00:00:00"/>
    <n v="0"/>
    <x v="0"/>
  </r>
  <r>
    <n v="104245"/>
    <n v="21"/>
    <n v="53500"/>
    <x v="2"/>
    <n v="9200"/>
    <n v="0"/>
    <x v="5"/>
    <x v="1"/>
    <x v="1"/>
    <d v="2024-09-04T00:00:00"/>
    <n v="9200"/>
    <x v="0"/>
  </r>
  <r>
    <n v="104246"/>
    <n v="41"/>
    <n v="55500"/>
    <x v="1"/>
    <n v="64300"/>
    <n v="0"/>
    <x v="6"/>
    <x v="0"/>
    <x v="1"/>
    <d v="2025-11-02T00:00:00"/>
    <n v="64300"/>
    <x v="0"/>
  </r>
  <r>
    <n v="104247"/>
    <n v="45"/>
    <n v="41800"/>
    <x v="1"/>
    <n v="16000"/>
    <n v="181000"/>
    <x v="0"/>
    <x v="1"/>
    <x v="1"/>
    <d v="2024-08-14T00:00:00"/>
    <n v="197000"/>
    <x v="0"/>
  </r>
  <r>
    <n v="104248"/>
    <n v="35"/>
    <n v="49900"/>
    <x v="0"/>
    <n v="0"/>
    <n v="0"/>
    <x v="4"/>
    <x v="2"/>
    <x v="1"/>
    <d v="2025-10-24T00:00:00"/>
    <n v="0"/>
    <x v="0"/>
  </r>
  <r>
    <n v="104249"/>
    <n v="60"/>
    <n v="94500"/>
    <x v="0"/>
    <n v="0"/>
    <n v="0"/>
    <x v="3"/>
    <x v="1"/>
    <x v="1"/>
    <d v="2024-02-06T00:00:00"/>
    <n v="0"/>
    <x v="1"/>
  </r>
  <r>
    <n v="104250"/>
    <n v="69"/>
    <n v="28500"/>
    <x v="1"/>
    <n v="35600"/>
    <n v="0"/>
    <x v="6"/>
    <x v="1"/>
    <x v="1"/>
    <d v="2026-07-12T00:00:00"/>
    <n v="35600"/>
    <x v="0"/>
  </r>
  <r>
    <n v="104251"/>
    <n v="66"/>
    <n v="63400"/>
    <x v="0"/>
    <n v="0"/>
    <n v="0"/>
    <x v="4"/>
    <x v="0"/>
    <x v="1"/>
    <d v="2024-04-16T00:00:00"/>
    <n v="0"/>
    <x v="0"/>
  </r>
  <r>
    <n v="104252"/>
    <n v="39"/>
    <n v="23200"/>
    <x v="0"/>
    <n v="29000"/>
    <n v="0"/>
    <x v="7"/>
    <x v="1"/>
    <x v="1"/>
    <d v="2024-01-15T00:00:00"/>
    <n v="29000"/>
    <x v="0"/>
  </r>
  <r>
    <n v="104253"/>
    <n v="57"/>
    <n v="59900"/>
    <x v="1"/>
    <n v="28700"/>
    <n v="0"/>
    <x v="0"/>
    <x v="2"/>
    <x v="0"/>
    <d v="2026-05-28T00:00:00"/>
    <n v="28700"/>
    <x v="0"/>
  </r>
  <r>
    <n v="104254"/>
    <n v="60"/>
    <n v="63100"/>
    <x v="1"/>
    <n v="17900"/>
    <n v="107000"/>
    <x v="1"/>
    <x v="2"/>
    <x v="1"/>
    <d v="2025-02-22T00:00:00"/>
    <n v="124900"/>
    <x v="0"/>
  </r>
  <r>
    <n v="104255"/>
    <n v="44"/>
    <n v="123200"/>
    <x v="1"/>
    <n v="16800"/>
    <n v="0"/>
    <x v="1"/>
    <x v="2"/>
    <x v="1"/>
    <d v="2025-08-30T00:00:00"/>
    <n v="16800"/>
    <x v="1"/>
  </r>
  <r>
    <n v="104256"/>
    <n v="52"/>
    <n v="56500"/>
    <x v="1"/>
    <n v="0"/>
    <n v="0"/>
    <x v="2"/>
    <x v="0"/>
    <x v="1"/>
    <d v="2026-03-21T00:00:00"/>
    <n v="0"/>
    <x v="0"/>
  </r>
  <r>
    <n v="104257"/>
    <n v="67"/>
    <n v="70300"/>
    <x v="2"/>
    <n v="26500"/>
    <n v="0"/>
    <x v="7"/>
    <x v="2"/>
    <x v="1"/>
    <d v="2025-10-29T00:00:00"/>
    <n v="26500"/>
    <x v="1"/>
  </r>
  <r>
    <n v="104258"/>
    <n v="34"/>
    <n v="33500"/>
    <x v="1"/>
    <n v="41900"/>
    <n v="165000"/>
    <x v="1"/>
    <x v="3"/>
    <x v="1"/>
    <d v="2024-09-28T00:00:00"/>
    <n v="206900"/>
    <x v="0"/>
  </r>
  <r>
    <n v="104259"/>
    <n v="73"/>
    <n v="99900"/>
    <x v="1"/>
    <n v="29200"/>
    <n v="162000"/>
    <x v="0"/>
    <x v="2"/>
    <x v="1"/>
    <d v="2024-10-17T00:00:00"/>
    <n v="191200"/>
    <x v="1"/>
  </r>
  <r>
    <n v="104260"/>
    <n v="42"/>
    <n v="74000"/>
    <x v="0"/>
    <n v="39600"/>
    <n v="0"/>
    <x v="5"/>
    <x v="0"/>
    <x v="1"/>
    <d v="2024-03-29T00:00:00"/>
    <n v="39600"/>
    <x v="1"/>
  </r>
  <r>
    <n v="104261"/>
    <n v="62"/>
    <n v="73200"/>
    <x v="0"/>
    <n v="0"/>
    <n v="0"/>
    <x v="7"/>
    <x v="1"/>
    <x v="1"/>
    <d v="2024-09-17T00:00:00"/>
    <n v="0"/>
    <x v="1"/>
  </r>
  <r>
    <n v="104262"/>
    <n v="58"/>
    <n v="60200"/>
    <x v="2"/>
    <n v="39800"/>
    <n v="0"/>
    <x v="3"/>
    <x v="1"/>
    <x v="1"/>
    <d v="2026-08-11T00:00:00"/>
    <n v="39800"/>
    <x v="0"/>
  </r>
  <r>
    <n v="104263"/>
    <n v="40"/>
    <n v="79000"/>
    <x v="1"/>
    <n v="32300"/>
    <n v="0"/>
    <x v="7"/>
    <x v="2"/>
    <x v="1"/>
    <d v="2024-11-14T00:00:00"/>
    <n v="32300"/>
    <x v="1"/>
  </r>
  <r>
    <n v="104264"/>
    <n v="47"/>
    <n v="44700"/>
    <x v="0"/>
    <n v="54100"/>
    <n v="0"/>
    <x v="0"/>
    <x v="1"/>
    <x v="1"/>
    <d v="2024-06-07T00:00:00"/>
    <n v="54100"/>
    <x v="0"/>
  </r>
  <r>
    <n v="104265"/>
    <n v="40"/>
    <n v="50200"/>
    <x v="1"/>
    <n v="16200"/>
    <n v="0"/>
    <x v="4"/>
    <x v="0"/>
    <x v="1"/>
    <d v="2024-09-18T00:00:00"/>
    <n v="16200"/>
    <x v="0"/>
  </r>
  <r>
    <n v="104266"/>
    <n v="27"/>
    <n v="93300"/>
    <x v="1"/>
    <n v="5500"/>
    <n v="0"/>
    <x v="5"/>
    <x v="0"/>
    <x v="1"/>
    <d v="2025-10-05T00:00:00"/>
    <n v="5500"/>
    <x v="1"/>
  </r>
  <r>
    <n v="104267"/>
    <n v="43"/>
    <n v="82700"/>
    <x v="2"/>
    <n v="26700"/>
    <n v="0"/>
    <x v="6"/>
    <x v="1"/>
    <x v="1"/>
    <d v="2026-06-16T00:00:00"/>
    <n v="26700"/>
    <x v="1"/>
  </r>
  <r>
    <n v="104268"/>
    <n v="53"/>
    <n v="102400"/>
    <x v="0"/>
    <n v="32100"/>
    <n v="146000"/>
    <x v="5"/>
    <x v="2"/>
    <x v="1"/>
    <d v="2025-11-03T00:00:00"/>
    <n v="178100"/>
    <x v="1"/>
  </r>
  <r>
    <n v="104269"/>
    <n v="59"/>
    <n v="41900"/>
    <x v="0"/>
    <n v="52400"/>
    <n v="0"/>
    <x v="7"/>
    <x v="1"/>
    <x v="1"/>
    <d v="2024-06-07T00:00:00"/>
    <n v="52400"/>
    <x v="0"/>
  </r>
  <r>
    <n v="104270"/>
    <n v="46"/>
    <n v="36400"/>
    <x v="1"/>
    <n v="0"/>
    <n v="0"/>
    <x v="1"/>
    <x v="3"/>
    <x v="1"/>
    <d v="2024-12-09T00:00:00"/>
    <n v="0"/>
    <x v="0"/>
  </r>
  <r>
    <n v="104271"/>
    <n v="52"/>
    <n v="84900"/>
    <x v="2"/>
    <n v="58600"/>
    <n v="0"/>
    <x v="7"/>
    <x v="1"/>
    <x v="1"/>
    <d v="2024-10-28T00:00:00"/>
    <n v="58600"/>
    <x v="1"/>
  </r>
  <r>
    <n v="104272"/>
    <n v="57"/>
    <n v="74400"/>
    <x v="2"/>
    <n v="40100"/>
    <n v="114000"/>
    <x v="1"/>
    <x v="1"/>
    <x v="1"/>
    <d v="2025-05-21T00:00:00"/>
    <n v="154100"/>
    <x v="1"/>
  </r>
  <r>
    <n v="104273"/>
    <n v="30"/>
    <n v="119200"/>
    <x v="2"/>
    <n v="0"/>
    <n v="0"/>
    <x v="5"/>
    <x v="1"/>
    <x v="1"/>
    <d v="2025-09-10T00:00:00"/>
    <n v="0"/>
    <x v="1"/>
  </r>
  <r>
    <n v="104274"/>
    <n v="20"/>
    <n v="100200"/>
    <x v="1"/>
    <n v="29500"/>
    <n v="0"/>
    <x v="3"/>
    <x v="1"/>
    <x v="0"/>
    <d v="2024-03-18T00:00:00"/>
    <n v="29500"/>
    <x v="1"/>
  </r>
  <r>
    <n v="104275"/>
    <n v="45"/>
    <n v="36200"/>
    <x v="0"/>
    <n v="0"/>
    <n v="0"/>
    <x v="7"/>
    <x v="1"/>
    <x v="1"/>
    <d v="2024-01-16T00:00:00"/>
    <n v="0"/>
    <x v="0"/>
  </r>
  <r>
    <n v="104276"/>
    <n v="41"/>
    <n v="43600"/>
    <x v="1"/>
    <n v="45000"/>
    <n v="0"/>
    <x v="3"/>
    <x v="2"/>
    <x v="1"/>
    <d v="2025-11-11T00:00:00"/>
    <n v="45000"/>
    <x v="0"/>
  </r>
  <r>
    <n v="104277"/>
    <n v="66"/>
    <n v="34100"/>
    <x v="1"/>
    <n v="22400"/>
    <n v="0"/>
    <x v="4"/>
    <x v="1"/>
    <x v="1"/>
    <d v="2024-02-29T00:00:00"/>
    <n v="22400"/>
    <x v="0"/>
  </r>
  <r>
    <n v="104278"/>
    <n v="75"/>
    <n v="35900"/>
    <x v="0"/>
    <n v="44900"/>
    <n v="0"/>
    <x v="2"/>
    <x v="3"/>
    <x v="0"/>
    <d v="2024-12-28T00:00:00"/>
    <n v="44900"/>
    <x v="0"/>
  </r>
  <r>
    <n v="104279"/>
    <n v="37"/>
    <n v="82900"/>
    <x v="0"/>
    <n v="32800"/>
    <n v="0"/>
    <x v="2"/>
    <x v="2"/>
    <x v="1"/>
    <d v="2024-03-29T00:00:00"/>
    <n v="32800"/>
    <x v="1"/>
  </r>
  <r>
    <n v="104280"/>
    <n v="75"/>
    <n v="48000"/>
    <x v="0"/>
    <n v="27200"/>
    <n v="0"/>
    <x v="1"/>
    <x v="0"/>
    <x v="1"/>
    <d v="2025-01-24T00:00:00"/>
    <n v="27200"/>
    <x v="0"/>
  </r>
  <r>
    <n v="104281"/>
    <n v="42"/>
    <n v="30700"/>
    <x v="1"/>
    <n v="0"/>
    <n v="0"/>
    <x v="4"/>
    <x v="0"/>
    <x v="1"/>
    <d v="2024-11-14T00:00:00"/>
    <n v="0"/>
    <x v="0"/>
  </r>
  <r>
    <n v="104282"/>
    <n v="75"/>
    <n v="108200"/>
    <x v="0"/>
    <n v="16300"/>
    <n v="0"/>
    <x v="2"/>
    <x v="2"/>
    <x v="1"/>
    <d v="2025-12-14T00:00:00"/>
    <n v="16300"/>
    <x v="1"/>
  </r>
  <r>
    <n v="104283"/>
    <n v="29"/>
    <n v="94000"/>
    <x v="2"/>
    <n v="0"/>
    <n v="283000"/>
    <x v="3"/>
    <x v="2"/>
    <x v="1"/>
    <d v="2025-03-01T00:00:00"/>
    <n v="283000"/>
    <x v="1"/>
  </r>
  <r>
    <n v="104284"/>
    <n v="28"/>
    <n v="31200"/>
    <x v="0"/>
    <n v="24500"/>
    <n v="0"/>
    <x v="7"/>
    <x v="3"/>
    <x v="0"/>
    <d v="2024-05-19T00:00:00"/>
    <n v="24500"/>
    <x v="0"/>
  </r>
  <r>
    <n v="104285"/>
    <n v="65"/>
    <n v="68400"/>
    <x v="0"/>
    <n v="85500"/>
    <n v="0"/>
    <x v="2"/>
    <x v="2"/>
    <x v="1"/>
    <d v="2025-06-27T00:00:00"/>
    <n v="85500"/>
    <x v="0"/>
  </r>
  <r>
    <n v="104286"/>
    <n v="45"/>
    <n v="54300"/>
    <x v="1"/>
    <n v="0"/>
    <n v="219000"/>
    <x v="1"/>
    <x v="1"/>
    <x v="1"/>
    <d v="2026-04-08T00:00:00"/>
    <n v="219000"/>
    <x v="0"/>
  </r>
  <r>
    <n v="104287"/>
    <n v="63"/>
    <n v="104300"/>
    <x v="1"/>
    <n v="72900"/>
    <n v="0"/>
    <x v="3"/>
    <x v="2"/>
    <x v="1"/>
    <d v="2025-04-09T00:00:00"/>
    <n v="72900"/>
    <x v="1"/>
  </r>
  <r>
    <n v="104288"/>
    <n v="25"/>
    <n v="102500"/>
    <x v="0"/>
    <n v="18600"/>
    <n v="322000"/>
    <x v="4"/>
    <x v="2"/>
    <x v="1"/>
    <d v="2026-05-15T00:00:00"/>
    <n v="340600"/>
    <x v="1"/>
  </r>
  <r>
    <n v="104289"/>
    <n v="70"/>
    <n v="79300"/>
    <x v="1"/>
    <n v="9500"/>
    <n v="144000"/>
    <x v="5"/>
    <x v="2"/>
    <x v="1"/>
    <d v="2024-11-30T00:00:00"/>
    <n v="153500"/>
    <x v="1"/>
  </r>
  <r>
    <n v="104290"/>
    <n v="61"/>
    <n v="56300"/>
    <x v="0"/>
    <n v="35400"/>
    <n v="156000"/>
    <x v="7"/>
    <x v="2"/>
    <x v="1"/>
    <d v="2024-12-04T00:00:00"/>
    <n v="191400"/>
    <x v="0"/>
  </r>
  <r>
    <n v="104291"/>
    <n v="31"/>
    <n v="38300"/>
    <x v="0"/>
    <n v="15800"/>
    <n v="0"/>
    <x v="4"/>
    <x v="3"/>
    <x v="1"/>
    <d v="2024-02-08T00:00:00"/>
    <n v="15800"/>
    <x v="0"/>
  </r>
  <r>
    <n v="104292"/>
    <n v="27"/>
    <n v="46700"/>
    <x v="0"/>
    <n v="36600"/>
    <n v="0"/>
    <x v="5"/>
    <x v="1"/>
    <x v="1"/>
    <d v="2024-10-25T00:00:00"/>
    <n v="36600"/>
    <x v="0"/>
  </r>
  <r>
    <n v="104293"/>
    <n v="35"/>
    <n v="70500"/>
    <x v="0"/>
    <n v="23900"/>
    <n v="0"/>
    <x v="7"/>
    <x v="1"/>
    <x v="1"/>
    <d v="2026-04-13T00:00:00"/>
    <n v="23900"/>
    <x v="1"/>
  </r>
  <r>
    <n v="104294"/>
    <n v="60"/>
    <n v="89200"/>
    <x v="0"/>
    <n v="0"/>
    <n v="0"/>
    <x v="1"/>
    <x v="2"/>
    <x v="1"/>
    <d v="2025-02-24T00:00:00"/>
    <n v="0"/>
    <x v="1"/>
  </r>
  <r>
    <n v="104295"/>
    <n v="58"/>
    <n v="89800"/>
    <x v="1"/>
    <n v="0"/>
    <n v="0"/>
    <x v="2"/>
    <x v="1"/>
    <x v="1"/>
    <d v="2024-10-13T00:00:00"/>
    <n v="0"/>
    <x v="1"/>
  </r>
  <r>
    <n v="104296"/>
    <n v="73"/>
    <n v="101600"/>
    <x v="0"/>
    <n v="26400"/>
    <n v="268000"/>
    <x v="7"/>
    <x v="3"/>
    <x v="1"/>
    <d v="2024-02-25T00:00:00"/>
    <n v="294400"/>
    <x v="1"/>
  </r>
  <r>
    <n v="104297"/>
    <n v="66"/>
    <n v="40500"/>
    <x v="1"/>
    <n v="41600"/>
    <n v="155000"/>
    <x v="2"/>
    <x v="3"/>
    <x v="1"/>
    <d v="2024-01-03T00:00:00"/>
    <n v="196600"/>
    <x v="0"/>
  </r>
  <r>
    <n v="104298"/>
    <n v="38"/>
    <n v="40800"/>
    <x v="1"/>
    <n v="0"/>
    <n v="0"/>
    <x v="1"/>
    <x v="0"/>
    <x v="1"/>
    <d v="2024-09-27T00:00:00"/>
    <n v="0"/>
    <x v="0"/>
  </r>
  <r>
    <n v="104299"/>
    <n v="21"/>
    <n v="35600"/>
    <x v="1"/>
    <n v="13300"/>
    <n v="0"/>
    <x v="3"/>
    <x v="3"/>
    <x v="1"/>
    <d v="2024-11-30T00:00:00"/>
    <n v="13300"/>
    <x v="0"/>
  </r>
  <r>
    <n v="104300"/>
    <n v="31"/>
    <n v="22400"/>
    <x v="2"/>
    <n v="17700"/>
    <n v="0"/>
    <x v="6"/>
    <x v="0"/>
    <x v="1"/>
    <d v="2025-02-01T00:00:00"/>
    <n v="17700"/>
    <x v="0"/>
  </r>
  <r>
    <n v="104301"/>
    <n v="67"/>
    <n v="45500"/>
    <x v="0"/>
    <n v="56900"/>
    <n v="0"/>
    <x v="1"/>
    <x v="2"/>
    <x v="1"/>
    <d v="2025-07-16T00:00:00"/>
    <n v="56900"/>
    <x v="0"/>
  </r>
  <r>
    <n v="104302"/>
    <n v="29"/>
    <n v="40600"/>
    <x v="1"/>
    <n v="45800"/>
    <n v="284000"/>
    <x v="5"/>
    <x v="1"/>
    <x v="1"/>
    <d v="2024-09-13T00:00:00"/>
    <n v="329800"/>
    <x v="0"/>
  </r>
  <r>
    <n v="104303"/>
    <n v="22"/>
    <n v="49000"/>
    <x v="1"/>
    <n v="38000"/>
    <n v="114000"/>
    <x v="6"/>
    <x v="2"/>
    <x v="1"/>
    <d v="2026-04-13T00:00:00"/>
    <n v="152000"/>
    <x v="0"/>
  </r>
  <r>
    <n v="104304"/>
    <n v="41"/>
    <n v="53900"/>
    <x v="1"/>
    <n v="0"/>
    <n v="0"/>
    <x v="4"/>
    <x v="0"/>
    <x v="1"/>
    <d v="2024-08-19T00:00:00"/>
    <n v="0"/>
    <x v="0"/>
  </r>
  <r>
    <n v="104305"/>
    <n v="43"/>
    <n v="67100"/>
    <x v="1"/>
    <n v="0"/>
    <n v="145000"/>
    <x v="0"/>
    <x v="2"/>
    <x v="1"/>
    <d v="2026-08-25T00:00:00"/>
    <n v="145000"/>
    <x v="0"/>
  </r>
  <r>
    <n v="104306"/>
    <n v="21"/>
    <n v="38100"/>
    <x v="1"/>
    <n v="0"/>
    <n v="0"/>
    <x v="1"/>
    <x v="1"/>
    <x v="1"/>
    <d v="2024-04-10T00:00:00"/>
    <n v="0"/>
    <x v="0"/>
  </r>
  <r>
    <n v="104307"/>
    <n v="23"/>
    <n v="52900"/>
    <x v="1"/>
    <n v="17400"/>
    <n v="0"/>
    <x v="3"/>
    <x v="1"/>
    <x v="1"/>
    <d v="2025-03-30T00:00:00"/>
    <n v="17400"/>
    <x v="0"/>
  </r>
  <r>
    <n v="104308"/>
    <n v="38"/>
    <n v="32800"/>
    <x v="1"/>
    <n v="32100"/>
    <n v="0"/>
    <x v="3"/>
    <x v="1"/>
    <x v="1"/>
    <d v="2026-06-03T00:00:00"/>
    <n v="32100"/>
    <x v="0"/>
  </r>
  <r>
    <n v="104309"/>
    <n v="63"/>
    <n v="69100"/>
    <x v="0"/>
    <n v="0"/>
    <n v="0"/>
    <x v="2"/>
    <x v="2"/>
    <x v="1"/>
    <d v="2024-05-04T00:00:00"/>
    <n v="0"/>
    <x v="0"/>
  </r>
  <r>
    <n v="104310"/>
    <n v="40"/>
    <n v="61700"/>
    <x v="2"/>
    <n v="46600"/>
    <n v="0"/>
    <x v="0"/>
    <x v="1"/>
    <x v="1"/>
    <d v="2026-06-01T00:00:00"/>
    <n v="46600"/>
    <x v="0"/>
  </r>
  <r>
    <n v="104311"/>
    <n v="35"/>
    <n v="34300"/>
    <x v="2"/>
    <n v="42900"/>
    <n v="161000"/>
    <x v="5"/>
    <x v="2"/>
    <x v="1"/>
    <d v="2026-04-05T00:00:00"/>
    <n v="203900"/>
    <x v="0"/>
  </r>
  <r>
    <n v="104312"/>
    <n v="52"/>
    <n v="47600"/>
    <x v="1"/>
    <n v="29200"/>
    <n v="333000"/>
    <x v="3"/>
    <x v="1"/>
    <x v="1"/>
    <d v="2025-04-26T00:00:00"/>
    <n v="362200"/>
    <x v="0"/>
  </r>
  <r>
    <n v="104313"/>
    <n v="73"/>
    <n v="96300"/>
    <x v="1"/>
    <n v="67800"/>
    <n v="0"/>
    <x v="1"/>
    <x v="1"/>
    <x v="1"/>
    <d v="2026-08-24T00:00:00"/>
    <n v="67800"/>
    <x v="1"/>
  </r>
  <r>
    <n v="104314"/>
    <n v="40"/>
    <n v="71700"/>
    <x v="0"/>
    <n v="55700"/>
    <n v="77000"/>
    <x v="0"/>
    <x v="1"/>
    <x v="1"/>
    <d v="2026-08-13T00:00:00"/>
    <n v="132700"/>
    <x v="1"/>
  </r>
  <r>
    <n v="104315"/>
    <n v="51"/>
    <n v="53300"/>
    <x v="2"/>
    <n v="27700"/>
    <n v="315000"/>
    <x v="0"/>
    <x v="2"/>
    <x v="1"/>
    <d v="2024-08-06T00:00:00"/>
    <n v="342700"/>
    <x v="0"/>
  </r>
  <r>
    <n v="104316"/>
    <n v="54"/>
    <n v="42400"/>
    <x v="1"/>
    <n v="0"/>
    <n v="0"/>
    <x v="0"/>
    <x v="1"/>
    <x v="1"/>
    <d v="2024-01-31T00:00:00"/>
    <n v="0"/>
    <x v="0"/>
  </r>
  <r>
    <n v="104317"/>
    <n v="35"/>
    <n v="111400"/>
    <x v="1"/>
    <n v="73100"/>
    <n v="0"/>
    <x v="6"/>
    <x v="2"/>
    <x v="1"/>
    <d v="2025-11-12T00:00:00"/>
    <n v="73100"/>
    <x v="1"/>
  </r>
  <r>
    <n v="104318"/>
    <n v="69"/>
    <n v="91800"/>
    <x v="2"/>
    <n v="0"/>
    <n v="0"/>
    <x v="4"/>
    <x v="1"/>
    <x v="1"/>
    <d v="2026-01-10T00:00:00"/>
    <n v="0"/>
    <x v="1"/>
  </r>
  <r>
    <n v="104319"/>
    <n v="23"/>
    <n v="76500"/>
    <x v="2"/>
    <n v="73900"/>
    <n v="0"/>
    <x v="0"/>
    <x v="2"/>
    <x v="1"/>
    <d v="2024-07-29T00:00:00"/>
    <n v="73900"/>
    <x v="1"/>
  </r>
  <r>
    <n v="104320"/>
    <n v="37"/>
    <n v="81600"/>
    <x v="1"/>
    <n v="0"/>
    <n v="0"/>
    <x v="0"/>
    <x v="0"/>
    <x v="1"/>
    <d v="2024-09-16T00:00:00"/>
    <n v="0"/>
    <x v="1"/>
  </r>
  <r>
    <n v="104321"/>
    <n v="50"/>
    <n v="48000"/>
    <x v="1"/>
    <n v="30200"/>
    <n v="271000"/>
    <x v="4"/>
    <x v="2"/>
    <x v="1"/>
    <d v="2024-03-04T00:00:00"/>
    <n v="301200"/>
    <x v="0"/>
  </r>
  <r>
    <n v="104322"/>
    <n v="61"/>
    <n v="54700"/>
    <x v="2"/>
    <n v="49600"/>
    <n v="0"/>
    <x v="1"/>
    <x v="0"/>
    <x v="1"/>
    <d v="2024-02-26T00:00:00"/>
    <n v="49600"/>
    <x v="0"/>
  </r>
  <r>
    <n v="104323"/>
    <n v="34"/>
    <n v="61100"/>
    <x v="2"/>
    <n v="25700"/>
    <n v="0"/>
    <x v="2"/>
    <x v="1"/>
    <x v="1"/>
    <d v="2026-07-30T00:00:00"/>
    <n v="25700"/>
    <x v="0"/>
  </r>
  <r>
    <n v="104324"/>
    <n v="64"/>
    <n v="54600"/>
    <x v="1"/>
    <n v="50500"/>
    <n v="0"/>
    <x v="5"/>
    <x v="1"/>
    <x v="1"/>
    <d v="2024-08-27T00:00:00"/>
    <n v="50500"/>
    <x v="0"/>
  </r>
  <r>
    <n v="104325"/>
    <n v="26"/>
    <n v="107100"/>
    <x v="0"/>
    <n v="53700"/>
    <n v="97000"/>
    <x v="2"/>
    <x v="1"/>
    <x v="1"/>
    <d v="2024-04-08T00:00:00"/>
    <n v="150700"/>
    <x v="1"/>
  </r>
  <r>
    <n v="104326"/>
    <n v="64"/>
    <n v="95800"/>
    <x v="1"/>
    <n v="0"/>
    <n v="0"/>
    <x v="3"/>
    <x v="1"/>
    <x v="1"/>
    <d v="2024-10-24T00:00:00"/>
    <n v="0"/>
    <x v="1"/>
  </r>
  <r>
    <n v="104327"/>
    <n v="61"/>
    <n v="54700"/>
    <x v="2"/>
    <n v="14200"/>
    <n v="0"/>
    <x v="7"/>
    <x v="1"/>
    <x v="1"/>
    <d v="2024-02-16T00:00:00"/>
    <n v="14200"/>
    <x v="0"/>
  </r>
  <r>
    <n v="104328"/>
    <n v="60"/>
    <n v="58700"/>
    <x v="1"/>
    <n v="0"/>
    <n v="0"/>
    <x v="7"/>
    <x v="0"/>
    <x v="1"/>
    <d v="2024-02-24T00:00:00"/>
    <n v="0"/>
    <x v="0"/>
  </r>
  <r>
    <n v="104329"/>
    <n v="27"/>
    <n v="64000"/>
    <x v="0"/>
    <n v="6400"/>
    <n v="249000"/>
    <x v="5"/>
    <x v="1"/>
    <x v="1"/>
    <d v="2026-05-07T00:00:00"/>
    <n v="255400"/>
    <x v="0"/>
  </r>
  <r>
    <n v="104330"/>
    <n v="51"/>
    <n v="43500"/>
    <x v="1"/>
    <n v="54400"/>
    <n v="0"/>
    <x v="7"/>
    <x v="1"/>
    <x v="1"/>
    <d v="2025-05-04T00:00:00"/>
    <n v="54400"/>
    <x v="0"/>
  </r>
  <r>
    <n v="104331"/>
    <n v="22"/>
    <n v="33900"/>
    <x v="1"/>
    <n v="0"/>
    <n v="0"/>
    <x v="2"/>
    <x v="0"/>
    <x v="1"/>
    <d v="2024-03-19T00:00:00"/>
    <n v="0"/>
    <x v="0"/>
  </r>
  <r>
    <n v="104332"/>
    <n v="62"/>
    <n v="86600"/>
    <x v="0"/>
    <n v="0"/>
    <n v="0"/>
    <x v="5"/>
    <x v="3"/>
    <x v="1"/>
    <d v="2026-03-25T00:00:00"/>
    <n v="0"/>
    <x v="1"/>
  </r>
  <r>
    <n v="104333"/>
    <n v="56"/>
    <n v="42000"/>
    <x v="1"/>
    <n v="0"/>
    <n v="174000"/>
    <x v="1"/>
    <x v="0"/>
    <x v="1"/>
    <d v="2025-12-14T00:00:00"/>
    <n v="174000"/>
    <x v="0"/>
  </r>
  <r>
    <n v="104334"/>
    <n v="48"/>
    <n v="45100"/>
    <x v="1"/>
    <n v="17400"/>
    <n v="262000"/>
    <x v="2"/>
    <x v="2"/>
    <x v="1"/>
    <d v="2026-08-01T00:00:00"/>
    <n v="279400"/>
    <x v="0"/>
  </r>
  <r>
    <n v="104335"/>
    <n v="56"/>
    <n v="38300"/>
    <x v="1"/>
    <n v="47900"/>
    <n v="0"/>
    <x v="6"/>
    <x v="1"/>
    <x v="1"/>
    <d v="2026-06-18T00:00:00"/>
    <n v="47900"/>
    <x v="0"/>
  </r>
  <r>
    <n v="104336"/>
    <n v="58"/>
    <n v="67700"/>
    <x v="2"/>
    <n v="29700"/>
    <n v="0"/>
    <x v="0"/>
    <x v="1"/>
    <x v="1"/>
    <d v="2024-02-06T00:00:00"/>
    <n v="29700"/>
    <x v="0"/>
  </r>
  <r>
    <n v="104337"/>
    <n v="71"/>
    <n v="74700"/>
    <x v="0"/>
    <n v="0"/>
    <n v="0"/>
    <x v="1"/>
    <x v="2"/>
    <x v="1"/>
    <d v="2025-05-14T00:00:00"/>
    <n v="0"/>
    <x v="1"/>
  </r>
  <r>
    <n v="104338"/>
    <n v="52"/>
    <n v="70900"/>
    <x v="2"/>
    <n v="77900"/>
    <n v="0"/>
    <x v="6"/>
    <x v="1"/>
    <x v="1"/>
    <d v="2024-04-01T00:00:00"/>
    <n v="77900"/>
    <x v="1"/>
  </r>
  <r>
    <n v="104339"/>
    <n v="68"/>
    <n v="36200"/>
    <x v="2"/>
    <n v="0"/>
    <n v="0"/>
    <x v="2"/>
    <x v="0"/>
    <x v="1"/>
    <d v="2026-06-18T00:00:00"/>
    <n v="0"/>
    <x v="0"/>
  </r>
  <r>
    <n v="104340"/>
    <n v="55"/>
    <n v="38000"/>
    <x v="2"/>
    <n v="20700"/>
    <n v="174000"/>
    <x v="7"/>
    <x v="1"/>
    <x v="1"/>
    <d v="2026-04-24T00:00:00"/>
    <n v="194700"/>
    <x v="0"/>
  </r>
  <r>
    <n v="104341"/>
    <n v="64"/>
    <n v="76400"/>
    <x v="1"/>
    <n v="0"/>
    <n v="0"/>
    <x v="1"/>
    <x v="2"/>
    <x v="1"/>
    <d v="2024-06-28T00:00:00"/>
    <n v="0"/>
    <x v="1"/>
  </r>
  <r>
    <n v="104342"/>
    <n v="64"/>
    <n v="57100"/>
    <x v="1"/>
    <n v="0"/>
    <n v="165000"/>
    <x v="4"/>
    <x v="1"/>
    <x v="1"/>
    <d v="2025-12-26T00:00:00"/>
    <n v="165000"/>
    <x v="0"/>
  </r>
  <r>
    <n v="104343"/>
    <n v="51"/>
    <n v="40500"/>
    <x v="1"/>
    <n v="20300"/>
    <n v="0"/>
    <x v="5"/>
    <x v="1"/>
    <x v="1"/>
    <d v="2025-11-23T00:00:00"/>
    <n v="20300"/>
    <x v="0"/>
  </r>
  <r>
    <n v="104344"/>
    <n v="39"/>
    <n v="77700"/>
    <x v="1"/>
    <n v="9000"/>
    <n v="0"/>
    <x v="7"/>
    <x v="2"/>
    <x v="1"/>
    <d v="2025-06-04T00:00:00"/>
    <n v="9000"/>
    <x v="1"/>
  </r>
  <r>
    <n v="104345"/>
    <n v="49"/>
    <n v="31300"/>
    <x v="0"/>
    <n v="25500"/>
    <n v="0"/>
    <x v="2"/>
    <x v="3"/>
    <x v="0"/>
    <d v="2026-05-17T00:00:00"/>
    <n v="25500"/>
    <x v="0"/>
  </r>
  <r>
    <n v="104346"/>
    <n v="70"/>
    <n v="48700"/>
    <x v="2"/>
    <n v="0"/>
    <n v="0"/>
    <x v="6"/>
    <x v="0"/>
    <x v="1"/>
    <d v="2025-08-11T00:00:00"/>
    <n v="0"/>
    <x v="0"/>
  </r>
  <r>
    <n v="104347"/>
    <n v="43"/>
    <n v="50500"/>
    <x v="2"/>
    <n v="33200"/>
    <n v="0"/>
    <x v="3"/>
    <x v="1"/>
    <x v="1"/>
    <d v="2024-07-05T00:00:00"/>
    <n v="33200"/>
    <x v="0"/>
  </r>
  <r>
    <n v="104348"/>
    <n v="51"/>
    <n v="41800"/>
    <x v="0"/>
    <n v="19800"/>
    <n v="0"/>
    <x v="0"/>
    <x v="1"/>
    <x v="1"/>
    <d v="2026-07-15T00:00:00"/>
    <n v="19800"/>
    <x v="0"/>
  </r>
  <r>
    <n v="104349"/>
    <n v="24"/>
    <n v="36500"/>
    <x v="1"/>
    <n v="14100"/>
    <n v="0"/>
    <x v="0"/>
    <x v="1"/>
    <x v="1"/>
    <d v="2024-04-19T00:00:00"/>
    <n v="14100"/>
    <x v="0"/>
  </r>
  <r>
    <n v="104350"/>
    <n v="21"/>
    <n v="58100"/>
    <x v="1"/>
    <n v="0"/>
    <n v="0"/>
    <x v="4"/>
    <x v="0"/>
    <x v="1"/>
    <d v="2025-02-18T00:00:00"/>
    <n v="0"/>
    <x v="0"/>
  </r>
  <r>
    <n v="104351"/>
    <n v="56"/>
    <n v="45700"/>
    <x v="0"/>
    <n v="0"/>
    <n v="0"/>
    <x v="0"/>
    <x v="2"/>
    <x v="1"/>
    <d v="2024-05-22T00:00:00"/>
    <n v="0"/>
    <x v="0"/>
  </r>
  <r>
    <n v="104352"/>
    <n v="72"/>
    <n v="78300"/>
    <x v="1"/>
    <n v="0"/>
    <n v="0"/>
    <x v="7"/>
    <x v="1"/>
    <x v="1"/>
    <d v="2025-06-20T00:00:00"/>
    <n v="0"/>
    <x v="1"/>
  </r>
  <r>
    <n v="104353"/>
    <n v="68"/>
    <n v="48200"/>
    <x v="0"/>
    <n v="0"/>
    <n v="276000"/>
    <x v="5"/>
    <x v="2"/>
    <x v="1"/>
    <d v="2026-04-30T00:00:00"/>
    <n v="276000"/>
    <x v="0"/>
  </r>
  <r>
    <n v="104354"/>
    <n v="73"/>
    <n v="34800"/>
    <x v="1"/>
    <n v="0"/>
    <n v="0"/>
    <x v="7"/>
    <x v="3"/>
    <x v="1"/>
    <d v="2024-07-29T00:00:00"/>
    <n v="0"/>
    <x v="0"/>
  </r>
  <r>
    <n v="104355"/>
    <n v="50"/>
    <n v="68600"/>
    <x v="1"/>
    <n v="0"/>
    <n v="291000"/>
    <x v="4"/>
    <x v="2"/>
    <x v="1"/>
    <d v="2025-10-27T00:00:00"/>
    <n v="291000"/>
    <x v="0"/>
  </r>
  <r>
    <n v="104356"/>
    <n v="23"/>
    <n v="60900"/>
    <x v="0"/>
    <n v="0"/>
    <n v="112000"/>
    <x v="0"/>
    <x v="1"/>
    <x v="1"/>
    <d v="2024-03-17T00:00:00"/>
    <n v="112000"/>
    <x v="0"/>
  </r>
  <r>
    <n v="104357"/>
    <n v="48"/>
    <n v="90600"/>
    <x v="1"/>
    <n v="36300"/>
    <n v="0"/>
    <x v="3"/>
    <x v="1"/>
    <x v="1"/>
    <d v="2025-10-15T00:00:00"/>
    <n v="36300"/>
    <x v="1"/>
  </r>
  <r>
    <n v="104358"/>
    <n v="37"/>
    <n v="117700"/>
    <x v="1"/>
    <n v="0"/>
    <n v="130000"/>
    <x v="3"/>
    <x v="1"/>
    <x v="1"/>
    <d v="2025-04-01T00:00:00"/>
    <n v="130000"/>
    <x v="1"/>
  </r>
  <r>
    <n v="104359"/>
    <n v="23"/>
    <n v="73100"/>
    <x v="0"/>
    <n v="23700"/>
    <n v="0"/>
    <x v="5"/>
    <x v="2"/>
    <x v="1"/>
    <d v="2026-06-22T00:00:00"/>
    <n v="23700"/>
    <x v="1"/>
  </r>
  <r>
    <n v="104360"/>
    <n v="20"/>
    <n v="24500"/>
    <x v="2"/>
    <n v="0"/>
    <n v="0"/>
    <x v="4"/>
    <x v="0"/>
    <x v="1"/>
    <d v="2026-07-28T00:00:00"/>
    <n v="0"/>
    <x v="0"/>
  </r>
  <r>
    <n v="104361"/>
    <n v="36"/>
    <n v="63500"/>
    <x v="1"/>
    <n v="34300"/>
    <n v="0"/>
    <x v="4"/>
    <x v="1"/>
    <x v="1"/>
    <d v="2025-06-13T00:00:00"/>
    <n v="34300"/>
    <x v="0"/>
  </r>
  <r>
    <n v="104362"/>
    <n v="40"/>
    <n v="30500"/>
    <x v="2"/>
    <n v="0"/>
    <n v="0"/>
    <x v="7"/>
    <x v="1"/>
    <x v="1"/>
    <d v="2025-07-20T00:00:00"/>
    <n v="0"/>
    <x v="0"/>
  </r>
  <r>
    <n v="104363"/>
    <n v="68"/>
    <n v="39100"/>
    <x v="1"/>
    <n v="26000"/>
    <n v="0"/>
    <x v="2"/>
    <x v="1"/>
    <x v="1"/>
    <d v="2024-11-24T00:00:00"/>
    <n v="26000"/>
    <x v="0"/>
  </r>
  <r>
    <n v="104364"/>
    <n v="74"/>
    <n v="86400"/>
    <x v="1"/>
    <n v="0"/>
    <n v="0"/>
    <x v="6"/>
    <x v="2"/>
    <x v="1"/>
    <d v="2025-03-02T00:00:00"/>
    <n v="0"/>
    <x v="1"/>
  </r>
  <r>
    <n v="104365"/>
    <n v="63"/>
    <n v="97300"/>
    <x v="1"/>
    <n v="0"/>
    <n v="0"/>
    <x v="3"/>
    <x v="1"/>
    <x v="1"/>
    <d v="2024-08-26T00:00:00"/>
    <n v="0"/>
    <x v="1"/>
  </r>
  <r>
    <n v="104366"/>
    <n v="25"/>
    <n v="34400"/>
    <x v="0"/>
    <n v="29900"/>
    <n v="124000"/>
    <x v="2"/>
    <x v="1"/>
    <x v="1"/>
    <d v="2025-09-01T00:00:00"/>
    <n v="153900"/>
    <x v="0"/>
  </r>
  <r>
    <n v="104367"/>
    <n v="35"/>
    <n v="59100"/>
    <x v="0"/>
    <n v="0"/>
    <n v="108000"/>
    <x v="7"/>
    <x v="1"/>
    <x v="1"/>
    <d v="2024-03-20T00:00:00"/>
    <n v="108000"/>
    <x v="0"/>
  </r>
  <r>
    <n v="104368"/>
    <n v="49"/>
    <n v="22800"/>
    <x v="2"/>
    <n v="28500"/>
    <n v="0"/>
    <x v="1"/>
    <x v="2"/>
    <x v="1"/>
    <d v="2024-05-20T00:00:00"/>
    <n v="28500"/>
    <x v="0"/>
  </r>
  <r>
    <n v="104369"/>
    <n v="23"/>
    <n v="98000"/>
    <x v="1"/>
    <n v="0"/>
    <n v="0"/>
    <x v="6"/>
    <x v="2"/>
    <x v="1"/>
    <d v="2026-04-05T00:00:00"/>
    <n v="0"/>
    <x v="1"/>
  </r>
  <r>
    <n v="104370"/>
    <n v="26"/>
    <n v="52500"/>
    <x v="2"/>
    <n v="45900"/>
    <n v="194000"/>
    <x v="5"/>
    <x v="0"/>
    <x v="1"/>
    <d v="2025-01-03T00:00:00"/>
    <n v="239900"/>
    <x v="0"/>
  </r>
  <r>
    <n v="104371"/>
    <n v="70"/>
    <n v="102100"/>
    <x v="1"/>
    <n v="24800"/>
    <n v="245000"/>
    <x v="6"/>
    <x v="2"/>
    <x v="1"/>
    <d v="2025-01-28T00:00:00"/>
    <n v="269800"/>
    <x v="1"/>
  </r>
  <r>
    <n v="104372"/>
    <n v="71"/>
    <n v="101100"/>
    <x v="1"/>
    <n v="15500"/>
    <n v="0"/>
    <x v="4"/>
    <x v="0"/>
    <x v="1"/>
    <d v="2024-02-05T00:00:00"/>
    <n v="15500"/>
    <x v="1"/>
  </r>
  <r>
    <n v="104373"/>
    <n v="59"/>
    <n v="49700"/>
    <x v="0"/>
    <n v="40000"/>
    <n v="0"/>
    <x v="2"/>
    <x v="1"/>
    <x v="1"/>
    <d v="2024-01-12T00:00:00"/>
    <n v="40000"/>
    <x v="0"/>
  </r>
  <r>
    <n v="104374"/>
    <n v="54"/>
    <n v="34300"/>
    <x v="0"/>
    <n v="0"/>
    <n v="0"/>
    <x v="1"/>
    <x v="0"/>
    <x v="1"/>
    <d v="2026-03-30T00:00:00"/>
    <n v="0"/>
    <x v="0"/>
  </r>
  <r>
    <n v="104375"/>
    <n v="67"/>
    <n v="44800"/>
    <x v="1"/>
    <n v="46700"/>
    <n v="0"/>
    <x v="0"/>
    <x v="0"/>
    <x v="1"/>
    <d v="2024-10-28T00:00:00"/>
    <n v="46700"/>
    <x v="0"/>
  </r>
  <r>
    <n v="104376"/>
    <n v="31"/>
    <n v="27500"/>
    <x v="1"/>
    <n v="34400"/>
    <n v="0"/>
    <x v="0"/>
    <x v="3"/>
    <x v="1"/>
    <d v="2026-08-03T00:00:00"/>
    <n v="34400"/>
    <x v="0"/>
  </r>
  <r>
    <n v="104377"/>
    <n v="64"/>
    <n v="72600"/>
    <x v="1"/>
    <n v="0"/>
    <n v="0"/>
    <x v="4"/>
    <x v="2"/>
    <x v="1"/>
    <d v="2026-01-16T00:00:00"/>
    <n v="0"/>
    <x v="1"/>
  </r>
  <r>
    <n v="104378"/>
    <n v="45"/>
    <n v="70900"/>
    <x v="0"/>
    <n v="39500"/>
    <n v="338000"/>
    <x v="6"/>
    <x v="2"/>
    <x v="1"/>
    <d v="2026-06-03T00:00:00"/>
    <n v="377500"/>
    <x v="1"/>
  </r>
  <r>
    <n v="104379"/>
    <n v="60"/>
    <n v="32500"/>
    <x v="2"/>
    <n v="40600"/>
    <n v="238000"/>
    <x v="6"/>
    <x v="0"/>
    <x v="1"/>
    <d v="2026-03-13T00:00:00"/>
    <n v="278600"/>
    <x v="0"/>
  </r>
  <r>
    <n v="104380"/>
    <n v="70"/>
    <n v="45300"/>
    <x v="1"/>
    <n v="21400"/>
    <n v="0"/>
    <x v="6"/>
    <x v="2"/>
    <x v="1"/>
    <d v="2024-01-24T00:00:00"/>
    <n v="21400"/>
    <x v="0"/>
  </r>
  <r>
    <n v="104381"/>
    <n v="38"/>
    <n v="76800"/>
    <x v="1"/>
    <n v="41100"/>
    <n v="0"/>
    <x v="3"/>
    <x v="2"/>
    <x v="1"/>
    <d v="2026-04-09T00:00:00"/>
    <n v="41100"/>
    <x v="1"/>
  </r>
  <r>
    <n v="104382"/>
    <n v="48"/>
    <n v="50000"/>
    <x v="1"/>
    <n v="62500"/>
    <n v="0"/>
    <x v="4"/>
    <x v="0"/>
    <x v="1"/>
    <d v="2024-05-17T00:00:00"/>
    <n v="62500"/>
    <x v="0"/>
  </r>
  <r>
    <n v="104383"/>
    <n v="40"/>
    <n v="55900"/>
    <x v="1"/>
    <n v="0"/>
    <n v="0"/>
    <x v="7"/>
    <x v="1"/>
    <x v="1"/>
    <d v="2026-01-26T00:00:00"/>
    <n v="0"/>
    <x v="0"/>
  </r>
  <r>
    <n v="104384"/>
    <n v="25"/>
    <n v="33500"/>
    <x v="0"/>
    <n v="41900"/>
    <n v="0"/>
    <x v="1"/>
    <x v="1"/>
    <x v="1"/>
    <d v="2025-01-16T00:00:00"/>
    <n v="41900"/>
    <x v="0"/>
  </r>
  <r>
    <n v="104385"/>
    <n v="23"/>
    <n v="63900"/>
    <x v="1"/>
    <n v="39800"/>
    <n v="0"/>
    <x v="0"/>
    <x v="1"/>
    <x v="0"/>
    <d v="2026-06-07T00:00:00"/>
    <n v="39800"/>
    <x v="0"/>
  </r>
  <r>
    <n v="104386"/>
    <n v="73"/>
    <n v="103700"/>
    <x v="1"/>
    <n v="12000"/>
    <n v="0"/>
    <x v="5"/>
    <x v="2"/>
    <x v="1"/>
    <d v="2026-05-27T00:00:00"/>
    <n v="12000"/>
    <x v="1"/>
  </r>
  <r>
    <n v="104387"/>
    <n v="69"/>
    <n v="113000"/>
    <x v="0"/>
    <n v="0"/>
    <n v="0"/>
    <x v="0"/>
    <x v="1"/>
    <x v="1"/>
    <d v="2025-12-08T00:00:00"/>
    <n v="0"/>
    <x v="1"/>
  </r>
  <r>
    <n v="104388"/>
    <n v="34"/>
    <n v="83100"/>
    <x v="1"/>
    <n v="38700"/>
    <n v="0"/>
    <x v="6"/>
    <x v="2"/>
    <x v="1"/>
    <d v="2025-01-19T00:00:00"/>
    <n v="38700"/>
    <x v="1"/>
  </r>
  <r>
    <n v="104389"/>
    <n v="26"/>
    <n v="54000"/>
    <x v="1"/>
    <n v="27300"/>
    <n v="0"/>
    <x v="2"/>
    <x v="0"/>
    <x v="1"/>
    <d v="2025-09-13T00:00:00"/>
    <n v="27300"/>
    <x v="0"/>
  </r>
  <r>
    <n v="104390"/>
    <n v="68"/>
    <n v="40000"/>
    <x v="0"/>
    <n v="43900"/>
    <n v="0"/>
    <x v="0"/>
    <x v="0"/>
    <x v="1"/>
    <d v="2026-03-25T00:00:00"/>
    <n v="43900"/>
    <x v="0"/>
  </r>
  <r>
    <n v="104391"/>
    <n v="35"/>
    <n v="93400"/>
    <x v="0"/>
    <n v="49900"/>
    <n v="0"/>
    <x v="7"/>
    <x v="0"/>
    <x v="1"/>
    <d v="2025-12-28T00:00:00"/>
    <n v="49900"/>
    <x v="1"/>
  </r>
  <r>
    <n v="104392"/>
    <n v="30"/>
    <n v="83600"/>
    <x v="1"/>
    <n v="78500"/>
    <n v="307000"/>
    <x v="5"/>
    <x v="3"/>
    <x v="1"/>
    <d v="2025-08-12T00:00:00"/>
    <n v="385500"/>
    <x v="1"/>
  </r>
  <r>
    <n v="104393"/>
    <n v="39"/>
    <n v="25300"/>
    <x v="1"/>
    <n v="27600"/>
    <n v="0"/>
    <x v="5"/>
    <x v="3"/>
    <x v="1"/>
    <d v="2026-03-25T00:00:00"/>
    <n v="27600"/>
    <x v="0"/>
  </r>
  <r>
    <n v="104394"/>
    <n v="57"/>
    <n v="38400"/>
    <x v="0"/>
    <n v="48000"/>
    <n v="0"/>
    <x v="6"/>
    <x v="0"/>
    <x v="1"/>
    <d v="2024-09-06T00:00:00"/>
    <n v="48000"/>
    <x v="0"/>
  </r>
  <r>
    <n v="104395"/>
    <n v="50"/>
    <n v="52900"/>
    <x v="0"/>
    <n v="0"/>
    <n v="0"/>
    <x v="5"/>
    <x v="0"/>
    <x v="1"/>
    <d v="2025-04-26T00:00:00"/>
    <n v="0"/>
    <x v="0"/>
  </r>
  <r>
    <n v="104396"/>
    <n v="33"/>
    <n v="56600"/>
    <x v="1"/>
    <n v="59800"/>
    <n v="0"/>
    <x v="0"/>
    <x v="0"/>
    <x v="1"/>
    <d v="2025-03-09T00:00:00"/>
    <n v="59800"/>
    <x v="0"/>
  </r>
  <r>
    <n v="104397"/>
    <n v="28"/>
    <n v="91100"/>
    <x v="0"/>
    <n v="30200"/>
    <n v="0"/>
    <x v="1"/>
    <x v="1"/>
    <x v="1"/>
    <d v="2024-02-28T00:00:00"/>
    <n v="30200"/>
    <x v="1"/>
  </r>
  <r>
    <n v="104398"/>
    <n v="64"/>
    <n v="68100"/>
    <x v="0"/>
    <n v="64100"/>
    <n v="299000"/>
    <x v="4"/>
    <x v="1"/>
    <x v="1"/>
    <d v="2025-09-17T00:00:00"/>
    <n v="363100"/>
    <x v="0"/>
  </r>
  <r>
    <n v="104399"/>
    <n v="33"/>
    <n v="35400"/>
    <x v="1"/>
    <n v="44200"/>
    <n v="0"/>
    <x v="2"/>
    <x v="1"/>
    <x v="1"/>
    <d v="2024-11-22T00:00:00"/>
    <n v="44200"/>
    <x v="0"/>
  </r>
  <r>
    <n v="104400"/>
    <n v="56"/>
    <n v="35700"/>
    <x v="0"/>
    <n v="0"/>
    <n v="0"/>
    <x v="3"/>
    <x v="0"/>
    <x v="1"/>
    <d v="2026-01-21T00:00:00"/>
    <n v="0"/>
    <x v="0"/>
  </r>
  <r>
    <n v="104401"/>
    <n v="57"/>
    <n v="71400"/>
    <x v="2"/>
    <n v="10100"/>
    <n v="0"/>
    <x v="5"/>
    <x v="0"/>
    <x v="1"/>
    <d v="2025-05-07T00:00:00"/>
    <n v="10100"/>
    <x v="1"/>
  </r>
  <r>
    <n v="104402"/>
    <n v="72"/>
    <n v="122500"/>
    <x v="1"/>
    <n v="31000"/>
    <n v="0"/>
    <x v="6"/>
    <x v="2"/>
    <x v="1"/>
    <d v="2026-02-06T00:00:00"/>
    <n v="31000"/>
    <x v="1"/>
  </r>
  <r>
    <n v="104403"/>
    <n v="21"/>
    <n v="75400"/>
    <x v="1"/>
    <n v="0"/>
    <n v="0"/>
    <x v="5"/>
    <x v="2"/>
    <x v="1"/>
    <d v="2026-04-30T00:00:00"/>
    <n v="0"/>
    <x v="1"/>
  </r>
  <r>
    <n v="104404"/>
    <n v="70"/>
    <n v="68900"/>
    <x v="0"/>
    <n v="31400"/>
    <n v="0"/>
    <x v="2"/>
    <x v="1"/>
    <x v="1"/>
    <d v="2025-05-17T00:00:00"/>
    <n v="31400"/>
    <x v="0"/>
  </r>
  <r>
    <n v="104405"/>
    <n v="36"/>
    <n v="107800"/>
    <x v="1"/>
    <n v="0"/>
    <n v="176000"/>
    <x v="2"/>
    <x v="1"/>
    <x v="1"/>
    <d v="2025-11-01T00:00:00"/>
    <n v="176000"/>
    <x v="1"/>
  </r>
  <r>
    <n v="104406"/>
    <n v="50"/>
    <n v="52500"/>
    <x v="2"/>
    <n v="0"/>
    <n v="0"/>
    <x v="3"/>
    <x v="0"/>
    <x v="1"/>
    <d v="2025-12-07T00:00:00"/>
    <n v="0"/>
    <x v="0"/>
  </r>
  <r>
    <n v="104407"/>
    <n v="37"/>
    <n v="113300"/>
    <x v="1"/>
    <n v="0"/>
    <n v="0"/>
    <x v="2"/>
    <x v="0"/>
    <x v="1"/>
    <d v="2026-03-10T00:00:00"/>
    <n v="0"/>
    <x v="1"/>
  </r>
  <r>
    <n v="104408"/>
    <n v="20"/>
    <n v="74400"/>
    <x v="1"/>
    <n v="0"/>
    <n v="0"/>
    <x v="4"/>
    <x v="1"/>
    <x v="1"/>
    <d v="2025-08-08T00:00:00"/>
    <n v="0"/>
    <x v="1"/>
  </r>
  <r>
    <n v="104409"/>
    <n v="40"/>
    <n v="73200"/>
    <x v="2"/>
    <n v="71600"/>
    <n v="0"/>
    <x v="5"/>
    <x v="0"/>
    <x v="1"/>
    <d v="2026-01-23T00:00:00"/>
    <n v="71600"/>
    <x v="1"/>
  </r>
  <r>
    <n v="104410"/>
    <n v="61"/>
    <n v="116900"/>
    <x v="0"/>
    <n v="28800"/>
    <n v="0"/>
    <x v="6"/>
    <x v="1"/>
    <x v="1"/>
    <d v="2025-04-20T00:00:00"/>
    <n v="28800"/>
    <x v="1"/>
  </r>
  <r>
    <n v="104411"/>
    <n v="47"/>
    <n v="74000"/>
    <x v="1"/>
    <n v="42300"/>
    <n v="0"/>
    <x v="5"/>
    <x v="2"/>
    <x v="1"/>
    <d v="2024-02-27T00:00:00"/>
    <n v="42300"/>
    <x v="1"/>
  </r>
  <r>
    <n v="104412"/>
    <n v="50"/>
    <n v="67500"/>
    <x v="1"/>
    <n v="26100"/>
    <n v="0"/>
    <x v="7"/>
    <x v="1"/>
    <x v="1"/>
    <d v="2024-10-11T00:00:00"/>
    <n v="26100"/>
    <x v="0"/>
  </r>
  <r>
    <n v="104413"/>
    <n v="51"/>
    <n v="34900"/>
    <x v="2"/>
    <n v="11500"/>
    <n v="147000"/>
    <x v="1"/>
    <x v="0"/>
    <x v="0"/>
    <d v="2026-05-06T00:00:00"/>
    <n v="158500"/>
    <x v="0"/>
  </r>
  <r>
    <n v="104414"/>
    <n v="63"/>
    <n v="57800"/>
    <x v="1"/>
    <n v="25500"/>
    <n v="232000"/>
    <x v="2"/>
    <x v="1"/>
    <x v="1"/>
    <d v="2024-03-04T00:00:00"/>
    <n v="257500"/>
    <x v="0"/>
  </r>
  <r>
    <n v="104415"/>
    <n v="50"/>
    <n v="69200"/>
    <x v="1"/>
    <n v="44300"/>
    <n v="110000"/>
    <x v="3"/>
    <x v="0"/>
    <x v="1"/>
    <d v="2026-04-24T00:00:00"/>
    <n v="154300"/>
    <x v="0"/>
  </r>
  <r>
    <n v="104416"/>
    <n v="67"/>
    <n v="65600"/>
    <x v="1"/>
    <n v="0"/>
    <n v="0"/>
    <x v="3"/>
    <x v="2"/>
    <x v="1"/>
    <d v="2025-03-18T00:00:00"/>
    <n v="0"/>
    <x v="0"/>
  </r>
  <r>
    <n v="104417"/>
    <n v="56"/>
    <n v="92900"/>
    <x v="1"/>
    <n v="0"/>
    <n v="0"/>
    <x v="0"/>
    <x v="1"/>
    <x v="1"/>
    <d v="2024-04-02T00:00:00"/>
    <n v="0"/>
    <x v="1"/>
  </r>
  <r>
    <n v="104418"/>
    <n v="64"/>
    <n v="51800"/>
    <x v="0"/>
    <n v="40300"/>
    <n v="241000"/>
    <x v="4"/>
    <x v="1"/>
    <x v="1"/>
    <d v="2026-07-11T00:00:00"/>
    <n v="281300"/>
    <x v="0"/>
  </r>
  <r>
    <n v="104419"/>
    <n v="36"/>
    <n v="28300"/>
    <x v="1"/>
    <n v="16800"/>
    <n v="0"/>
    <x v="0"/>
    <x v="1"/>
    <x v="1"/>
    <d v="2025-08-27T00:00:00"/>
    <n v="16800"/>
    <x v="0"/>
  </r>
  <r>
    <n v="104420"/>
    <n v="42"/>
    <n v="34100"/>
    <x v="1"/>
    <n v="42600"/>
    <n v="0"/>
    <x v="6"/>
    <x v="3"/>
    <x v="1"/>
    <d v="2025-01-29T00:00:00"/>
    <n v="42600"/>
    <x v="0"/>
  </r>
  <r>
    <n v="104421"/>
    <n v="47"/>
    <n v="73800"/>
    <x v="0"/>
    <n v="19600"/>
    <n v="0"/>
    <x v="5"/>
    <x v="0"/>
    <x v="1"/>
    <d v="2024-07-31T00:00:00"/>
    <n v="19600"/>
    <x v="1"/>
  </r>
  <r>
    <n v="104422"/>
    <n v="66"/>
    <n v="58500"/>
    <x v="2"/>
    <n v="63000"/>
    <n v="0"/>
    <x v="4"/>
    <x v="1"/>
    <x v="1"/>
    <d v="2024-09-05T00:00:00"/>
    <n v="63000"/>
    <x v="0"/>
  </r>
  <r>
    <n v="104423"/>
    <n v="50"/>
    <n v="77400"/>
    <x v="1"/>
    <n v="41600"/>
    <n v="0"/>
    <x v="3"/>
    <x v="2"/>
    <x v="1"/>
    <d v="2024-07-02T00:00:00"/>
    <n v="41600"/>
    <x v="1"/>
  </r>
  <r>
    <n v="104424"/>
    <n v="75"/>
    <n v="56300"/>
    <x v="0"/>
    <n v="12600"/>
    <n v="0"/>
    <x v="3"/>
    <x v="0"/>
    <x v="1"/>
    <d v="2025-01-01T00:00:00"/>
    <n v="12600"/>
    <x v="0"/>
  </r>
  <r>
    <n v="104425"/>
    <n v="22"/>
    <n v="107500"/>
    <x v="1"/>
    <n v="29600"/>
    <n v="0"/>
    <x v="4"/>
    <x v="2"/>
    <x v="1"/>
    <d v="2025-10-10T00:00:00"/>
    <n v="29600"/>
    <x v="1"/>
  </r>
  <r>
    <n v="104426"/>
    <n v="39"/>
    <n v="73500"/>
    <x v="0"/>
    <n v="31800"/>
    <n v="0"/>
    <x v="7"/>
    <x v="0"/>
    <x v="1"/>
    <d v="2026-06-25T00:00:00"/>
    <n v="31800"/>
    <x v="1"/>
  </r>
  <r>
    <n v="104427"/>
    <n v="35"/>
    <n v="78800"/>
    <x v="2"/>
    <n v="57400"/>
    <n v="0"/>
    <x v="0"/>
    <x v="1"/>
    <x v="1"/>
    <d v="2025-03-22T00:00:00"/>
    <n v="57400"/>
    <x v="1"/>
  </r>
  <r>
    <n v="104428"/>
    <n v="48"/>
    <n v="39100"/>
    <x v="1"/>
    <n v="48900"/>
    <n v="0"/>
    <x v="0"/>
    <x v="2"/>
    <x v="0"/>
    <d v="2025-01-23T00:00:00"/>
    <n v="48900"/>
    <x v="0"/>
  </r>
  <r>
    <n v="104429"/>
    <n v="65"/>
    <n v="94500"/>
    <x v="0"/>
    <n v="60900"/>
    <n v="0"/>
    <x v="1"/>
    <x v="2"/>
    <x v="1"/>
    <d v="2024-10-15T00:00:00"/>
    <n v="60900"/>
    <x v="1"/>
  </r>
  <r>
    <n v="104430"/>
    <n v="26"/>
    <n v="79700"/>
    <x v="1"/>
    <n v="34500"/>
    <n v="166000"/>
    <x v="5"/>
    <x v="2"/>
    <x v="1"/>
    <d v="2025-04-16T00:00:00"/>
    <n v="200500"/>
    <x v="1"/>
  </r>
  <r>
    <n v="104431"/>
    <n v="71"/>
    <n v="34600"/>
    <x v="1"/>
    <n v="43200"/>
    <n v="0"/>
    <x v="3"/>
    <x v="1"/>
    <x v="1"/>
    <d v="2024-07-03T00:00:00"/>
    <n v="43200"/>
    <x v="0"/>
  </r>
  <r>
    <n v="104432"/>
    <n v="47"/>
    <n v="50900"/>
    <x v="0"/>
    <n v="41000"/>
    <n v="180000"/>
    <x v="6"/>
    <x v="2"/>
    <x v="1"/>
    <d v="2024-08-02T00:00:00"/>
    <n v="221000"/>
    <x v="0"/>
  </r>
  <r>
    <n v="104433"/>
    <n v="24"/>
    <n v="72300"/>
    <x v="1"/>
    <n v="24500"/>
    <n v="0"/>
    <x v="1"/>
    <x v="1"/>
    <x v="1"/>
    <d v="2026-06-15T00:00:00"/>
    <n v="24500"/>
    <x v="1"/>
  </r>
  <r>
    <n v="104434"/>
    <n v="25"/>
    <n v="87000"/>
    <x v="1"/>
    <n v="48200"/>
    <n v="0"/>
    <x v="7"/>
    <x v="2"/>
    <x v="1"/>
    <d v="2026-07-15T00:00:00"/>
    <n v="48200"/>
    <x v="1"/>
  </r>
  <r>
    <n v="104435"/>
    <n v="48"/>
    <n v="50500"/>
    <x v="2"/>
    <n v="0"/>
    <n v="0"/>
    <x v="6"/>
    <x v="2"/>
    <x v="1"/>
    <d v="2024-04-16T00:00:00"/>
    <n v="0"/>
    <x v="0"/>
  </r>
  <r>
    <n v="104436"/>
    <n v="65"/>
    <n v="104300"/>
    <x v="2"/>
    <n v="0"/>
    <n v="0"/>
    <x v="7"/>
    <x v="2"/>
    <x v="1"/>
    <d v="2026-05-03T00:00:00"/>
    <n v="0"/>
    <x v="1"/>
  </r>
  <r>
    <n v="104437"/>
    <n v="58"/>
    <n v="58500"/>
    <x v="0"/>
    <n v="58300"/>
    <n v="0"/>
    <x v="0"/>
    <x v="1"/>
    <x v="1"/>
    <d v="2025-08-02T00:00:00"/>
    <n v="58300"/>
    <x v="0"/>
  </r>
  <r>
    <n v="104438"/>
    <n v="30"/>
    <n v="54000"/>
    <x v="1"/>
    <n v="0"/>
    <n v="0"/>
    <x v="4"/>
    <x v="0"/>
    <x v="1"/>
    <d v="2024-06-12T00:00:00"/>
    <n v="0"/>
    <x v="0"/>
  </r>
  <r>
    <n v="104439"/>
    <n v="66"/>
    <n v="73600"/>
    <x v="1"/>
    <n v="0"/>
    <n v="0"/>
    <x v="3"/>
    <x v="1"/>
    <x v="1"/>
    <d v="2024-12-08T00:00:00"/>
    <n v="0"/>
    <x v="1"/>
  </r>
  <r>
    <n v="104440"/>
    <n v="37"/>
    <n v="91100"/>
    <x v="0"/>
    <n v="0"/>
    <n v="333000"/>
    <x v="2"/>
    <x v="0"/>
    <x v="1"/>
    <d v="2026-08-30T00:00:00"/>
    <n v="333000"/>
    <x v="1"/>
  </r>
  <r>
    <n v="104441"/>
    <n v="37"/>
    <n v="44000"/>
    <x v="0"/>
    <n v="22300"/>
    <n v="0"/>
    <x v="0"/>
    <x v="0"/>
    <x v="1"/>
    <d v="2024-02-01T00:00:00"/>
    <n v="22300"/>
    <x v="0"/>
  </r>
  <r>
    <n v="104442"/>
    <n v="70"/>
    <n v="27400"/>
    <x v="1"/>
    <n v="34200"/>
    <n v="0"/>
    <x v="0"/>
    <x v="0"/>
    <x v="1"/>
    <d v="2024-12-01T00:00:00"/>
    <n v="34200"/>
    <x v="0"/>
  </r>
  <r>
    <n v="104443"/>
    <n v="59"/>
    <n v="112000"/>
    <x v="2"/>
    <n v="0"/>
    <n v="0"/>
    <x v="6"/>
    <x v="0"/>
    <x v="1"/>
    <d v="2024-06-03T00:00:00"/>
    <n v="0"/>
    <x v="1"/>
  </r>
  <r>
    <n v="104444"/>
    <n v="50"/>
    <n v="53500"/>
    <x v="0"/>
    <n v="0"/>
    <n v="0"/>
    <x v="5"/>
    <x v="0"/>
    <x v="1"/>
    <d v="2026-02-13T00:00:00"/>
    <n v="0"/>
    <x v="0"/>
  </r>
  <r>
    <n v="104445"/>
    <n v="51"/>
    <n v="124300"/>
    <x v="0"/>
    <n v="58900"/>
    <n v="208000"/>
    <x v="2"/>
    <x v="2"/>
    <x v="1"/>
    <d v="2024-12-24T00:00:00"/>
    <n v="266900"/>
    <x v="1"/>
  </r>
  <r>
    <n v="104446"/>
    <n v="20"/>
    <n v="90000"/>
    <x v="1"/>
    <n v="60700"/>
    <n v="0"/>
    <x v="1"/>
    <x v="1"/>
    <x v="1"/>
    <d v="2026-02-03T00:00:00"/>
    <n v="60700"/>
    <x v="1"/>
  </r>
  <r>
    <n v="104447"/>
    <n v="64"/>
    <n v="59800"/>
    <x v="0"/>
    <n v="0"/>
    <n v="0"/>
    <x v="2"/>
    <x v="0"/>
    <x v="1"/>
    <d v="2026-06-19T00:00:00"/>
    <n v="0"/>
    <x v="0"/>
  </r>
  <r>
    <n v="104448"/>
    <n v="26"/>
    <n v="79300"/>
    <x v="1"/>
    <n v="0"/>
    <n v="128000"/>
    <x v="0"/>
    <x v="2"/>
    <x v="1"/>
    <d v="2025-01-12T00:00:00"/>
    <n v="128000"/>
    <x v="1"/>
  </r>
  <r>
    <n v="104449"/>
    <n v="55"/>
    <n v="25500"/>
    <x v="1"/>
    <n v="31900"/>
    <n v="0"/>
    <x v="7"/>
    <x v="2"/>
    <x v="1"/>
    <d v="2025-05-18T00:00:00"/>
    <n v="31900"/>
    <x v="0"/>
  </r>
  <r>
    <n v="104450"/>
    <n v="67"/>
    <n v="63300"/>
    <x v="2"/>
    <n v="10100"/>
    <n v="0"/>
    <x v="5"/>
    <x v="2"/>
    <x v="1"/>
    <d v="2024-10-12T00:00:00"/>
    <n v="10100"/>
    <x v="0"/>
  </r>
  <r>
    <n v="104451"/>
    <n v="67"/>
    <n v="37200"/>
    <x v="2"/>
    <n v="16300"/>
    <n v="0"/>
    <x v="6"/>
    <x v="0"/>
    <x v="0"/>
    <d v="2024-12-20T00:00:00"/>
    <n v="16300"/>
    <x v="0"/>
  </r>
  <r>
    <n v="104452"/>
    <n v="74"/>
    <n v="28800"/>
    <x v="1"/>
    <n v="30300"/>
    <n v="0"/>
    <x v="1"/>
    <x v="3"/>
    <x v="1"/>
    <d v="2025-02-24T00:00:00"/>
    <n v="30300"/>
    <x v="0"/>
  </r>
  <r>
    <n v="104453"/>
    <n v="52"/>
    <n v="44100"/>
    <x v="0"/>
    <n v="0"/>
    <n v="135000"/>
    <x v="0"/>
    <x v="1"/>
    <x v="1"/>
    <d v="2025-07-30T00:00:00"/>
    <n v="135000"/>
    <x v="0"/>
  </r>
  <r>
    <n v="104454"/>
    <n v="62"/>
    <n v="60100"/>
    <x v="1"/>
    <n v="0"/>
    <n v="0"/>
    <x v="7"/>
    <x v="3"/>
    <x v="1"/>
    <d v="2025-11-06T00:00:00"/>
    <n v="0"/>
    <x v="0"/>
  </r>
  <r>
    <n v="104455"/>
    <n v="54"/>
    <n v="32500"/>
    <x v="0"/>
    <n v="35700"/>
    <n v="0"/>
    <x v="3"/>
    <x v="1"/>
    <x v="1"/>
    <d v="2024-06-06T00:00:00"/>
    <n v="35700"/>
    <x v="0"/>
  </r>
  <r>
    <n v="104456"/>
    <n v="62"/>
    <n v="104100"/>
    <x v="0"/>
    <n v="31900"/>
    <n v="0"/>
    <x v="0"/>
    <x v="1"/>
    <x v="1"/>
    <d v="2024-05-04T00:00:00"/>
    <n v="31900"/>
    <x v="1"/>
  </r>
  <r>
    <n v="104457"/>
    <n v="75"/>
    <n v="57000"/>
    <x v="1"/>
    <n v="54100"/>
    <n v="0"/>
    <x v="0"/>
    <x v="1"/>
    <x v="1"/>
    <d v="2024-12-22T00:00:00"/>
    <n v="54100"/>
    <x v="0"/>
  </r>
  <r>
    <n v="104458"/>
    <n v="68"/>
    <n v="110500"/>
    <x v="0"/>
    <n v="4900"/>
    <n v="0"/>
    <x v="7"/>
    <x v="1"/>
    <x v="1"/>
    <d v="2024-10-17T00:00:00"/>
    <n v="4900"/>
    <x v="1"/>
  </r>
  <r>
    <n v="104459"/>
    <n v="43"/>
    <n v="50700"/>
    <x v="1"/>
    <n v="29800"/>
    <n v="0"/>
    <x v="6"/>
    <x v="1"/>
    <x v="1"/>
    <d v="2025-12-05T00:00:00"/>
    <n v="29800"/>
    <x v="0"/>
  </r>
  <r>
    <n v="104460"/>
    <n v="25"/>
    <n v="67500"/>
    <x v="1"/>
    <n v="0"/>
    <n v="0"/>
    <x v="3"/>
    <x v="2"/>
    <x v="1"/>
    <d v="2026-06-03T00:00:00"/>
    <n v="0"/>
    <x v="0"/>
  </r>
  <r>
    <n v="104461"/>
    <n v="27"/>
    <n v="44500"/>
    <x v="1"/>
    <n v="54000"/>
    <n v="139000"/>
    <x v="4"/>
    <x v="0"/>
    <x v="1"/>
    <d v="2025-07-01T00:00:00"/>
    <n v="193000"/>
    <x v="0"/>
  </r>
  <r>
    <n v="104462"/>
    <n v="34"/>
    <n v="41000"/>
    <x v="2"/>
    <n v="51200"/>
    <n v="0"/>
    <x v="6"/>
    <x v="3"/>
    <x v="1"/>
    <d v="2024-04-14T00:00:00"/>
    <n v="51200"/>
    <x v="0"/>
  </r>
  <r>
    <n v="104463"/>
    <n v="30"/>
    <n v="74500"/>
    <x v="1"/>
    <n v="55200"/>
    <n v="0"/>
    <x v="7"/>
    <x v="1"/>
    <x v="1"/>
    <d v="2025-08-28T00:00:00"/>
    <n v="55200"/>
    <x v="1"/>
  </r>
  <r>
    <n v="104464"/>
    <n v="67"/>
    <n v="91200"/>
    <x v="2"/>
    <n v="13300"/>
    <n v="0"/>
    <x v="4"/>
    <x v="2"/>
    <x v="1"/>
    <d v="2024-05-12T00:00:00"/>
    <n v="13300"/>
    <x v="1"/>
  </r>
  <r>
    <n v="104465"/>
    <n v="23"/>
    <n v="62100"/>
    <x v="1"/>
    <n v="0"/>
    <n v="0"/>
    <x v="6"/>
    <x v="2"/>
    <x v="1"/>
    <d v="2025-05-17T00:00:00"/>
    <n v="0"/>
    <x v="0"/>
  </r>
  <r>
    <n v="104466"/>
    <n v="72"/>
    <n v="72000"/>
    <x v="0"/>
    <n v="0"/>
    <n v="0"/>
    <x v="4"/>
    <x v="1"/>
    <x v="1"/>
    <d v="2026-01-22T00:00:00"/>
    <n v="0"/>
    <x v="1"/>
  </r>
  <r>
    <n v="104467"/>
    <n v="61"/>
    <n v="53000"/>
    <x v="1"/>
    <n v="65000"/>
    <n v="0"/>
    <x v="2"/>
    <x v="0"/>
    <x v="1"/>
    <d v="2024-11-21T00:00:00"/>
    <n v="65000"/>
    <x v="0"/>
  </r>
  <r>
    <n v="104468"/>
    <n v="27"/>
    <n v="52600"/>
    <x v="2"/>
    <n v="0"/>
    <n v="0"/>
    <x v="1"/>
    <x v="2"/>
    <x v="1"/>
    <d v="2025-08-09T00:00:00"/>
    <n v="0"/>
    <x v="0"/>
  </r>
  <r>
    <n v="104469"/>
    <n v="45"/>
    <n v="95000"/>
    <x v="2"/>
    <n v="28200"/>
    <n v="0"/>
    <x v="3"/>
    <x v="2"/>
    <x v="1"/>
    <d v="2024-05-15T00:00:00"/>
    <n v="28200"/>
    <x v="1"/>
  </r>
  <r>
    <n v="104470"/>
    <n v="69"/>
    <n v="50600"/>
    <x v="2"/>
    <n v="33100"/>
    <n v="0"/>
    <x v="6"/>
    <x v="1"/>
    <x v="1"/>
    <d v="2026-06-13T00:00:00"/>
    <n v="33100"/>
    <x v="0"/>
  </r>
  <r>
    <n v="104471"/>
    <n v="37"/>
    <n v="50600"/>
    <x v="0"/>
    <n v="0"/>
    <n v="0"/>
    <x v="1"/>
    <x v="1"/>
    <x v="1"/>
    <d v="2024-01-19T00:00:00"/>
    <n v="0"/>
    <x v="0"/>
  </r>
  <r>
    <n v="104472"/>
    <n v="59"/>
    <n v="55700"/>
    <x v="0"/>
    <n v="19000"/>
    <n v="0"/>
    <x v="7"/>
    <x v="0"/>
    <x v="1"/>
    <d v="2025-07-02T00:00:00"/>
    <n v="19000"/>
    <x v="0"/>
  </r>
  <r>
    <n v="104473"/>
    <n v="32"/>
    <n v="70100"/>
    <x v="1"/>
    <n v="10900"/>
    <n v="73000"/>
    <x v="1"/>
    <x v="1"/>
    <x v="1"/>
    <d v="2024-10-21T00:00:00"/>
    <n v="83900"/>
    <x v="1"/>
  </r>
  <r>
    <n v="104474"/>
    <n v="35"/>
    <n v="91800"/>
    <x v="0"/>
    <n v="0"/>
    <n v="93000"/>
    <x v="6"/>
    <x v="2"/>
    <x v="1"/>
    <d v="2024-03-04T00:00:00"/>
    <n v="93000"/>
    <x v="1"/>
  </r>
  <r>
    <n v="104475"/>
    <n v="34"/>
    <n v="75800"/>
    <x v="1"/>
    <n v="29100"/>
    <n v="0"/>
    <x v="7"/>
    <x v="0"/>
    <x v="1"/>
    <d v="2025-08-01T00:00:00"/>
    <n v="29100"/>
    <x v="1"/>
  </r>
  <r>
    <n v="104476"/>
    <n v="75"/>
    <n v="91400"/>
    <x v="1"/>
    <n v="54100"/>
    <n v="0"/>
    <x v="7"/>
    <x v="0"/>
    <x v="1"/>
    <d v="2025-10-12T00:00:00"/>
    <n v="54100"/>
    <x v="1"/>
  </r>
  <r>
    <n v="104477"/>
    <n v="73"/>
    <n v="107200"/>
    <x v="0"/>
    <n v="0"/>
    <n v="202000"/>
    <x v="4"/>
    <x v="2"/>
    <x v="1"/>
    <d v="2025-06-26T00:00:00"/>
    <n v="202000"/>
    <x v="1"/>
  </r>
  <r>
    <n v="104478"/>
    <n v="56"/>
    <n v="26000"/>
    <x v="2"/>
    <n v="26700"/>
    <n v="0"/>
    <x v="6"/>
    <x v="0"/>
    <x v="1"/>
    <d v="2024-11-24T00:00:00"/>
    <n v="26700"/>
    <x v="0"/>
  </r>
  <r>
    <n v="104479"/>
    <n v="60"/>
    <n v="85100"/>
    <x v="2"/>
    <n v="41100"/>
    <n v="0"/>
    <x v="2"/>
    <x v="0"/>
    <x v="1"/>
    <d v="2025-05-08T00:00:00"/>
    <n v="41100"/>
    <x v="1"/>
  </r>
  <r>
    <n v="104480"/>
    <n v="33"/>
    <n v="99100"/>
    <x v="0"/>
    <n v="22600"/>
    <n v="0"/>
    <x v="6"/>
    <x v="2"/>
    <x v="1"/>
    <d v="2025-05-28T00:00:00"/>
    <n v="22600"/>
    <x v="1"/>
  </r>
  <r>
    <n v="104481"/>
    <n v="40"/>
    <n v="83900"/>
    <x v="1"/>
    <n v="19900"/>
    <n v="254000"/>
    <x v="2"/>
    <x v="2"/>
    <x v="1"/>
    <d v="2026-07-08T00:00:00"/>
    <n v="273900"/>
    <x v="1"/>
  </r>
  <r>
    <n v="104482"/>
    <n v="23"/>
    <n v="35700"/>
    <x v="1"/>
    <n v="12700"/>
    <n v="0"/>
    <x v="7"/>
    <x v="0"/>
    <x v="1"/>
    <d v="2024-12-19T00:00:00"/>
    <n v="12700"/>
    <x v="0"/>
  </r>
  <r>
    <n v="104483"/>
    <n v="20"/>
    <n v="77400"/>
    <x v="1"/>
    <n v="0"/>
    <n v="0"/>
    <x v="0"/>
    <x v="0"/>
    <x v="1"/>
    <d v="2025-10-12T00:00:00"/>
    <n v="0"/>
    <x v="1"/>
  </r>
  <r>
    <n v="104484"/>
    <n v="37"/>
    <n v="33400"/>
    <x v="1"/>
    <n v="0"/>
    <n v="0"/>
    <x v="0"/>
    <x v="2"/>
    <x v="1"/>
    <d v="2025-12-31T00:00:00"/>
    <n v="0"/>
    <x v="0"/>
  </r>
  <r>
    <n v="104485"/>
    <n v="72"/>
    <n v="21000"/>
    <x v="1"/>
    <n v="0"/>
    <n v="0"/>
    <x v="2"/>
    <x v="2"/>
    <x v="1"/>
    <d v="2025-03-14T00:00:00"/>
    <n v="0"/>
    <x v="0"/>
  </r>
  <r>
    <n v="104486"/>
    <n v="57"/>
    <n v="67500"/>
    <x v="2"/>
    <n v="52000"/>
    <n v="0"/>
    <x v="4"/>
    <x v="0"/>
    <x v="1"/>
    <d v="2025-08-08T00:00:00"/>
    <n v="52000"/>
    <x v="0"/>
  </r>
  <r>
    <n v="104487"/>
    <n v="57"/>
    <n v="44900"/>
    <x v="1"/>
    <n v="40400"/>
    <n v="344000"/>
    <x v="2"/>
    <x v="1"/>
    <x v="1"/>
    <d v="2024-02-19T00:00:00"/>
    <n v="384400"/>
    <x v="0"/>
  </r>
  <r>
    <n v="104488"/>
    <n v="44"/>
    <n v="115500"/>
    <x v="1"/>
    <n v="55400"/>
    <n v="0"/>
    <x v="4"/>
    <x v="2"/>
    <x v="1"/>
    <d v="2024-05-06T00:00:00"/>
    <n v="55400"/>
    <x v="1"/>
  </r>
  <r>
    <n v="104489"/>
    <n v="33"/>
    <n v="58200"/>
    <x v="0"/>
    <n v="13000"/>
    <n v="0"/>
    <x v="0"/>
    <x v="1"/>
    <x v="1"/>
    <d v="2025-02-02T00:00:00"/>
    <n v="13000"/>
    <x v="0"/>
  </r>
  <r>
    <n v="104490"/>
    <n v="57"/>
    <n v="46200"/>
    <x v="1"/>
    <n v="57800"/>
    <n v="0"/>
    <x v="3"/>
    <x v="2"/>
    <x v="1"/>
    <d v="2026-01-26T00:00:00"/>
    <n v="57800"/>
    <x v="0"/>
  </r>
  <r>
    <n v="104491"/>
    <n v="40"/>
    <n v="75000"/>
    <x v="0"/>
    <n v="0"/>
    <n v="0"/>
    <x v="1"/>
    <x v="1"/>
    <x v="1"/>
    <d v="2024-04-30T00:00:00"/>
    <n v="0"/>
    <x v="1"/>
  </r>
  <r>
    <n v="104492"/>
    <n v="43"/>
    <n v="27200"/>
    <x v="0"/>
    <n v="14400"/>
    <n v="0"/>
    <x v="3"/>
    <x v="0"/>
    <x v="1"/>
    <d v="2024-04-20T00:00:00"/>
    <n v="14400"/>
    <x v="0"/>
  </r>
  <r>
    <n v="104493"/>
    <n v="54"/>
    <n v="56200"/>
    <x v="0"/>
    <n v="28900"/>
    <n v="373000"/>
    <x v="6"/>
    <x v="2"/>
    <x v="0"/>
    <d v="2024-06-08T00:00:00"/>
    <n v="401900"/>
    <x v="0"/>
  </r>
  <r>
    <n v="104494"/>
    <n v="71"/>
    <n v="88400"/>
    <x v="1"/>
    <n v="34700"/>
    <n v="0"/>
    <x v="3"/>
    <x v="2"/>
    <x v="1"/>
    <d v="2024-01-05T00:00:00"/>
    <n v="34700"/>
    <x v="1"/>
  </r>
  <r>
    <n v="104495"/>
    <n v="69"/>
    <n v="37800"/>
    <x v="1"/>
    <n v="0"/>
    <n v="0"/>
    <x v="7"/>
    <x v="2"/>
    <x v="1"/>
    <d v="2024-01-06T00:00:00"/>
    <n v="0"/>
    <x v="0"/>
  </r>
  <r>
    <n v="104496"/>
    <n v="21"/>
    <n v="83200"/>
    <x v="1"/>
    <n v="0"/>
    <n v="0"/>
    <x v="1"/>
    <x v="2"/>
    <x v="1"/>
    <d v="2024-11-06T00:00:00"/>
    <n v="0"/>
    <x v="1"/>
  </r>
  <r>
    <n v="104497"/>
    <n v="49"/>
    <n v="28400"/>
    <x v="1"/>
    <n v="9800"/>
    <n v="172000"/>
    <x v="1"/>
    <x v="3"/>
    <x v="0"/>
    <d v="2025-05-30T00:00:00"/>
    <n v="181800"/>
    <x v="0"/>
  </r>
  <r>
    <n v="104498"/>
    <n v="21"/>
    <n v="50400"/>
    <x v="2"/>
    <n v="35400"/>
    <n v="0"/>
    <x v="4"/>
    <x v="2"/>
    <x v="1"/>
    <d v="2024-02-14T00:00:00"/>
    <n v="35400"/>
    <x v="0"/>
  </r>
  <r>
    <n v="104499"/>
    <n v="56"/>
    <n v="57100"/>
    <x v="1"/>
    <n v="0"/>
    <n v="0"/>
    <x v="4"/>
    <x v="2"/>
    <x v="1"/>
    <d v="2025-05-26T00:00:00"/>
    <n v="0"/>
    <x v="0"/>
  </r>
  <r>
    <n v="104500"/>
    <n v="23"/>
    <n v="69700"/>
    <x v="1"/>
    <n v="45900"/>
    <n v="0"/>
    <x v="0"/>
    <x v="2"/>
    <x v="1"/>
    <d v="2025-10-02T00:00:00"/>
    <n v="45900"/>
    <x v="0"/>
  </r>
  <r>
    <n v="104501"/>
    <n v="70"/>
    <n v="71800"/>
    <x v="2"/>
    <n v="0"/>
    <n v="0"/>
    <x v="4"/>
    <x v="1"/>
    <x v="1"/>
    <d v="2025-10-27T00:00:00"/>
    <n v="0"/>
    <x v="1"/>
  </r>
  <r>
    <n v="104502"/>
    <n v="24"/>
    <n v="95500"/>
    <x v="0"/>
    <n v="6000"/>
    <n v="0"/>
    <x v="1"/>
    <x v="0"/>
    <x v="1"/>
    <d v="2026-07-18T00:00:00"/>
    <n v="6000"/>
    <x v="1"/>
  </r>
  <r>
    <n v="104503"/>
    <n v="53"/>
    <n v="31000"/>
    <x v="2"/>
    <n v="10100"/>
    <n v="0"/>
    <x v="4"/>
    <x v="1"/>
    <x v="1"/>
    <d v="2024-09-29T00:00:00"/>
    <n v="10100"/>
    <x v="0"/>
  </r>
  <r>
    <n v="104504"/>
    <n v="44"/>
    <n v="48300"/>
    <x v="2"/>
    <n v="52300"/>
    <n v="0"/>
    <x v="4"/>
    <x v="2"/>
    <x v="1"/>
    <d v="2025-11-12T00:00:00"/>
    <n v="52300"/>
    <x v="0"/>
  </r>
  <r>
    <n v="104505"/>
    <n v="59"/>
    <n v="68000"/>
    <x v="1"/>
    <n v="5400"/>
    <n v="220000"/>
    <x v="3"/>
    <x v="2"/>
    <x v="1"/>
    <d v="2025-09-24T00:00:00"/>
    <n v="225400"/>
    <x v="0"/>
  </r>
  <r>
    <n v="104506"/>
    <n v="54"/>
    <n v="100900"/>
    <x v="1"/>
    <n v="0"/>
    <n v="214000"/>
    <x v="7"/>
    <x v="1"/>
    <x v="1"/>
    <d v="2024-02-15T00:00:00"/>
    <n v="214000"/>
    <x v="1"/>
  </r>
  <r>
    <n v="104507"/>
    <n v="72"/>
    <n v="85400"/>
    <x v="1"/>
    <n v="0"/>
    <n v="0"/>
    <x v="5"/>
    <x v="2"/>
    <x v="1"/>
    <d v="2026-03-26T00:00:00"/>
    <n v="0"/>
    <x v="1"/>
  </r>
  <r>
    <n v="104508"/>
    <n v="40"/>
    <n v="62600"/>
    <x v="2"/>
    <n v="49100"/>
    <n v="109000"/>
    <x v="0"/>
    <x v="2"/>
    <x v="1"/>
    <d v="2025-05-31T00:00:00"/>
    <n v="158100"/>
    <x v="0"/>
  </r>
  <r>
    <n v="104509"/>
    <n v="64"/>
    <n v="26900"/>
    <x v="0"/>
    <n v="0"/>
    <n v="0"/>
    <x v="6"/>
    <x v="1"/>
    <x v="1"/>
    <d v="2025-10-17T00:00:00"/>
    <n v="0"/>
    <x v="0"/>
  </r>
  <r>
    <n v="104510"/>
    <n v="58"/>
    <n v="96200"/>
    <x v="1"/>
    <n v="19800"/>
    <n v="208000"/>
    <x v="6"/>
    <x v="0"/>
    <x v="1"/>
    <d v="2025-06-20T00:00:00"/>
    <n v="227800"/>
    <x v="1"/>
  </r>
  <r>
    <n v="104511"/>
    <n v="31"/>
    <n v="102300"/>
    <x v="0"/>
    <n v="67800"/>
    <n v="125000"/>
    <x v="1"/>
    <x v="1"/>
    <x v="1"/>
    <d v="2025-06-24T00:00:00"/>
    <n v="192800"/>
    <x v="1"/>
  </r>
  <r>
    <n v="104512"/>
    <n v="51"/>
    <n v="25900"/>
    <x v="2"/>
    <n v="32400"/>
    <n v="0"/>
    <x v="0"/>
    <x v="1"/>
    <x v="1"/>
    <d v="2024-07-24T00:00:00"/>
    <n v="32400"/>
    <x v="0"/>
  </r>
  <r>
    <n v="104513"/>
    <n v="65"/>
    <n v="32500"/>
    <x v="0"/>
    <n v="0"/>
    <n v="203000"/>
    <x v="2"/>
    <x v="1"/>
    <x v="1"/>
    <d v="2024-05-20T00:00:00"/>
    <n v="203000"/>
    <x v="0"/>
  </r>
  <r>
    <n v="104514"/>
    <n v="37"/>
    <n v="58400"/>
    <x v="0"/>
    <n v="0"/>
    <n v="148000"/>
    <x v="0"/>
    <x v="1"/>
    <x v="1"/>
    <d v="2025-07-11T00:00:00"/>
    <n v="148000"/>
    <x v="0"/>
  </r>
  <r>
    <n v="104515"/>
    <n v="30"/>
    <n v="56300"/>
    <x v="0"/>
    <n v="42900"/>
    <n v="0"/>
    <x v="1"/>
    <x v="1"/>
    <x v="0"/>
    <d v="2024-11-12T00:00:00"/>
    <n v="42900"/>
    <x v="0"/>
  </r>
  <r>
    <n v="104516"/>
    <n v="72"/>
    <n v="24100"/>
    <x v="2"/>
    <n v="30100"/>
    <n v="0"/>
    <x v="6"/>
    <x v="0"/>
    <x v="1"/>
    <d v="2025-04-04T00:00:00"/>
    <n v="30100"/>
    <x v="0"/>
  </r>
  <r>
    <n v="104517"/>
    <n v="38"/>
    <n v="53500"/>
    <x v="1"/>
    <n v="40600"/>
    <n v="0"/>
    <x v="2"/>
    <x v="0"/>
    <x v="1"/>
    <d v="2024-05-08T00:00:00"/>
    <n v="40600"/>
    <x v="0"/>
  </r>
  <r>
    <n v="104518"/>
    <n v="40"/>
    <n v="99100"/>
    <x v="0"/>
    <n v="21700"/>
    <n v="0"/>
    <x v="1"/>
    <x v="2"/>
    <x v="1"/>
    <d v="2024-07-01T00:00:00"/>
    <n v="21700"/>
    <x v="1"/>
  </r>
  <r>
    <n v="104519"/>
    <n v="56"/>
    <n v="67800"/>
    <x v="2"/>
    <n v="79500"/>
    <n v="0"/>
    <x v="5"/>
    <x v="2"/>
    <x v="1"/>
    <d v="2024-04-11T00:00:00"/>
    <n v="79500"/>
    <x v="0"/>
  </r>
  <r>
    <n v="104520"/>
    <n v="40"/>
    <n v="119600"/>
    <x v="1"/>
    <n v="17200"/>
    <n v="0"/>
    <x v="3"/>
    <x v="1"/>
    <x v="1"/>
    <d v="2025-06-22T00:00:00"/>
    <n v="17200"/>
    <x v="1"/>
  </r>
  <r>
    <n v="104521"/>
    <n v="33"/>
    <n v="119600"/>
    <x v="0"/>
    <n v="0"/>
    <n v="0"/>
    <x v="1"/>
    <x v="2"/>
    <x v="1"/>
    <d v="2025-01-01T00:00:00"/>
    <n v="0"/>
    <x v="1"/>
  </r>
  <r>
    <n v="104522"/>
    <n v="61"/>
    <n v="95800"/>
    <x v="1"/>
    <n v="29400"/>
    <n v="0"/>
    <x v="1"/>
    <x v="3"/>
    <x v="0"/>
    <d v="2025-01-04T00:00:00"/>
    <n v="29400"/>
    <x v="1"/>
  </r>
  <r>
    <n v="104523"/>
    <n v="45"/>
    <n v="51400"/>
    <x v="1"/>
    <n v="37200"/>
    <n v="0"/>
    <x v="7"/>
    <x v="1"/>
    <x v="1"/>
    <d v="2024-11-08T00:00:00"/>
    <n v="37200"/>
    <x v="0"/>
  </r>
  <r>
    <n v="104524"/>
    <n v="73"/>
    <n v="82600"/>
    <x v="1"/>
    <n v="20200"/>
    <n v="0"/>
    <x v="1"/>
    <x v="2"/>
    <x v="1"/>
    <d v="2024-06-01T00:00:00"/>
    <n v="20200"/>
    <x v="1"/>
  </r>
  <r>
    <n v="104525"/>
    <n v="72"/>
    <n v="54900"/>
    <x v="2"/>
    <n v="0"/>
    <n v="0"/>
    <x v="6"/>
    <x v="1"/>
    <x v="1"/>
    <d v="2025-03-20T00:00:00"/>
    <n v="0"/>
    <x v="0"/>
  </r>
  <r>
    <n v="104526"/>
    <n v="24"/>
    <n v="46000"/>
    <x v="0"/>
    <n v="57500"/>
    <n v="230000"/>
    <x v="1"/>
    <x v="1"/>
    <x v="1"/>
    <d v="2025-08-30T00:00:00"/>
    <n v="287500"/>
    <x v="0"/>
  </r>
  <r>
    <n v="104527"/>
    <n v="75"/>
    <n v="48300"/>
    <x v="1"/>
    <n v="47900"/>
    <n v="122000"/>
    <x v="5"/>
    <x v="0"/>
    <x v="1"/>
    <d v="2026-01-22T00:00:00"/>
    <n v="169900"/>
    <x v="0"/>
  </r>
  <r>
    <n v="104528"/>
    <n v="75"/>
    <n v="59200"/>
    <x v="1"/>
    <n v="0"/>
    <n v="0"/>
    <x v="6"/>
    <x v="0"/>
    <x v="1"/>
    <d v="2024-11-18T00:00:00"/>
    <n v="0"/>
    <x v="0"/>
  </r>
  <r>
    <n v="104529"/>
    <n v="31"/>
    <n v="88000"/>
    <x v="1"/>
    <n v="36600"/>
    <n v="0"/>
    <x v="7"/>
    <x v="1"/>
    <x v="1"/>
    <d v="2024-02-27T00:00:00"/>
    <n v="36600"/>
    <x v="1"/>
  </r>
  <r>
    <n v="104530"/>
    <n v="51"/>
    <n v="82800"/>
    <x v="1"/>
    <n v="82800"/>
    <n v="0"/>
    <x v="1"/>
    <x v="1"/>
    <x v="1"/>
    <d v="2026-02-06T00:00:00"/>
    <n v="82800"/>
    <x v="1"/>
  </r>
  <r>
    <n v="104531"/>
    <n v="48"/>
    <n v="30600"/>
    <x v="0"/>
    <n v="38200"/>
    <n v="128000"/>
    <x v="7"/>
    <x v="2"/>
    <x v="1"/>
    <d v="2024-09-15T00:00:00"/>
    <n v="166200"/>
    <x v="0"/>
  </r>
  <r>
    <n v="104532"/>
    <n v="20"/>
    <n v="70400"/>
    <x v="1"/>
    <n v="0"/>
    <n v="0"/>
    <x v="4"/>
    <x v="2"/>
    <x v="1"/>
    <d v="2025-04-14T00:00:00"/>
    <n v="0"/>
    <x v="1"/>
  </r>
  <r>
    <n v="104533"/>
    <n v="46"/>
    <n v="99900"/>
    <x v="1"/>
    <n v="38100"/>
    <n v="0"/>
    <x v="1"/>
    <x v="2"/>
    <x v="1"/>
    <d v="2025-11-20T00:00:00"/>
    <n v="38100"/>
    <x v="1"/>
  </r>
  <r>
    <n v="104534"/>
    <n v="63"/>
    <n v="101000"/>
    <x v="1"/>
    <n v="18500"/>
    <n v="0"/>
    <x v="7"/>
    <x v="1"/>
    <x v="1"/>
    <d v="2024-03-24T00:00:00"/>
    <n v="18500"/>
    <x v="1"/>
  </r>
  <r>
    <n v="104535"/>
    <n v="46"/>
    <n v="24300"/>
    <x v="0"/>
    <n v="30400"/>
    <n v="0"/>
    <x v="7"/>
    <x v="1"/>
    <x v="1"/>
    <d v="2026-07-10T00:00:00"/>
    <n v="30400"/>
    <x v="0"/>
  </r>
  <r>
    <n v="104536"/>
    <n v="55"/>
    <n v="59300"/>
    <x v="1"/>
    <n v="0"/>
    <n v="162000"/>
    <x v="0"/>
    <x v="1"/>
    <x v="1"/>
    <d v="2026-06-21T00:00:00"/>
    <n v="162000"/>
    <x v="0"/>
  </r>
  <r>
    <n v="104537"/>
    <n v="40"/>
    <n v="39000"/>
    <x v="0"/>
    <n v="48800"/>
    <n v="0"/>
    <x v="3"/>
    <x v="2"/>
    <x v="1"/>
    <d v="2025-02-12T00:00:00"/>
    <n v="48800"/>
    <x v="0"/>
  </r>
  <r>
    <n v="104538"/>
    <n v="37"/>
    <n v="78300"/>
    <x v="1"/>
    <n v="41400"/>
    <n v="0"/>
    <x v="7"/>
    <x v="2"/>
    <x v="1"/>
    <d v="2025-10-20T00:00:00"/>
    <n v="41400"/>
    <x v="1"/>
  </r>
  <r>
    <n v="104539"/>
    <n v="69"/>
    <n v="46200"/>
    <x v="1"/>
    <n v="16300"/>
    <n v="0"/>
    <x v="2"/>
    <x v="1"/>
    <x v="1"/>
    <d v="2026-08-29T00:00:00"/>
    <n v="16300"/>
    <x v="0"/>
  </r>
  <r>
    <n v="104540"/>
    <n v="51"/>
    <n v="75000"/>
    <x v="0"/>
    <n v="0"/>
    <n v="404000"/>
    <x v="7"/>
    <x v="0"/>
    <x v="1"/>
    <d v="2024-05-12T00:00:00"/>
    <n v="404000"/>
    <x v="1"/>
  </r>
  <r>
    <n v="104541"/>
    <n v="36"/>
    <n v="70100"/>
    <x v="0"/>
    <n v="66600"/>
    <n v="0"/>
    <x v="3"/>
    <x v="1"/>
    <x v="1"/>
    <d v="2025-07-30T00:00:00"/>
    <n v="66600"/>
    <x v="1"/>
  </r>
  <r>
    <n v="104542"/>
    <n v="70"/>
    <n v="23200"/>
    <x v="1"/>
    <n v="0"/>
    <n v="0"/>
    <x v="0"/>
    <x v="2"/>
    <x v="1"/>
    <d v="2025-09-02T00:00:00"/>
    <n v="0"/>
    <x v="0"/>
  </r>
  <r>
    <n v="104543"/>
    <n v="56"/>
    <n v="55900"/>
    <x v="1"/>
    <n v="0"/>
    <n v="0"/>
    <x v="4"/>
    <x v="1"/>
    <x v="1"/>
    <d v="2024-09-10T00:00:00"/>
    <n v="0"/>
    <x v="0"/>
  </r>
  <r>
    <n v="104544"/>
    <n v="24"/>
    <n v="51800"/>
    <x v="1"/>
    <n v="33900"/>
    <n v="0"/>
    <x v="2"/>
    <x v="3"/>
    <x v="1"/>
    <d v="2026-03-04T00:00:00"/>
    <n v="33900"/>
    <x v="0"/>
  </r>
  <r>
    <n v="104545"/>
    <n v="23"/>
    <n v="112100"/>
    <x v="2"/>
    <n v="34600"/>
    <n v="177000"/>
    <x v="2"/>
    <x v="2"/>
    <x v="1"/>
    <d v="2024-03-31T00:00:00"/>
    <n v="211600"/>
    <x v="1"/>
  </r>
  <r>
    <n v="104546"/>
    <n v="43"/>
    <n v="82100"/>
    <x v="2"/>
    <n v="0"/>
    <n v="250000"/>
    <x v="2"/>
    <x v="0"/>
    <x v="1"/>
    <d v="2024-12-24T00:00:00"/>
    <n v="250000"/>
    <x v="1"/>
  </r>
  <r>
    <n v="104547"/>
    <n v="27"/>
    <n v="71300"/>
    <x v="2"/>
    <n v="19000"/>
    <n v="0"/>
    <x v="6"/>
    <x v="1"/>
    <x v="1"/>
    <d v="2024-01-28T00:00:00"/>
    <n v="19000"/>
    <x v="1"/>
  </r>
  <r>
    <n v="104548"/>
    <n v="52"/>
    <n v="82600"/>
    <x v="1"/>
    <n v="12000"/>
    <n v="0"/>
    <x v="2"/>
    <x v="1"/>
    <x v="1"/>
    <d v="2024-11-26T00:00:00"/>
    <n v="12000"/>
    <x v="1"/>
  </r>
  <r>
    <n v="104549"/>
    <n v="48"/>
    <n v="62700"/>
    <x v="0"/>
    <n v="0"/>
    <n v="0"/>
    <x v="6"/>
    <x v="0"/>
    <x v="1"/>
    <d v="2024-08-02T00:00:00"/>
    <n v="0"/>
    <x v="0"/>
  </r>
  <r>
    <n v="104550"/>
    <n v="64"/>
    <n v="78200"/>
    <x v="1"/>
    <n v="12200"/>
    <n v="113000"/>
    <x v="1"/>
    <x v="2"/>
    <x v="1"/>
    <d v="2025-11-06T00:00:00"/>
    <n v="125200"/>
    <x v="1"/>
  </r>
  <r>
    <n v="104551"/>
    <n v="52"/>
    <n v="32500"/>
    <x v="1"/>
    <n v="0"/>
    <n v="0"/>
    <x v="3"/>
    <x v="0"/>
    <x v="1"/>
    <d v="2025-10-12T00:00:00"/>
    <n v="0"/>
    <x v="0"/>
  </r>
  <r>
    <n v="104552"/>
    <n v="49"/>
    <n v="29800"/>
    <x v="1"/>
    <n v="0"/>
    <n v="0"/>
    <x v="2"/>
    <x v="3"/>
    <x v="1"/>
    <d v="2026-01-08T00:00:00"/>
    <n v="0"/>
    <x v="0"/>
  </r>
  <r>
    <n v="104553"/>
    <n v="21"/>
    <n v="70300"/>
    <x v="2"/>
    <n v="19600"/>
    <n v="0"/>
    <x v="4"/>
    <x v="0"/>
    <x v="1"/>
    <d v="2026-06-13T00:00:00"/>
    <n v="19600"/>
    <x v="1"/>
  </r>
  <r>
    <n v="104554"/>
    <n v="68"/>
    <n v="95200"/>
    <x v="1"/>
    <n v="31100"/>
    <n v="276000"/>
    <x v="6"/>
    <x v="2"/>
    <x v="1"/>
    <d v="2025-05-07T00:00:00"/>
    <n v="307100"/>
    <x v="1"/>
  </r>
  <r>
    <n v="104555"/>
    <n v="52"/>
    <n v="68900"/>
    <x v="0"/>
    <n v="0"/>
    <n v="231000"/>
    <x v="7"/>
    <x v="1"/>
    <x v="1"/>
    <d v="2024-12-02T00:00:00"/>
    <n v="231000"/>
    <x v="0"/>
  </r>
  <r>
    <n v="104556"/>
    <n v="30"/>
    <n v="75700"/>
    <x v="0"/>
    <n v="41000"/>
    <n v="0"/>
    <x v="3"/>
    <x v="2"/>
    <x v="1"/>
    <d v="2026-04-10T00:00:00"/>
    <n v="41000"/>
    <x v="1"/>
  </r>
  <r>
    <n v="104557"/>
    <n v="53"/>
    <n v="47000"/>
    <x v="1"/>
    <n v="44900"/>
    <n v="0"/>
    <x v="3"/>
    <x v="3"/>
    <x v="1"/>
    <d v="2025-04-08T00:00:00"/>
    <n v="44900"/>
    <x v="0"/>
  </r>
  <r>
    <n v="104558"/>
    <n v="65"/>
    <n v="97100"/>
    <x v="1"/>
    <n v="55200"/>
    <n v="0"/>
    <x v="6"/>
    <x v="2"/>
    <x v="1"/>
    <d v="2024-12-26T00:00:00"/>
    <n v="55200"/>
    <x v="1"/>
  </r>
  <r>
    <n v="104559"/>
    <n v="26"/>
    <n v="47900"/>
    <x v="0"/>
    <n v="32700"/>
    <n v="0"/>
    <x v="7"/>
    <x v="3"/>
    <x v="1"/>
    <d v="2024-12-05T00:00:00"/>
    <n v="32700"/>
    <x v="0"/>
  </r>
  <r>
    <n v="104560"/>
    <n v="67"/>
    <n v="42500"/>
    <x v="2"/>
    <n v="42700"/>
    <n v="0"/>
    <x v="3"/>
    <x v="2"/>
    <x v="1"/>
    <d v="2025-10-18T00:00:00"/>
    <n v="42700"/>
    <x v="0"/>
  </r>
  <r>
    <n v="104561"/>
    <n v="39"/>
    <n v="87600"/>
    <x v="1"/>
    <n v="11500"/>
    <n v="0"/>
    <x v="0"/>
    <x v="0"/>
    <x v="1"/>
    <d v="2025-10-07T00:00:00"/>
    <n v="11500"/>
    <x v="1"/>
  </r>
  <r>
    <n v="104562"/>
    <n v="23"/>
    <n v="37600"/>
    <x v="0"/>
    <n v="0"/>
    <n v="0"/>
    <x v="4"/>
    <x v="1"/>
    <x v="1"/>
    <d v="2025-03-10T00:00:00"/>
    <n v="0"/>
    <x v="0"/>
  </r>
  <r>
    <n v="104563"/>
    <n v="39"/>
    <n v="72400"/>
    <x v="0"/>
    <n v="55900"/>
    <n v="0"/>
    <x v="7"/>
    <x v="2"/>
    <x v="0"/>
    <d v="2024-05-03T00:00:00"/>
    <n v="55900"/>
    <x v="1"/>
  </r>
  <r>
    <n v="104564"/>
    <n v="60"/>
    <n v="36300"/>
    <x v="1"/>
    <n v="43000"/>
    <n v="0"/>
    <x v="1"/>
    <x v="1"/>
    <x v="1"/>
    <d v="2024-01-03T00:00:00"/>
    <n v="43000"/>
    <x v="0"/>
  </r>
  <r>
    <n v="104565"/>
    <n v="41"/>
    <n v="98700"/>
    <x v="2"/>
    <n v="0"/>
    <n v="0"/>
    <x v="3"/>
    <x v="2"/>
    <x v="1"/>
    <d v="2025-07-23T00:00:00"/>
    <n v="0"/>
    <x v="1"/>
  </r>
  <r>
    <n v="104566"/>
    <n v="49"/>
    <n v="69900"/>
    <x v="2"/>
    <n v="47100"/>
    <n v="0"/>
    <x v="7"/>
    <x v="2"/>
    <x v="1"/>
    <d v="2025-01-29T00:00:00"/>
    <n v="47100"/>
    <x v="0"/>
  </r>
  <r>
    <n v="104567"/>
    <n v="69"/>
    <n v="40400"/>
    <x v="1"/>
    <n v="40400"/>
    <n v="0"/>
    <x v="0"/>
    <x v="2"/>
    <x v="1"/>
    <d v="2024-06-16T00:00:00"/>
    <n v="40400"/>
    <x v="0"/>
  </r>
  <r>
    <n v="104568"/>
    <n v="62"/>
    <n v="44600"/>
    <x v="0"/>
    <n v="15700"/>
    <n v="0"/>
    <x v="7"/>
    <x v="1"/>
    <x v="1"/>
    <d v="2026-01-20T00:00:00"/>
    <n v="15700"/>
    <x v="0"/>
  </r>
  <r>
    <n v="104569"/>
    <n v="26"/>
    <n v="47600"/>
    <x v="0"/>
    <n v="40200"/>
    <n v="0"/>
    <x v="0"/>
    <x v="1"/>
    <x v="1"/>
    <d v="2025-11-06T00:00:00"/>
    <n v="40200"/>
    <x v="0"/>
  </r>
  <r>
    <n v="104570"/>
    <n v="37"/>
    <n v="47900"/>
    <x v="0"/>
    <n v="0"/>
    <n v="0"/>
    <x v="1"/>
    <x v="2"/>
    <x v="1"/>
    <d v="2024-09-26T00:00:00"/>
    <n v="0"/>
    <x v="0"/>
  </r>
  <r>
    <n v="104571"/>
    <n v="62"/>
    <n v="41300"/>
    <x v="1"/>
    <n v="0"/>
    <n v="0"/>
    <x v="4"/>
    <x v="0"/>
    <x v="1"/>
    <d v="2025-04-02T00:00:00"/>
    <n v="0"/>
    <x v="0"/>
  </r>
  <r>
    <n v="104572"/>
    <n v="62"/>
    <n v="32100"/>
    <x v="1"/>
    <n v="0"/>
    <n v="0"/>
    <x v="1"/>
    <x v="1"/>
    <x v="1"/>
    <d v="2024-01-06T00:00:00"/>
    <n v="0"/>
    <x v="0"/>
  </r>
  <r>
    <n v="104573"/>
    <n v="61"/>
    <n v="56000"/>
    <x v="1"/>
    <n v="36100"/>
    <n v="0"/>
    <x v="0"/>
    <x v="0"/>
    <x v="1"/>
    <d v="2024-04-01T00:00:00"/>
    <n v="36100"/>
    <x v="0"/>
  </r>
  <r>
    <n v="104574"/>
    <n v="61"/>
    <n v="62000"/>
    <x v="1"/>
    <n v="0"/>
    <n v="0"/>
    <x v="0"/>
    <x v="2"/>
    <x v="1"/>
    <d v="2026-04-28T00:00:00"/>
    <n v="0"/>
    <x v="0"/>
  </r>
  <r>
    <n v="104575"/>
    <n v="67"/>
    <n v="51400"/>
    <x v="1"/>
    <n v="0"/>
    <n v="0"/>
    <x v="1"/>
    <x v="0"/>
    <x v="1"/>
    <d v="2025-12-03T00:00:00"/>
    <n v="0"/>
    <x v="0"/>
  </r>
  <r>
    <n v="104576"/>
    <n v="44"/>
    <n v="85200"/>
    <x v="2"/>
    <n v="10800"/>
    <n v="164000"/>
    <x v="6"/>
    <x v="1"/>
    <x v="0"/>
    <d v="2024-07-08T00:00:00"/>
    <n v="174800"/>
    <x v="1"/>
  </r>
  <r>
    <n v="104577"/>
    <n v="45"/>
    <n v="71600"/>
    <x v="1"/>
    <n v="23600"/>
    <n v="0"/>
    <x v="1"/>
    <x v="1"/>
    <x v="1"/>
    <d v="2024-07-16T00:00:00"/>
    <n v="23600"/>
    <x v="1"/>
  </r>
  <r>
    <n v="104578"/>
    <n v="66"/>
    <n v="37300"/>
    <x v="0"/>
    <n v="23400"/>
    <n v="0"/>
    <x v="2"/>
    <x v="2"/>
    <x v="1"/>
    <d v="2025-09-21T00:00:00"/>
    <n v="23400"/>
    <x v="0"/>
  </r>
  <r>
    <n v="104579"/>
    <n v="21"/>
    <n v="84800"/>
    <x v="0"/>
    <n v="20800"/>
    <n v="0"/>
    <x v="5"/>
    <x v="0"/>
    <x v="1"/>
    <d v="2025-12-20T00:00:00"/>
    <n v="20800"/>
    <x v="1"/>
  </r>
  <r>
    <n v="104580"/>
    <n v="31"/>
    <n v="35800"/>
    <x v="0"/>
    <n v="44800"/>
    <n v="0"/>
    <x v="1"/>
    <x v="3"/>
    <x v="1"/>
    <d v="2026-05-20T00:00:00"/>
    <n v="44800"/>
    <x v="0"/>
  </r>
  <r>
    <n v="104581"/>
    <n v="73"/>
    <n v="98200"/>
    <x v="1"/>
    <n v="0"/>
    <n v="150000"/>
    <x v="5"/>
    <x v="2"/>
    <x v="1"/>
    <d v="2025-09-02T00:00:00"/>
    <n v="150000"/>
    <x v="1"/>
  </r>
  <r>
    <n v="104582"/>
    <n v="20"/>
    <n v="108000"/>
    <x v="0"/>
    <n v="63700"/>
    <n v="0"/>
    <x v="3"/>
    <x v="2"/>
    <x v="1"/>
    <d v="2025-10-26T00:00:00"/>
    <n v="63700"/>
    <x v="1"/>
  </r>
  <r>
    <n v="104583"/>
    <n v="44"/>
    <n v="35300"/>
    <x v="2"/>
    <n v="44100"/>
    <n v="187000"/>
    <x v="1"/>
    <x v="0"/>
    <x v="1"/>
    <d v="2026-05-17T00:00:00"/>
    <n v="231100"/>
    <x v="0"/>
  </r>
  <r>
    <n v="104584"/>
    <n v="75"/>
    <n v="57000"/>
    <x v="1"/>
    <n v="14900"/>
    <n v="0"/>
    <x v="7"/>
    <x v="1"/>
    <x v="1"/>
    <d v="2024-07-26T00:00:00"/>
    <n v="14900"/>
    <x v="0"/>
  </r>
  <r>
    <n v="104585"/>
    <n v="26"/>
    <n v="66800"/>
    <x v="2"/>
    <n v="8700"/>
    <n v="0"/>
    <x v="1"/>
    <x v="1"/>
    <x v="1"/>
    <d v="2024-10-04T00:00:00"/>
    <n v="8700"/>
    <x v="0"/>
  </r>
  <r>
    <n v="104586"/>
    <n v="59"/>
    <n v="54400"/>
    <x v="1"/>
    <n v="40000"/>
    <n v="0"/>
    <x v="3"/>
    <x v="2"/>
    <x v="1"/>
    <d v="2025-05-16T00:00:00"/>
    <n v="40000"/>
    <x v="0"/>
  </r>
  <r>
    <n v="104587"/>
    <n v="54"/>
    <n v="61000"/>
    <x v="0"/>
    <n v="37400"/>
    <n v="0"/>
    <x v="4"/>
    <x v="2"/>
    <x v="1"/>
    <d v="2024-12-22T00:00:00"/>
    <n v="37400"/>
    <x v="0"/>
  </r>
  <r>
    <n v="104588"/>
    <n v="59"/>
    <n v="53300"/>
    <x v="0"/>
    <n v="45400"/>
    <n v="0"/>
    <x v="7"/>
    <x v="3"/>
    <x v="1"/>
    <d v="2024-07-10T00:00:00"/>
    <n v="45400"/>
    <x v="0"/>
  </r>
  <r>
    <n v="104589"/>
    <n v="64"/>
    <n v="43100"/>
    <x v="2"/>
    <n v="0"/>
    <n v="0"/>
    <x v="7"/>
    <x v="2"/>
    <x v="1"/>
    <d v="2024-11-28T00:00:00"/>
    <n v="0"/>
    <x v="0"/>
  </r>
  <r>
    <n v="104590"/>
    <n v="36"/>
    <n v="59000"/>
    <x v="1"/>
    <n v="0"/>
    <n v="290000"/>
    <x v="3"/>
    <x v="0"/>
    <x v="1"/>
    <d v="2026-04-01T00:00:00"/>
    <n v="290000"/>
    <x v="0"/>
  </r>
  <r>
    <n v="104591"/>
    <n v="33"/>
    <n v="52100"/>
    <x v="2"/>
    <n v="0"/>
    <n v="298000"/>
    <x v="1"/>
    <x v="1"/>
    <x v="1"/>
    <d v="2026-01-19T00:00:00"/>
    <n v="298000"/>
    <x v="0"/>
  </r>
  <r>
    <n v="104592"/>
    <n v="53"/>
    <n v="112000"/>
    <x v="1"/>
    <n v="65600"/>
    <n v="168000"/>
    <x v="1"/>
    <x v="2"/>
    <x v="1"/>
    <d v="2026-04-29T00:00:00"/>
    <n v="233600"/>
    <x v="1"/>
  </r>
  <r>
    <n v="104593"/>
    <n v="73"/>
    <n v="85100"/>
    <x v="0"/>
    <n v="30900"/>
    <n v="0"/>
    <x v="2"/>
    <x v="2"/>
    <x v="1"/>
    <d v="2025-10-17T00:00:00"/>
    <n v="30900"/>
    <x v="1"/>
  </r>
  <r>
    <n v="104594"/>
    <n v="30"/>
    <n v="72400"/>
    <x v="0"/>
    <n v="27000"/>
    <n v="0"/>
    <x v="3"/>
    <x v="1"/>
    <x v="1"/>
    <d v="2026-03-26T00:00:00"/>
    <n v="27000"/>
    <x v="1"/>
  </r>
  <r>
    <n v="104595"/>
    <n v="34"/>
    <n v="35800"/>
    <x v="0"/>
    <n v="26500"/>
    <n v="0"/>
    <x v="0"/>
    <x v="0"/>
    <x v="1"/>
    <d v="2025-08-17T00:00:00"/>
    <n v="26500"/>
    <x v="0"/>
  </r>
  <r>
    <n v="104596"/>
    <n v="71"/>
    <n v="25900"/>
    <x v="1"/>
    <n v="10200"/>
    <n v="0"/>
    <x v="5"/>
    <x v="1"/>
    <x v="1"/>
    <d v="2026-02-27T00:00:00"/>
    <n v="10200"/>
    <x v="0"/>
  </r>
  <r>
    <n v="104597"/>
    <n v="42"/>
    <n v="74000"/>
    <x v="0"/>
    <n v="40000"/>
    <n v="160000"/>
    <x v="4"/>
    <x v="1"/>
    <x v="1"/>
    <d v="2024-04-05T00:00:00"/>
    <n v="200000"/>
    <x v="1"/>
  </r>
  <r>
    <n v="104598"/>
    <n v="75"/>
    <n v="75900"/>
    <x v="2"/>
    <n v="45400"/>
    <n v="0"/>
    <x v="6"/>
    <x v="2"/>
    <x v="1"/>
    <d v="2025-03-12T00:00:00"/>
    <n v="45400"/>
    <x v="1"/>
  </r>
  <r>
    <n v="104599"/>
    <n v="63"/>
    <n v="29600"/>
    <x v="1"/>
    <n v="0"/>
    <n v="361000"/>
    <x v="5"/>
    <x v="1"/>
    <x v="1"/>
    <d v="2024-03-23T00:00:00"/>
    <n v="361000"/>
    <x v="0"/>
  </r>
  <r>
    <n v="104600"/>
    <n v="47"/>
    <n v="98100"/>
    <x v="1"/>
    <n v="0"/>
    <n v="203000"/>
    <x v="7"/>
    <x v="1"/>
    <x v="1"/>
    <d v="2026-05-05T00:00:00"/>
    <n v="203000"/>
    <x v="1"/>
  </r>
  <r>
    <n v="104601"/>
    <n v="58"/>
    <n v="45700"/>
    <x v="2"/>
    <n v="57100"/>
    <n v="367000"/>
    <x v="2"/>
    <x v="0"/>
    <x v="1"/>
    <d v="2024-12-18T00:00:00"/>
    <n v="424100"/>
    <x v="0"/>
  </r>
  <r>
    <n v="104602"/>
    <n v="55"/>
    <n v="38300"/>
    <x v="2"/>
    <n v="41100"/>
    <n v="0"/>
    <x v="2"/>
    <x v="0"/>
    <x v="1"/>
    <d v="2024-01-07T00:00:00"/>
    <n v="41100"/>
    <x v="0"/>
  </r>
  <r>
    <n v="104603"/>
    <n v="22"/>
    <n v="42900"/>
    <x v="1"/>
    <n v="49900"/>
    <n v="0"/>
    <x v="1"/>
    <x v="2"/>
    <x v="1"/>
    <d v="2025-07-25T00:00:00"/>
    <n v="49900"/>
    <x v="0"/>
  </r>
  <r>
    <n v="104604"/>
    <n v="58"/>
    <n v="55400"/>
    <x v="0"/>
    <n v="40300"/>
    <n v="0"/>
    <x v="7"/>
    <x v="1"/>
    <x v="1"/>
    <d v="2024-04-12T00:00:00"/>
    <n v="40300"/>
    <x v="0"/>
  </r>
  <r>
    <n v="104605"/>
    <n v="59"/>
    <n v="45200"/>
    <x v="2"/>
    <n v="34100"/>
    <n v="400000"/>
    <x v="0"/>
    <x v="1"/>
    <x v="0"/>
    <d v="2024-01-11T00:00:00"/>
    <n v="434100"/>
    <x v="0"/>
  </r>
  <r>
    <n v="104606"/>
    <n v="28"/>
    <n v="93000"/>
    <x v="0"/>
    <n v="21600"/>
    <n v="0"/>
    <x v="4"/>
    <x v="3"/>
    <x v="1"/>
    <d v="2026-02-08T00:00:00"/>
    <n v="21600"/>
    <x v="1"/>
  </r>
  <r>
    <n v="104607"/>
    <n v="51"/>
    <n v="75400"/>
    <x v="1"/>
    <n v="38200"/>
    <n v="0"/>
    <x v="4"/>
    <x v="2"/>
    <x v="1"/>
    <d v="2025-09-23T00:00:00"/>
    <n v="38200"/>
    <x v="1"/>
  </r>
  <r>
    <n v="104608"/>
    <n v="62"/>
    <n v="79700"/>
    <x v="0"/>
    <n v="46000"/>
    <n v="0"/>
    <x v="4"/>
    <x v="2"/>
    <x v="1"/>
    <d v="2024-01-05T00:00:00"/>
    <n v="46000"/>
    <x v="1"/>
  </r>
  <r>
    <n v="104609"/>
    <n v="27"/>
    <n v="36000"/>
    <x v="0"/>
    <n v="28600"/>
    <n v="0"/>
    <x v="0"/>
    <x v="0"/>
    <x v="1"/>
    <d v="2024-04-15T00:00:00"/>
    <n v="28600"/>
    <x v="0"/>
  </r>
  <r>
    <n v="104610"/>
    <n v="33"/>
    <n v="69000"/>
    <x v="0"/>
    <n v="26700"/>
    <n v="0"/>
    <x v="4"/>
    <x v="0"/>
    <x v="1"/>
    <d v="2025-01-05T00:00:00"/>
    <n v="26700"/>
    <x v="0"/>
  </r>
  <r>
    <n v="104611"/>
    <n v="20"/>
    <n v="60100"/>
    <x v="1"/>
    <n v="14900"/>
    <n v="0"/>
    <x v="4"/>
    <x v="0"/>
    <x v="1"/>
    <d v="2026-01-04T00:00:00"/>
    <n v="14900"/>
    <x v="0"/>
  </r>
  <r>
    <n v="104612"/>
    <n v="34"/>
    <n v="37900"/>
    <x v="1"/>
    <n v="13600"/>
    <n v="0"/>
    <x v="2"/>
    <x v="0"/>
    <x v="1"/>
    <d v="2025-08-12T00:00:00"/>
    <n v="13600"/>
    <x v="0"/>
  </r>
  <r>
    <n v="104613"/>
    <n v="47"/>
    <n v="48500"/>
    <x v="1"/>
    <n v="33200"/>
    <n v="0"/>
    <x v="2"/>
    <x v="2"/>
    <x v="1"/>
    <d v="2024-09-22T00:00:00"/>
    <n v="33200"/>
    <x v="0"/>
  </r>
  <r>
    <n v="104614"/>
    <n v="74"/>
    <n v="74800"/>
    <x v="0"/>
    <n v="0"/>
    <n v="322000"/>
    <x v="4"/>
    <x v="1"/>
    <x v="1"/>
    <d v="2024-10-26T00:00:00"/>
    <n v="322000"/>
    <x v="1"/>
  </r>
  <r>
    <n v="104615"/>
    <n v="22"/>
    <n v="58100"/>
    <x v="0"/>
    <n v="27300"/>
    <n v="0"/>
    <x v="2"/>
    <x v="1"/>
    <x v="1"/>
    <d v="2025-08-13T00:00:00"/>
    <n v="27300"/>
    <x v="0"/>
  </r>
  <r>
    <n v="104616"/>
    <n v="32"/>
    <n v="93800"/>
    <x v="0"/>
    <n v="29800"/>
    <n v="0"/>
    <x v="2"/>
    <x v="0"/>
    <x v="1"/>
    <d v="2026-01-11T00:00:00"/>
    <n v="29800"/>
    <x v="1"/>
  </r>
  <r>
    <n v="104617"/>
    <n v="33"/>
    <n v="51900"/>
    <x v="0"/>
    <n v="35900"/>
    <n v="0"/>
    <x v="4"/>
    <x v="1"/>
    <x v="1"/>
    <d v="2026-08-17T00:00:00"/>
    <n v="35900"/>
    <x v="0"/>
  </r>
  <r>
    <n v="104618"/>
    <n v="65"/>
    <n v="72500"/>
    <x v="2"/>
    <n v="0"/>
    <n v="0"/>
    <x v="6"/>
    <x v="2"/>
    <x v="1"/>
    <d v="2025-01-13T00:00:00"/>
    <n v="0"/>
    <x v="1"/>
  </r>
  <r>
    <n v="104619"/>
    <n v="32"/>
    <n v="91600"/>
    <x v="0"/>
    <n v="7900"/>
    <n v="0"/>
    <x v="5"/>
    <x v="1"/>
    <x v="1"/>
    <d v="2026-06-14T00:00:00"/>
    <n v="7900"/>
    <x v="1"/>
  </r>
  <r>
    <n v="104620"/>
    <n v="38"/>
    <n v="105100"/>
    <x v="1"/>
    <n v="0"/>
    <n v="0"/>
    <x v="1"/>
    <x v="2"/>
    <x v="1"/>
    <d v="2025-05-14T00:00:00"/>
    <n v="0"/>
    <x v="1"/>
  </r>
  <r>
    <n v="104621"/>
    <n v="25"/>
    <n v="43200"/>
    <x v="1"/>
    <n v="35800"/>
    <n v="95000"/>
    <x v="2"/>
    <x v="1"/>
    <x v="1"/>
    <d v="2026-08-15T00:00:00"/>
    <n v="130800"/>
    <x v="0"/>
  </r>
  <r>
    <n v="104622"/>
    <n v="57"/>
    <n v="63500"/>
    <x v="2"/>
    <n v="0"/>
    <n v="0"/>
    <x v="3"/>
    <x v="3"/>
    <x v="1"/>
    <d v="2026-06-08T00:00:00"/>
    <n v="0"/>
    <x v="0"/>
  </r>
  <r>
    <n v="104623"/>
    <n v="59"/>
    <n v="52500"/>
    <x v="2"/>
    <n v="50000"/>
    <n v="0"/>
    <x v="7"/>
    <x v="0"/>
    <x v="1"/>
    <d v="2026-04-05T00:00:00"/>
    <n v="50000"/>
    <x v="0"/>
  </r>
  <r>
    <n v="104624"/>
    <n v="38"/>
    <n v="48900"/>
    <x v="1"/>
    <n v="27500"/>
    <n v="0"/>
    <x v="4"/>
    <x v="2"/>
    <x v="1"/>
    <d v="2025-11-03T00:00:00"/>
    <n v="27500"/>
    <x v="0"/>
  </r>
  <r>
    <n v="104625"/>
    <n v="33"/>
    <n v="84000"/>
    <x v="0"/>
    <n v="0"/>
    <n v="0"/>
    <x v="4"/>
    <x v="1"/>
    <x v="1"/>
    <d v="2025-12-04T00:00:00"/>
    <n v="0"/>
    <x v="1"/>
  </r>
  <r>
    <n v="104626"/>
    <n v="66"/>
    <n v="52200"/>
    <x v="1"/>
    <n v="12300"/>
    <n v="0"/>
    <x v="1"/>
    <x v="2"/>
    <x v="1"/>
    <d v="2025-08-06T00:00:00"/>
    <n v="12300"/>
    <x v="0"/>
  </r>
  <r>
    <n v="104627"/>
    <n v="57"/>
    <n v="85300"/>
    <x v="1"/>
    <n v="25300"/>
    <n v="185000"/>
    <x v="3"/>
    <x v="1"/>
    <x v="1"/>
    <d v="2024-05-24T00:00:00"/>
    <n v="210300"/>
    <x v="1"/>
  </r>
  <r>
    <n v="104628"/>
    <n v="24"/>
    <n v="51900"/>
    <x v="2"/>
    <n v="48700"/>
    <n v="254000"/>
    <x v="7"/>
    <x v="1"/>
    <x v="1"/>
    <d v="2026-03-25T00:00:00"/>
    <n v="302700"/>
    <x v="0"/>
  </r>
  <r>
    <n v="104629"/>
    <n v="71"/>
    <n v="34900"/>
    <x v="1"/>
    <n v="18400"/>
    <n v="183000"/>
    <x v="2"/>
    <x v="0"/>
    <x v="1"/>
    <d v="2025-03-01T00:00:00"/>
    <n v="201400"/>
    <x v="0"/>
  </r>
  <r>
    <n v="104630"/>
    <n v="31"/>
    <n v="47900"/>
    <x v="1"/>
    <n v="40500"/>
    <n v="152000"/>
    <x v="4"/>
    <x v="1"/>
    <x v="1"/>
    <d v="2025-08-19T00:00:00"/>
    <n v="192500"/>
    <x v="0"/>
  </r>
  <r>
    <n v="104631"/>
    <n v="63"/>
    <n v="84900"/>
    <x v="1"/>
    <n v="0"/>
    <n v="0"/>
    <x v="1"/>
    <x v="1"/>
    <x v="1"/>
    <d v="2025-06-21T00:00:00"/>
    <n v="0"/>
    <x v="1"/>
  </r>
  <r>
    <n v="104632"/>
    <n v="24"/>
    <n v="33700"/>
    <x v="2"/>
    <n v="22600"/>
    <n v="0"/>
    <x v="3"/>
    <x v="0"/>
    <x v="0"/>
    <d v="2026-03-09T00:00:00"/>
    <n v="22600"/>
    <x v="0"/>
  </r>
  <r>
    <n v="104633"/>
    <n v="46"/>
    <n v="60600"/>
    <x v="0"/>
    <n v="37100"/>
    <n v="0"/>
    <x v="5"/>
    <x v="0"/>
    <x v="1"/>
    <d v="2026-04-01T00:00:00"/>
    <n v="37100"/>
    <x v="0"/>
  </r>
  <r>
    <n v="104634"/>
    <n v="73"/>
    <n v="59000"/>
    <x v="0"/>
    <n v="0"/>
    <n v="307000"/>
    <x v="7"/>
    <x v="3"/>
    <x v="1"/>
    <d v="2026-05-24T00:00:00"/>
    <n v="307000"/>
    <x v="0"/>
  </r>
  <r>
    <n v="104635"/>
    <n v="46"/>
    <n v="41900"/>
    <x v="0"/>
    <n v="0"/>
    <n v="0"/>
    <x v="0"/>
    <x v="0"/>
    <x v="1"/>
    <d v="2024-03-18T00:00:00"/>
    <n v="0"/>
    <x v="0"/>
  </r>
  <r>
    <n v="104636"/>
    <n v="63"/>
    <n v="102300"/>
    <x v="1"/>
    <n v="34400"/>
    <n v="0"/>
    <x v="3"/>
    <x v="2"/>
    <x v="1"/>
    <d v="2025-04-25T00:00:00"/>
    <n v="34400"/>
    <x v="1"/>
  </r>
  <r>
    <n v="104637"/>
    <n v="56"/>
    <n v="112400"/>
    <x v="1"/>
    <n v="0"/>
    <n v="0"/>
    <x v="5"/>
    <x v="2"/>
    <x v="1"/>
    <d v="2025-07-22T00:00:00"/>
    <n v="0"/>
    <x v="1"/>
  </r>
  <r>
    <n v="104638"/>
    <n v="27"/>
    <n v="63900"/>
    <x v="2"/>
    <n v="35200"/>
    <n v="0"/>
    <x v="5"/>
    <x v="1"/>
    <x v="1"/>
    <d v="2025-12-31T00:00:00"/>
    <n v="35200"/>
    <x v="0"/>
  </r>
  <r>
    <n v="104639"/>
    <n v="64"/>
    <n v="97200"/>
    <x v="1"/>
    <n v="27700"/>
    <n v="0"/>
    <x v="7"/>
    <x v="2"/>
    <x v="0"/>
    <d v="2024-02-28T00:00:00"/>
    <n v="27700"/>
    <x v="1"/>
  </r>
  <r>
    <n v="104640"/>
    <n v="28"/>
    <n v="74400"/>
    <x v="1"/>
    <n v="35300"/>
    <n v="0"/>
    <x v="6"/>
    <x v="1"/>
    <x v="1"/>
    <d v="2026-06-08T00:00:00"/>
    <n v="35300"/>
    <x v="1"/>
  </r>
  <r>
    <n v="104641"/>
    <n v="28"/>
    <n v="59400"/>
    <x v="1"/>
    <n v="13400"/>
    <n v="172000"/>
    <x v="4"/>
    <x v="2"/>
    <x v="1"/>
    <d v="2026-05-27T00:00:00"/>
    <n v="185400"/>
    <x v="0"/>
  </r>
  <r>
    <n v="104642"/>
    <n v="36"/>
    <n v="35700"/>
    <x v="1"/>
    <n v="0"/>
    <n v="187000"/>
    <x v="0"/>
    <x v="2"/>
    <x v="1"/>
    <d v="2024-12-18T00:00:00"/>
    <n v="187000"/>
    <x v="0"/>
  </r>
  <r>
    <n v="104643"/>
    <n v="34"/>
    <n v="34100"/>
    <x v="1"/>
    <n v="0"/>
    <n v="0"/>
    <x v="7"/>
    <x v="0"/>
    <x v="1"/>
    <d v="2026-05-09T00:00:00"/>
    <n v="0"/>
    <x v="0"/>
  </r>
  <r>
    <n v="104644"/>
    <n v="31"/>
    <n v="81100"/>
    <x v="1"/>
    <n v="42100"/>
    <n v="217000"/>
    <x v="6"/>
    <x v="2"/>
    <x v="1"/>
    <d v="2024-02-02T00:00:00"/>
    <n v="259100"/>
    <x v="1"/>
  </r>
  <r>
    <n v="104645"/>
    <n v="31"/>
    <n v="27000"/>
    <x v="0"/>
    <n v="0"/>
    <n v="0"/>
    <x v="0"/>
    <x v="0"/>
    <x v="1"/>
    <d v="2024-11-15T00:00:00"/>
    <n v="0"/>
    <x v="0"/>
  </r>
  <r>
    <n v="104646"/>
    <n v="20"/>
    <n v="32200"/>
    <x v="2"/>
    <n v="40200"/>
    <n v="257000"/>
    <x v="1"/>
    <x v="2"/>
    <x v="1"/>
    <d v="2024-05-26T00:00:00"/>
    <n v="297200"/>
    <x v="0"/>
  </r>
  <r>
    <n v="104647"/>
    <n v="51"/>
    <n v="38500"/>
    <x v="0"/>
    <n v="10300"/>
    <n v="0"/>
    <x v="6"/>
    <x v="1"/>
    <x v="1"/>
    <d v="2024-07-28T00:00:00"/>
    <n v="10300"/>
    <x v="0"/>
  </r>
  <r>
    <n v="104648"/>
    <n v="64"/>
    <n v="74300"/>
    <x v="2"/>
    <n v="74200"/>
    <n v="0"/>
    <x v="0"/>
    <x v="3"/>
    <x v="1"/>
    <d v="2025-03-07T00:00:00"/>
    <n v="74200"/>
    <x v="1"/>
  </r>
  <r>
    <n v="104649"/>
    <n v="28"/>
    <n v="48500"/>
    <x v="1"/>
    <n v="57500"/>
    <n v="346000"/>
    <x v="7"/>
    <x v="2"/>
    <x v="1"/>
    <d v="2025-01-06T00:00:00"/>
    <n v="403500"/>
    <x v="0"/>
  </r>
  <r>
    <n v="104650"/>
    <n v="62"/>
    <n v="32200"/>
    <x v="0"/>
    <n v="19100"/>
    <n v="0"/>
    <x v="6"/>
    <x v="0"/>
    <x v="1"/>
    <d v="2024-02-26T00:00:00"/>
    <n v="19100"/>
    <x v="0"/>
  </r>
  <r>
    <n v="104651"/>
    <n v="75"/>
    <n v="93500"/>
    <x v="0"/>
    <n v="0"/>
    <n v="0"/>
    <x v="5"/>
    <x v="3"/>
    <x v="1"/>
    <d v="2025-05-04T00:00:00"/>
    <n v="0"/>
    <x v="1"/>
  </r>
  <r>
    <n v="104652"/>
    <n v="39"/>
    <n v="33800"/>
    <x v="2"/>
    <n v="41700"/>
    <n v="0"/>
    <x v="2"/>
    <x v="1"/>
    <x v="1"/>
    <d v="2024-08-15T00:00:00"/>
    <n v="41700"/>
    <x v="0"/>
  </r>
  <r>
    <n v="104653"/>
    <n v="70"/>
    <n v="52100"/>
    <x v="0"/>
    <n v="65100"/>
    <n v="0"/>
    <x v="3"/>
    <x v="2"/>
    <x v="1"/>
    <d v="2024-11-23T00:00:00"/>
    <n v="65100"/>
    <x v="0"/>
  </r>
  <r>
    <n v="104654"/>
    <n v="75"/>
    <n v="60100"/>
    <x v="0"/>
    <n v="36800"/>
    <n v="135000"/>
    <x v="1"/>
    <x v="1"/>
    <x v="0"/>
    <d v="2025-12-31T00:00:00"/>
    <n v="171800"/>
    <x v="0"/>
  </r>
  <r>
    <n v="104655"/>
    <n v="39"/>
    <n v="55100"/>
    <x v="1"/>
    <n v="27900"/>
    <n v="296000"/>
    <x v="6"/>
    <x v="2"/>
    <x v="1"/>
    <d v="2025-10-10T00:00:00"/>
    <n v="323900"/>
    <x v="0"/>
  </r>
  <r>
    <n v="104656"/>
    <n v="43"/>
    <n v="93800"/>
    <x v="1"/>
    <n v="48400"/>
    <n v="0"/>
    <x v="1"/>
    <x v="0"/>
    <x v="1"/>
    <d v="2024-06-14T00:00:00"/>
    <n v="48400"/>
    <x v="1"/>
  </r>
  <r>
    <n v="104657"/>
    <n v="23"/>
    <n v="34200"/>
    <x v="1"/>
    <n v="39500"/>
    <n v="0"/>
    <x v="4"/>
    <x v="2"/>
    <x v="1"/>
    <d v="2024-12-22T00:00:00"/>
    <n v="39500"/>
    <x v="0"/>
  </r>
  <r>
    <n v="104658"/>
    <n v="26"/>
    <n v="67200"/>
    <x v="0"/>
    <n v="28700"/>
    <n v="229000"/>
    <x v="7"/>
    <x v="0"/>
    <x v="0"/>
    <d v="2024-12-17T00:00:00"/>
    <n v="257700"/>
    <x v="0"/>
  </r>
  <r>
    <n v="104659"/>
    <n v="27"/>
    <n v="101800"/>
    <x v="0"/>
    <n v="0"/>
    <n v="0"/>
    <x v="7"/>
    <x v="2"/>
    <x v="1"/>
    <d v="2024-12-28T00:00:00"/>
    <n v="0"/>
    <x v="1"/>
  </r>
  <r>
    <n v="104660"/>
    <n v="71"/>
    <n v="25500"/>
    <x v="1"/>
    <n v="0"/>
    <n v="0"/>
    <x v="4"/>
    <x v="0"/>
    <x v="1"/>
    <d v="2026-07-18T00:00:00"/>
    <n v="0"/>
    <x v="0"/>
  </r>
  <r>
    <n v="104661"/>
    <n v="52"/>
    <n v="69400"/>
    <x v="1"/>
    <n v="39900"/>
    <n v="0"/>
    <x v="1"/>
    <x v="1"/>
    <x v="1"/>
    <d v="2025-10-13T00:00:00"/>
    <n v="39900"/>
    <x v="0"/>
  </r>
  <r>
    <n v="104662"/>
    <n v="55"/>
    <n v="89300"/>
    <x v="0"/>
    <n v="0"/>
    <n v="135000"/>
    <x v="6"/>
    <x v="2"/>
    <x v="1"/>
    <d v="2026-08-26T00:00:00"/>
    <n v="135000"/>
    <x v="1"/>
  </r>
  <r>
    <n v="104663"/>
    <n v="55"/>
    <n v="115600"/>
    <x v="1"/>
    <n v="20000"/>
    <n v="0"/>
    <x v="2"/>
    <x v="2"/>
    <x v="1"/>
    <d v="2026-02-09T00:00:00"/>
    <n v="20000"/>
    <x v="1"/>
  </r>
  <r>
    <n v="104664"/>
    <n v="38"/>
    <n v="33400"/>
    <x v="1"/>
    <n v="41800"/>
    <n v="0"/>
    <x v="7"/>
    <x v="2"/>
    <x v="1"/>
    <d v="2026-08-16T00:00:00"/>
    <n v="41800"/>
    <x v="0"/>
  </r>
  <r>
    <n v="104665"/>
    <n v="48"/>
    <n v="105200"/>
    <x v="1"/>
    <n v="23200"/>
    <n v="0"/>
    <x v="2"/>
    <x v="2"/>
    <x v="1"/>
    <d v="2024-02-22T00:00:00"/>
    <n v="23200"/>
    <x v="1"/>
  </r>
  <r>
    <n v="104666"/>
    <n v="23"/>
    <n v="37800"/>
    <x v="0"/>
    <n v="29700"/>
    <n v="0"/>
    <x v="5"/>
    <x v="1"/>
    <x v="1"/>
    <d v="2025-03-10T00:00:00"/>
    <n v="29700"/>
    <x v="0"/>
  </r>
  <r>
    <n v="104667"/>
    <n v="36"/>
    <n v="37100"/>
    <x v="1"/>
    <n v="21300"/>
    <n v="0"/>
    <x v="0"/>
    <x v="2"/>
    <x v="1"/>
    <d v="2024-01-26T00:00:00"/>
    <n v="21300"/>
    <x v="0"/>
  </r>
  <r>
    <n v="104668"/>
    <n v="56"/>
    <n v="61300"/>
    <x v="1"/>
    <n v="42600"/>
    <n v="258000"/>
    <x v="5"/>
    <x v="1"/>
    <x v="1"/>
    <d v="2024-07-21T00:00:00"/>
    <n v="300600"/>
    <x v="0"/>
  </r>
  <r>
    <n v="104669"/>
    <n v="46"/>
    <n v="22000"/>
    <x v="1"/>
    <n v="27500"/>
    <n v="143000"/>
    <x v="4"/>
    <x v="1"/>
    <x v="1"/>
    <d v="2024-07-26T00:00:00"/>
    <n v="170500"/>
    <x v="0"/>
  </r>
  <r>
    <n v="104670"/>
    <n v="62"/>
    <n v="72000"/>
    <x v="1"/>
    <n v="0"/>
    <n v="0"/>
    <x v="4"/>
    <x v="3"/>
    <x v="1"/>
    <d v="2025-07-13T00:00:00"/>
    <n v="0"/>
    <x v="1"/>
  </r>
  <r>
    <n v="104671"/>
    <n v="21"/>
    <n v="99800"/>
    <x v="1"/>
    <n v="0"/>
    <n v="0"/>
    <x v="5"/>
    <x v="1"/>
    <x v="1"/>
    <d v="2024-04-08T00:00:00"/>
    <n v="0"/>
    <x v="1"/>
  </r>
  <r>
    <n v="104672"/>
    <n v="44"/>
    <n v="43900"/>
    <x v="2"/>
    <n v="25900"/>
    <n v="0"/>
    <x v="4"/>
    <x v="0"/>
    <x v="1"/>
    <d v="2025-09-20T00:00:00"/>
    <n v="25900"/>
    <x v="0"/>
  </r>
  <r>
    <n v="104673"/>
    <n v="33"/>
    <n v="41800"/>
    <x v="2"/>
    <n v="0"/>
    <n v="0"/>
    <x v="0"/>
    <x v="2"/>
    <x v="1"/>
    <d v="2026-07-28T00:00:00"/>
    <n v="0"/>
    <x v="0"/>
  </r>
  <r>
    <n v="104674"/>
    <n v="68"/>
    <n v="97000"/>
    <x v="0"/>
    <n v="0"/>
    <n v="0"/>
    <x v="2"/>
    <x v="2"/>
    <x v="1"/>
    <d v="2024-04-21T00:00:00"/>
    <n v="0"/>
    <x v="1"/>
  </r>
  <r>
    <n v="104675"/>
    <n v="28"/>
    <n v="87000"/>
    <x v="0"/>
    <n v="0"/>
    <n v="0"/>
    <x v="5"/>
    <x v="1"/>
    <x v="1"/>
    <d v="2026-05-06T00:00:00"/>
    <n v="0"/>
    <x v="1"/>
  </r>
  <r>
    <n v="104676"/>
    <n v="50"/>
    <n v="51600"/>
    <x v="1"/>
    <n v="0"/>
    <n v="0"/>
    <x v="2"/>
    <x v="0"/>
    <x v="1"/>
    <d v="2025-07-22T00:00:00"/>
    <n v="0"/>
    <x v="0"/>
  </r>
  <r>
    <n v="104677"/>
    <n v="36"/>
    <n v="102200"/>
    <x v="1"/>
    <n v="42800"/>
    <n v="0"/>
    <x v="5"/>
    <x v="2"/>
    <x v="1"/>
    <d v="2025-08-10T00:00:00"/>
    <n v="42800"/>
    <x v="1"/>
  </r>
  <r>
    <n v="104678"/>
    <n v="57"/>
    <n v="64500"/>
    <x v="1"/>
    <n v="0"/>
    <n v="0"/>
    <x v="4"/>
    <x v="1"/>
    <x v="1"/>
    <d v="2024-05-02T00:00:00"/>
    <n v="0"/>
    <x v="0"/>
  </r>
  <r>
    <n v="104679"/>
    <n v="20"/>
    <n v="37700"/>
    <x v="1"/>
    <n v="47100"/>
    <n v="0"/>
    <x v="4"/>
    <x v="1"/>
    <x v="1"/>
    <d v="2024-01-12T00:00:00"/>
    <n v="47100"/>
    <x v="0"/>
  </r>
  <r>
    <n v="104680"/>
    <n v="35"/>
    <n v="40300"/>
    <x v="2"/>
    <n v="0"/>
    <n v="0"/>
    <x v="1"/>
    <x v="1"/>
    <x v="1"/>
    <d v="2025-07-31T00:00:00"/>
    <n v="0"/>
    <x v="0"/>
  </r>
  <r>
    <n v="104681"/>
    <n v="27"/>
    <n v="62400"/>
    <x v="2"/>
    <n v="0"/>
    <n v="0"/>
    <x v="6"/>
    <x v="0"/>
    <x v="1"/>
    <d v="2024-07-09T00:00:00"/>
    <n v="0"/>
    <x v="0"/>
  </r>
  <r>
    <n v="104682"/>
    <n v="53"/>
    <n v="92400"/>
    <x v="0"/>
    <n v="0"/>
    <n v="0"/>
    <x v="2"/>
    <x v="2"/>
    <x v="1"/>
    <d v="2025-03-19T00:00:00"/>
    <n v="0"/>
    <x v="1"/>
  </r>
  <r>
    <n v="104683"/>
    <n v="51"/>
    <n v="42300"/>
    <x v="1"/>
    <n v="19900"/>
    <n v="221000"/>
    <x v="5"/>
    <x v="2"/>
    <x v="1"/>
    <d v="2025-10-14T00:00:00"/>
    <n v="240900"/>
    <x v="0"/>
  </r>
  <r>
    <n v="104684"/>
    <n v="50"/>
    <n v="57300"/>
    <x v="1"/>
    <n v="45600"/>
    <n v="310000"/>
    <x v="0"/>
    <x v="0"/>
    <x v="1"/>
    <d v="2026-05-14T00:00:00"/>
    <n v="355600"/>
    <x v="0"/>
  </r>
  <r>
    <n v="104685"/>
    <n v="51"/>
    <n v="95800"/>
    <x v="0"/>
    <n v="26000"/>
    <n v="0"/>
    <x v="5"/>
    <x v="2"/>
    <x v="1"/>
    <d v="2024-01-26T00:00:00"/>
    <n v="26000"/>
    <x v="1"/>
  </r>
  <r>
    <n v="104686"/>
    <n v="74"/>
    <n v="55500"/>
    <x v="2"/>
    <n v="0"/>
    <n v="0"/>
    <x v="3"/>
    <x v="1"/>
    <x v="1"/>
    <d v="2026-03-28T00:00:00"/>
    <n v="0"/>
    <x v="0"/>
  </r>
  <r>
    <n v="104687"/>
    <n v="47"/>
    <n v="57800"/>
    <x v="0"/>
    <n v="14800"/>
    <n v="0"/>
    <x v="2"/>
    <x v="0"/>
    <x v="1"/>
    <d v="2025-05-22T00:00:00"/>
    <n v="14800"/>
    <x v="0"/>
  </r>
  <r>
    <n v="104688"/>
    <n v="47"/>
    <n v="67900"/>
    <x v="0"/>
    <n v="17200"/>
    <n v="0"/>
    <x v="1"/>
    <x v="2"/>
    <x v="1"/>
    <d v="2024-08-11T00:00:00"/>
    <n v="17200"/>
    <x v="0"/>
  </r>
  <r>
    <n v="104689"/>
    <n v="30"/>
    <n v="111000"/>
    <x v="2"/>
    <n v="9800"/>
    <n v="0"/>
    <x v="0"/>
    <x v="1"/>
    <x v="1"/>
    <d v="2024-11-30T00:00:00"/>
    <n v="9800"/>
    <x v="1"/>
  </r>
  <r>
    <n v="104690"/>
    <n v="46"/>
    <n v="53500"/>
    <x v="1"/>
    <n v="0"/>
    <n v="344000"/>
    <x v="0"/>
    <x v="1"/>
    <x v="1"/>
    <d v="2024-11-11T00:00:00"/>
    <n v="344000"/>
    <x v="0"/>
  </r>
  <r>
    <n v="104691"/>
    <n v="32"/>
    <n v="25500"/>
    <x v="1"/>
    <n v="31900"/>
    <n v="225000"/>
    <x v="7"/>
    <x v="1"/>
    <x v="1"/>
    <d v="2024-03-28T00:00:00"/>
    <n v="256900"/>
    <x v="0"/>
  </r>
  <r>
    <n v="104692"/>
    <n v="61"/>
    <n v="69900"/>
    <x v="1"/>
    <n v="0"/>
    <n v="0"/>
    <x v="0"/>
    <x v="1"/>
    <x v="1"/>
    <d v="2025-04-27T00:00:00"/>
    <n v="0"/>
    <x v="0"/>
  </r>
  <r>
    <n v="104693"/>
    <n v="70"/>
    <n v="22500"/>
    <x v="0"/>
    <n v="20500"/>
    <n v="0"/>
    <x v="7"/>
    <x v="1"/>
    <x v="1"/>
    <d v="2025-04-18T00:00:00"/>
    <n v="20500"/>
    <x v="0"/>
  </r>
  <r>
    <n v="104694"/>
    <n v="35"/>
    <n v="62200"/>
    <x v="1"/>
    <n v="0"/>
    <n v="0"/>
    <x v="5"/>
    <x v="2"/>
    <x v="1"/>
    <d v="2024-03-17T00:00:00"/>
    <n v="0"/>
    <x v="0"/>
  </r>
  <r>
    <n v="104695"/>
    <n v="32"/>
    <n v="49600"/>
    <x v="0"/>
    <n v="54800"/>
    <n v="0"/>
    <x v="4"/>
    <x v="1"/>
    <x v="1"/>
    <d v="2026-01-28T00:00:00"/>
    <n v="54800"/>
    <x v="0"/>
  </r>
  <r>
    <n v="104696"/>
    <n v="38"/>
    <n v="57100"/>
    <x v="2"/>
    <n v="30700"/>
    <n v="216000"/>
    <x v="3"/>
    <x v="0"/>
    <x v="1"/>
    <d v="2024-10-14T00:00:00"/>
    <n v="246700"/>
    <x v="0"/>
  </r>
  <r>
    <n v="104697"/>
    <n v="72"/>
    <n v="111200"/>
    <x v="2"/>
    <n v="0"/>
    <n v="0"/>
    <x v="5"/>
    <x v="2"/>
    <x v="1"/>
    <d v="2026-08-17T00:00:00"/>
    <n v="0"/>
    <x v="1"/>
  </r>
  <r>
    <n v="104698"/>
    <n v="32"/>
    <n v="31100"/>
    <x v="1"/>
    <n v="35700"/>
    <n v="0"/>
    <x v="1"/>
    <x v="1"/>
    <x v="1"/>
    <d v="2026-01-13T00:00:00"/>
    <n v="35700"/>
    <x v="0"/>
  </r>
  <r>
    <n v="104699"/>
    <n v="21"/>
    <n v="24100"/>
    <x v="2"/>
    <n v="30100"/>
    <n v="0"/>
    <x v="3"/>
    <x v="2"/>
    <x v="1"/>
    <d v="2025-11-14T00:00:00"/>
    <n v="30100"/>
    <x v="0"/>
  </r>
  <r>
    <n v="104700"/>
    <n v="43"/>
    <n v="58000"/>
    <x v="0"/>
    <n v="0"/>
    <n v="0"/>
    <x v="1"/>
    <x v="2"/>
    <x v="1"/>
    <d v="2025-06-26T00:00:00"/>
    <n v="0"/>
    <x v="0"/>
  </r>
  <r>
    <n v="104701"/>
    <n v="23"/>
    <n v="97100"/>
    <x v="0"/>
    <n v="11800"/>
    <n v="0"/>
    <x v="6"/>
    <x v="1"/>
    <x v="1"/>
    <d v="2024-10-15T00:00:00"/>
    <n v="11800"/>
    <x v="1"/>
  </r>
  <r>
    <n v="104702"/>
    <n v="38"/>
    <n v="107400"/>
    <x v="0"/>
    <n v="35200"/>
    <n v="111000"/>
    <x v="3"/>
    <x v="2"/>
    <x v="1"/>
    <d v="2026-08-07T00:00:00"/>
    <n v="146200"/>
    <x v="1"/>
  </r>
  <r>
    <n v="104703"/>
    <n v="71"/>
    <n v="63000"/>
    <x v="1"/>
    <n v="0"/>
    <n v="0"/>
    <x v="0"/>
    <x v="2"/>
    <x v="1"/>
    <d v="2024-07-18T00:00:00"/>
    <n v="0"/>
    <x v="0"/>
  </r>
  <r>
    <n v="104704"/>
    <n v="64"/>
    <n v="33900"/>
    <x v="1"/>
    <n v="15700"/>
    <n v="0"/>
    <x v="3"/>
    <x v="1"/>
    <x v="1"/>
    <d v="2024-11-08T00:00:00"/>
    <n v="15700"/>
    <x v="0"/>
  </r>
  <r>
    <n v="104705"/>
    <n v="41"/>
    <n v="22300"/>
    <x v="1"/>
    <n v="0"/>
    <n v="0"/>
    <x v="3"/>
    <x v="1"/>
    <x v="1"/>
    <d v="2024-04-24T00:00:00"/>
    <n v="0"/>
    <x v="0"/>
  </r>
  <r>
    <n v="104706"/>
    <n v="61"/>
    <n v="32700"/>
    <x v="1"/>
    <n v="38500"/>
    <n v="0"/>
    <x v="3"/>
    <x v="0"/>
    <x v="1"/>
    <d v="2025-07-22T00:00:00"/>
    <n v="38500"/>
    <x v="0"/>
  </r>
  <r>
    <n v="104707"/>
    <n v="71"/>
    <n v="34000"/>
    <x v="2"/>
    <n v="0"/>
    <n v="0"/>
    <x v="4"/>
    <x v="3"/>
    <x v="1"/>
    <d v="2024-06-14T00:00:00"/>
    <n v="0"/>
    <x v="0"/>
  </r>
  <r>
    <n v="104708"/>
    <n v="60"/>
    <n v="58900"/>
    <x v="0"/>
    <n v="37100"/>
    <n v="0"/>
    <x v="3"/>
    <x v="1"/>
    <x v="1"/>
    <d v="2025-12-05T00:00:00"/>
    <n v="37100"/>
    <x v="0"/>
  </r>
  <r>
    <n v="104709"/>
    <n v="52"/>
    <n v="62300"/>
    <x v="1"/>
    <n v="18800"/>
    <n v="0"/>
    <x v="1"/>
    <x v="2"/>
    <x v="1"/>
    <d v="2025-05-30T00:00:00"/>
    <n v="18800"/>
    <x v="0"/>
  </r>
  <r>
    <n v="104710"/>
    <n v="39"/>
    <n v="32000"/>
    <x v="0"/>
    <n v="0"/>
    <n v="0"/>
    <x v="6"/>
    <x v="1"/>
    <x v="1"/>
    <d v="2025-05-19T00:00:00"/>
    <n v="0"/>
    <x v="0"/>
  </r>
  <r>
    <n v="104711"/>
    <n v="39"/>
    <n v="67000"/>
    <x v="1"/>
    <n v="66600"/>
    <n v="0"/>
    <x v="0"/>
    <x v="2"/>
    <x v="1"/>
    <d v="2024-09-11T00:00:00"/>
    <n v="66600"/>
    <x v="0"/>
  </r>
  <r>
    <n v="104712"/>
    <n v="57"/>
    <n v="33400"/>
    <x v="1"/>
    <n v="35500"/>
    <n v="0"/>
    <x v="7"/>
    <x v="0"/>
    <x v="1"/>
    <d v="2025-10-25T00:00:00"/>
    <n v="35500"/>
    <x v="0"/>
  </r>
  <r>
    <n v="104713"/>
    <n v="54"/>
    <n v="48700"/>
    <x v="0"/>
    <n v="50700"/>
    <n v="220000"/>
    <x v="4"/>
    <x v="3"/>
    <x v="1"/>
    <d v="2026-03-17T00:00:00"/>
    <n v="270700"/>
    <x v="0"/>
  </r>
  <r>
    <n v="104714"/>
    <n v="48"/>
    <n v="71000"/>
    <x v="0"/>
    <n v="37900"/>
    <n v="172000"/>
    <x v="1"/>
    <x v="1"/>
    <x v="1"/>
    <d v="2024-09-05T00:00:00"/>
    <n v="209900"/>
    <x v="1"/>
  </r>
  <r>
    <n v="104715"/>
    <n v="69"/>
    <n v="39600"/>
    <x v="1"/>
    <n v="49500"/>
    <n v="0"/>
    <x v="0"/>
    <x v="1"/>
    <x v="1"/>
    <d v="2025-11-19T00:00:00"/>
    <n v="49500"/>
    <x v="0"/>
  </r>
  <r>
    <n v="104716"/>
    <n v="73"/>
    <n v="84300"/>
    <x v="0"/>
    <n v="10600"/>
    <n v="0"/>
    <x v="7"/>
    <x v="1"/>
    <x v="1"/>
    <d v="2025-08-12T00:00:00"/>
    <n v="10600"/>
    <x v="1"/>
  </r>
  <r>
    <n v="104717"/>
    <n v="37"/>
    <n v="52200"/>
    <x v="1"/>
    <n v="46700"/>
    <n v="137000"/>
    <x v="6"/>
    <x v="2"/>
    <x v="1"/>
    <d v="2026-06-27T00:00:00"/>
    <n v="183700"/>
    <x v="0"/>
  </r>
  <r>
    <n v="104718"/>
    <n v="75"/>
    <n v="38600"/>
    <x v="2"/>
    <n v="29400"/>
    <n v="0"/>
    <x v="7"/>
    <x v="1"/>
    <x v="1"/>
    <d v="2024-07-09T00:00:00"/>
    <n v="29400"/>
    <x v="0"/>
  </r>
  <r>
    <n v="104719"/>
    <n v="33"/>
    <n v="87400"/>
    <x v="0"/>
    <n v="0"/>
    <n v="0"/>
    <x v="0"/>
    <x v="2"/>
    <x v="1"/>
    <d v="2024-08-14T00:00:00"/>
    <n v="0"/>
    <x v="1"/>
  </r>
  <r>
    <n v="104720"/>
    <n v="71"/>
    <n v="85700"/>
    <x v="0"/>
    <n v="28700"/>
    <n v="0"/>
    <x v="3"/>
    <x v="1"/>
    <x v="1"/>
    <d v="2024-12-05T00:00:00"/>
    <n v="28700"/>
    <x v="1"/>
  </r>
  <r>
    <n v="104721"/>
    <n v="60"/>
    <n v="31300"/>
    <x v="1"/>
    <n v="39100"/>
    <n v="180000"/>
    <x v="7"/>
    <x v="1"/>
    <x v="1"/>
    <d v="2025-08-30T00:00:00"/>
    <n v="219100"/>
    <x v="0"/>
  </r>
  <r>
    <n v="104722"/>
    <n v="55"/>
    <n v="44100"/>
    <x v="1"/>
    <n v="0"/>
    <n v="0"/>
    <x v="3"/>
    <x v="0"/>
    <x v="1"/>
    <d v="2025-05-02T00:00:00"/>
    <n v="0"/>
    <x v="0"/>
  </r>
  <r>
    <n v="104723"/>
    <n v="67"/>
    <n v="89600"/>
    <x v="1"/>
    <n v="0"/>
    <n v="0"/>
    <x v="5"/>
    <x v="2"/>
    <x v="1"/>
    <d v="2024-12-16T00:00:00"/>
    <n v="0"/>
    <x v="1"/>
  </r>
  <r>
    <n v="104724"/>
    <n v="50"/>
    <n v="56600"/>
    <x v="0"/>
    <n v="0"/>
    <n v="0"/>
    <x v="4"/>
    <x v="1"/>
    <x v="1"/>
    <d v="2024-10-10T00:00:00"/>
    <n v="0"/>
    <x v="0"/>
  </r>
  <r>
    <n v="104725"/>
    <n v="41"/>
    <n v="60200"/>
    <x v="1"/>
    <n v="45100"/>
    <n v="0"/>
    <x v="3"/>
    <x v="1"/>
    <x v="1"/>
    <d v="2026-06-16T00:00:00"/>
    <n v="45100"/>
    <x v="0"/>
  </r>
  <r>
    <n v="104726"/>
    <n v="56"/>
    <n v="99200"/>
    <x v="1"/>
    <n v="81800"/>
    <n v="132000"/>
    <x v="5"/>
    <x v="2"/>
    <x v="1"/>
    <d v="2026-05-02T00:00:00"/>
    <n v="213800"/>
    <x v="1"/>
  </r>
  <r>
    <n v="104727"/>
    <n v="74"/>
    <n v="52500"/>
    <x v="0"/>
    <n v="65600"/>
    <n v="0"/>
    <x v="4"/>
    <x v="1"/>
    <x v="1"/>
    <d v="2025-08-24T00:00:00"/>
    <n v="65600"/>
    <x v="0"/>
  </r>
  <r>
    <n v="104728"/>
    <n v="55"/>
    <n v="63100"/>
    <x v="1"/>
    <n v="14400"/>
    <n v="156000"/>
    <x v="1"/>
    <x v="2"/>
    <x v="1"/>
    <d v="2024-10-25T00:00:00"/>
    <n v="170400"/>
    <x v="0"/>
  </r>
  <r>
    <n v="104729"/>
    <n v="20"/>
    <n v="42500"/>
    <x v="0"/>
    <n v="0"/>
    <n v="0"/>
    <x v="6"/>
    <x v="1"/>
    <x v="1"/>
    <d v="2025-05-17T00:00:00"/>
    <n v="0"/>
    <x v="0"/>
  </r>
  <r>
    <n v="104730"/>
    <n v="36"/>
    <n v="33600"/>
    <x v="1"/>
    <n v="42000"/>
    <n v="0"/>
    <x v="1"/>
    <x v="1"/>
    <x v="1"/>
    <d v="2024-01-16T00:00:00"/>
    <n v="42000"/>
    <x v="0"/>
  </r>
  <r>
    <n v="104731"/>
    <n v="53"/>
    <n v="54000"/>
    <x v="2"/>
    <n v="39300"/>
    <n v="0"/>
    <x v="6"/>
    <x v="0"/>
    <x v="1"/>
    <d v="2026-02-03T00:00:00"/>
    <n v="39300"/>
    <x v="0"/>
  </r>
  <r>
    <n v="104732"/>
    <n v="52"/>
    <n v="41600"/>
    <x v="0"/>
    <n v="20400"/>
    <n v="0"/>
    <x v="6"/>
    <x v="1"/>
    <x v="1"/>
    <d v="2025-01-10T00:00:00"/>
    <n v="20400"/>
    <x v="0"/>
  </r>
  <r>
    <n v="104733"/>
    <n v="57"/>
    <n v="46400"/>
    <x v="1"/>
    <n v="58000"/>
    <n v="0"/>
    <x v="7"/>
    <x v="1"/>
    <x v="1"/>
    <d v="2024-11-04T00:00:00"/>
    <n v="58000"/>
    <x v="0"/>
  </r>
  <r>
    <n v="104734"/>
    <n v="53"/>
    <n v="51700"/>
    <x v="0"/>
    <n v="64600"/>
    <n v="0"/>
    <x v="7"/>
    <x v="1"/>
    <x v="1"/>
    <d v="2026-03-14T00:00:00"/>
    <n v="64600"/>
    <x v="0"/>
  </r>
  <r>
    <n v="104735"/>
    <n v="41"/>
    <n v="52700"/>
    <x v="2"/>
    <n v="24100"/>
    <n v="260000"/>
    <x v="5"/>
    <x v="2"/>
    <x v="1"/>
    <d v="2024-01-07T00:00:00"/>
    <n v="284100"/>
    <x v="0"/>
  </r>
  <r>
    <n v="104736"/>
    <n v="69"/>
    <n v="26800"/>
    <x v="1"/>
    <n v="14800"/>
    <n v="0"/>
    <x v="0"/>
    <x v="0"/>
    <x v="1"/>
    <d v="2024-03-22T00:00:00"/>
    <n v="14800"/>
    <x v="0"/>
  </r>
  <r>
    <n v="104737"/>
    <n v="48"/>
    <n v="51700"/>
    <x v="1"/>
    <n v="23100"/>
    <n v="0"/>
    <x v="1"/>
    <x v="1"/>
    <x v="1"/>
    <d v="2024-04-03T00:00:00"/>
    <n v="23100"/>
    <x v="0"/>
  </r>
  <r>
    <n v="104738"/>
    <n v="52"/>
    <n v="33100"/>
    <x v="1"/>
    <n v="0"/>
    <n v="0"/>
    <x v="1"/>
    <x v="0"/>
    <x v="1"/>
    <d v="2025-04-07T00:00:00"/>
    <n v="0"/>
    <x v="0"/>
  </r>
  <r>
    <n v="104739"/>
    <n v="41"/>
    <n v="56900"/>
    <x v="2"/>
    <n v="28000"/>
    <n v="220000"/>
    <x v="5"/>
    <x v="0"/>
    <x v="1"/>
    <d v="2024-01-22T00:00:00"/>
    <n v="248000"/>
    <x v="0"/>
  </r>
  <r>
    <n v="104740"/>
    <n v="43"/>
    <n v="40900"/>
    <x v="2"/>
    <n v="51100"/>
    <n v="0"/>
    <x v="1"/>
    <x v="0"/>
    <x v="1"/>
    <d v="2024-02-21T00:00:00"/>
    <n v="51100"/>
    <x v="0"/>
  </r>
  <r>
    <n v="104741"/>
    <n v="54"/>
    <n v="76000"/>
    <x v="2"/>
    <n v="0"/>
    <n v="0"/>
    <x v="7"/>
    <x v="1"/>
    <x v="1"/>
    <d v="2025-06-13T00:00:00"/>
    <n v="0"/>
    <x v="1"/>
  </r>
  <r>
    <n v="104742"/>
    <n v="55"/>
    <n v="27900"/>
    <x v="1"/>
    <n v="18500"/>
    <n v="0"/>
    <x v="5"/>
    <x v="1"/>
    <x v="1"/>
    <d v="2024-04-17T00:00:00"/>
    <n v="18500"/>
    <x v="0"/>
  </r>
  <r>
    <n v="104743"/>
    <n v="28"/>
    <n v="85800"/>
    <x v="1"/>
    <n v="0"/>
    <n v="0"/>
    <x v="7"/>
    <x v="1"/>
    <x v="1"/>
    <d v="2026-06-05T00:00:00"/>
    <n v="0"/>
    <x v="1"/>
  </r>
  <r>
    <n v="104744"/>
    <n v="30"/>
    <n v="38600"/>
    <x v="0"/>
    <n v="48200"/>
    <n v="0"/>
    <x v="5"/>
    <x v="1"/>
    <x v="1"/>
    <d v="2024-03-12T00:00:00"/>
    <n v="48200"/>
    <x v="0"/>
  </r>
  <r>
    <n v="104745"/>
    <n v="63"/>
    <n v="39000"/>
    <x v="0"/>
    <n v="48800"/>
    <n v="0"/>
    <x v="7"/>
    <x v="0"/>
    <x v="1"/>
    <d v="2026-07-30T00:00:00"/>
    <n v="48800"/>
    <x v="0"/>
  </r>
  <r>
    <n v="104746"/>
    <n v="22"/>
    <n v="58100"/>
    <x v="1"/>
    <n v="59400"/>
    <n v="0"/>
    <x v="7"/>
    <x v="2"/>
    <x v="1"/>
    <d v="2025-01-25T00:00:00"/>
    <n v="59400"/>
    <x v="0"/>
  </r>
  <r>
    <n v="104747"/>
    <n v="61"/>
    <n v="41700"/>
    <x v="1"/>
    <n v="35200"/>
    <n v="0"/>
    <x v="0"/>
    <x v="0"/>
    <x v="1"/>
    <d v="2026-03-17T00:00:00"/>
    <n v="35200"/>
    <x v="0"/>
  </r>
  <r>
    <n v="104748"/>
    <n v="23"/>
    <n v="46000"/>
    <x v="1"/>
    <n v="32800"/>
    <n v="0"/>
    <x v="7"/>
    <x v="1"/>
    <x v="1"/>
    <d v="2025-11-03T00:00:00"/>
    <n v="32800"/>
    <x v="0"/>
  </r>
  <r>
    <n v="104749"/>
    <n v="64"/>
    <n v="70700"/>
    <x v="0"/>
    <n v="15700"/>
    <n v="0"/>
    <x v="1"/>
    <x v="1"/>
    <x v="1"/>
    <d v="2025-08-26T00:00:00"/>
    <n v="15700"/>
    <x v="1"/>
  </r>
  <r>
    <n v="104750"/>
    <n v="46"/>
    <n v="57800"/>
    <x v="1"/>
    <n v="72200"/>
    <n v="0"/>
    <x v="6"/>
    <x v="0"/>
    <x v="1"/>
    <d v="2024-09-27T00:00:00"/>
    <n v="72200"/>
    <x v="0"/>
  </r>
  <r>
    <n v="104751"/>
    <n v="62"/>
    <n v="26000"/>
    <x v="1"/>
    <n v="32500"/>
    <n v="0"/>
    <x v="5"/>
    <x v="1"/>
    <x v="1"/>
    <d v="2025-06-25T00:00:00"/>
    <n v="32500"/>
    <x v="0"/>
  </r>
  <r>
    <n v="104752"/>
    <n v="28"/>
    <n v="51600"/>
    <x v="0"/>
    <n v="22400"/>
    <n v="249000"/>
    <x v="1"/>
    <x v="1"/>
    <x v="1"/>
    <d v="2025-06-17T00:00:00"/>
    <n v="271400"/>
    <x v="0"/>
  </r>
  <r>
    <n v="104753"/>
    <n v="47"/>
    <n v="90400"/>
    <x v="0"/>
    <n v="39800"/>
    <n v="275000"/>
    <x v="1"/>
    <x v="2"/>
    <x v="1"/>
    <d v="2024-10-31T00:00:00"/>
    <n v="314800"/>
    <x v="1"/>
  </r>
  <r>
    <n v="104754"/>
    <n v="27"/>
    <n v="62600"/>
    <x v="1"/>
    <n v="49900"/>
    <n v="0"/>
    <x v="5"/>
    <x v="1"/>
    <x v="1"/>
    <d v="2026-03-19T00:00:00"/>
    <n v="49900"/>
    <x v="0"/>
  </r>
  <r>
    <n v="104755"/>
    <n v="38"/>
    <n v="44600"/>
    <x v="1"/>
    <n v="31100"/>
    <n v="0"/>
    <x v="5"/>
    <x v="1"/>
    <x v="1"/>
    <d v="2025-07-28T00:00:00"/>
    <n v="31100"/>
    <x v="0"/>
  </r>
  <r>
    <n v="104756"/>
    <n v="46"/>
    <n v="31100"/>
    <x v="0"/>
    <n v="38900"/>
    <n v="203000"/>
    <x v="6"/>
    <x v="1"/>
    <x v="1"/>
    <d v="2026-06-12T00:00:00"/>
    <n v="241900"/>
    <x v="0"/>
  </r>
  <r>
    <n v="104757"/>
    <n v="59"/>
    <n v="43800"/>
    <x v="1"/>
    <n v="54200"/>
    <n v="0"/>
    <x v="4"/>
    <x v="3"/>
    <x v="1"/>
    <d v="2024-02-01T00:00:00"/>
    <n v="54200"/>
    <x v="0"/>
  </r>
  <r>
    <n v="104758"/>
    <n v="34"/>
    <n v="47800"/>
    <x v="0"/>
    <n v="45600"/>
    <n v="0"/>
    <x v="6"/>
    <x v="1"/>
    <x v="1"/>
    <d v="2025-07-01T00:00:00"/>
    <n v="45600"/>
    <x v="0"/>
  </r>
  <r>
    <n v="104759"/>
    <n v="51"/>
    <n v="58400"/>
    <x v="1"/>
    <n v="26200"/>
    <n v="225000"/>
    <x v="3"/>
    <x v="0"/>
    <x v="1"/>
    <d v="2024-06-26T00:00:00"/>
    <n v="251200"/>
    <x v="0"/>
  </r>
  <r>
    <n v="104760"/>
    <n v="40"/>
    <n v="52700"/>
    <x v="2"/>
    <n v="0"/>
    <n v="0"/>
    <x v="7"/>
    <x v="1"/>
    <x v="1"/>
    <d v="2024-11-07T00:00:00"/>
    <n v="0"/>
    <x v="0"/>
  </r>
  <r>
    <n v="104761"/>
    <n v="69"/>
    <n v="73500"/>
    <x v="1"/>
    <n v="51300"/>
    <n v="0"/>
    <x v="7"/>
    <x v="2"/>
    <x v="1"/>
    <d v="2025-02-20T00:00:00"/>
    <n v="51300"/>
    <x v="1"/>
  </r>
  <r>
    <n v="104762"/>
    <n v="46"/>
    <n v="78500"/>
    <x v="0"/>
    <n v="0"/>
    <n v="0"/>
    <x v="1"/>
    <x v="0"/>
    <x v="1"/>
    <d v="2026-03-25T00:00:00"/>
    <n v="0"/>
    <x v="1"/>
  </r>
  <r>
    <n v="104763"/>
    <n v="34"/>
    <n v="81900"/>
    <x v="1"/>
    <n v="0"/>
    <n v="80000"/>
    <x v="3"/>
    <x v="2"/>
    <x v="1"/>
    <d v="2026-03-29T00:00:00"/>
    <n v="80000"/>
    <x v="1"/>
  </r>
  <r>
    <n v="104764"/>
    <n v="46"/>
    <n v="36700"/>
    <x v="0"/>
    <n v="29500"/>
    <n v="160000"/>
    <x v="1"/>
    <x v="1"/>
    <x v="1"/>
    <d v="2025-08-03T00:00:00"/>
    <n v="189500"/>
    <x v="0"/>
  </r>
  <r>
    <n v="104765"/>
    <n v="51"/>
    <n v="56500"/>
    <x v="0"/>
    <n v="23300"/>
    <n v="0"/>
    <x v="3"/>
    <x v="0"/>
    <x v="1"/>
    <d v="2025-10-27T00:00:00"/>
    <n v="23300"/>
    <x v="0"/>
  </r>
  <r>
    <n v="104766"/>
    <n v="41"/>
    <n v="46200"/>
    <x v="1"/>
    <n v="27300"/>
    <n v="217000"/>
    <x v="6"/>
    <x v="0"/>
    <x v="1"/>
    <d v="2026-06-03T00:00:00"/>
    <n v="244300"/>
    <x v="0"/>
  </r>
  <r>
    <n v="104767"/>
    <n v="53"/>
    <n v="68500"/>
    <x v="2"/>
    <n v="0"/>
    <n v="79000"/>
    <x v="6"/>
    <x v="0"/>
    <x v="1"/>
    <d v="2025-08-26T00:00:00"/>
    <n v="79000"/>
    <x v="0"/>
  </r>
  <r>
    <n v="104768"/>
    <n v="30"/>
    <n v="88200"/>
    <x v="1"/>
    <n v="0"/>
    <n v="0"/>
    <x v="5"/>
    <x v="1"/>
    <x v="1"/>
    <d v="2025-02-12T00:00:00"/>
    <n v="0"/>
    <x v="1"/>
  </r>
  <r>
    <n v="104769"/>
    <n v="53"/>
    <n v="54800"/>
    <x v="1"/>
    <n v="68500"/>
    <n v="0"/>
    <x v="3"/>
    <x v="2"/>
    <x v="1"/>
    <d v="2024-11-19T00:00:00"/>
    <n v="68500"/>
    <x v="0"/>
  </r>
  <r>
    <n v="104770"/>
    <n v="28"/>
    <n v="86300"/>
    <x v="1"/>
    <n v="72700"/>
    <n v="0"/>
    <x v="7"/>
    <x v="2"/>
    <x v="1"/>
    <d v="2025-12-12T00:00:00"/>
    <n v="72700"/>
    <x v="1"/>
  </r>
  <r>
    <n v="104771"/>
    <n v="71"/>
    <n v="37800"/>
    <x v="1"/>
    <n v="47200"/>
    <n v="0"/>
    <x v="4"/>
    <x v="1"/>
    <x v="1"/>
    <d v="2026-01-15T00:00:00"/>
    <n v="47200"/>
    <x v="0"/>
  </r>
  <r>
    <n v="104772"/>
    <n v="73"/>
    <n v="64900"/>
    <x v="2"/>
    <n v="0"/>
    <n v="0"/>
    <x v="2"/>
    <x v="1"/>
    <x v="1"/>
    <d v="2026-05-11T00:00:00"/>
    <n v="0"/>
    <x v="0"/>
  </r>
  <r>
    <n v="104773"/>
    <n v="59"/>
    <n v="47600"/>
    <x v="1"/>
    <n v="21900"/>
    <n v="0"/>
    <x v="7"/>
    <x v="1"/>
    <x v="1"/>
    <d v="2025-02-28T00:00:00"/>
    <n v="21900"/>
    <x v="0"/>
  </r>
  <r>
    <n v="104774"/>
    <n v="75"/>
    <n v="88600"/>
    <x v="0"/>
    <n v="38100"/>
    <n v="0"/>
    <x v="2"/>
    <x v="2"/>
    <x v="1"/>
    <d v="2024-03-07T00:00:00"/>
    <n v="38100"/>
    <x v="1"/>
  </r>
  <r>
    <n v="104775"/>
    <n v="20"/>
    <n v="42000"/>
    <x v="0"/>
    <n v="42900"/>
    <n v="0"/>
    <x v="7"/>
    <x v="3"/>
    <x v="1"/>
    <d v="2025-10-15T00:00:00"/>
    <n v="42900"/>
    <x v="0"/>
  </r>
  <r>
    <n v="104776"/>
    <n v="46"/>
    <n v="51100"/>
    <x v="1"/>
    <n v="63900"/>
    <n v="0"/>
    <x v="2"/>
    <x v="2"/>
    <x v="1"/>
    <d v="2024-05-10T00:00:00"/>
    <n v="63900"/>
    <x v="0"/>
  </r>
  <r>
    <n v="104777"/>
    <n v="72"/>
    <n v="72000"/>
    <x v="1"/>
    <n v="0"/>
    <n v="0"/>
    <x v="1"/>
    <x v="1"/>
    <x v="1"/>
    <d v="2024-06-26T00:00:00"/>
    <n v="0"/>
    <x v="1"/>
  </r>
  <r>
    <n v="104778"/>
    <n v="47"/>
    <n v="44600"/>
    <x v="0"/>
    <n v="39800"/>
    <n v="0"/>
    <x v="4"/>
    <x v="0"/>
    <x v="1"/>
    <d v="2025-09-08T00:00:00"/>
    <n v="39800"/>
    <x v="0"/>
  </r>
  <r>
    <n v="104779"/>
    <n v="27"/>
    <n v="97500"/>
    <x v="0"/>
    <n v="0"/>
    <n v="0"/>
    <x v="2"/>
    <x v="0"/>
    <x v="1"/>
    <d v="2025-10-17T00:00:00"/>
    <n v="0"/>
    <x v="1"/>
  </r>
  <r>
    <n v="104780"/>
    <n v="36"/>
    <n v="88500"/>
    <x v="1"/>
    <n v="56100"/>
    <n v="384000"/>
    <x v="1"/>
    <x v="1"/>
    <x v="1"/>
    <d v="2025-05-23T00:00:00"/>
    <n v="440100"/>
    <x v="1"/>
  </r>
  <r>
    <n v="104781"/>
    <n v="64"/>
    <n v="119900"/>
    <x v="1"/>
    <n v="0"/>
    <n v="0"/>
    <x v="5"/>
    <x v="3"/>
    <x v="1"/>
    <d v="2025-04-10T00:00:00"/>
    <n v="0"/>
    <x v="1"/>
  </r>
  <r>
    <n v="104782"/>
    <n v="70"/>
    <n v="48900"/>
    <x v="1"/>
    <n v="0"/>
    <n v="0"/>
    <x v="6"/>
    <x v="1"/>
    <x v="1"/>
    <d v="2024-10-06T00:00:00"/>
    <n v="0"/>
    <x v="0"/>
  </r>
  <r>
    <n v="104783"/>
    <n v="59"/>
    <n v="33400"/>
    <x v="2"/>
    <n v="27000"/>
    <n v="0"/>
    <x v="4"/>
    <x v="0"/>
    <x v="0"/>
    <d v="2024-12-20T00:00:00"/>
    <n v="27000"/>
    <x v="0"/>
  </r>
  <r>
    <n v="104784"/>
    <n v="62"/>
    <n v="104500"/>
    <x v="0"/>
    <n v="25900"/>
    <n v="188000"/>
    <x v="6"/>
    <x v="1"/>
    <x v="1"/>
    <d v="2024-04-21T00:00:00"/>
    <n v="213900"/>
    <x v="1"/>
  </r>
  <r>
    <n v="104785"/>
    <n v="26"/>
    <n v="69100"/>
    <x v="0"/>
    <n v="39100"/>
    <n v="195000"/>
    <x v="2"/>
    <x v="2"/>
    <x v="0"/>
    <d v="2024-05-01T00:00:00"/>
    <n v="234100"/>
    <x v="0"/>
  </r>
  <r>
    <n v="104786"/>
    <n v="40"/>
    <n v="62300"/>
    <x v="1"/>
    <n v="51300"/>
    <n v="0"/>
    <x v="5"/>
    <x v="0"/>
    <x v="1"/>
    <d v="2025-07-14T00:00:00"/>
    <n v="51300"/>
    <x v="0"/>
  </r>
  <r>
    <n v="104787"/>
    <n v="21"/>
    <n v="74500"/>
    <x v="1"/>
    <n v="38700"/>
    <n v="331000"/>
    <x v="3"/>
    <x v="2"/>
    <x v="1"/>
    <d v="2026-08-05T00:00:00"/>
    <n v="369700"/>
    <x v="1"/>
  </r>
  <r>
    <n v="104788"/>
    <n v="23"/>
    <n v="109100"/>
    <x v="0"/>
    <n v="62500"/>
    <n v="0"/>
    <x v="3"/>
    <x v="1"/>
    <x v="1"/>
    <d v="2024-09-02T00:00:00"/>
    <n v="62500"/>
    <x v="1"/>
  </r>
  <r>
    <n v="104789"/>
    <n v="68"/>
    <n v="45300"/>
    <x v="0"/>
    <n v="56600"/>
    <n v="0"/>
    <x v="4"/>
    <x v="0"/>
    <x v="1"/>
    <d v="2026-07-04T00:00:00"/>
    <n v="56600"/>
    <x v="0"/>
  </r>
  <r>
    <n v="104790"/>
    <n v="41"/>
    <n v="74000"/>
    <x v="0"/>
    <n v="25600"/>
    <n v="0"/>
    <x v="1"/>
    <x v="0"/>
    <x v="1"/>
    <d v="2024-11-04T00:00:00"/>
    <n v="25600"/>
    <x v="1"/>
  </r>
  <r>
    <n v="104791"/>
    <n v="58"/>
    <n v="59600"/>
    <x v="1"/>
    <n v="68100"/>
    <n v="0"/>
    <x v="3"/>
    <x v="0"/>
    <x v="1"/>
    <d v="2025-08-31T00:00:00"/>
    <n v="68100"/>
    <x v="0"/>
  </r>
  <r>
    <n v="104792"/>
    <n v="35"/>
    <n v="67400"/>
    <x v="0"/>
    <n v="8400"/>
    <n v="0"/>
    <x v="0"/>
    <x v="3"/>
    <x v="1"/>
    <d v="2024-12-27T00:00:00"/>
    <n v="8400"/>
    <x v="0"/>
  </r>
  <r>
    <n v="104793"/>
    <n v="68"/>
    <n v="56000"/>
    <x v="1"/>
    <n v="0"/>
    <n v="0"/>
    <x v="6"/>
    <x v="1"/>
    <x v="1"/>
    <d v="2025-08-02T00:00:00"/>
    <n v="0"/>
    <x v="0"/>
  </r>
  <r>
    <n v="104794"/>
    <n v="41"/>
    <n v="58600"/>
    <x v="0"/>
    <n v="0"/>
    <n v="197000"/>
    <x v="3"/>
    <x v="2"/>
    <x v="1"/>
    <d v="2026-05-24T00:00:00"/>
    <n v="197000"/>
    <x v="0"/>
  </r>
  <r>
    <n v="104795"/>
    <n v="24"/>
    <n v="64200"/>
    <x v="0"/>
    <n v="0"/>
    <n v="0"/>
    <x v="5"/>
    <x v="1"/>
    <x v="1"/>
    <d v="2026-03-23T00:00:00"/>
    <n v="0"/>
    <x v="0"/>
  </r>
  <r>
    <n v="104796"/>
    <n v="60"/>
    <n v="74900"/>
    <x v="1"/>
    <n v="23000"/>
    <n v="0"/>
    <x v="4"/>
    <x v="1"/>
    <x v="1"/>
    <d v="2025-01-21T00:00:00"/>
    <n v="23000"/>
    <x v="1"/>
  </r>
  <r>
    <n v="104797"/>
    <n v="60"/>
    <n v="57600"/>
    <x v="2"/>
    <n v="0"/>
    <n v="0"/>
    <x v="7"/>
    <x v="1"/>
    <x v="1"/>
    <d v="2025-04-07T00:00:00"/>
    <n v="0"/>
    <x v="0"/>
  </r>
  <r>
    <n v="104798"/>
    <n v="72"/>
    <n v="48600"/>
    <x v="0"/>
    <n v="8700"/>
    <n v="205000"/>
    <x v="4"/>
    <x v="2"/>
    <x v="1"/>
    <d v="2026-07-04T00:00:00"/>
    <n v="213700"/>
    <x v="0"/>
  </r>
  <r>
    <n v="104799"/>
    <n v="57"/>
    <n v="100400"/>
    <x v="2"/>
    <n v="0"/>
    <n v="89000"/>
    <x v="1"/>
    <x v="0"/>
    <x v="1"/>
    <d v="2026-07-30T00:00:00"/>
    <n v="89000"/>
    <x v="1"/>
  </r>
  <r>
    <n v="104800"/>
    <n v="54"/>
    <n v="44100"/>
    <x v="2"/>
    <n v="17400"/>
    <n v="237000"/>
    <x v="5"/>
    <x v="0"/>
    <x v="1"/>
    <d v="2024-01-14T00:00:00"/>
    <n v="254400"/>
    <x v="0"/>
  </r>
  <r>
    <n v="104801"/>
    <n v="63"/>
    <n v="58200"/>
    <x v="0"/>
    <n v="12700"/>
    <n v="0"/>
    <x v="6"/>
    <x v="2"/>
    <x v="1"/>
    <d v="2026-02-14T00:00:00"/>
    <n v="12700"/>
    <x v="0"/>
  </r>
  <r>
    <n v="104802"/>
    <n v="32"/>
    <n v="81100"/>
    <x v="1"/>
    <n v="45100"/>
    <n v="0"/>
    <x v="1"/>
    <x v="1"/>
    <x v="1"/>
    <d v="2026-08-08T00:00:00"/>
    <n v="45100"/>
    <x v="1"/>
  </r>
  <r>
    <n v="104803"/>
    <n v="28"/>
    <n v="97600"/>
    <x v="1"/>
    <n v="79300"/>
    <n v="0"/>
    <x v="1"/>
    <x v="2"/>
    <x v="1"/>
    <d v="2024-01-30T00:00:00"/>
    <n v="79300"/>
    <x v="1"/>
  </r>
  <r>
    <n v="104804"/>
    <n v="51"/>
    <n v="75100"/>
    <x v="1"/>
    <n v="25400"/>
    <n v="0"/>
    <x v="6"/>
    <x v="1"/>
    <x v="1"/>
    <d v="2025-12-02T00:00:00"/>
    <n v="25400"/>
    <x v="1"/>
  </r>
  <r>
    <n v="104805"/>
    <n v="68"/>
    <n v="80500"/>
    <x v="1"/>
    <n v="49100"/>
    <n v="310000"/>
    <x v="3"/>
    <x v="2"/>
    <x v="1"/>
    <d v="2025-08-05T00:00:00"/>
    <n v="359100"/>
    <x v="1"/>
  </r>
  <r>
    <n v="104806"/>
    <n v="22"/>
    <n v="30600"/>
    <x v="2"/>
    <n v="38200"/>
    <n v="0"/>
    <x v="1"/>
    <x v="0"/>
    <x v="1"/>
    <d v="2026-08-30T00:00:00"/>
    <n v="38200"/>
    <x v="0"/>
  </r>
  <r>
    <n v="104807"/>
    <n v="22"/>
    <n v="63400"/>
    <x v="1"/>
    <n v="37000"/>
    <n v="0"/>
    <x v="0"/>
    <x v="1"/>
    <x v="1"/>
    <d v="2024-05-13T00:00:00"/>
    <n v="37000"/>
    <x v="0"/>
  </r>
  <r>
    <n v="104808"/>
    <n v="74"/>
    <n v="120700"/>
    <x v="1"/>
    <n v="0"/>
    <n v="0"/>
    <x v="7"/>
    <x v="2"/>
    <x v="1"/>
    <d v="2025-01-24T00:00:00"/>
    <n v="0"/>
    <x v="1"/>
  </r>
  <r>
    <n v="104809"/>
    <n v="23"/>
    <n v="84600"/>
    <x v="1"/>
    <n v="42500"/>
    <n v="0"/>
    <x v="7"/>
    <x v="1"/>
    <x v="1"/>
    <d v="2024-06-17T00:00:00"/>
    <n v="42500"/>
    <x v="1"/>
  </r>
  <r>
    <n v="104810"/>
    <n v="24"/>
    <n v="44300"/>
    <x v="0"/>
    <n v="31500"/>
    <n v="0"/>
    <x v="6"/>
    <x v="1"/>
    <x v="1"/>
    <d v="2025-09-27T00:00:00"/>
    <n v="31500"/>
    <x v="0"/>
  </r>
  <r>
    <n v="104811"/>
    <n v="71"/>
    <n v="106500"/>
    <x v="0"/>
    <n v="14100"/>
    <n v="109000"/>
    <x v="2"/>
    <x v="1"/>
    <x v="1"/>
    <d v="2025-10-15T00:00:00"/>
    <n v="123100"/>
    <x v="1"/>
  </r>
  <r>
    <n v="104812"/>
    <n v="75"/>
    <n v="73700"/>
    <x v="0"/>
    <n v="26800"/>
    <n v="0"/>
    <x v="7"/>
    <x v="1"/>
    <x v="1"/>
    <d v="2026-04-04T00:00:00"/>
    <n v="26800"/>
    <x v="1"/>
  </r>
  <r>
    <n v="104813"/>
    <n v="66"/>
    <n v="42600"/>
    <x v="0"/>
    <n v="0"/>
    <n v="0"/>
    <x v="5"/>
    <x v="0"/>
    <x v="1"/>
    <d v="2026-08-12T00:00:00"/>
    <n v="0"/>
    <x v="0"/>
  </r>
  <r>
    <n v="104814"/>
    <n v="58"/>
    <n v="115000"/>
    <x v="2"/>
    <n v="38600"/>
    <n v="0"/>
    <x v="3"/>
    <x v="1"/>
    <x v="1"/>
    <d v="2025-06-25T00:00:00"/>
    <n v="38600"/>
    <x v="1"/>
  </r>
  <r>
    <n v="104815"/>
    <n v="38"/>
    <n v="62700"/>
    <x v="2"/>
    <n v="19600"/>
    <n v="73000"/>
    <x v="2"/>
    <x v="0"/>
    <x v="1"/>
    <d v="2026-06-17T00:00:00"/>
    <n v="92600"/>
    <x v="0"/>
  </r>
  <r>
    <n v="104816"/>
    <n v="33"/>
    <n v="26200"/>
    <x v="0"/>
    <n v="8100"/>
    <n v="0"/>
    <x v="6"/>
    <x v="2"/>
    <x v="1"/>
    <d v="2026-02-26T00:00:00"/>
    <n v="8100"/>
    <x v="0"/>
  </r>
  <r>
    <n v="104817"/>
    <n v="49"/>
    <n v="49900"/>
    <x v="1"/>
    <n v="55500"/>
    <n v="0"/>
    <x v="1"/>
    <x v="0"/>
    <x v="1"/>
    <d v="2024-04-01T00:00:00"/>
    <n v="55500"/>
    <x v="0"/>
  </r>
  <r>
    <n v="104818"/>
    <n v="47"/>
    <n v="41800"/>
    <x v="1"/>
    <n v="32100"/>
    <n v="0"/>
    <x v="3"/>
    <x v="2"/>
    <x v="1"/>
    <d v="2024-12-23T00:00:00"/>
    <n v="32100"/>
    <x v="0"/>
  </r>
  <r>
    <n v="104819"/>
    <n v="52"/>
    <n v="39000"/>
    <x v="1"/>
    <n v="0"/>
    <n v="0"/>
    <x v="3"/>
    <x v="0"/>
    <x v="1"/>
    <d v="2026-06-05T00:00:00"/>
    <n v="0"/>
    <x v="0"/>
  </r>
  <r>
    <n v="104820"/>
    <n v="21"/>
    <n v="63000"/>
    <x v="2"/>
    <n v="0"/>
    <n v="0"/>
    <x v="5"/>
    <x v="1"/>
    <x v="1"/>
    <d v="2026-05-13T00:00:00"/>
    <n v="0"/>
    <x v="0"/>
  </r>
  <r>
    <n v="104821"/>
    <n v="72"/>
    <n v="70200"/>
    <x v="0"/>
    <n v="45800"/>
    <n v="0"/>
    <x v="0"/>
    <x v="2"/>
    <x v="1"/>
    <d v="2025-05-29T00:00:00"/>
    <n v="45800"/>
    <x v="1"/>
  </r>
  <r>
    <n v="104822"/>
    <n v="21"/>
    <n v="47100"/>
    <x v="0"/>
    <n v="28200"/>
    <n v="0"/>
    <x v="7"/>
    <x v="0"/>
    <x v="1"/>
    <d v="2024-04-12T00:00:00"/>
    <n v="28200"/>
    <x v="0"/>
  </r>
  <r>
    <n v="104823"/>
    <n v="28"/>
    <n v="56100"/>
    <x v="0"/>
    <n v="3100"/>
    <n v="0"/>
    <x v="0"/>
    <x v="3"/>
    <x v="1"/>
    <d v="2026-06-12T00:00:00"/>
    <n v="3100"/>
    <x v="0"/>
  </r>
  <r>
    <n v="104824"/>
    <n v="49"/>
    <n v="127300"/>
    <x v="2"/>
    <n v="0"/>
    <n v="0"/>
    <x v="4"/>
    <x v="2"/>
    <x v="1"/>
    <d v="2024-06-04T00:00:00"/>
    <n v="0"/>
    <x v="1"/>
  </r>
  <r>
    <n v="104825"/>
    <n v="46"/>
    <n v="58700"/>
    <x v="2"/>
    <n v="12100"/>
    <n v="0"/>
    <x v="6"/>
    <x v="0"/>
    <x v="1"/>
    <d v="2025-06-22T00:00:00"/>
    <n v="12100"/>
    <x v="0"/>
  </r>
  <r>
    <n v="104826"/>
    <n v="61"/>
    <n v="55300"/>
    <x v="1"/>
    <n v="0"/>
    <n v="0"/>
    <x v="5"/>
    <x v="1"/>
    <x v="1"/>
    <d v="2024-08-28T00:00:00"/>
    <n v="0"/>
    <x v="0"/>
  </r>
  <r>
    <n v="104827"/>
    <n v="42"/>
    <n v="94900"/>
    <x v="2"/>
    <n v="37800"/>
    <n v="201000"/>
    <x v="4"/>
    <x v="2"/>
    <x v="1"/>
    <d v="2025-03-30T00:00:00"/>
    <n v="238800"/>
    <x v="1"/>
  </r>
  <r>
    <n v="104828"/>
    <n v="44"/>
    <n v="62500"/>
    <x v="2"/>
    <n v="33200"/>
    <n v="0"/>
    <x v="3"/>
    <x v="1"/>
    <x v="1"/>
    <d v="2024-03-31T00:00:00"/>
    <n v="33200"/>
    <x v="0"/>
  </r>
  <r>
    <n v="104829"/>
    <n v="44"/>
    <n v="69300"/>
    <x v="1"/>
    <n v="17100"/>
    <n v="0"/>
    <x v="3"/>
    <x v="1"/>
    <x v="1"/>
    <d v="2024-01-31T00:00:00"/>
    <n v="17100"/>
    <x v="0"/>
  </r>
  <r>
    <n v="104830"/>
    <n v="26"/>
    <n v="44900"/>
    <x v="0"/>
    <n v="0"/>
    <n v="0"/>
    <x v="6"/>
    <x v="0"/>
    <x v="1"/>
    <d v="2026-03-26T00:00:00"/>
    <n v="0"/>
    <x v="0"/>
  </r>
  <r>
    <n v="104831"/>
    <n v="61"/>
    <n v="86800"/>
    <x v="1"/>
    <n v="0"/>
    <n v="233000"/>
    <x v="1"/>
    <x v="1"/>
    <x v="1"/>
    <d v="2025-10-08T00:00:00"/>
    <n v="233000"/>
    <x v="1"/>
  </r>
  <r>
    <n v="104832"/>
    <n v="67"/>
    <n v="42500"/>
    <x v="1"/>
    <n v="33000"/>
    <n v="0"/>
    <x v="2"/>
    <x v="0"/>
    <x v="1"/>
    <d v="2025-12-19T00:00:00"/>
    <n v="33000"/>
    <x v="0"/>
  </r>
  <r>
    <n v="104833"/>
    <n v="25"/>
    <n v="50700"/>
    <x v="2"/>
    <n v="46800"/>
    <n v="0"/>
    <x v="3"/>
    <x v="2"/>
    <x v="1"/>
    <d v="2026-03-03T00:00:00"/>
    <n v="46800"/>
    <x v="0"/>
  </r>
  <r>
    <n v="104834"/>
    <n v="38"/>
    <n v="33700"/>
    <x v="1"/>
    <n v="0"/>
    <n v="0"/>
    <x v="6"/>
    <x v="1"/>
    <x v="1"/>
    <d v="2025-07-14T00:00:00"/>
    <n v="0"/>
    <x v="0"/>
  </r>
  <r>
    <n v="104835"/>
    <n v="67"/>
    <n v="81800"/>
    <x v="1"/>
    <n v="48600"/>
    <n v="0"/>
    <x v="3"/>
    <x v="2"/>
    <x v="1"/>
    <d v="2025-07-01T00:00:00"/>
    <n v="48600"/>
    <x v="1"/>
  </r>
  <r>
    <n v="104836"/>
    <n v="23"/>
    <n v="50000"/>
    <x v="1"/>
    <n v="21700"/>
    <n v="291000"/>
    <x v="3"/>
    <x v="1"/>
    <x v="1"/>
    <d v="2025-06-24T00:00:00"/>
    <n v="312700"/>
    <x v="0"/>
  </r>
  <r>
    <n v="104837"/>
    <n v="23"/>
    <n v="74900"/>
    <x v="2"/>
    <n v="40600"/>
    <n v="0"/>
    <x v="3"/>
    <x v="2"/>
    <x v="1"/>
    <d v="2026-07-12T00:00:00"/>
    <n v="40600"/>
    <x v="1"/>
  </r>
  <r>
    <n v="104838"/>
    <n v="64"/>
    <n v="44600"/>
    <x v="0"/>
    <n v="16300"/>
    <n v="0"/>
    <x v="7"/>
    <x v="0"/>
    <x v="1"/>
    <d v="2025-09-24T00:00:00"/>
    <n v="16300"/>
    <x v="0"/>
  </r>
  <r>
    <n v="104839"/>
    <n v="46"/>
    <n v="46100"/>
    <x v="1"/>
    <n v="18900"/>
    <n v="0"/>
    <x v="3"/>
    <x v="0"/>
    <x v="1"/>
    <d v="2024-01-25T00:00:00"/>
    <n v="18900"/>
    <x v="0"/>
  </r>
  <r>
    <n v="104840"/>
    <n v="58"/>
    <n v="77400"/>
    <x v="0"/>
    <n v="25100"/>
    <n v="0"/>
    <x v="4"/>
    <x v="1"/>
    <x v="1"/>
    <d v="2025-07-23T00:00:00"/>
    <n v="25100"/>
    <x v="1"/>
  </r>
  <r>
    <n v="104841"/>
    <n v="39"/>
    <n v="49900"/>
    <x v="0"/>
    <n v="16000"/>
    <n v="0"/>
    <x v="3"/>
    <x v="2"/>
    <x v="1"/>
    <d v="2024-07-10T00:00:00"/>
    <n v="16000"/>
    <x v="0"/>
  </r>
  <r>
    <n v="104842"/>
    <n v="41"/>
    <n v="61300"/>
    <x v="1"/>
    <n v="0"/>
    <n v="0"/>
    <x v="7"/>
    <x v="1"/>
    <x v="1"/>
    <d v="2025-02-16T00:00:00"/>
    <n v="0"/>
    <x v="0"/>
  </r>
  <r>
    <n v="104843"/>
    <n v="34"/>
    <n v="44900"/>
    <x v="1"/>
    <n v="30600"/>
    <n v="0"/>
    <x v="5"/>
    <x v="1"/>
    <x v="1"/>
    <d v="2025-03-11T00:00:00"/>
    <n v="30600"/>
    <x v="0"/>
  </r>
  <r>
    <n v="104844"/>
    <n v="41"/>
    <n v="77000"/>
    <x v="2"/>
    <n v="28400"/>
    <n v="0"/>
    <x v="2"/>
    <x v="0"/>
    <x v="1"/>
    <d v="2025-08-29T00:00:00"/>
    <n v="28400"/>
    <x v="1"/>
  </r>
  <r>
    <n v="104845"/>
    <n v="31"/>
    <n v="31400"/>
    <x v="1"/>
    <n v="21000"/>
    <n v="0"/>
    <x v="4"/>
    <x v="0"/>
    <x v="1"/>
    <d v="2024-09-23T00:00:00"/>
    <n v="21000"/>
    <x v="0"/>
  </r>
  <r>
    <n v="104846"/>
    <n v="61"/>
    <n v="56700"/>
    <x v="0"/>
    <n v="0"/>
    <n v="90000"/>
    <x v="7"/>
    <x v="2"/>
    <x v="1"/>
    <d v="2024-12-06T00:00:00"/>
    <n v="90000"/>
    <x v="0"/>
  </r>
  <r>
    <n v="104847"/>
    <n v="65"/>
    <n v="61700"/>
    <x v="1"/>
    <n v="24000"/>
    <n v="0"/>
    <x v="5"/>
    <x v="2"/>
    <x v="1"/>
    <d v="2024-09-12T00:00:00"/>
    <n v="24000"/>
    <x v="0"/>
  </r>
  <r>
    <n v="104848"/>
    <n v="27"/>
    <n v="39900"/>
    <x v="1"/>
    <n v="49900"/>
    <n v="0"/>
    <x v="5"/>
    <x v="0"/>
    <x v="1"/>
    <d v="2026-06-13T00:00:00"/>
    <n v="49900"/>
    <x v="0"/>
  </r>
  <r>
    <n v="104849"/>
    <n v="70"/>
    <n v="36500"/>
    <x v="1"/>
    <n v="45600"/>
    <n v="0"/>
    <x v="0"/>
    <x v="1"/>
    <x v="0"/>
    <d v="2024-07-12T00:00:00"/>
    <n v="45600"/>
    <x v="0"/>
  </r>
  <r>
    <n v="104850"/>
    <n v="43"/>
    <n v="86400"/>
    <x v="1"/>
    <n v="46400"/>
    <n v="0"/>
    <x v="1"/>
    <x v="2"/>
    <x v="1"/>
    <d v="2024-04-15T00:00:00"/>
    <n v="46400"/>
    <x v="1"/>
  </r>
  <r>
    <n v="104851"/>
    <n v="61"/>
    <n v="81900"/>
    <x v="0"/>
    <n v="13900"/>
    <n v="0"/>
    <x v="7"/>
    <x v="0"/>
    <x v="1"/>
    <d v="2025-11-07T00:00:00"/>
    <n v="13900"/>
    <x v="1"/>
  </r>
  <r>
    <n v="104852"/>
    <n v="63"/>
    <n v="96600"/>
    <x v="0"/>
    <n v="0"/>
    <n v="0"/>
    <x v="3"/>
    <x v="0"/>
    <x v="1"/>
    <d v="2024-11-16T00:00:00"/>
    <n v="0"/>
    <x v="1"/>
  </r>
  <r>
    <n v="104853"/>
    <n v="53"/>
    <n v="44000"/>
    <x v="0"/>
    <n v="0"/>
    <n v="123000"/>
    <x v="7"/>
    <x v="1"/>
    <x v="1"/>
    <d v="2024-05-18T00:00:00"/>
    <n v="123000"/>
    <x v="0"/>
  </r>
  <r>
    <n v="104854"/>
    <n v="48"/>
    <n v="115800"/>
    <x v="0"/>
    <n v="0"/>
    <n v="0"/>
    <x v="2"/>
    <x v="2"/>
    <x v="1"/>
    <d v="2026-05-03T00:00:00"/>
    <n v="0"/>
    <x v="1"/>
  </r>
  <r>
    <n v="104855"/>
    <n v="58"/>
    <n v="21500"/>
    <x v="0"/>
    <n v="22500"/>
    <n v="0"/>
    <x v="5"/>
    <x v="2"/>
    <x v="1"/>
    <d v="2025-11-03T00:00:00"/>
    <n v="22500"/>
    <x v="0"/>
  </r>
  <r>
    <n v="104856"/>
    <n v="32"/>
    <n v="26800"/>
    <x v="0"/>
    <n v="0"/>
    <n v="0"/>
    <x v="4"/>
    <x v="1"/>
    <x v="1"/>
    <d v="2025-10-12T00:00:00"/>
    <n v="0"/>
    <x v="0"/>
  </r>
  <r>
    <n v="104857"/>
    <n v="22"/>
    <n v="93100"/>
    <x v="1"/>
    <n v="40800"/>
    <n v="0"/>
    <x v="5"/>
    <x v="2"/>
    <x v="1"/>
    <d v="2024-09-07T00:00:00"/>
    <n v="40800"/>
    <x v="1"/>
  </r>
  <r>
    <n v="104858"/>
    <n v="49"/>
    <n v="54400"/>
    <x v="1"/>
    <n v="0"/>
    <n v="0"/>
    <x v="7"/>
    <x v="3"/>
    <x v="1"/>
    <d v="2025-06-21T00:00:00"/>
    <n v="0"/>
    <x v="0"/>
  </r>
  <r>
    <n v="104859"/>
    <n v="20"/>
    <n v="103500"/>
    <x v="1"/>
    <n v="0"/>
    <n v="0"/>
    <x v="4"/>
    <x v="3"/>
    <x v="1"/>
    <d v="2024-02-14T00:00:00"/>
    <n v="0"/>
    <x v="1"/>
  </r>
  <r>
    <n v="104860"/>
    <n v="20"/>
    <n v="63700"/>
    <x v="1"/>
    <n v="44200"/>
    <n v="213000"/>
    <x v="6"/>
    <x v="2"/>
    <x v="1"/>
    <d v="2024-01-01T00:00:00"/>
    <n v="257200"/>
    <x v="0"/>
  </r>
  <r>
    <n v="104861"/>
    <n v="41"/>
    <n v="103300"/>
    <x v="1"/>
    <n v="76700"/>
    <n v="0"/>
    <x v="7"/>
    <x v="1"/>
    <x v="1"/>
    <d v="2025-11-02T00:00:00"/>
    <n v="76700"/>
    <x v="1"/>
  </r>
  <r>
    <n v="104862"/>
    <n v="74"/>
    <n v="69400"/>
    <x v="1"/>
    <n v="0"/>
    <n v="198000"/>
    <x v="6"/>
    <x v="3"/>
    <x v="1"/>
    <d v="2025-07-09T00:00:00"/>
    <n v="198000"/>
    <x v="0"/>
  </r>
  <r>
    <n v="104863"/>
    <n v="24"/>
    <n v="98500"/>
    <x v="1"/>
    <n v="0"/>
    <n v="0"/>
    <x v="3"/>
    <x v="0"/>
    <x v="1"/>
    <d v="2025-08-27T00:00:00"/>
    <n v="0"/>
    <x v="1"/>
  </r>
  <r>
    <n v="104864"/>
    <n v="49"/>
    <n v="51700"/>
    <x v="0"/>
    <n v="26600"/>
    <n v="304000"/>
    <x v="0"/>
    <x v="3"/>
    <x v="1"/>
    <d v="2024-03-01T00:00:00"/>
    <n v="330600"/>
    <x v="0"/>
  </r>
  <r>
    <n v="104865"/>
    <n v="48"/>
    <n v="20600"/>
    <x v="0"/>
    <n v="0"/>
    <n v="0"/>
    <x v="4"/>
    <x v="0"/>
    <x v="1"/>
    <d v="2024-06-19T00:00:00"/>
    <n v="0"/>
    <x v="0"/>
  </r>
  <r>
    <n v="104866"/>
    <n v="73"/>
    <n v="88000"/>
    <x v="0"/>
    <n v="0"/>
    <n v="0"/>
    <x v="1"/>
    <x v="2"/>
    <x v="1"/>
    <d v="2025-07-04T00:00:00"/>
    <n v="0"/>
    <x v="1"/>
  </r>
  <r>
    <n v="104867"/>
    <n v="69"/>
    <n v="91800"/>
    <x v="1"/>
    <n v="62700"/>
    <n v="226000"/>
    <x v="7"/>
    <x v="1"/>
    <x v="1"/>
    <d v="2024-11-27T00:00:00"/>
    <n v="288700"/>
    <x v="1"/>
  </r>
  <r>
    <n v="104868"/>
    <n v="42"/>
    <n v="67900"/>
    <x v="1"/>
    <n v="52100"/>
    <n v="157000"/>
    <x v="2"/>
    <x v="0"/>
    <x v="1"/>
    <d v="2025-04-11T00:00:00"/>
    <n v="209100"/>
    <x v="0"/>
  </r>
  <r>
    <n v="104869"/>
    <n v="74"/>
    <n v="111800"/>
    <x v="2"/>
    <n v="21600"/>
    <n v="0"/>
    <x v="0"/>
    <x v="0"/>
    <x v="0"/>
    <d v="2025-09-06T00:00:00"/>
    <n v="21600"/>
    <x v="1"/>
  </r>
  <r>
    <n v="104870"/>
    <n v="21"/>
    <n v="50000"/>
    <x v="2"/>
    <n v="26600"/>
    <n v="239000"/>
    <x v="1"/>
    <x v="2"/>
    <x v="1"/>
    <d v="2025-09-07T00:00:00"/>
    <n v="265600"/>
    <x v="0"/>
  </r>
  <r>
    <n v="104871"/>
    <n v="62"/>
    <n v="81200"/>
    <x v="2"/>
    <n v="0"/>
    <n v="0"/>
    <x v="5"/>
    <x v="2"/>
    <x v="1"/>
    <d v="2025-04-24T00:00:00"/>
    <n v="0"/>
    <x v="1"/>
  </r>
  <r>
    <n v="104872"/>
    <n v="56"/>
    <n v="48600"/>
    <x v="0"/>
    <n v="18200"/>
    <n v="0"/>
    <x v="0"/>
    <x v="2"/>
    <x v="1"/>
    <d v="2026-08-02T00:00:00"/>
    <n v="18200"/>
    <x v="0"/>
  </r>
  <r>
    <n v="104873"/>
    <n v="54"/>
    <n v="32700"/>
    <x v="1"/>
    <n v="0"/>
    <n v="0"/>
    <x v="7"/>
    <x v="0"/>
    <x v="1"/>
    <d v="2025-06-09T00:00:00"/>
    <n v="0"/>
    <x v="0"/>
  </r>
  <r>
    <n v="104874"/>
    <n v="37"/>
    <n v="49200"/>
    <x v="0"/>
    <n v="32800"/>
    <n v="0"/>
    <x v="6"/>
    <x v="0"/>
    <x v="1"/>
    <d v="2024-06-27T00:00:00"/>
    <n v="32800"/>
    <x v="0"/>
  </r>
  <r>
    <n v="104875"/>
    <n v="46"/>
    <n v="40200"/>
    <x v="2"/>
    <n v="28200"/>
    <n v="0"/>
    <x v="6"/>
    <x v="3"/>
    <x v="1"/>
    <d v="2024-07-08T00:00:00"/>
    <n v="28200"/>
    <x v="0"/>
  </r>
  <r>
    <n v="104876"/>
    <n v="21"/>
    <n v="88900"/>
    <x v="0"/>
    <n v="26100"/>
    <n v="0"/>
    <x v="0"/>
    <x v="1"/>
    <x v="1"/>
    <d v="2026-06-03T00:00:00"/>
    <n v="26100"/>
    <x v="1"/>
  </r>
  <r>
    <n v="104877"/>
    <n v="33"/>
    <n v="111300"/>
    <x v="0"/>
    <n v="0"/>
    <n v="0"/>
    <x v="4"/>
    <x v="1"/>
    <x v="1"/>
    <d v="2025-09-23T00:00:00"/>
    <n v="0"/>
    <x v="1"/>
  </r>
  <r>
    <n v="104878"/>
    <n v="28"/>
    <n v="48700"/>
    <x v="2"/>
    <n v="0"/>
    <n v="0"/>
    <x v="1"/>
    <x v="1"/>
    <x v="1"/>
    <d v="2025-12-20T00:00:00"/>
    <n v="0"/>
    <x v="0"/>
  </r>
  <r>
    <n v="104879"/>
    <n v="64"/>
    <n v="63200"/>
    <x v="1"/>
    <n v="6300"/>
    <n v="254000"/>
    <x v="0"/>
    <x v="2"/>
    <x v="1"/>
    <d v="2026-05-27T00:00:00"/>
    <n v="260300"/>
    <x v="0"/>
  </r>
  <r>
    <n v="104880"/>
    <n v="29"/>
    <n v="45400"/>
    <x v="1"/>
    <n v="56800"/>
    <n v="0"/>
    <x v="7"/>
    <x v="1"/>
    <x v="0"/>
    <d v="2026-07-22T00:00:00"/>
    <n v="56800"/>
    <x v="0"/>
  </r>
  <r>
    <n v="104881"/>
    <n v="42"/>
    <n v="35700"/>
    <x v="0"/>
    <n v="43000"/>
    <n v="0"/>
    <x v="5"/>
    <x v="0"/>
    <x v="1"/>
    <d v="2024-02-21T00:00:00"/>
    <n v="43000"/>
    <x v="0"/>
  </r>
  <r>
    <n v="104882"/>
    <n v="59"/>
    <n v="105400"/>
    <x v="0"/>
    <n v="32900"/>
    <n v="167000"/>
    <x v="7"/>
    <x v="2"/>
    <x v="1"/>
    <d v="2024-09-05T00:00:00"/>
    <n v="199900"/>
    <x v="1"/>
  </r>
  <r>
    <n v="104883"/>
    <n v="23"/>
    <n v="106500"/>
    <x v="0"/>
    <n v="15600"/>
    <n v="0"/>
    <x v="6"/>
    <x v="0"/>
    <x v="0"/>
    <d v="2026-03-14T00:00:00"/>
    <n v="15600"/>
    <x v="1"/>
  </r>
  <r>
    <n v="104884"/>
    <n v="63"/>
    <n v="30400"/>
    <x v="0"/>
    <n v="0"/>
    <n v="0"/>
    <x v="7"/>
    <x v="1"/>
    <x v="1"/>
    <d v="2026-02-27T00:00:00"/>
    <n v="0"/>
    <x v="0"/>
  </r>
  <r>
    <n v="104885"/>
    <n v="63"/>
    <n v="32700"/>
    <x v="1"/>
    <n v="40900"/>
    <n v="138000"/>
    <x v="3"/>
    <x v="2"/>
    <x v="1"/>
    <d v="2025-07-31T00:00:00"/>
    <n v="178900"/>
    <x v="0"/>
  </r>
  <r>
    <n v="104886"/>
    <n v="50"/>
    <n v="95000"/>
    <x v="1"/>
    <n v="52400"/>
    <n v="0"/>
    <x v="4"/>
    <x v="0"/>
    <x v="1"/>
    <d v="2025-01-22T00:00:00"/>
    <n v="52400"/>
    <x v="1"/>
  </r>
  <r>
    <n v="104887"/>
    <n v="42"/>
    <n v="109500"/>
    <x v="1"/>
    <n v="16000"/>
    <n v="0"/>
    <x v="2"/>
    <x v="0"/>
    <x v="1"/>
    <d v="2025-01-03T00:00:00"/>
    <n v="16000"/>
    <x v="1"/>
  </r>
  <r>
    <n v="104888"/>
    <n v="21"/>
    <n v="77900"/>
    <x v="1"/>
    <n v="80500"/>
    <n v="0"/>
    <x v="4"/>
    <x v="1"/>
    <x v="1"/>
    <d v="2025-06-06T00:00:00"/>
    <n v="80500"/>
    <x v="1"/>
  </r>
  <r>
    <n v="104889"/>
    <n v="50"/>
    <n v="35300"/>
    <x v="1"/>
    <n v="25500"/>
    <n v="0"/>
    <x v="5"/>
    <x v="1"/>
    <x v="1"/>
    <d v="2024-10-19T00:00:00"/>
    <n v="25500"/>
    <x v="0"/>
  </r>
  <r>
    <n v="104890"/>
    <n v="48"/>
    <n v="68900"/>
    <x v="1"/>
    <n v="41900"/>
    <n v="0"/>
    <x v="5"/>
    <x v="2"/>
    <x v="0"/>
    <d v="2026-04-17T00:00:00"/>
    <n v="41900"/>
    <x v="0"/>
  </r>
  <r>
    <n v="104891"/>
    <n v="27"/>
    <n v="74700"/>
    <x v="1"/>
    <n v="44000"/>
    <n v="0"/>
    <x v="3"/>
    <x v="1"/>
    <x v="1"/>
    <d v="2026-07-20T00:00:00"/>
    <n v="44000"/>
    <x v="1"/>
  </r>
  <r>
    <n v="104892"/>
    <n v="41"/>
    <n v="71200"/>
    <x v="2"/>
    <n v="39100"/>
    <n v="0"/>
    <x v="3"/>
    <x v="1"/>
    <x v="1"/>
    <d v="2026-06-14T00:00:00"/>
    <n v="39100"/>
    <x v="1"/>
  </r>
  <r>
    <n v="104893"/>
    <n v="43"/>
    <n v="71700"/>
    <x v="1"/>
    <n v="17200"/>
    <n v="0"/>
    <x v="0"/>
    <x v="1"/>
    <x v="1"/>
    <d v="2026-08-11T00:00:00"/>
    <n v="17200"/>
    <x v="1"/>
  </r>
  <r>
    <n v="104894"/>
    <n v="61"/>
    <n v="38200"/>
    <x v="1"/>
    <n v="31500"/>
    <n v="0"/>
    <x v="7"/>
    <x v="0"/>
    <x v="0"/>
    <d v="2024-01-06T00:00:00"/>
    <n v="31500"/>
    <x v="0"/>
  </r>
  <r>
    <n v="104895"/>
    <n v="75"/>
    <n v="35000"/>
    <x v="0"/>
    <n v="43800"/>
    <n v="0"/>
    <x v="3"/>
    <x v="1"/>
    <x v="1"/>
    <d v="2025-07-12T00:00:00"/>
    <n v="43800"/>
    <x v="0"/>
  </r>
  <r>
    <n v="104896"/>
    <n v="59"/>
    <n v="113400"/>
    <x v="2"/>
    <n v="39900"/>
    <n v="0"/>
    <x v="5"/>
    <x v="2"/>
    <x v="1"/>
    <d v="2026-02-27T00:00:00"/>
    <n v="39900"/>
    <x v="1"/>
  </r>
  <r>
    <n v="104897"/>
    <n v="37"/>
    <n v="57700"/>
    <x v="2"/>
    <n v="42000"/>
    <n v="0"/>
    <x v="1"/>
    <x v="1"/>
    <x v="1"/>
    <d v="2025-08-19T00:00:00"/>
    <n v="42000"/>
    <x v="0"/>
  </r>
  <r>
    <n v="104898"/>
    <n v="33"/>
    <n v="77000"/>
    <x v="1"/>
    <n v="49200"/>
    <n v="0"/>
    <x v="7"/>
    <x v="1"/>
    <x v="1"/>
    <d v="2026-01-14T00:00:00"/>
    <n v="49200"/>
    <x v="1"/>
  </r>
  <r>
    <n v="104899"/>
    <n v="40"/>
    <n v="61500"/>
    <x v="1"/>
    <n v="12700"/>
    <n v="0"/>
    <x v="2"/>
    <x v="2"/>
    <x v="1"/>
    <d v="2025-12-11T00:00:00"/>
    <n v="12700"/>
    <x v="0"/>
  </r>
  <r>
    <n v="104900"/>
    <n v="48"/>
    <n v="89900"/>
    <x v="0"/>
    <n v="8200"/>
    <n v="0"/>
    <x v="0"/>
    <x v="2"/>
    <x v="1"/>
    <d v="2025-01-14T00:00:00"/>
    <n v="8200"/>
    <x v="1"/>
  </r>
  <r>
    <n v="104901"/>
    <n v="40"/>
    <n v="75300"/>
    <x v="1"/>
    <n v="65700"/>
    <n v="0"/>
    <x v="5"/>
    <x v="0"/>
    <x v="1"/>
    <d v="2025-07-04T00:00:00"/>
    <n v="65700"/>
    <x v="1"/>
  </r>
  <r>
    <n v="104902"/>
    <n v="68"/>
    <n v="112400"/>
    <x v="1"/>
    <n v="27000"/>
    <n v="0"/>
    <x v="0"/>
    <x v="1"/>
    <x v="1"/>
    <d v="2024-04-02T00:00:00"/>
    <n v="27000"/>
    <x v="1"/>
  </r>
  <r>
    <n v="104903"/>
    <n v="34"/>
    <n v="27700"/>
    <x v="0"/>
    <n v="19200"/>
    <n v="0"/>
    <x v="3"/>
    <x v="1"/>
    <x v="1"/>
    <d v="2024-04-21T00:00:00"/>
    <n v="19200"/>
    <x v="0"/>
  </r>
  <r>
    <n v="104904"/>
    <n v="30"/>
    <n v="79000"/>
    <x v="0"/>
    <n v="0"/>
    <n v="0"/>
    <x v="4"/>
    <x v="2"/>
    <x v="1"/>
    <d v="2026-04-10T00:00:00"/>
    <n v="0"/>
    <x v="1"/>
  </r>
  <r>
    <n v="104905"/>
    <n v="43"/>
    <n v="75000"/>
    <x v="1"/>
    <n v="0"/>
    <n v="0"/>
    <x v="2"/>
    <x v="0"/>
    <x v="1"/>
    <d v="2024-03-20T00:00:00"/>
    <n v="0"/>
    <x v="1"/>
  </r>
  <r>
    <n v="104906"/>
    <n v="26"/>
    <n v="82000"/>
    <x v="2"/>
    <n v="0"/>
    <n v="0"/>
    <x v="3"/>
    <x v="2"/>
    <x v="1"/>
    <d v="2026-07-21T00:00:00"/>
    <n v="0"/>
    <x v="1"/>
  </r>
  <r>
    <n v="104907"/>
    <n v="70"/>
    <n v="45900"/>
    <x v="1"/>
    <n v="0"/>
    <n v="207000"/>
    <x v="6"/>
    <x v="2"/>
    <x v="1"/>
    <d v="2024-04-12T00:00:00"/>
    <n v="207000"/>
    <x v="0"/>
  </r>
  <r>
    <n v="104908"/>
    <n v="49"/>
    <n v="44400"/>
    <x v="2"/>
    <n v="35100"/>
    <n v="362000"/>
    <x v="6"/>
    <x v="0"/>
    <x v="1"/>
    <d v="2025-02-01T00:00:00"/>
    <n v="397100"/>
    <x v="0"/>
  </r>
  <r>
    <n v="104909"/>
    <n v="34"/>
    <n v="89100"/>
    <x v="1"/>
    <n v="45000"/>
    <n v="242000"/>
    <x v="1"/>
    <x v="3"/>
    <x v="0"/>
    <d v="2026-01-11T00:00:00"/>
    <n v="287000"/>
    <x v="1"/>
  </r>
  <r>
    <n v="104910"/>
    <n v="43"/>
    <n v="53000"/>
    <x v="1"/>
    <n v="17900"/>
    <n v="0"/>
    <x v="7"/>
    <x v="2"/>
    <x v="1"/>
    <d v="2024-06-03T00:00:00"/>
    <n v="17900"/>
    <x v="0"/>
  </r>
  <r>
    <n v="104911"/>
    <n v="26"/>
    <n v="50600"/>
    <x v="0"/>
    <n v="44800"/>
    <n v="0"/>
    <x v="3"/>
    <x v="3"/>
    <x v="1"/>
    <d v="2024-04-07T00:00:00"/>
    <n v="44800"/>
    <x v="0"/>
  </r>
  <r>
    <n v="104912"/>
    <n v="50"/>
    <n v="36700"/>
    <x v="1"/>
    <n v="34100"/>
    <n v="264000"/>
    <x v="5"/>
    <x v="0"/>
    <x v="1"/>
    <d v="2024-02-22T00:00:00"/>
    <n v="298100"/>
    <x v="0"/>
  </r>
  <r>
    <n v="104913"/>
    <n v="60"/>
    <n v="96100"/>
    <x v="1"/>
    <n v="0"/>
    <n v="0"/>
    <x v="5"/>
    <x v="1"/>
    <x v="1"/>
    <d v="2024-06-06T00:00:00"/>
    <n v="0"/>
    <x v="1"/>
  </r>
  <r>
    <n v="104914"/>
    <n v="30"/>
    <n v="44400"/>
    <x v="2"/>
    <n v="0"/>
    <n v="0"/>
    <x v="3"/>
    <x v="2"/>
    <x v="1"/>
    <d v="2025-02-19T00:00:00"/>
    <n v="0"/>
    <x v="0"/>
  </r>
  <r>
    <n v="104915"/>
    <n v="24"/>
    <n v="110400"/>
    <x v="2"/>
    <n v="4500"/>
    <n v="0"/>
    <x v="4"/>
    <x v="2"/>
    <x v="1"/>
    <d v="2024-06-18T00:00:00"/>
    <n v="4500"/>
    <x v="1"/>
  </r>
  <r>
    <n v="104916"/>
    <n v="32"/>
    <n v="45100"/>
    <x v="0"/>
    <n v="27000"/>
    <n v="0"/>
    <x v="3"/>
    <x v="2"/>
    <x v="1"/>
    <d v="2025-01-01T00:00:00"/>
    <n v="27000"/>
    <x v="0"/>
  </r>
  <r>
    <n v="104917"/>
    <n v="45"/>
    <n v="43400"/>
    <x v="1"/>
    <n v="35200"/>
    <n v="162000"/>
    <x v="3"/>
    <x v="0"/>
    <x v="1"/>
    <d v="2024-10-31T00:00:00"/>
    <n v="197200"/>
    <x v="0"/>
  </r>
  <r>
    <n v="104918"/>
    <n v="53"/>
    <n v="84500"/>
    <x v="0"/>
    <n v="61800"/>
    <n v="0"/>
    <x v="7"/>
    <x v="1"/>
    <x v="1"/>
    <d v="2026-06-03T00:00:00"/>
    <n v="61800"/>
    <x v="1"/>
  </r>
  <r>
    <n v="104919"/>
    <n v="73"/>
    <n v="41300"/>
    <x v="0"/>
    <n v="51600"/>
    <n v="0"/>
    <x v="1"/>
    <x v="0"/>
    <x v="0"/>
    <d v="2025-11-20T00:00:00"/>
    <n v="51600"/>
    <x v="0"/>
  </r>
  <r>
    <n v="104920"/>
    <n v="38"/>
    <n v="23200"/>
    <x v="1"/>
    <n v="0"/>
    <n v="0"/>
    <x v="0"/>
    <x v="1"/>
    <x v="1"/>
    <d v="2024-11-18T00:00:00"/>
    <n v="0"/>
    <x v="0"/>
  </r>
  <r>
    <n v="104921"/>
    <n v="20"/>
    <n v="48900"/>
    <x v="0"/>
    <n v="52800"/>
    <n v="0"/>
    <x v="6"/>
    <x v="1"/>
    <x v="1"/>
    <d v="2026-08-13T00:00:00"/>
    <n v="52800"/>
    <x v="0"/>
  </r>
  <r>
    <n v="104922"/>
    <n v="45"/>
    <n v="93900"/>
    <x v="1"/>
    <n v="0"/>
    <n v="0"/>
    <x v="4"/>
    <x v="2"/>
    <x v="1"/>
    <d v="2024-06-22T00:00:00"/>
    <n v="0"/>
    <x v="1"/>
  </r>
  <r>
    <n v="104923"/>
    <n v="38"/>
    <n v="40100"/>
    <x v="1"/>
    <n v="28300"/>
    <n v="0"/>
    <x v="0"/>
    <x v="0"/>
    <x v="1"/>
    <d v="2026-05-23T00:00:00"/>
    <n v="28300"/>
    <x v="0"/>
  </r>
  <r>
    <n v="104924"/>
    <n v="56"/>
    <n v="57700"/>
    <x v="2"/>
    <n v="0"/>
    <n v="0"/>
    <x v="3"/>
    <x v="1"/>
    <x v="1"/>
    <d v="2024-03-21T00:00:00"/>
    <n v="0"/>
    <x v="0"/>
  </r>
  <r>
    <n v="104925"/>
    <n v="68"/>
    <n v="73100"/>
    <x v="0"/>
    <n v="0"/>
    <n v="0"/>
    <x v="4"/>
    <x v="0"/>
    <x v="1"/>
    <d v="2026-05-06T00:00:00"/>
    <n v="0"/>
    <x v="1"/>
  </r>
  <r>
    <n v="104926"/>
    <n v="29"/>
    <n v="63200"/>
    <x v="1"/>
    <n v="0"/>
    <n v="220000"/>
    <x v="0"/>
    <x v="2"/>
    <x v="1"/>
    <d v="2026-01-02T00:00:00"/>
    <n v="220000"/>
    <x v="0"/>
  </r>
  <r>
    <n v="104927"/>
    <n v="69"/>
    <n v="36800"/>
    <x v="1"/>
    <n v="15900"/>
    <n v="0"/>
    <x v="4"/>
    <x v="1"/>
    <x v="1"/>
    <d v="2024-06-01T00:00:00"/>
    <n v="15900"/>
    <x v="0"/>
  </r>
  <r>
    <n v="104928"/>
    <n v="34"/>
    <n v="74800"/>
    <x v="0"/>
    <n v="8200"/>
    <n v="197000"/>
    <x v="4"/>
    <x v="1"/>
    <x v="1"/>
    <d v="2024-09-28T00:00:00"/>
    <n v="205200"/>
    <x v="1"/>
  </r>
  <r>
    <n v="104929"/>
    <n v="62"/>
    <n v="43200"/>
    <x v="1"/>
    <n v="33100"/>
    <n v="342000"/>
    <x v="2"/>
    <x v="1"/>
    <x v="1"/>
    <d v="2024-11-26T00:00:00"/>
    <n v="375100"/>
    <x v="0"/>
  </r>
  <r>
    <n v="104930"/>
    <n v="44"/>
    <n v="35700"/>
    <x v="2"/>
    <n v="0"/>
    <n v="0"/>
    <x v="5"/>
    <x v="3"/>
    <x v="1"/>
    <d v="2025-12-14T00:00:00"/>
    <n v="0"/>
    <x v="0"/>
  </r>
  <r>
    <n v="104931"/>
    <n v="53"/>
    <n v="45500"/>
    <x v="0"/>
    <n v="0"/>
    <n v="0"/>
    <x v="7"/>
    <x v="1"/>
    <x v="1"/>
    <d v="2026-08-14T00:00:00"/>
    <n v="0"/>
    <x v="0"/>
  </r>
  <r>
    <n v="104932"/>
    <n v="43"/>
    <n v="42100"/>
    <x v="1"/>
    <n v="36700"/>
    <n v="201000"/>
    <x v="6"/>
    <x v="1"/>
    <x v="1"/>
    <d v="2024-08-31T00:00:00"/>
    <n v="237700"/>
    <x v="0"/>
  </r>
  <r>
    <n v="104933"/>
    <n v="44"/>
    <n v="30100"/>
    <x v="1"/>
    <n v="15100"/>
    <n v="0"/>
    <x v="1"/>
    <x v="1"/>
    <x v="1"/>
    <d v="2025-03-07T00:00:00"/>
    <n v="15100"/>
    <x v="0"/>
  </r>
  <r>
    <n v="104934"/>
    <n v="24"/>
    <n v="59100"/>
    <x v="2"/>
    <n v="0"/>
    <n v="0"/>
    <x v="4"/>
    <x v="2"/>
    <x v="1"/>
    <d v="2026-04-11T00:00:00"/>
    <n v="0"/>
    <x v="0"/>
  </r>
  <r>
    <n v="104935"/>
    <n v="58"/>
    <n v="72800"/>
    <x v="0"/>
    <n v="60700"/>
    <n v="263000"/>
    <x v="4"/>
    <x v="1"/>
    <x v="1"/>
    <d v="2025-05-29T00:00:00"/>
    <n v="323700"/>
    <x v="1"/>
  </r>
  <r>
    <n v="104936"/>
    <n v="29"/>
    <n v="31100"/>
    <x v="1"/>
    <n v="17300"/>
    <n v="0"/>
    <x v="3"/>
    <x v="1"/>
    <x v="1"/>
    <d v="2024-03-25T00:00:00"/>
    <n v="17300"/>
    <x v="0"/>
  </r>
  <r>
    <n v="104937"/>
    <n v="32"/>
    <n v="59800"/>
    <x v="2"/>
    <n v="17200"/>
    <n v="0"/>
    <x v="6"/>
    <x v="1"/>
    <x v="1"/>
    <d v="2024-01-29T00:00:00"/>
    <n v="17200"/>
    <x v="0"/>
  </r>
  <r>
    <n v="104938"/>
    <n v="69"/>
    <n v="65700"/>
    <x v="0"/>
    <n v="0"/>
    <n v="0"/>
    <x v="6"/>
    <x v="0"/>
    <x v="1"/>
    <d v="2025-12-04T00:00:00"/>
    <n v="0"/>
    <x v="0"/>
  </r>
  <r>
    <n v="104939"/>
    <n v="26"/>
    <n v="126400"/>
    <x v="1"/>
    <n v="25300"/>
    <n v="228000"/>
    <x v="4"/>
    <x v="2"/>
    <x v="1"/>
    <d v="2025-03-29T00:00:00"/>
    <n v="253300"/>
    <x v="1"/>
  </r>
  <r>
    <n v="104940"/>
    <n v="63"/>
    <n v="26400"/>
    <x v="0"/>
    <n v="19700"/>
    <n v="0"/>
    <x v="2"/>
    <x v="2"/>
    <x v="1"/>
    <d v="2024-06-09T00:00:00"/>
    <n v="19700"/>
    <x v="0"/>
  </r>
  <r>
    <n v="104941"/>
    <n v="64"/>
    <n v="111500"/>
    <x v="0"/>
    <n v="73000"/>
    <n v="0"/>
    <x v="2"/>
    <x v="0"/>
    <x v="1"/>
    <d v="2025-07-20T00:00:00"/>
    <n v="73000"/>
    <x v="1"/>
  </r>
  <r>
    <n v="104942"/>
    <n v="72"/>
    <n v="87000"/>
    <x v="2"/>
    <n v="0"/>
    <n v="213000"/>
    <x v="2"/>
    <x v="1"/>
    <x v="1"/>
    <d v="2024-03-22T00:00:00"/>
    <n v="213000"/>
    <x v="1"/>
  </r>
  <r>
    <n v="104943"/>
    <n v="66"/>
    <n v="99500"/>
    <x v="2"/>
    <n v="20700"/>
    <n v="240000"/>
    <x v="5"/>
    <x v="2"/>
    <x v="1"/>
    <d v="2025-08-07T00:00:00"/>
    <n v="260700"/>
    <x v="1"/>
  </r>
  <r>
    <n v="104944"/>
    <n v="42"/>
    <n v="30600"/>
    <x v="0"/>
    <n v="38200"/>
    <n v="0"/>
    <x v="3"/>
    <x v="1"/>
    <x v="1"/>
    <d v="2024-07-14T00:00:00"/>
    <n v="38200"/>
    <x v="0"/>
  </r>
  <r>
    <n v="104945"/>
    <n v="20"/>
    <n v="21900"/>
    <x v="1"/>
    <n v="27400"/>
    <n v="0"/>
    <x v="5"/>
    <x v="1"/>
    <x v="1"/>
    <d v="2025-11-28T00:00:00"/>
    <n v="27400"/>
    <x v="0"/>
  </r>
  <r>
    <n v="104946"/>
    <n v="49"/>
    <n v="46100"/>
    <x v="0"/>
    <n v="0"/>
    <n v="235000"/>
    <x v="5"/>
    <x v="1"/>
    <x v="1"/>
    <d v="2026-01-27T00:00:00"/>
    <n v="235000"/>
    <x v="0"/>
  </r>
  <r>
    <n v="104947"/>
    <n v="43"/>
    <n v="108700"/>
    <x v="1"/>
    <n v="37000"/>
    <n v="0"/>
    <x v="4"/>
    <x v="1"/>
    <x v="1"/>
    <d v="2026-05-14T00:00:00"/>
    <n v="37000"/>
    <x v="1"/>
  </r>
  <r>
    <n v="104948"/>
    <n v="75"/>
    <n v="104700"/>
    <x v="1"/>
    <n v="56100"/>
    <n v="0"/>
    <x v="2"/>
    <x v="1"/>
    <x v="1"/>
    <d v="2025-12-24T00:00:00"/>
    <n v="56100"/>
    <x v="1"/>
  </r>
  <r>
    <n v="104949"/>
    <n v="36"/>
    <n v="97400"/>
    <x v="1"/>
    <n v="44100"/>
    <n v="0"/>
    <x v="2"/>
    <x v="2"/>
    <x v="1"/>
    <d v="2025-10-31T00:00:00"/>
    <n v="44100"/>
    <x v="1"/>
  </r>
  <r>
    <n v="104950"/>
    <n v="39"/>
    <n v="115400"/>
    <x v="1"/>
    <n v="30700"/>
    <n v="0"/>
    <x v="6"/>
    <x v="1"/>
    <x v="1"/>
    <d v="2026-04-27T00:00:00"/>
    <n v="30700"/>
    <x v="1"/>
  </r>
  <r>
    <n v="104951"/>
    <n v="36"/>
    <n v="107700"/>
    <x v="0"/>
    <n v="23500"/>
    <n v="149000"/>
    <x v="5"/>
    <x v="2"/>
    <x v="1"/>
    <d v="2026-02-23T00:00:00"/>
    <n v="172500"/>
    <x v="1"/>
  </r>
  <r>
    <n v="104952"/>
    <n v="40"/>
    <n v="81300"/>
    <x v="2"/>
    <n v="29900"/>
    <n v="263000"/>
    <x v="3"/>
    <x v="2"/>
    <x v="1"/>
    <d v="2024-03-09T00:00:00"/>
    <n v="292900"/>
    <x v="1"/>
  </r>
  <r>
    <n v="104953"/>
    <n v="38"/>
    <n v="119400"/>
    <x v="1"/>
    <n v="44000"/>
    <n v="0"/>
    <x v="3"/>
    <x v="2"/>
    <x v="1"/>
    <d v="2026-06-29T00:00:00"/>
    <n v="44000"/>
    <x v="1"/>
  </r>
  <r>
    <n v="104954"/>
    <n v="73"/>
    <n v="76700"/>
    <x v="1"/>
    <n v="40200"/>
    <n v="0"/>
    <x v="1"/>
    <x v="1"/>
    <x v="1"/>
    <d v="2024-01-31T00:00:00"/>
    <n v="40200"/>
    <x v="1"/>
  </r>
  <r>
    <n v="104955"/>
    <n v="59"/>
    <n v="100800"/>
    <x v="0"/>
    <n v="75800"/>
    <n v="387000"/>
    <x v="4"/>
    <x v="3"/>
    <x v="0"/>
    <d v="2026-05-30T00:00:00"/>
    <n v="462800"/>
    <x v="1"/>
  </r>
  <r>
    <n v="104956"/>
    <n v="69"/>
    <n v="53200"/>
    <x v="0"/>
    <n v="36500"/>
    <n v="195000"/>
    <x v="1"/>
    <x v="2"/>
    <x v="1"/>
    <d v="2025-02-27T00:00:00"/>
    <n v="231500"/>
    <x v="0"/>
  </r>
  <r>
    <n v="104957"/>
    <n v="60"/>
    <n v="105000"/>
    <x v="1"/>
    <n v="43500"/>
    <n v="213000"/>
    <x v="6"/>
    <x v="1"/>
    <x v="1"/>
    <d v="2024-04-21T00:00:00"/>
    <n v="256500"/>
    <x v="1"/>
  </r>
  <r>
    <n v="104958"/>
    <n v="28"/>
    <n v="46600"/>
    <x v="2"/>
    <n v="51900"/>
    <n v="0"/>
    <x v="5"/>
    <x v="3"/>
    <x v="0"/>
    <d v="2026-01-26T00:00:00"/>
    <n v="51900"/>
    <x v="0"/>
  </r>
  <r>
    <n v="104959"/>
    <n v="52"/>
    <n v="58600"/>
    <x v="0"/>
    <n v="8000"/>
    <n v="112000"/>
    <x v="6"/>
    <x v="1"/>
    <x v="1"/>
    <d v="2024-03-04T00:00:00"/>
    <n v="120000"/>
    <x v="0"/>
  </r>
  <r>
    <n v="104960"/>
    <n v="48"/>
    <n v="39300"/>
    <x v="1"/>
    <n v="49100"/>
    <n v="0"/>
    <x v="4"/>
    <x v="3"/>
    <x v="1"/>
    <d v="2025-09-07T00:00:00"/>
    <n v="49100"/>
    <x v="0"/>
  </r>
  <r>
    <n v="104961"/>
    <n v="33"/>
    <n v="24600"/>
    <x v="2"/>
    <n v="30800"/>
    <n v="114000"/>
    <x v="7"/>
    <x v="2"/>
    <x v="1"/>
    <d v="2025-12-02T00:00:00"/>
    <n v="144800"/>
    <x v="0"/>
  </r>
  <r>
    <n v="104962"/>
    <n v="33"/>
    <n v="32200"/>
    <x v="0"/>
    <n v="5600"/>
    <n v="264000"/>
    <x v="7"/>
    <x v="0"/>
    <x v="0"/>
    <d v="2025-03-01T00:00:00"/>
    <n v="269600"/>
    <x v="0"/>
  </r>
  <r>
    <n v="104963"/>
    <n v="20"/>
    <n v="82500"/>
    <x v="1"/>
    <n v="0"/>
    <n v="0"/>
    <x v="5"/>
    <x v="2"/>
    <x v="1"/>
    <d v="2025-06-18T00:00:00"/>
    <n v="0"/>
    <x v="1"/>
  </r>
  <r>
    <n v="104964"/>
    <n v="34"/>
    <n v="49700"/>
    <x v="1"/>
    <n v="37600"/>
    <n v="261000"/>
    <x v="7"/>
    <x v="1"/>
    <x v="1"/>
    <d v="2024-03-07T00:00:00"/>
    <n v="298600"/>
    <x v="0"/>
  </r>
  <r>
    <n v="104965"/>
    <n v="41"/>
    <n v="83300"/>
    <x v="0"/>
    <n v="75000"/>
    <n v="116000"/>
    <x v="1"/>
    <x v="2"/>
    <x v="1"/>
    <d v="2026-05-16T00:00:00"/>
    <n v="191000"/>
    <x v="1"/>
  </r>
  <r>
    <n v="104966"/>
    <n v="26"/>
    <n v="44400"/>
    <x v="0"/>
    <n v="21700"/>
    <n v="124000"/>
    <x v="1"/>
    <x v="3"/>
    <x v="0"/>
    <d v="2024-09-17T00:00:00"/>
    <n v="145700"/>
    <x v="0"/>
  </r>
  <r>
    <n v="104967"/>
    <n v="64"/>
    <n v="94700"/>
    <x v="1"/>
    <n v="19500"/>
    <n v="0"/>
    <x v="6"/>
    <x v="2"/>
    <x v="1"/>
    <d v="2024-03-17T00:00:00"/>
    <n v="19500"/>
    <x v="1"/>
  </r>
  <r>
    <n v="104968"/>
    <n v="31"/>
    <n v="37800"/>
    <x v="1"/>
    <n v="8700"/>
    <n v="0"/>
    <x v="5"/>
    <x v="1"/>
    <x v="1"/>
    <d v="2024-06-30T00:00:00"/>
    <n v="8700"/>
    <x v="0"/>
  </r>
  <r>
    <n v="104969"/>
    <n v="39"/>
    <n v="103100"/>
    <x v="0"/>
    <n v="53600"/>
    <n v="0"/>
    <x v="1"/>
    <x v="1"/>
    <x v="1"/>
    <d v="2026-02-23T00:00:00"/>
    <n v="53600"/>
    <x v="1"/>
  </r>
  <r>
    <n v="104970"/>
    <n v="34"/>
    <n v="87000"/>
    <x v="1"/>
    <n v="6600"/>
    <n v="0"/>
    <x v="3"/>
    <x v="1"/>
    <x v="1"/>
    <d v="2025-08-27T00:00:00"/>
    <n v="6600"/>
    <x v="1"/>
  </r>
  <r>
    <n v="104971"/>
    <n v="26"/>
    <n v="106500"/>
    <x v="0"/>
    <n v="11100"/>
    <n v="0"/>
    <x v="0"/>
    <x v="2"/>
    <x v="1"/>
    <d v="2025-10-01T00:00:00"/>
    <n v="11100"/>
    <x v="1"/>
  </r>
  <r>
    <n v="104972"/>
    <n v="48"/>
    <n v="106000"/>
    <x v="1"/>
    <n v="0"/>
    <n v="256000"/>
    <x v="4"/>
    <x v="1"/>
    <x v="1"/>
    <d v="2025-04-03T00:00:00"/>
    <n v="256000"/>
    <x v="1"/>
  </r>
  <r>
    <n v="104973"/>
    <n v="74"/>
    <n v="98400"/>
    <x v="0"/>
    <n v="39100"/>
    <n v="0"/>
    <x v="4"/>
    <x v="1"/>
    <x v="1"/>
    <d v="2024-07-15T00:00:00"/>
    <n v="39100"/>
    <x v="1"/>
  </r>
  <r>
    <n v="104974"/>
    <n v="39"/>
    <n v="76300"/>
    <x v="2"/>
    <n v="29700"/>
    <n v="0"/>
    <x v="7"/>
    <x v="2"/>
    <x v="1"/>
    <d v="2025-03-19T00:00:00"/>
    <n v="29700"/>
    <x v="1"/>
  </r>
  <r>
    <n v="104975"/>
    <n v="60"/>
    <n v="66800"/>
    <x v="1"/>
    <n v="22400"/>
    <n v="117000"/>
    <x v="2"/>
    <x v="2"/>
    <x v="1"/>
    <d v="2025-08-02T00:00:00"/>
    <n v="139400"/>
    <x v="0"/>
  </r>
  <r>
    <n v="104976"/>
    <n v="60"/>
    <n v="78400"/>
    <x v="0"/>
    <n v="56200"/>
    <n v="266000"/>
    <x v="7"/>
    <x v="2"/>
    <x v="1"/>
    <d v="2024-08-27T00:00:00"/>
    <n v="322200"/>
    <x v="1"/>
  </r>
  <r>
    <n v="104977"/>
    <n v="62"/>
    <n v="52200"/>
    <x v="1"/>
    <n v="33300"/>
    <n v="0"/>
    <x v="4"/>
    <x v="2"/>
    <x v="1"/>
    <d v="2025-09-16T00:00:00"/>
    <n v="33300"/>
    <x v="0"/>
  </r>
  <r>
    <n v="104978"/>
    <n v="70"/>
    <n v="42500"/>
    <x v="1"/>
    <n v="53100"/>
    <n v="0"/>
    <x v="0"/>
    <x v="3"/>
    <x v="1"/>
    <d v="2024-07-01T00:00:00"/>
    <n v="53100"/>
    <x v="0"/>
  </r>
  <r>
    <n v="104979"/>
    <n v="23"/>
    <n v="64300"/>
    <x v="0"/>
    <n v="0"/>
    <n v="0"/>
    <x v="1"/>
    <x v="1"/>
    <x v="1"/>
    <d v="2024-01-17T00:00:00"/>
    <n v="0"/>
    <x v="0"/>
  </r>
  <r>
    <n v="104980"/>
    <n v="25"/>
    <n v="56100"/>
    <x v="2"/>
    <n v="55400"/>
    <n v="0"/>
    <x v="0"/>
    <x v="1"/>
    <x v="1"/>
    <d v="2026-05-12T00:00:00"/>
    <n v="55400"/>
    <x v="0"/>
  </r>
  <r>
    <n v="104981"/>
    <n v="75"/>
    <n v="53200"/>
    <x v="2"/>
    <n v="60600"/>
    <n v="0"/>
    <x v="1"/>
    <x v="0"/>
    <x v="1"/>
    <d v="2026-05-21T00:00:00"/>
    <n v="60600"/>
    <x v="0"/>
  </r>
  <r>
    <n v="104982"/>
    <n v="21"/>
    <n v="63700"/>
    <x v="1"/>
    <n v="8200"/>
    <n v="0"/>
    <x v="7"/>
    <x v="1"/>
    <x v="1"/>
    <d v="2026-02-14T00:00:00"/>
    <n v="8200"/>
    <x v="0"/>
  </r>
  <r>
    <n v="104983"/>
    <n v="46"/>
    <n v="25400"/>
    <x v="0"/>
    <n v="31800"/>
    <n v="0"/>
    <x v="2"/>
    <x v="2"/>
    <x v="1"/>
    <d v="2025-02-18T00:00:00"/>
    <n v="31800"/>
    <x v="0"/>
  </r>
  <r>
    <n v="104984"/>
    <n v="61"/>
    <n v="124900"/>
    <x v="1"/>
    <n v="0"/>
    <n v="0"/>
    <x v="6"/>
    <x v="1"/>
    <x v="1"/>
    <d v="2024-01-28T00:00:00"/>
    <n v="0"/>
    <x v="1"/>
  </r>
  <r>
    <n v="104985"/>
    <n v="61"/>
    <n v="28000"/>
    <x v="2"/>
    <n v="35000"/>
    <n v="0"/>
    <x v="6"/>
    <x v="1"/>
    <x v="1"/>
    <d v="2025-01-04T00:00:00"/>
    <n v="35000"/>
    <x v="0"/>
  </r>
  <r>
    <n v="104986"/>
    <n v="23"/>
    <n v="74900"/>
    <x v="0"/>
    <n v="9100"/>
    <n v="0"/>
    <x v="2"/>
    <x v="0"/>
    <x v="1"/>
    <d v="2024-11-15T00:00:00"/>
    <n v="9100"/>
    <x v="1"/>
  </r>
  <r>
    <n v="104987"/>
    <n v="71"/>
    <n v="32500"/>
    <x v="0"/>
    <n v="11800"/>
    <n v="0"/>
    <x v="3"/>
    <x v="1"/>
    <x v="1"/>
    <d v="2025-01-15T00:00:00"/>
    <n v="11800"/>
    <x v="0"/>
  </r>
  <r>
    <n v="104988"/>
    <n v="20"/>
    <n v="75500"/>
    <x v="0"/>
    <n v="0"/>
    <n v="0"/>
    <x v="6"/>
    <x v="2"/>
    <x v="1"/>
    <d v="2024-04-04T00:00:00"/>
    <n v="0"/>
    <x v="1"/>
  </r>
  <r>
    <n v="104989"/>
    <n v="57"/>
    <n v="35800"/>
    <x v="0"/>
    <n v="44800"/>
    <n v="0"/>
    <x v="3"/>
    <x v="1"/>
    <x v="1"/>
    <d v="2025-09-16T00:00:00"/>
    <n v="44800"/>
    <x v="0"/>
  </r>
  <r>
    <n v="104990"/>
    <n v="20"/>
    <n v="43300"/>
    <x v="2"/>
    <n v="30600"/>
    <n v="0"/>
    <x v="0"/>
    <x v="3"/>
    <x v="1"/>
    <d v="2025-03-21T00:00:00"/>
    <n v="30600"/>
    <x v="0"/>
  </r>
  <r>
    <n v="104991"/>
    <n v="48"/>
    <n v="48900"/>
    <x v="1"/>
    <n v="44100"/>
    <n v="146000"/>
    <x v="7"/>
    <x v="1"/>
    <x v="1"/>
    <d v="2026-01-25T00:00:00"/>
    <n v="190100"/>
    <x v="0"/>
  </r>
  <r>
    <n v="104992"/>
    <n v="75"/>
    <n v="34800"/>
    <x v="0"/>
    <n v="43500"/>
    <n v="0"/>
    <x v="4"/>
    <x v="0"/>
    <x v="0"/>
    <d v="2025-07-05T00:00:00"/>
    <n v="43500"/>
    <x v="0"/>
  </r>
  <r>
    <n v="104993"/>
    <n v="35"/>
    <n v="88300"/>
    <x v="1"/>
    <n v="0"/>
    <n v="0"/>
    <x v="6"/>
    <x v="2"/>
    <x v="1"/>
    <d v="2025-05-22T00:00:00"/>
    <n v="0"/>
    <x v="1"/>
  </r>
  <r>
    <n v="104994"/>
    <n v="38"/>
    <n v="63800"/>
    <x v="1"/>
    <n v="28100"/>
    <n v="0"/>
    <x v="3"/>
    <x v="0"/>
    <x v="1"/>
    <d v="2024-03-17T00:00:00"/>
    <n v="28100"/>
    <x v="0"/>
  </r>
  <r>
    <n v="104995"/>
    <n v="40"/>
    <n v="43900"/>
    <x v="0"/>
    <n v="0"/>
    <n v="0"/>
    <x v="3"/>
    <x v="0"/>
    <x v="1"/>
    <d v="2024-05-19T00:00:00"/>
    <n v="0"/>
    <x v="0"/>
  </r>
  <r>
    <n v="104996"/>
    <n v="51"/>
    <n v="19700"/>
    <x v="1"/>
    <n v="24600"/>
    <n v="0"/>
    <x v="6"/>
    <x v="1"/>
    <x v="1"/>
    <d v="2026-05-26T00:00:00"/>
    <n v="24600"/>
    <x v="0"/>
  </r>
  <r>
    <n v="104997"/>
    <n v="20"/>
    <n v="35600"/>
    <x v="1"/>
    <n v="44500"/>
    <n v="0"/>
    <x v="3"/>
    <x v="1"/>
    <x v="1"/>
    <d v="2026-02-25T00:00:00"/>
    <n v="44500"/>
    <x v="0"/>
  </r>
  <r>
    <n v="104998"/>
    <n v="45"/>
    <n v="23100"/>
    <x v="0"/>
    <n v="28900"/>
    <n v="0"/>
    <x v="2"/>
    <x v="2"/>
    <x v="1"/>
    <d v="2024-03-27T00:00:00"/>
    <n v="28900"/>
    <x v="0"/>
  </r>
  <r>
    <n v="104999"/>
    <n v="56"/>
    <n v="25000"/>
    <x v="2"/>
    <n v="21800"/>
    <n v="0"/>
    <x v="5"/>
    <x v="1"/>
    <x v="1"/>
    <d v="2026-02-01T00:00:00"/>
    <n v="21800"/>
    <x v="0"/>
  </r>
  <r>
    <n v="105000"/>
    <n v="62"/>
    <n v="76200"/>
    <x v="2"/>
    <n v="30100"/>
    <n v="0"/>
    <x v="4"/>
    <x v="1"/>
    <x v="1"/>
    <d v="2025-12-07T00:00:00"/>
    <n v="301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45285-F94B-4235-A605-856815AEF82A}" name="Tabla dinámica4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4:R10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axis="axisCol" compact="0" outline="0" showAll="0">
      <items count="4">
        <item x="1"/>
        <item x="2"/>
        <item x="0"/>
        <item t="default"/>
      </items>
    </pivotField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numFmtId="14" outline="0" showAll="0"/>
    <pivotField compact="0" numFmtId="164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uenta de ID Cliente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FF03A-AEDB-4E14-B2EE-8B26A893E0AC}" name="Tabla dinámica7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16:N26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axis="axisRow" compact="0" outline="0" showAll="0">
      <items count="9">
        <item x="7"/>
        <item x="3"/>
        <item x="5"/>
        <item x="1"/>
        <item x="6"/>
        <item x="4"/>
        <item x="0"/>
        <item x="2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ID Cliente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5EEB-25C6-4F24-AD70-8703C28C056D}" name="Tabla dinámica8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0:D36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numFmtId="14" outline="0" showAll="0"/>
    <pivotField compact="0" numFmtId="164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uenta de ID Cliente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EBF47-B57C-4BFB-B73B-FC8E1F8960AE}" name="Tabla dinámica1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B10" firstHeaderRow="1" firstDataRow="1" firstDataCol="1" rowPageCount="1" colPageCount="1"/>
  <pivotFields count="12"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numFmtId="164" outline="0" showAll="0"/>
    <pivotField compact="0" numFmtId="164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numFmtId="14" outline="0" showAll="0"/>
    <pivotField compact="0" numFmtId="164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8" item="0" hier="-1"/>
  </pageFields>
  <dataFields count="1">
    <dataField name="Suma de Prestito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0AE38-DDBF-4BFC-B5E6-CB7006EAC0A3}" name="Tabla dinámica5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6:D25" firstHeaderRow="0" firstDataRow="1" firstDataCol="1"/>
  <pivotFields count="12"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dataField="1" compact="0" numFmtId="164" outline="0" showAll="0"/>
    <pivotField axis="axisRow" compact="0" outline="0" showAll="0" sortType="descending">
      <items count="9">
        <item x="2"/>
        <item x="0"/>
        <item x="4"/>
        <item x="6"/>
        <item x="1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outline="0" showAll="0"/>
  </pivotFields>
  <rowFields count="1">
    <field x="6"/>
  </rowFields>
  <rowItems count="9">
    <i>
      <x v="4"/>
    </i>
    <i>
      <x v="6"/>
    </i>
    <i>
      <x v="5"/>
    </i>
    <i>
      <x v="3"/>
    </i>
    <i>
      <x/>
    </i>
    <i>
      <x v="1"/>
    </i>
    <i>
      <x v="2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stito" fld="4" baseField="0" baseItem="0" numFmtId="164"/>
    <dataField name="Suma de Mutuo" fld="5" baseField="0" baseItem="0" numFmtId="164"/>
    <dataField name="Suma de Esposizione Total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D433C-AF9B-4F9F-9420-479111715650}" name="Tabla dinámica3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9">
  <location ref="I4:L10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numFmtId="14" outline="0" showAll="0"/>
    <pivotField compact="0" numFmtId="164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uenta de ID Cliente" fld="0" subtotal="count" showDataAs="percentOfRow" baseField="0" baseItem="0" numFmtId="10"/>
  </dataFields>
  <chartFormats count="16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C11AD-83D9-4A42-ABCA-4DFE940575EF}" name="Tabla dinámica6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F16:I26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axis="axisRow" compact="0" outline="0" showAll="0" sortType="descending">
      <items count="9">
        <item x="7"/>
        <item x="3"/>
        <item x="5"/>
        <item x="1"/>
        <item x="6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numFmtId="164" outline="0" showAll="0"/>
    <pivotField compact="0" outline="0" showAll="0"/>
  </pivotFields>
  <rowFields count="1">
    <field x="6"/>
  </rowFields>
  <rowItems count="9">
    <i>
      <x v="3"/>
    </i>
    <i>
      <x v="5"/>
    </i>
    <i>
      <x v="1"/>
    </i>
    <i>
      <x/>
    </i>
    <i>
      <x v="2"/>
    </i>
    <i>
      <x v="4"/>
    </i>
    <i>
      <x v="7"/>
    </i>
    <i>
      <x v="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uenta de ID Cliente" fld="0" subtotal="count" showDataAs="percentOfRow" baseField="0" baseItem="0" numFmtId="10"/>
  </dataFields>
  <chartFormats count="14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24D29-38C7-409C-A49D-DC6B15D2499E}" name="Tabla dinámica2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4:G9" firstHeaderRow="1" firstDataRow="2" firstDataCol="1"/>
  <pivotFields count="12">
    <pivotField dataField="1"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numFmtId="14" outline="0" showAll="0"/>
    <pivotField compact="0" numFmtId="164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uenta de ID Cliente" fld="0" subtotal="count" showDataAs="percentOfRow" baseField="0" baseItem="0" numFmtId="10"/>
  </dataFields>
  <formats count="3">
    <format dxfId="10">
      <pivotArea outline="0" fieldPosition="0">
        <references count="2">
          <reference field="3" count="1" selected="0">
            <x v="0"/>
          </reference>
          <reference field="8" count="0" selected="0"/>
        </references>
      </pivotArea>
    </format>
    <format dxfId="11">
      <pivotArea outline="0" fieldPosition="0">
        <references count="2">
          <reference field="3" count="1" selected="0">
            <x v="0"/>
          </reference>
          <reference field="8" count="1" selected="0">
            <x v="0"/>
          </reference>
        </references>
      </pivotArea>
    </format>
    <format dxfId="12">
      <pivotArea outline="0" fieldPosition="0">
        <references count="2">
          <reference field="3" count="1" selected="0">
            <x v="0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667F6-AA62-4D53-8942-C171F703DA16}" name="Tabla dinámica9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K30:L34" firstHeaderRow="1" firstDataRow="1" firstDataCol="1"/>
  <pivotFields count="12">
    <pivotField dataField="1"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64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Cliente" fld="0" subtotal="count" showDataAs="percentOfCo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iBanca" displayName="ClientiBanca" ref="A1:L5001" totalsRowShown="0">
  <autoFilter ref="A1:L5001" xr:uid="{00000000-000C-0000-FFFF-FFFF00000000}">
    <filterColumn colId="0" hiddenButton="1"/>
  </autoFilter>
  <tableColumns count="12">
    <tableColumn id="1" xr3:uid="{00000000-0010-0000-0000-000001000000}" name="ID Cliente"/>
    <tableColumn id="2" xr3:uid="{00000000-0010-0000-0000-000002000000}" name="Età"/>
    <tableColumn id="3" xr3:uid="{00000000-0010-0000-0000-000003000000}" name="Reddito annuo"/>
    <tableColumn id="4" xr3:uid="{00000000-0010-0000-0000-000004000000}" name="Tipo conto"/>
    <tableColumn id="5" xr3:uid="{00000000-0010-0000-0000-000005000000}" name="Prestito"/>
    <tableColumn id="6" xr3:uid="{00000000-0010-0000-0000-000006000000}" name="Mutuo"/>
    <tableColumn id="7" xr3:uid="{00000000-0010-0000-0000-000007000000}" name="Filiale"/>
    <tableColumn id="8" xr3:uid="{00000000-0010-0000-0000-000008000000}" name="Rating cliente"/>
    <tableColumn id="9" xr3:uid="{00000000-0010-0000-0000-000009000000}" name="Stato prestito"/>
    <tableColumn id="10" xr3:uid="{00000000-0010-0000-0000-00000A000000}" name="Data erogazione"/>
    <tableColumn id="11" xr3:uid="{812E628F-9EE1-4C70-958F-D381D1710828}" name="Esposizione Totale" dataDxfId="9">
      <calculatedColumnFormula>ClientiBanca[[#This Row],[Prestito]]+ClientiBanca[[#This Row],[Mutuo]]</calculatedColumnFormula>
    </tableColumn>
    <tableColumn id="12" xr3:uid="{867FC601-2CFE-47B2-B18A-1B96459347F1}" name="Clienti alto reddito" dataDxfId="8">
      <calculatedColumnFormula>IF(ClientiBanca[[#This Row],[Reddito annuo]]&gt;=70000,"si","no")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2B9588-55D7-435F-8EA5-C2EA5D13BDB0}" name="Tabla3" displayName="Tabla3" ref="E31:F35" totalsRowShown="0">
  <autoFilter ref="E31:F35" xr:uid="{042B9588-55D7-435F-8EA5-C2EA5D13BDB0}"/>
  <tableColumns count="2">
    <tableColumn id="1" xr3:uid="{2F0C31C3-5815-424E-B106-26C74668856F}" name="RATING" dataDxfId="7">
      <calculatedColumnFormula>A32</calculatedColumnFormula>
    </tableColumn>
    <tableColumn id="2" xr3:uid="{E6BD3CB3-F9A3-4AD5-A12E-9C4FF32D1A4C}" name="TASSO RITARDO" dataDxfId="6">
      <calculatedColumnFormula>B32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91986-9B3E-4096-8601-609F10AB4CD7}" name="Tabla4" displayName="Tabla4" ref="A40:B48" totalsRowShown="0">
  <autoFilter ref="A40:B48" xr:uid="{A4791986-9B3E-4096-8601-609F10AB4CD7}"/>
  <sortState xmlns:xlrd2="http://schemas.microsoft.com/office/spreadsheetml/2017/richdata2" ref="A41:B48">
    <sortCondition descending="1" ref="B40:B48"/>
  </sortState>
  <tableColumns count="2">
    <tableColumn id="1" xr3:uid="{833DA878-62D1-4E14-8D72-567E3C85C354}" name="Filiale" dataDxfId="5">
      <calculatedColumnFormula>A17</calculatedColumnFormula>
    </tableColumn>
    <tableColumn id="2" xr3:uid="{F1C52A05-4B1A-4BC9-B61F-4CCD7F5CD715}" name="Esposizione" dataDxfId="4">
      <calculatedColumnFormula>D17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FAA6A-7985-472B-854B-60F7CCDA624A}" name="Tabla2" displayName="Tabla2" ref="D40:E48" totalsRowShown="0">
  <autoFilter ref="D40:E48" xr:uid="{172FAA6A-7985-472B-854B-60F7CCDA624A}"/>
  <sortState xmlns:xlrd2="http://schemas.microsoft.com/office/spreadsheetml/2017/richdata2" ref="D41:E48">
    <sortCondition descending="1" ref="E41:E48"/>
  </sortState>
  <tableColumns count="2">
    <tableColumn id="1" xr3:uid="{CFC86C9B-8A55-4C7E-BE43-A3DF2838B7E6}" name="Filiale" dataDxfId="3">
      <calculatedColumnFormula>F18</calculatedColumnFormula>
    </tableColumn>
    <tableColumn id="2" xr3:uid="{E12AE57B-C382-45E5-BAA0-0E9092BEF045}" name="Ritardo" dataDxfId="2">
      <calculatedColumnFormula>G18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348F07-A88B-488A-9E61-53854D96CEB7}" name="Tabla5" displayName="Tabla5" ref="G40:H48" totalsRowShown="0">
  <autoFilter ref="G40:H48" xr:uid="{80348F07-A88B-488A-9E61-53854D96CEB7}"/>
  <tableColumns count="2">
    <tableColumn id="1" xr3:uid="{9B345F6E-3911-40BD-AF5D-EE215A66D7E0}" name="Columna1" dataDxfId="1">
      <calculatedColumnFormula>K18</calculatedColumnFormula>
    </tableColumn>
    <tableColumn id="2" xr3:uid="{83632D96-4F85-4301-B716-8E17FFA953BD}" name="Columna2" dataDxfId="0">
      <calculatedColumnFormula>M18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3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zoomScaleNormal="100" zoomScaleSheetLayoutView="100" workbookViewId="0">
      <selection activeCell="F9" sqref="F9"/>
    </sheetView>
  </sheetViews>
  <sheetFormatPr defaultRowHeight="15"/>
  <cols>
    <col min="1" max="1" width="13" customWidth="1"/>
    <col min="2" max="2" width="8" customWidth="1"/>
    <col min="3" max="3" width="16" customWidth="1"/>
    <col min="4" max="6" width="14" customWidth="1"/>
    <col min="7" max="7" width="20" customWidth="1"/>
    <col min="8" max="8" width="15" customWidth="1"/>
    <col min="9" max="9" width="16" customWidth="1"/>
    <col min="10" max="10" width="17" customWidth="1"/>
    <col min="11" max="11" width="17.25" customWidth="1"/>
    <col min="12" max="12" width="18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>
        <v>100001</v>
      </c>
      <c r="B2">
        <v>60</v>
      </c>
      <c r="C2" s="2">
        <v>35300</v>
      </c>
      <c r="D2" t="s">
        <v>12</v>
      </c>
      <c r="E2" s="2">
        <v>16000</v>
      </c>
      <c r="F2" s="2">
        <v>267000</v>
      </c>
      <c r="G2" t="s">
        <v>13</v>
      </c>
      <c r="H2" t="s">
        <v>14</v>
      </c>
      <c r="I2" t="s">
        <v>15</v>
      </c>
      <c r="J2" s="3">
        <v>45387</v>
      </c>
      <c r="K2" s="4">
        <f>ClientiBanca[[#This Row],[Prestito]]+ClientiBanca[[#This Row],[Mutuo]]</f>
        <v>283000</v>
      </c>
      <c r="L2" t="str">
        <f>IF(ClientiBanca[[#This Row],[Reddito annuo]]&gt;=70000,"si","no")</f>
        <v>no</v>
      </c>
    </row>
    <row r="3" spans="1:12">
      <c r="A3">
        <v>100002</v>
      </c>
      <c r="B3">
        <v>33</v>
      </c>
      <c r="C3" s="2">
        <v>43000</v>
      </c>
      <c r="D3" t="s">
        <v>12</v>
      </c>
      <c r="E3" s="2">
        <v>47600</v>
      </c>
      <c r="F3" s="2">
        <v>0</v>
      </c>
      <c r="G3" t="s">
        <v>16</v>
      </c>
      <c r="H3" t="s">
        <v>17</v>
      </c>
      <c r="I3" t="s">
        <v>18</v>
      </c>
      <c r="J3" s="3">
        <v>46120</v>
      </c>
      <c r="K3" s="4">
        <f>ClientiBanca[[#This Row],[Prestito]]+ClientiBanca[[#This Row],[Mutuo]]</f>
        <v>47600</v>
      </c>
      <c r="L3" t="str">
        <f>IF(ClientiBanca[[#This Row],[Reddito annuo]]&gt;=70000,"si","no")</f>
        <v>no</v>
      </c>
    </row>
    <row r="4" spans="1:12">
      <c r="A4">
        <v>100003</v>
      </c>
      <c r="B4">
        <v>75</v>
      </c>
      <c r="C4" s="2">
        <v>22200</v>
      </c>
      <c r="D4" t="s">
        <v>12</v>
      </c>
      <c r="E4" s="2">
        <v>25300</v>
      </c>
      <c r="F4" s="2">
        <v>0</v>
      </c>
      <c r="G4" t="s">
        <v>19</v>
      </c>
      <c r="H4" t="s">
        <v>20</v>
      </c>
      <c r="I4" t="s">
        <v>18</v>
      </c>
      <c r="J4" s="3">
        <v>45659</v>
      </c>
      <c r="K4" s="4">
        <f>ClientiBanca[[#This Row],[Prestito]]+ClientiBanca[[#This Row],[Mutuo]]</f>
        <v>25300</v>
      </c>
      <c r="L4" t="str">
        <f>IF(ClientiBanca[[#This Row],[Reddito annuo]]&gt;=70000,"si","no")</f>
        <v>no</v>
      </c>
    </row>
    <row r="5" spans="1:12">
      <c r="A5">
        <v>100004</v>
      </c>
      <c r="B5">
        <v>74</v>
      </c>
      <c r="C5" s="2">
        <v>49600</v>
      </c>
      <c r="D5" t="s">
        <v>21</v>
      </c>
      <c r="E5" s="2">
        <v>31500</v>
      </c>
      <c r="F5" s="2">
        <v>336000</v>
      </c>
      <c r="G5" t="s">
        <v>13</v>
      </c>
      <c r="H5" t="s">
        <v>17</v>
      </c>
      <c r="I5" t="s">
        <v>18</v>
      </c>
      <c r="J5" s="3">
        <v>45925</v>
      </c>
      <c r="K5" s="4">
        <f>ClientiBanca[[#This Row],[Prestito]]+ClientiBanca[[#This Row],[Mutuo]]</f>
        <v>367500</v>
      </c>
      <c r="L5" t="str">
        <f>IF(ClientiBanca[[#This Row],[Reddito annuo]]&gt;=70000,"si","no")</f>
        <v>no</v>
      </c>
    </row>
    <row r="6" spans="1:12">
      <c r="A6">
        <v>100005</v>
      </c>
      <c r="B6">
        <v>75</v>
      </c>
      <c r="C6" s="2">
        <v>50700</v>
      </c>
      <c r="D6" t="s">
        <v>21</v>
      </c>
      <c r="E6" s="2">
        <v>43700</v>
      </c>
      <c r="F6" s="2">
        <v>0</v>
      </c>
      <c r="G6" t="s">
        <v>13</v>
      </c>
      <c r="H6" t="s">
        <v>14</v>
      </c>
      <c r="I6" t="s">
        <v>18</v>
      </c>
      <c r="J6" s="3">
        <v>45681</v>
      </c>
      <c r="K6" s="4">
        <f>ClientiBanca[[#This Row],[Prestito]]+ClientiBanca[[#This Row],[Mutuo]]</f>
        <v>43700</v>
      </c>
      <c r="L6" t="str">
        <f>IF(ClientiBanca[[#This Row],[Reddito annuo]]&gt;=70000,"si","no")</f>
        <v>no</v>
      </c>
    </row>
    <row r="7" spans="1:12">
      <c r="A7">
        <v>100006</v>
      </c>
      <c r="B7">
        <v>37</v>
      </c>
      <c r="C7" s="2">
        <v>56600</v>
      </c>
      <c r="D7" t="s">
        <v>22</v>
      </c>
      <c r="E7" s="2">
        <v>26100</v>
      </c>
      <c r="F7" s="2">
        <v>0</v>
      </c>
      <c r="G7" t="s">
        <v>13</v>
      </c>
      <c r="H7" t="s">
        <v>17</v>
      </c>
      <c r="I7" t="s">
        <v>18</v>
      </c>
      <c r="J7" s="3">
        <v>46038</v>
      </c>
      <c r="K7" s="4">
        <f>ClientiBanca[[#This Row],[Prestito]]+ClientiBanca[[#This Row],[Mutuo]]</f>
        <v>26100</v>
      </c>
      <c r="L7" t="str">
        <f>IF(ClientiBanca[[#This Row],[Reddito annuo]]&gt;=70000,"si","no")</f>
        <v>no</v>
      </c>
    </row>
    <row r="8" spans="1:12">
      <c r="A8">
        <v>100007</v>
      </c>
      <c r="B8">
        <v>35</v>
      </c>
      <c r="C8" s="2">
        <v>39000</v>
      </c>
      <c r="D8" t="s">
        <v>21</v>
      </c>
      <c r="E8" s="2">
        <v>0</v>
      </c>
      <c r="F8" s="2">
        <v>0</v>
      </c>
      <c r="G8" t="s">
        <v>23</v>
      </c>
      <c r="H8" t="s">
        <v>14</v>
      </c>
      <c r="I8" t="s">
        <v>18</v>
      </c>
      <c r="J8" s="3">
        <v>46155</v>
      </c>
      <c r="K8" s="4">
        <f>ClientiBanca[[#This Row],[Prestito]]+ClientiBanca[[#This Row],[Mutuo]]</f>
        <v>0</v>
      </c>
      <c r="L8" t="str">
        <f>IF(ClientiBanca[[#This Row],[Reddito annuo]]&gt;=70000,"si","no")</f>
        <v>no</v>
      </c>
    </row>
    <row r="9" spans="1:12">
      <c r="A9">
        <v>100008</v>
      </c>
      <c r="B9">
        <v>69</v>
      </c>
      <c r="C9" s="2">
        <v>83000</v>
      </c>
      <c r="D9" t="s">
        <v>21</v>
      </c>
      <c r="E9" s="2">
        <v>24100</v>
      </c>
      <c r="F9" s="2">
        <v>0</v>
      </c>
      <c r="G9" t="s">
        <v>23</v>
      </c>
      <c r="H9" t="s">
        <v>14</v>
      </c>
      <c r="I9" t="s">
        <v>18</v>
      </c>
      <c r="J9" s="3">
        <v>46027</v>
      </c>
      <c r="K9" s="4">
        <f>ClientiBanca[[#This Row],[Prestito]]+ClientiBanca[[#This Row],[Mutuo]]</f>
        <v>24100</v>
      </c>
      <c r="L9" t="str">
        <f>IF(ClientiBanca[[#This Row],[Reddito annuo]]&gt;=70000,"si","no")</f>
        <v>si</v>
      </c>
    </row>
    <row r="10" spans="1:12">
      <c r="A10">
        <v>100009</v>
      </c>
      <c r="B10">
        <v>40</v>
      </c>
      <c r="C10" s="2">
        <v>41900</v>
      </c>
      <c r="D10" t="s">
        <v>21</v>
      </c>
      <c r="E10" s="2">
        <v>0</v>
      </c>
      <c r="F10" s="2">
        <v>0</v>
      </c>
      <c r="G10" t="s">
        <v>24</v>
      </c>
      <c r="H10" t="s">
        <v>17</v>
      </c>
      <c r="I10" t="s">
        <v>18</v>
      </c>
      <c r="J10" s="3">
        <v>45544</v>
      </c>
      <c r="K10" s="4">
        <f>ClientiBanca[[#This Row],[Prestito]]+ClientiBanca[[#This Row],[Mutuo]]</f>
        <v>0</v>
      </c>
      <c r="L10" t="str">
        <f>IF(ClientiBanca[[#This Row],[Reddito annuo]]&gt;=70000,"si","no")</f>
        <v>no</v>
      </c>
    </row>
    <row r="11" spans="1:12">
      <c r="A11">
        <v>100010</v>
      </c>
      <c r="B11">
        <v>67</v>
      </c>
      <c r="C11" s="2">
        <v>64200</v>
      </c>
      <c r="D11" t="s">
        <v>21</v>
      </c>
      <c r="E11" s="2">
        <v>64600</v>
      </c>
      <c r="F11" s="2">
        <v>0</v>
      </c>
      <c r="G11" t="s">
        <v>23</v>
      </c>
      <c r="H11" t="s">
        <v>25</v>
      </c>
      <c r="I11" t="s">
        <v>15</v>
      </c>
      <c r="J11" s="3">
        <v>45797</v>
      </c>
      <c r="K11" s="4">
        <f>ClientiBanca[[#This Row],[Prestito]]+ClientiBanca[[#This Row],[Mutuo]]</f>
        <v>64600</v>
      </c>
      <c r="L11" t="str">
        <f>IF(ClientiBanca[[#This Row],[Reddito annuo]]&gt;=70000,"si","no")</f>
        <v>no</v>
      </c>
    </row>
    <row r="12" spans="1:12">
      <c r="A12">
        <v>100011</v>
      </c>
      <c r="B12">
        <v>25</v>
      </c>
      <c r="C12" s="2">
        <v>80900</v>
      </c>
      <c r="D12" t="s">
        <v>22</v>
      </c>
      <c r="E12" s="2">
        <v>17000</v>
      </c>
      <c r="F12" s="2">
        <v>0</v>
      </c>
      <c r="G12" t="s">
        <v>13</v>
      </c>
      <c r="H12" t="s">
        <v>20</v>
      </c>
      <c r="I12" t="s">
        <v>18</v>
      </c>
      <c r="J12" s="3">
        <v>45771</v>
      </c>
      <c r="K12" s="4">
        <f>ClientiBanca[[#This Row],[Prestito]]+ClientiBanca[[#This Row],[Mutuo]]</f>
        <v>17000</v>
      </c>
      <c r="L12" t="str">
        <f>IF(ClientiBanca[[#This Row],[Reddito annuo]]&gt;=70000,"si","no")</f>
        <v>si</v>
      </c>
    </row>
    <row r="13" spans="1:12">
      <c r="A13">
        <v>100012</v>
      </c>
      <c r="B13">
        <v>53</v>
      </c>
      <c r="C13" s="2">
        <v>44100</v>
      </c>
      <c r="D13" t="s">
        <v>12</v>
      </c>
      <c r="E13" s="2">
        <v>0</v>
      </c>
      <c r="F13" s="2">
        <v>0</v>
      </c>
      <c r="G13" t="s">
        <v>13</v>
      </c>
      <c r="H13" t="s">
        <v>14</v>
      </c>
      <c r="I13" t="s">
        <v>18</v>
      </c>
      <c r="J13" s="3">
        <v>45841</v>
      </c>
      <c r="K13" s="4">
        <f>ClientiBanca[[#This Row],[Prestito]]+ClientiBanca[[#This Row],[Mutuo]]</f>
        <v>0</v>
      </c>
      <c r="L13" t="str">
        <f>IF(ClientiBanca[[#This Row],[Reddito annuo]]&gt;=70000,"si","no")</f>
        <v>no</v>
      </c>
    </row>
    <row r="14" spans="1:12">
      <c r="A14">
        <v>100013</v>
      </c>
      <c r="B14">
        <v>68</v>
      </c>
      <c r="C14" s="2">
        <v>45000</v>
      </c>
      <c r="D14" t="s">
        <v>12</v>
      </c>
      <c r="E14" s="2">
        <v>30200</v>
      </c>
      <c r="F14" s="2">
        <v>0</v>
      </c>
      <c r="G14" t="s">
        <v>26</v>
      </c>
      <c r="H14" t="s">
        <v>25</v>
      </c>
      <c r="I14" t="s">
        <v>18</v>
      </c>
      <c r="J14" s="3">
        <v>45811</v>
      </c>
      <c r="K14" s="4">
        <f>ClientiBanca[[#This Row],[Prestito]]+ClientiBanca[[#This Row],[Mutuo]]</f>
        <v>30200</v>
      </c>
      <c r="L14" t="str">
        <f>IF(ClientiBanca[[#This Row],[Reddito annuo]]&gt;=70000,"si","no")</f>
        <v>no</v>
      </c>
    </row>
    <row r="15" spans="1:12">
      <c r="A15">
        <v>100014</v>
      </c>
      <c r="B15">
        <v>26</v>
      </c>
      <c r="C15" s="2">
        <v>94300</v>
      </c>
      <c r="D15" t="s">
        <v>21</v>
      </c>
      <c r="E15" s="2">
        <v>40200</v>
      </c>
      <c r="F15" s="2">
        <v>274000</v>
      </c>
      <c r="G15" t="s">
        <v>27</v>
      </c>
      <c r="H15" t="s">
        <v>17</v>
      </c>
      <c r="I15" t="s">
        <v>18</v>
      </c>
      <c r="J15" s="3">
        <v>45406</v>
      </c>
      <c r="K15" s="4">
        <f>ClientiBanca[[#This Row],[Prestito]]+ClientiBanca[[#This Row],[Mutuo]]</f>
        <v>314200</v>
      </c>
      <c r="L15" t="str">
        <f>IF(ClientiBanca[[#This Row],[Reddito annuo]]&gt;=70000,"si","no")</f>
        <v>si</v>
      </c>
    </row>
    <row r="16" spans="1:12">
      <c r="A16">
        <v>100015</v>
      </c>
      <c r="B16">
        <v>43</v>
      </c>
      <c r="C16" s="2">
        <v>95400</v>
      </c>
      <c r="D16" t="s">
        <v>22</v>
      </c>
      <c r="E16" s="2">
        <v>11000</v>
      </c>
      <c r="F16" s="2">
        <v>0</v>
      </c>
      <c r="G16" t="s">
        <v>13</v>
      </c>
      <c r="H16" t="s">
        <v>20</v>
      </c>
      <c r="I16" t="s">
        <v>18</v>
      </c>
      <c r="J16" s="3">
        <v>45362</v>
      </c>
      <c r="K16" s="4">
        <f>ClientiBanca[[#This Row],[Prestito]]+ClientiBanca[[#This Row],[Mutuo]]</f>
        <v>11000</v>
      </c>
      <c r="L16" t="str">
        <f>IF(ClientiBanca[[#This Row],[Reddito annuo]]&gt;=70000,"si","no")</f>
        <v>si</v>
      </c>
    </row>
    <row r="17" spans="1:12">
      <c r="A17">
        <v>100016</v>
      </c>
      <c r="B17">
        <v>68</v>
      </c>
      <c r="C17" s="2">
        <v>62100</v>
      </c>
      <c r="D17" t="s">
        <v>21</v>
      </c>
      <c r="E17" s="2">
        <v>71600</v>
      </c>
      <c r="F17" s="2">
        <v>214000</v>
      </c>
      <c r="G17" t="s">
        <v>16</v>
      </c>
      <c r="H17" t="s">
        <v>25</v>
      </c>
      <c r="I17" t="s">
        <v>18</v>
      </c>
      <c r="J17" s="3">
        <v>46065</v>
      </c>
      <c r="K17" s="4">
        <f>ClientiBanca[[#This Row],[Prestito]]+ClientiBanca[[#This Row],[Mutuo]]</f>
        <v>285600</v>
      </c>
      <c r="L17" t="str">
        <f>IF(ClientiBanca[[#This Row],[Reddito annuo]]&gt;=70000,"si","no")</f>
        <v>no</v>
      </c>
    </row>
    <row r="18" spans="1:12">
      <c r="A18">
        <v>100017</v>
      </c>
      <c r="B18">
        <v>66</v>
      </c>
      <c r="C18" s="2">
        <v>74700</v>
      </c>
      <c r="D18" t="s">
        <v>12</v>
      </c>
      <c r="E18" s="2">
        <v>44400</v>
      </c>
      <c r="F18" s="2">
        <v>0</v>
      </c>
      <c r="G18" t="s">
        <v>28</v>
      </c>
      <c r="H18" t="s">
        <v>20</v>
      </c>
      <c r="I18" t="s">
        <v>18</v>
      </c>
      <c r="J18" s="3">
        <v>45638</v>
      </c>
      <c r="K18" s="4">
        <f>ClientiBanca[[#This Row],[Prestito]]+ClientiBanca[[#This Row],[Mutuo]]</f>
        <v>44400</v>
      </c>
      <c r="L18" t="str">
        <f>IF(ClientiBanca[[#This Row],[Reddito annuo]]&gt;=70000,"si","no")</f>
        <v>si</v>
      </c>
    </row>
    <row r="19" spans="1:12">
      <c r="A19">
        <v>100018</v>
      </c>
      <c r="B19">
        <v>21</v>
      </c>
      <c r="C19" s="2">
        <v>66300</v>
      </c>
      <c r="D19" t="s">
        <v>21</v>
      </c>
      <c r="E19" s="2">
        <v>12000</v>
      </c>
      <c r="F19" s="2">
        <v>0</v>
      </c>
      <c r="G19" t="s">
        <v>23</v>
      </c>
      <c r="H19" t="s">
        <v>20</v>
      </c>
      <c r="I19" t="s">
        <v>18</v>
      </c>
      <c r="J19" s="3">
        <v>45630</v>
      </c>
      <c r="K19" s="4">
        <f>ClientiBanca[[#This Row],[Prestito]]+ClientiBanca[[#This Row],[Mutuo]]</f>
        <v>12000</v>
      </c>
      <c r="L19" t="str">
        <f>IF(ClientiBanca[[#This Row],[Reddito annuo]]&gt;=70000,"si","no")</f>
        <v>no</v>
      </c>
    </row>
    <row r="20" spans="1:12">
      <c r="A20">
        <v>100019</v>
      </c>
      <c r="B20">
        <v>24</v>
      </c>
      <c r="C20" s="2">
        <v>60800</v>
      </c>
      <c r="D20" t="s">
        <v>21</v>
      </c>
      <c r="E20" s="2">
        <v>36000</v>
      </c>
      <c r="F20" s="2">
        <v>0</v>
      </c>
      <c r="G20" t="s">
        <v>28</v>
      </c>
      <c r="H20" t="s">
        <v>20</v>
      </c>
      <c r="I20" t="s">
        <v>18</v>
      </c>
      <c r="J20" s="3">
        <v>45708</v>
      </c>
      <c r="K20" s="4">
        <f>ClientiBanca[[#This Row],[Prestito]]+ClientiBanca[[#This Row],[Mutuo]]</f>
        <v>36000</v>
      </c>
      <c r="L20" t="str">
        <f>IF(ClientiBanca[[#This Row],[Reddito annuo]]&gt;=70000,"si","no")</f>
        <v>no</v>
      </c>
    </row>
    <row r="21" spans="1:12">
      <c r="A21">
        <v>100020</v>
      </c>
      <c r="B21">
        <v>32</v>
      </c>
      <c r="C21" s="2">
        <v>33900</v>
      </c>
      <c r="D21" t="s">
        <v>12</v>
      </c>
      <c r="E21" s="2">
        <v>28900</v>
      </c>
      <c r="F21" s="2">
        <v>0</v>
      </c>
      <c r="G21" t="s">
        <v>27</v>
      </c>
      <c r="H21" t="s">
        <v>14</v>
      </c>
      <c r="I21" t="s">
        <v>18</v>
      </c>
      <c r="J21" s="3">
        <v>45392</v>
      </c>
      <c r="K21" s="4">
        <f>ClientiBanca[[#This Row],[Prestito]]+ClientiBanca[[#This Row],[Mutuo]]</f>
        <v>28900</v>
      </c>
      <c r="L21" t="str">
        <f>IF(ClientiBanca[[#This Row],[Reddito annuo]]&gt;=70000,"si","no")</f>
        <v>no</v>
      </c>
    </row>
    <row r="22" spans="1:12">
      <c r="A22">
        <v>100021</v>
      </c>
      <c r="B22">
        <v>23</v>
      </c>
      <c r="C22" s="2">
        <v>53300</v>
      </c>
      <c r="D22" t="s">
        <v>21</v>
      </c>
      <c r="E22" s="2">
        <v>0</v>
      </c>
      <c r="F22" s="2">
        <v>0</v>
      </c>
      <c r="G22" t="s">
        <v>23</v>
      </c>
      <c r="H22" t="s">
        <v>17</v>
      </c>
      <c r="I22" t="s">
        <v>18</v>
      </c>
      <c r="J22" s="3">
        <v>45435</v>
      </c>
      <c r="K22" s="4">
        <f>ClientiBanca[[#This Row],[Prestito]]+ClientiBanca[[#This Row],[Mutuo]]</f>
        <v>0</v>
      </c>
      <c r="L22" t="str">
        <f>IF(ClientiBanca[[#This Row],[Reddito annuo]]&gt;=70000,"si","no")</f>
        <v>no</v>
      </c>
    </row>
    <row r="23" spans="1:12">
      <c r="A23">
        <v>100022</v>
      </c>
      <c r="B23">
        <v>47</v>
      </c>
      <c r="C23" s="2">
        <v>40200</v>
      </c>
      <c r="D23" t="s">
        <v>21</v>
      </c>
      <c r="E23" s="2">
        <v>0</v>
      </c>
      <c r="F23" s="2">
        <v>289000</v>
      </c>
      <c r="G23" t="s">
        <v>13</v>
      </c>
      <c r="H23" t="s">
        <v>20</v>
      </c>
      <c r="I23" t="s">
        <v>18</v>
      </c>
      <c r="J23" s="3">
        <v>45845</v>
      </c>
      <c r="K23" s="4">
        <f>ClientiBanca[[#This Row],[Prestito]]+ClientiBanca[[#This Row],[Mutuo]]</f>
        <v>289000</v>
      </c>
      <c r="L23" t="str">
        <f>IF(ClientiBanca[[#This Row],[Reddito annuo]]&gt;=70000,"si","no")</f>
        <v>no</v>
      </c>
    </row>
    <row r="24" spans="1:12">
      <c r="A24">
        <v>100023</v>
      </c>
      <c r="B24">
        <v>73</v>
      </c>
      <c r="C24" s="2">
        <v>24300</v>
      </c>
      <c r="D24" t="s">
        <v>21</v>
      </c>
      <c r="E24" s="2">
        <v>0</v>
      </c>
      <c r="F24" s="2">
        <v>0</v>
      </c>
      <c r="G24" t="s">
        <v>16</v>
      </c>
      <c r="H24" t="s">
        <v>17</v>
      </c>
      <c r="I24" t="s">
        <v>18</v>
      </c>
      <c r="J24" s="3">
        <v>45510</v>
      </c>
      <c r="K24" s="4">
        <f>ClientiBanca[[#This Row],[Prestito]]+ClientiBanca[[#This Row],[Mutuo]]</f>
        <v>0</v>
      </c>
      <c r="L24" t="str">
        <f>IF(ClientiBanca[[#This Row],[Reddito annuo]]&gt;=70000,"si","no")</f>
        <v>no</v>
      </c>
    </row>
    <row r="25" spans="1:12">
      <c r="A25">
        <v>100024</v>
      </c>
      <c r="B25">
        <v>75</v>
      </c>
      <c r="C25" s="2">
        <v>53200</v>
      </c>
      <c r="D25" t="s">
        <v>21</v>
      </c>
      <c r="E25" s="2">
        <v>66500</v>
      </c>
      <c r="F25" s="2">
        <v>0</v>
      </c>
      <c r="G25" t="s">
        <v>28</v>
      </c>
      <c r="H25" t="s">
        <v>20</v>
      </c>
      <c r="I25" t="s">
        <v>18</v>
      </c>
      <c r="J25" s="3">
        <v>46040</v>
      </c>
      <c r="K25" s="4">
        <f>ClientiBanca[[#This Row],[Prestito]]+ClientiBanca[[#This Row],[Mutuo]]</f>
        <v>66500</v>
      </c>
      <c r="L25" t="str">
        <f>IF(ClientiBanca[[#This Row],[Reddito annuo]]&gt;=70000,"si","no")</f>
        <v>no</v>
      </c>
    </row>
    <row r="26" spans="1:12">
      <c r="A26">
        <v>100025</v>
      </c>
      <c r="B26">
        <v>70</v>
      </c>
      <c r="C26" s="2">
        <v>63800</v>
      </c>
      <c r="D26" t="s">
        <v>12</v>
      </c>
      <c r="E26" s="2">
        <v>23200</v>
      </c>
      <c r="F26" s="2">
        <v>0</v>
      </c>
      <c r="G26" t="s">
        <v>27</v>
      </c>
      <c r="H26" t="s">
        <v>14</v>
      </c>
      <c r="I26" t="s">
        <v>15</v>
      </c>
      <c r="J26" s="3">
        <v>45890</v>
      </c>
      <c r="K26" s="4">
        <f>ClientiBanca[[#This Row],[Prestito]]+ClientiBanca[[#This Row],[Mutuo]]</f>
        <v>23200</v>
      </c>
      <c r="L26" t="str">
        <f>IF(ClientiBanca[[#This Row],[Reddito annuo]]&gt;=70000,"si","no")</f>
        <v>no</v>
      </c>
    </row>
    <row r="27" spans="1:12">
      <c r="A27">
        <v>100026</v>
      </c>
      <c r="B27">
        <v>50</v>
      </c>
      <c r="C27" s="2">
        <v>60000</v>
      </c>
      <c r="D27" t="s">
        <v>22</v>
      </c>
      <c r="E27" s="2">
        <v>74200</v>
      </c>
      <c r="F27" s="2">
        <v>146000</v>
      </c>
      <c r="G27" t="s">
        <v>13</v>
      </c>
      <c r="H27" t="s">
        <v>17</v>
      </c>
      <c r="I27" t="s">
        <v>18</v>
      </c>
      <c r="J27" s="3">
        <v>45414</v>
      </c>
      <c r="K27" s="4">
        <f>ClientiBanca[[#This Row],[Prestito]]+ClientiBanca[[#This Row],[Mutuo]]</f>
        <v>220200</v>
      </c>
      <c r="L27" t="str">
        <f>IF(ClientiBanca[[#This Row],[Reddito annuo]]&gt;=70000,"si","no")</f>
        <v>no</v>
      </c>
    </row>
    <row r="28" spans="1:12">
      <c r="A28">
        <v>100027</v>
      </c>
      <c r="B28">
        <v>56</v>
      </c>
      <c r="C28" s="2">
        <v>43800</v>
      </c>
      <c r="D28" t="s">
        <v>12</v>
      </c>
      <c r="E28" s="2">
        <v>29300</v>
      </c>
      <c r="F28" s="2">
        <v>0</v>
      </c>
      <c r="G28" t="s">
        <v>19</v>
      </c>
      <c r="H28" t="s">
        <v>25</v>
      </c>
      <c r="I28" t="s">
        <v>15</v>
      </c>
      <c r="J28" s="3">
        <v>46025</v>
      </c>
      <c r="K28" s="4">
        <f>ClientiBanca[[#This Row],[Prestito]]+ClientiBanca[[#This Row],[Mutuo]]</f>
        <v>29300</v>
      </c>
      <c r="L28" t="str">
        <f>IF(ClientiBanca[[#This Row],[Reddito annuo]]&gt;=70000,"si","no")</f>
        <v>no</v>
      </c>
    </row>
    <row r="29" spans="1:12">
      <c r="A29">
        <v>100028</v>
      </c>
      <c r="B29">
        <v>40</v>
      </c>
      <c r="C29" s="2">
        <v>43400</v>
      </c>
      <c r="D29" t="s">
        <v>21</v>
      </c>
      <c r="E29" s="2">
        <v>23400</v>
      </c>
      <c r="F29" s="2">
        <v>0</v>
      </c>
      <c r="G29" t="s">
        <v>13</v>
      </c>
      <c r="H29" t="s">
        <v>20</v>
      </c>
      <c r="I29" t="s">
        <v>18</v>
      </c>
      <c r="J29" s="3">
        <v>45868</v>
      </c>
      <c r="K29" s="4">
        <f>ClientiBanca[[#This Row],[Prestito]]+ClientiBanca[[#This Row],[Mutuo]]</f>
        <v>23400</v>
      </c>
      <c r="L29" t="str">
        <f>IF(ClientiBanca[[#This Row],[Reddito annuo]]&gt;=70000,"si","no")</f>
        <v>no</v>
      </c>
    </row>
    <row r="30" spans="1:12">
      <c r="A30">
        <v>100029</v>
      </c>
      <c r="B30">
        <v>26</v>
      </c>
      <c r="C30" s="2">
        <v>32000</v>
      </c>
      <c r="D30" t="s">
        <v>21</v>
      </c>
      <c r="E30" s="2">
        <v>40000</v>
      </c>
      <c r="F30" s="2">
        <v>0</v>
      </c>
      <c r="G30" t="s">
        <v>23</v>
      </c>
      <c r="H30" t="s">
        <v>17</v>
      </c>
      <c r="I30" t="s">
        <v>18</v>
      </c>
      <c r="J30" s="3">
        <v>46145</v>
      </c>
      <c r="K30" s="4">
        <f>ClientiBanca[[#This Row],[Prestito]]+ClientiBanca[[#This Row],[Mutuo]]</f>
        <v>40000</v>
      </c>
      <c r="L30" t="str">
        <f>IF(ClientiBanca[[#This Row],[Reddito annuo]]&gt;=70000,"si","no")</f>
        <v>no</v>
      </c>
    </row>
    <row r="31" spans="1:12">
      <c r="A31">
        <v>100030</v>
      </c>
      <c r="B31">
        <v>54</v>
      </c>
      <c r="C31" s="2">
        <v>75900</v>
      </c>
      <c r="D31" t="s">
        <v>12</v>
      </c>
      <c r="E31" s="2">
        <v>0</v>
      </c>
      <c r="F31" s="2">
        <v>0</v>
      </c>
      <c r="G31" t="s">
        <v>27</v>
      </c>
      <c r="H31" t="s">
        <v>17</v>
      </c>
      <c r="I31" t="s">
        <v>18</v>
      </c>
      <c r="J31" s="3">
        <v>45859</v>
      </c>
      <c r="K31" s="4">
        <f>ClientiBanca[[#This Row],[Prestito]]+ClientiBanca[[#This Row],[Mutuo]]</f>
        <v>0</v>
      </c>
      <c r="L31" t="str">
        <f>IF(ClientiBanca[[#This Row],[Reddito annuo]]&gt;=70000,"si","no")</f>
        <v>si</v>
      </c>
    </row>
    <row r="32" spans="1:12">
      <c r="A32">
        <v>100031</v>
      </c>
      <c r="B32">
        <v>39</v>
      </c>
      <c r="C32" s="2">
        <v>104100</v>
      </c>
      <c r="D32" t="s">
        <v>21</v>
      </c>
      <c r="E32" s="2">
        <v>0</v>
      </c>
      <c r="F32" s="2">
        <v>320000</v>
      </c>
      <c r="G32" t="s">
        <v>24</v>
      </c>
      <c r="H32" t="s">
        <v>20</v>
      </c>
      <c r="I32" t="s">
        <v>18</v>
      </c>
      <c r="J32" s="3">
        <v>45911</v>
      </c>
      <c r="K32" s="4">
        <f>ClientiBanca[[#This Row],[Prestito]]+ClientiBanca[[#This Row],[Mutuo]]</f>
        <v>320000</v>
      </c>
      <c r="L32" t="str">
        <f>IF(ClientiBanca[[#This Row],[Reddito annuo]]&gt;=70000,"si","no")</f>
        <v>si</v>
      </c>
    </row>
    <row r="33" spans="1:12">
      <c r="A33">
        <v>100032</v>
      </c>
      <c r="B33">
        <v>33</v>
      </c>
      <c r="C33" s="2">
        <v>77200</v>
      </c>
      <c r="D33" t="s">
        <v>21</v>
      </c>
      <c r="E33" s="2">
        <v>21700</v>
      </c>
      <c r="F33" s="2">
        <v>0</v>
      </c>
      <c r="G33" t="s">
        <v>27</v>
      </c>
      <c r="H33" t="s">
        <v>20</v>
      </c>
      <c r="I33" t="s">
        <v>18</v>
      </c>
      <c r="J33" s="3">
        <v>45575</v>
      </c>
      <c r="K33" s="4">
        <f>ClientiBanca[[#This Row],[Prestito]]+ClientiBanca[[#This Row],[Mutuo]]</f>
        <v>21700</v>
      </c>
      <c r="L33" t="str">
        <f>IF(ClientiBanca[[#This Row],[Reddito annuo]]&gt;=70000,"si","no")</f>
        <v>si</v>
      </c>
    </row>
    <row r="34" spans="1:12">
      <c r="A34">
        <v>100033</v>
      </c>
      <c r="B34">
        <v>22</v>
      </c>
      <c r="C34" s="2">
        <v>21100</v>
      </c>
      <c r="D34" t="s">
        <v>12</v>
      </c>
      <c r="E34" s="2">
        <v>21600</v>
      </c>
      <c r="F34" s="2">
        <v>0</v>
      </c>
      <c r="G34" t="s">
        <v>16</v>
      </c>
      <c r="H34" t="s">
        <v>14</v>
      </c>
      <c r="I34" t="s">
        <v>18</v>
      </c>
      <c r="J34" s="3">
        <v>46259</v>
      </c>
      <c r="K34" s="4">
        <f>ClientiBanca[[#This Row],[Prestito]]+ClientiBanca[[#This Row],[Mutuo]]</f>
        <v>21600</v>
      </c>
      <c r="L34" t="str">
        <f>IF(ClientiBanca[[#This Row],[Reddito annuo]]&gt;=70000,"si","no")</f>
        <v>no</v>
      </c>
    </row>
    <row r="35" spans="1:12">
      <c r="A35">
        <v>100034</v>
      </c>
      <c r="B35">
        <v>64</v>
      </c>
      <c r="C35" s="2">
        <v>99200</v>
      </c>
      <c r="D35" t="s">
        <v>12</v>
      </c>
      <c r="E35" s="2">
        <v>0</v>
      </c>
      <c r="F35" s="2">
        <v>0</v>
      </c>
      <c r="G35" t="s">
        <v>24</v>
      </c>
      <c r="H35" t="s">
        <v>20</v>
      </c>
      <c r="I35" t="s">
        <v>18</v>
      </c>
      <c r="J35" s="3">
        <v>45334</v>
      </c>
      <c r="K35" s="4">
        <f>ClientiBanca[[#This Row],[Prestito]]+ClientiBanca[[#This Row],[Mutuo]]</f>
        <v>0</v>
      </c>
      <c r="L35" t="str">
        <f>IF(ClientiBanca[[#This Row],[Reddito annuo]]&gt;=70000,"si","no")</f>
        <v>si</v>
      </c>
    </row>
    <row r="36" spans="1:12">
      <c r="A36">
        <v>100035</v>
      </c>
      <c r="B36">
        <v>39</v>
      </c>
      <c r="C36" s="2">
        <v>50900</v>
      </c>
      <c r="D36" t="s">
        <v>22</v>
      </c>
      <c r="E36" s="2">
        <v>0</v>
      </c>
      <c r="F36" s="2">
        <v>180000</v>
      </c>
      <c r="G36" t="s">
        <v>23</v>
      </c>
      <c r="H36" t="s">
        <v>17</v>
      </c>
      <c r="I36" t="s">
        <v>18</v>
      </c>
      <c r="J36" s="3">
        <v>45654</v>
      </c>
      <c r="K36" s="4">
        <f>ClientiBanca[[#This Row],[Prestito]]+ClientiBanca[[#This Row],[Mutuo]]</f>
        <v>180000</v>
      </c>
      <c r="L36" t="str">
        <f>IF(ClientiBanca[[#This Row],[Reddito annuo]]&gt;=70000,"si","no")</f>
        <v>no</v>
      </c>
    </row>
    <row r="37" spans="1:12">
      <c r="A37">
        <v>100036</v>
      </c>
      <c r="B37">
        <v>69</v>
      </c>
      <c r="C37" s="2">
        <v>64100</v>
      </c>
      <c r="D37" t="s">
        <v>22</v>
      </c>
      <c r="E37" s="2">
        <v>0</v>
      </c>
      <c r="F37" s="2">
        <v>0</v>
      </c>
      <c r="G37" t="s">
        <v>23</v>
      </c>
      <c r="H37" t="s">
        <v>14</v>
      </c>
      <c r="I37" t="s">
        <v>18</v>
      </c>
      <c r="J37" s="3">
        <v>46111</v>
      </c>
      <c r="K37" s="4">
        <f>ClientiBanca[[#This Row],[Prestito]]+ClientiBanca[[#This Row],[Mutuo]]</f>
        <v>0</v>
      </c>
      <c r="L37" t="str">
        <f>IF(ClientiBanca[[#This Row],[Reddito annuo]]&gt;=70000,"si","no")</f>
        <v>no</v>
      </c>
    </row>
    <row r="38" spans="1:12">
      <c r="A38">
        <v>100037</v>
      </c>
      <c r="B38">
        <v>71</v>
      </c>
      <c r="C38" s="2">
        <v>39800</v>
      </c>
      <c r="D38" t="s">
        <v>21</v>
      </c>
      <c r="E38" s="2">
        <v>49800</v>
      </c>
      <c r="F38" s="2">
        <v>0</v>
      </c>
      <c r="G38" t="s">
        <v>16</v>
      </c>
      <c r="H38" t="s">
        <v>14</v>
      </c>
      <c r="I38" t="s">
        <v>18</v>
      </c>
      <c r="J38" s="3">
        <v>46122</v>
      </c>
      <c r="K38" s="4">
        <f>ClientiBanca[[#This Row],[Prestito]]+ClientiBanca[[#This Row],[Mutuo]]</f>
        <v>49800</v>
      </c>
      <c r="L38" t="str">
        <f>IF(ClientiBanca[[#This Row],[Reddito annuo]]&gt;=70000,"si","no")</f>
        <v>no</v>
      </c>
    </row>
    <row r="39" spans="1:12">
      <c r="A39">
        <v>100038</v>
      </c>
      <c r="B39">
        <v>35</v>
      </c>
      <c r="C39" s="2">
        <v>45000</v>
      </c>
      <c r="D39" t="s">
        <v>12</v>
      </c>
      <c r="E39" s="2">
        <v>56200</v>
      </c>
      <c r="F39" s="2">
        <v>0</v>
      </c>
      <c r="G39" t="s">
        <v>23</v>
      </c>
      <c r="H39" t="s">
        <v>20</v>
      </c>
      <c r="I39" t="s">
        <v>18</v>
      </c>
      <c r="J39" s="3">
        <v>45650</v>
      </c>
      <c r="K39" s="4">
        <f>ClientiBanca[[#This Row],[Prestito]]+ClientiBanca[[#This Row],[Mutuo]]</f>
        <v>56200</v>
      </c>
      <c r="L39" t="str">
        <f>IF(ClientiBanca[[#This Row],[Reddito annuo]]&gt;=70000,"si","no")</f>
        <v>no</v>
      </c>
    </row>
    <row r="40" spans="1:12">
      <c r="A40">
        <v>100039</v>
      </c>
      <c r="B40">
        <v>39</v>
      </c>
      <c r="C40" s="2">
        <v>87900</v>
      </c>
      <c r="D40" t="s">
        <v>22</v>
      </c>
      <c r="E40" s="2">
        <v>43600</v>
      </c>
      <c r="F40" s="2">
        <v>0</v>
      </c>
      <c r="G40" t="s">
        <v>26</v>
      </c>
      <c r="H40" t="s">
        <v>14</v>
      </c>
      <c r="I40" t="s">
        <v>18</v>
      </c>
      <c r="J40" s="3">
        <v>45577</v>
      </c>
      <c r="K40" s="4">
        <f>ClientiBanca[[#This Row],[Prestito]]+ClientiBanca[[#This Row],[Mutuo]]</f>
        <v>43600</v>
      </c>
      <c r="L40" t="str">
        <f>IF(ClientiBanca[[#This Row],[Reddito annuo]]&gt;=70000,"si","no")</f>
        <v>si</v>
      </c>
    </row>
    <row r="41" spans="1:12">
      <c r="A41">
        <v>100040</v>
      </c>
      <c r="B41">
        <v>42</v>
      </c>
      <c r="C41" s="2">
        <v>70600</v>
      </c>
      <c r="D41" t="s">
        <v>21</v>
      </c>
      <c r="E41" s="2">
        <v>0</v>
      </c>
      <c r="F41" s="2">
        <v>0</v>
      </c>
      <c r="G41" t="s">
        <v>27</v>
      </c>
      <c r="H41" t="s">
        <v>20</v>
      </c>
      <c r="I41" t="s">
        <v>18</v>
      </c>
      <c r="J41" s="3">
        <v>45559</v>
      </c>
      <c r="K41" s="4">
        <f>ClientiBanca[[#This Row],[Prestito]]+ClientiBanca[[#This Row],[Mutuo]]</f>
        <v>0</v>
      </c>
      <c r="L41" t="str">
        <f>IF(ClientiBanca[[#This Row],[Reddito annuo]]&gt;=70000,"si","no")</f>
        <v>si</v>
      </c>
    </row>
    <row r="42" spans="1:12">
      <c r="A42">
        <v>100041</v>
      </c>
      <c r="B42">
        <v>31</v>
      </c>
      <c r="C42" s="2">
        <v>65700</v>
      </c>
      <c r="D42" t="s">
        <v>22</v>
      </c>
      <c r="E42" s="2">
        <v>39400</v>
      </c>
      <c r="F42" s="2">
        <v>0</v>
      </c>
      <c r="G42" t="s">
        <v>19</v>
      </c>
      <c r="H42" t="s">
        <v>17</v>
      </c>
      <c r="I42" t="s">
        <v>18</v>
      </c>
      <c r="J42" s="3">
        <v>45410</v>
      </c>
      <c r="K42" s="4">
        <f>ClientiBanca[[#This Row],[Prestito]]+ClientiBanca[[#This Row],[Mutuo]]</f>
        <v>39400</v>
      </c>
      <c r="L42" t="str">
        <f>IF(ClientiBanca[[#This Row],[Reddito annuo]]&gt;=70000,"si","no")</f>
        <v>no</v>
      </c>
    </row>
    <row r="43" spans="1:12">
      <c r="A43">
        <v>100042</v>
      </c>
      <c r="B43">
        <v>44</v>
      </c>
      <c r="C43" s="2">
        <v>98500</v>
      </c>
      <c r="D43" t="s">
        <v>21</v>
      </c>
      <c r="E43" s="2">
        <v>30200</v>
      </c>
      <c r="F43" s="2">
        <v>0</v>
      </c>
      <c r="G43" t="s">
        <v>23</v>
      </c>
      <c r="H43" t="s">
        <v>20</v>
      </c>
      <c r="I43" t="s">
        <v>18</v>
      </c>
      <c r="J43" s="3">
        <v>45972</v>
      </c>
      <c r="K43" s="4">
        <f>ClientiBanca[[#This Row],[Prestito]]+ClientiBanca[[#This Row],[Mutuo]]</f>
        <v>30200</v>
      </c>
      <c r="L43" t="str">
        <f>IF(ClientiBanca[[#This Row],[Reddito annuo]]&gt;=70000,"si","no")</f>
        <v>si</v>
      </c>
    </row>
    <row r="44" spans="1:12">
      <c r="A44">
        <v>100043</v>
      </c>
      <c r="B44">
        <v>41</v>
      </c>
      <c r="C44" s="2">
        <v>69100</v>
      </c>
      <c r="D44" t="s">
        <v>12</v>
      </c>
      <c r="E44" s="2">
        <v>64800</v>
      </c>
      <c r="F44" s="2">
        <v>0</v>
      </c>
      <c r="G44" t="s">
        <v>16</v>
      </c>
      <c r="H44" t="s">
        <v>17</v>
      </c>
      <c r="I44" t="s">
        <v>18</v>
      </c>
      <c r="J44" s="3">
        <v>45859</v>
      </c>
      <c r="K44" s="4">
        <f>ClientiBanca[[#This Row],[Prestito]]+ClientiBanca[[#This Row],[Mutuo]]</f>
        <v>64800</v>
      </c>
      <c r="L44" t="str">
        <f>IF(ClientiBanca[[#This Row],[Reddito annuo]]&gt;=70000,"si","no")</f>
        <v>no</v>
      </c>
    </row>
    <row r="45" spans="1:12">
      <c r="A45">
        <v>100044</v>
      </c>
      <c r="B45">
        <v>28</v>
      </c>
      <c r="C45" s="2">
        <v>40700</v>
      </c>
      <c r="D45" t="s">
        <v>12</v>
      </c>
      <c r="E45" s="2">
        <v>50100</v>
      </c>
      <c r="F45" s="2">
        <v>223000</v>
      </c>
      <c r="G45" t="s">
        <v>16</v>
      </c>
      <c r="H45" t="s">
        <v>14</v>
      </c>
      <c r="I45" t="s">
        <v>15</v>
      </c>
      <c r="J45" s="3">
        <v>45585</v>
      </c>
      <c r="K45" s="4">
        <f>ClientiBanca[[#This Row],[Prestito]]+ClientiBanca[[#This Row],[Mutuo]]</f>
        <v>273100</v>
      </c>
      <c r="L45" t="str">
        <f>IF(ClientiBanca[[#This Row],[Reddito annuo]]&gt;=70000,"si","no")</f>
        <v>no</v>
      </c>
    </row>
    <row r="46" spans="1:12">
      <c r="A46">
        <v>100045</v>
      </c>
      <c r="B46">
        <v>33</v>
      </c>
      <c r="C46" s="2">
        <v>55000</v>
      </c>
      <c r="D46" t="s">
        <v>12</v>
      </c>
      <c r="E46" s="2">
        <v>31800</v>
      </c>
      <c r="F46" s="2">
        <v>0</v>
      </c>
      <c r="G46" t="s">
        <v>23</v>
      </c>
      <c r="H46" t="s">
        <v>17</v>
      </c>
      <c r="I46" t="s">
        <v>18</v>
      </c>
      <c r="J46" s="3">
        <v>46107</v>
      </c>
      <c r="K46" s="4">
        <f>ClientiBanca[[#This Row],[Prestito]]+ClientiBanca[[#This Row],[Mutuo]]</f>
        <v>31800</v>
      </c>
      <c r="L46" t="str">
        <f>IF(ClientiBanca[[#This Row],[Reddito annuo]]&gt;=70000,"si","no")</f>
        <v>no</v>
      </c>
    </row>
    <row r="47" spans="1:12">
      <c r="A47">
        <v>100046</v>
      </c>
      <c r="B47">
        <v>67</v>
      </c>
      <c r="C47" s="2">
        <v>39400</v>
      </c>
      <c r="D47" t="s">
        <v>21</v>
      </c>
      <c r="E47" s="2">
        <v>41800</v>
      </c>
      <c r="F47" s="2">
        <v>0</v>
      </c>
      <c r="G47" t="s">
        <v>23</v>
      </c>
      <c r="H47" t="s">
        <v>14</v>
      </c>
      <c r="I47" t="s">
        <v>18</v>
      </c>
      <c r="J47" s="3">
        <v>45495</v>
      </c>
      <c r="K47" s="4">
        <f>ClientiBanca[[#This Row],[Prestito]]+ClientiBanca[[#This Row],[Mutuo]]</f>
        <v>41800</v>
      </c>
      <c r="L47" t="str">
        <f>IF(ClientiBanca[[#This Row],[Reddito annuo]]&gt;=70000,"si","no")</f>
        <v>no</v>
      </c>
    </row>
    <row r="48" spans="1:12">
      <c r="A48">
        <v>100047</v>
      </c>
      <c r="B48">
        <v>29</v>
      </c>
      <c r="C48" s="2">
        <v>26100</v>
      </c>
      <c r="D48" t="s">
        <v>21</v>
      </c>
      <c r="E48" s="2">
        <v>32600</v>
      </c>
      <c r="F48" s="2">
        <v>190000</v>
      </c>
      <c r="G48" t="s">
        <v>23</v>
      </c>
      <c r="H48" t="s">
        <v>14</v>
      </c>
      <c r="I48" t="s">
        <v>18</v>
      </c>
      <c r="J48" s="3">
        <v>45701</v>
      </c>
      <c r="K48" s="4">
        <f>ClientiBanca[[#This Row],[Prestito]]+ClientiBanca[[#This Row],[Mutuo]]</f>
        <v>222600</v>
      </c>
      <c r="L48" t="str">
        <f>IF(ClientiBanca[[#This Row],[Reddito annuo]]&gt;=70000,"si","no")</f>
        <v>no</v>
      </c>
    </row>
    <row r="49" spans="1:12">
      <c r="A49">
        <v>100048</v>
      </c>
      <c r="B49">
        <v>35</v>
      </c>
      <c r="C49" s="2">
        <v>37900</v>
      </c>
      <c r="D49" t="s">
        <v>12</v>
      </c>
      <c r="E49" s="2">
        <v>0</v>
      </c>
      <c r="F49" s="2">
        <v>0</v>
      </c>
      <c r="G49" t="s">
        <v>13</v>
      </c>
      <c r="H49" t="s">
        <v>14</v>
      </c>
      <c r="I49" t="s">
        <v>18</v>
      </c>
      <c r="J49" s="3">
        <v>45516</v>
      </c>
      <c r="K49" s="4">
        <f>ClientiBanca[[#This Row],[Prestito]]+ClientiBanca[[#This Row],[Mutuo]]</f>
        <v>0</v>
      </c>
      <c r="L49" t="str">
        <f>IF(ClientiBanca[[#This Row],[Reddito annuo]]&gt;=70000,"si","no")</f>
        <v>no</v>
      </c>
    </row>
    <row r="50" spans="1:12">
      <c r="A50">
        <v>100049</v>
      </c>
      <c r="B50">
        <v>31</v>
      </c>
      <c r="C50" s="2">
        <v>86100</v>
      </c>
      <c r="D50" t="s">
        <v>12</v>
      </c>
      <c r="E50" s="2">
        <v>37000</v>
      </c>
      <c r="F50" s="2">
        <v>0</v>
      </c>
      <c r="G50" t="s">
        <v>13</v>
      </c>
      <c r="H50" t="s">
        <v>20</v>
      </c>
      <c r="I50" t="s">
        <v>18</v>
      </c>
      <c r="J50" s="3">
        <v>45975</v>
      </c>
      <c r="K50" s="4">
        <f>ClientiBanca[[#This Row],[Prestito]]+ClientiBanca[[#This Row],[Mutuo]]</f>
        <v>37000</v>
      </c>
      <c r="L50" t="str">
        <f>IF(ClientiBanca[[#This Row],[Reddito annuo]]&gt;=70000,"si","no")</f>
        <v>si</v>
      </c>
    </row>
    <row r="51" spans="1:12">
      <c r="A51">
        <v>100050</v>
      </c>
      <c r="B51">
        <v>53</v>
      </c>
      <c r="C51" s="2">
        <v>119100</v>
      </c>
      <c r="D51" t="s">
        <v>12</v>
      </c>
      <c r="E51" s="2">
        <v>0</v>
      </c>
      <c r="F51" s="2">
        <v>0</v>
      </c>
      <c r="G51" t="s">
        <v>16</v>
      </c>
      <c r="H51" t="s">
        <v>14</v>
      </c>
      <c r="I51" t="s">
        <v>18</v>
      </c>
      <c r="J51" s="3">
        <v>45853</v>
      </c>
      <c r="K51" s="4">
        <f>ClientiBanca[[#This Row],[Prestito]]+ClientiBanca[[#This Row],[Mutuo]]</f>
        <v>0</v>
      </c>
      <c r="L51" t="str">
        <f>IF(ClientiBanca[[#This Row],[Reddito annuo]]&gt;=70000,"si","no")</f>
        <v>si</v>
      </c>
    </row>
    <row r="52" spans="1:12">
      <c r="A52">
        <v>100051</v>
      </c>
      <c r="B52">
        <v>48</v>
      </c>
      <c r="C52" s="2">
        <v>98200</v>
      </c>
      <c r="D52" t="s">
        <v>12</v>
      </c>
      <c r="E52" s="2">
        <v>21500</v>
      </c>
      <c r="F52" s="2">
        <v>239000</v>
      </c>
      <c r="G52" t="s">
        <v>28</v>
      </c>
      <c r="H52" t="s">
        <v>17</v>
      </c>
      <c r="I52" t="s">
        <v>18</v>
      </c>
      <c r="J52" s="3">
        <v>45371</v>
      </c>
      <c r="K52" s="4">
        <f>ClientiBanca[[#This Row],[Prestito]]+ClientiBanca[[#This Row],[Mutuo]]</f>
        <v>260500</v>
      </c>
      <c r="L52" t="str">
        <f>IF(ClientiBanca[[#This Row],[Reddito annuo]]&gt;=70000,"si","no")</f>
        <v>si</v>
      </c>
    </row>
    <row r="53" spans="1:12">
      <c r="A53">
        <v>100052</v>
      </c>
      <c r="B53">
        <v>65</v>
      </c>
      <c r="C53" s="2">
        <v>46100</v>
      </c>
      <c r="D53" t="s">
        <v>21</v>
      </c>
      <c r="E53" s="2">
        <v>36000</v>
      </c>
      <c r="F53" s="2">
        <v>156000</v>
      </c>
      <c r="G53" t="s">
        <v>24</v>
      </c>
      <c r="H53" t="s">
        <v>17</v>
      </c>
      <c r="I53" t="s">
        <v>18</v>
      </c>
      <c r="J53" s="3">
        <v>45709</v>
      </c>
      <c r="K53" s="4">
        <f>ClientiBanca[[#This Row],[Prestito]]+ClientiBanca[[#This Row],[Mutuo]]</f>
        <v>192000</v>
      </c>
      <c r="L53" t="str">
        <f>IF(ClientiBanca[[#This Row],[Reddito annuo]]&gt;=70000,"si","no")</f>
        <v>no</v>
      </c>
    </row>
    <row r="54" spans="1:12">
      <c r="A54">
        <v>100053</v>
      </c>
      <c r="B54">
        <v>41</v>
      </c>
      <c r="C54" s="2">
        <v>62900</v>
      </c>
      <c r="D54" t="s">
        <v>21</v>
      </c>
      <c r="E54" s="2">
        <v>29400</v>
      </c>
      <c r="F54" s="2">
        <v>0</v>
      </c>
      <c r="G54" t="s">
        <v>27</v>
      </c>
      <c r="H54" t="s">
        <v>14</v>
      </c>
      <c r="I54" t="s">
        <v>18</v>
      </c>
      <c r="J54" s="3">
        <v>45681</v>
      </c>
      <c r="K54" s="4">
        <f>ClientiBanca[[#This Row],[Prestito]]+ClientiBanca[[#This Row],[Mutuo]]</f>
        <v>29400</v>
      </c>
      <c r="L54" t="str">
        <f>IF(ClientiBanca[[#This Row],[Reddito annuo]]&gt;=70000,"si","no")</f>
        <v>no</v>
      </c>
    </row>
    <row r="55" spans="1:12">
      <c r="A55">
        <v>100054</v>
      </c>
      <c r="B55">
        <v>50</v>
      </c>
      <c r="C55" s="2">
        <v>22000</v>
      </c>
      <c r="D55" t="s">
        <v>21</v>
      </c>
      <c r="E55" s="2">
        <v>0</v>
      </c>
      <c r="F55" s="2">
        <v>0</v>
      </c>
      <c r="G55" t="s">
        <v>16</v>
      </c>
      <c r="H55" t="s">
        <v>14</v>
      </c>
      <c r="I55" t="s">
        <v>18</v>
      </c>
      <c r="J55" s="3">
        <v>46044</v>
      </c>
      <c r="K55" s="4">
        <f>ClientiBanca[[#This Row],[Prestito]]+ClientiBanca[[#This Row],[Mutuo]]</f>
        <v>0</v>
      </c>
      <c r="L55" t="str">
        <f>IF(ClientiBanca[[#This Row],[Reddito annuo]]&gt;=70000,"si","no")</f>
        <v>no</v>
      </c>
    </row>
    <row r="56" spans="1:12">
      <c r="A56">
        <v>100055</v>
      </c>
      <c r="B56">
        <v>54</v>
      </c>
      <c r="C56" s="2">
        <v>85600</v>
      </c>
      <c r="D56" t="s">
        <v>22</v>
      </c>
      <c r="E56" s="2">
        <v>22100</v>
      </c>
      <c r="F56" s="2">
        <v>0</v>
      </c>
      <c r="G56" t="s">
        <v>16</v>
      </c>
      <c r="H56" t="s">
        <v>20</v>
      </c>
      <c r="I56" t="s">
        <v>18</v>
      </c>
      <c r="J56" s="3">
        <v>45706</v>
      </c>
      <c r="K56" s="4">
        <f>ClientiBanca[[#This Row],[Prestito]]+ClientiBanca[[#This Row],[Mutuo]]</f>
        <v>22100</v>
      </c>
      <c r="L56" t="str">
        <f>IF(ClientiBanca[[#This Row],[Reddito annuo]]&gt;=70000,"si","no")</f>
        <v>si</v>
      </c>
    </row>
    <row r="57" spans="1:12">
      <c r="A57">
        <v>100056</v>
      </c>
      <c r="B57">
        <v>66</v>
      </c>
      <c r="C57" s="2">
        <v>39100</v>
      </c>
      <c r="D57" t="s">
        <v>21</v>
      </c>
      <c r="E57" s="2">
        <v>41100</v>
      </c>
      <c r="F57" s="2">
        <v>186000</v>
      </c>
      <c r="G57" t="s">
        <v>27</v>
      </c>
      <c r="H57" t="s">
        <v>20</v>
      </c>
      <c r="I57" t="s">
        <v>18</v>
      </c>
      <c r="J57" s="3">
        <v>46179</v>
      </c>
      <c r="K57" s="4">
        <f>ClientiBanca[[#This Row],[Prestito]]+ClientiBanca[[#This Row],[Mutuo]]</f>
        <v>227100</v>
      </c>
      <c r="L57" t="str">
        <f>IF(ClientiBanca[[#This Row],[Reddito annuo]]&gt;=70000,"si","no")</f>
        <v>no</v>
      </c>
    </row>
    <row r="58" spans="1:12">
      <c r="A58">
        <v>100057</v>
      </c>
      <c r="B58">
        <v>49</v>
      </c>
      <c r="C58" s="2">
        <v>40100</v>
      </c>
      <c r="D58" t="s">
        <v>21</v>
      </c>
      <c r="E58" s="2">
        <v>31200</v>
      </c>
      <c r="F58" s="2">
        <v>0</v>
      </c>
      <c r="G58" t="s">
        <v>16</v>
      </c>
      <c r="H58" t="s">
        <v>17</v>
      </c>
      <c r="I58" t="s">
        <v>18</v>
      </c>
      <c r="J58" s="3">
        <v>45723</v>
      </c>
      <c r="K58" s="4">
        <f>ClientiBanca[[#This Row],[Prestito]]+ClientiBanca[[#This Row],[Mutuo]]</f>
        <v>31200</v>
      </c>
      <c r="L58" t="str">
        <f>IF(ClientiBanca[[#This Row],[Reddito annuo]]&gt;=70000,"si","no")</f>
        <v>no</v>
      </c>
    </row>
    <row r="59" spans="1:12">
      <c r="A59">
        <v>100058</v>
      </c>
      <c r="B59">
        <v>36</v>
      </c>
      <c r="C59" s="2">
        <v>89700</v>
      </c>
      <c r="D59" t="s">
        <v>21</v>
      </c>
      <c r="E59" s="2">
        <v>0</v>
      </c>
      <c r="F59" s="2">
        <v>354000</v>
      </c>
      <c r="G59" t="s">
        <v>23</v>
      </c>
      <c r="H59" t="s">
        <v>17</v>
      </c>
      <c r="I59" t="s">
        <v>18</v>
      </c>
      <c r="J59" s="3">
        <v>46091</v>
      </c>
      <c r="K59" s="4">
        <f>ClientiBanca[[#This Row],[Prestito]]+ClientiBanca[[#This Row],[Mutuo]]</f>
        <v>354000</v>
      </c>
      <c r="L59" t="str">
        <f>IF(ClientiBanca[[#This Row],[Reddito annuo]]&gt;=70000,"si","no")</f>
        <v>si</v>
      </c>
    </row>
    <row r="60" spans="1:12">
      <c r="A60">
        <v>100059</v>
      </c>
      <c r="B60">
        <v>61</v>
      </c>
      <c r="C60" s="2">
        <v>28400</v>
      </c>
      <c r="D60" t="s">
        <v>21</v>
      </c>
      <c r="E60" s="2">
        <v>35500</v>
      </c>
      <c r="F60" s="2">
        <v>0</v>
      </c>
      <c r="G60" t="s">
        <v>23</v>
      </c>
      <c r="H60" t="s">
        <v>20</v>
      </c>
      <c r="I60" t="s">
        <v>18</v>
      </c>
      <c r="J60" s="3">
        <v>45869</v>
      </c>
      <c r="K60" s="4">
        <f>ClientiBanca[[#This Row],[Prestito]]+ClientiBanca[[#This Row],[Mutuo]]</f>
        <v>35500</v>
      </c>
      <c r="L60" t="str">
        <f>IF(ClientiBanca[[#This Row],[Reddito annuo]]&gt;=70000,"si","no")</f>
        <v>no</v>
      </c>
    </row>
    <row r="61" spans="1:12">
      <c r="A61">
        <v>100060</v>
      </c>
      <c r="B61">
        <v>33</v>
      </c>
      <c r="C61" s="2">
        <v>57400</v>
      </c>
      <c r="D61" t="s">
        <v>21</v>
      </c>
      <c r="E61" s="2">
        <v>40000</v>
      </c>
      <c r="F61" s="2">
        <v>0</v>
      </c>
      <c r="G61" t="s">
        <v>13</v>
      </c>
      <c r="H61" t="s">
        <v>14</v>
      </c>
      <c r="I61" t="s">
        <v>18</v>
      </c>
      <c r="J61" s="3">
        <v>45610</v>
      </c>
      <c r="K61" s="4">
        <f>ClientiBanca[[#This Row],[Prestito]]+ClientiBanca[[#This Row],[Mutuo]]</f>
        <v>40000</v>
      </c>
      <c r="L61" t="str">
        <f>IF(ClientiBanca[[#This Row],[Reddito annuo]]&gt;=70000,"si","no")</f>
        <v>no</v>
      </c>
    </row>
    <row r="62" spans="1:12">
      <c r="A62">
        <v>100061</v>
      </c>
      <c r="B62">
        <v>26</v>
      </c>
      <c r="C62" s="2">
        <v>65600</v>
      </c>
      <c r="D62" t="s">
        <v>22</v>
      </c>
      <c r="E62" s="2">
        <v>65900</v>
      </c>
      <c r="F62" s="2">
        <v>0</v>
      </c>
      <c r="G62" t="s">
        <v>23</v>
      </c>
      <c r="H62" t="s">
        <v>20</v>
      </c>
      <c r="I62" t="s">
        <v>18</v>
      </c>
      <c r="J62" s="3">
        <v>45934</v>
      </c>
      <c r="K62" s="4">
        <f>ClientiBanca[[#This Row],[Prestito]]+ClientiBanca[[#This Row],[Mutuo]]</f>
        <v>65900</v>
      </c>
      <c r="L62" t="str">
        <f>IF(ClientiBanca[[#This Row],[Reddito annuo]]&gt;=70000,"si","no")</f>
        <v>no</v>
      </c>
    </row>
    <row r="63" spans="1:12">
      <c r="A63">
        <v>100062</v>
      </c>
      <c r="B63">
        <v>35</v>
      </c>
      <c r="C63" s="2">
        <v>34600</v>
      </c>
      <c r="D63" t="s">
        <v>12</v>
      </c>
      <c r="E63" s="2">
        <v>0</v>
      </c>
      <c r="F63" s="2">
        <v>0</v>
      </c>
      <c r="G63" t="s">
        <v>13</v>
      </c>
      <c r="H63" t="s">
        <v>14</v>
      </c>
      <c r="I63" t="s">
        <v>18</v>
      </c>
      <c r="J63" s="3">
        <v>45871</v>
      </c>
      <c r="K63" s="4">
        <f>ClientiBanca[[#This Row],[Prestito]]+ClientiBanca[[#This Row],[Mutuo]]</f>
        <v>0</v>
      </c>
      <c r="L63" t="str">
        <f>IF(ClientiBanca[[#This Row],[Reddito annuo]]&gt;=70000,"si","no")</f>
        <v>no</v>
      </c>
    </row>
    <row r="64" spans="1:12">
      <c r="A64">
        <v>100063</v>
      </c>
      <c r="B64">
        <v>70</v>
      </c>
      <c r="C64" s="2">
        <v>28500</v>
      </c>
      <c r="D64" t="s">
        <v>12</v>
      </c>
      <c r="E64" s="2">
        <v>11900</v>
      </c>
      <c r="F64" s="2">
        <v>0</v>
      </c>
      <c r="G64" t="s">
        <v>27</v>
      </c>
      <c r="H64" t="s">
        <v>14</v>
      </c>
      <c r="I64" t="s">
        <v>18</v>
      </c>
      <c r="J64" s="3">
        <v>45400</v>
      </c>
      <c r="K64" s="4">
        <f>ClientiBanca[[#This Row],[Prestito]]+ClientiBanca[[#This Row],[Mutuo]]</f>
        <v>11900</v>
      </c>
      <c r="L64" t="str">
        <f>IF(ClientiBanca[[#This Row],[Reddito annuo]]&gt;=70000,"si","no")</f>
        <v>no</v>
      </c>
    </row>
    <row r="65" spans="1:12">
      <c r="A65">
        <v>100064</v>
      </c>
      <c r="B65">
        <v>47</v>
      </c>
      <c r="C65" s="2">
        <v>110300</v>
      </c>
      <c r="D65" t="s">
        <v>12</v>
      </c>
      <c r="E65" s="2">
        <v>0</v>
      </c>
      <c r="F65" s="2">
        <v>0</v>
      </c>
      <c r="G65" t="s">
        <v>16</v>
      </c>
      <c r="H65" t="s">
        <v>20</v>
      </c>
      <c r="I65" t="s">
        <v>18</v>
      </c>
      <c r="J65" s="3">
        <v>45826</v>
      </c>
      <c r="K65" s="4">
        <f>ClientiBanca[[#This Row],[Prestito]]+ClientiBanca[[#This Row],[Mutuo]]</f>
        <v>0</v>
      </c>
      <c r="L65" t="str">
        <f>IF(ClientiBanca[[#This Row],[Reddito annuo]]&gt;=70000,"si","no")</f>
        <v>si</v>
      </c>
    </row>
    <row r="66" spans="1:12">
      <c r="A66">
        <v>100065</v>
      </c>
      <c r="B66">
        <v>61</v>
      </c>
      <c r="C66" s="2">
        <v>45200</v>
      </c>
      <c r="D66" t="s">
        <v>12</v>
      </c>
      <c r="E66" s="2">
        <v>32800</v>
      </c>
      <c r="F66" s="2">
        <v>0</v>
      </c>
      <c r="G66" t="s">
        <v>26</v>
      </c>
      <c r="H66" t="s">
        <v>17</v>
      </c>
      <c r="I66" t="s">
        <v>18</v>
      </c>
      <c r="J66" s="3">
        <v>46249</v>
      </c>
      <c r="K66" s="4">
        <f>ClientiBanca[[#This Row],[Prestito]]+ClientiBanca[[#This Row],[Mutuo]]</f>
        <v>32800</v>
      </c>
      <c r="L66" t="str">
        <f>IF(ClientiBanca[[#This Row],[Reddito annuo]]&gt;=70000,"si","no")</f>
        <v>no</v>
      </c>
    </row>
    <row r="67" spans="1:12">
      <c r="A67">
        <v>100066</v>
      </c>
      <c r="B67">
        <v>25</v>
      </c>
      <c r="C67" s="2">
        <v>45700</v>
      </c>
      <c r="D67" t="s">
        <v>21</v>
      </c>
      <c r="E67" s="2">
        <v>0</v>
      </c>
      <c r="F67" s="2">
        <v>0</v>
      </c>
      <c r="G67" t="s">
        <v>16</v>
      </c>
      <c r="H67" t="s">
        <v>17</v>
      </c>
      <c r="I67" t="s">
        <v>18</v>
      </c>
      <c r="J67" s="3">
        <v>45798</v>
      </c>
      <c r="K67" s="4">
        <f>ClientiBanca[[#This Row],[Prestito]]+ClientiBanca[[#This Row],[Mutuo]]</f>
        <v>0</v>
      </c>
      <c r="L67" t="str">
        <f>IF(ClientiBanca[[#This Row],[Reddito annuo]]&gt;=70000,"si","no")</f>
        <v>no</v>
      </c>
    </row>
    <row r="68" spans="1:12">
      <c r="A68">
        <v>100067</v>
      </c>
      <c r="B68">
        <v>74</v>
      </c>
      <c r="C68" s="2">
        <v>48400</v>
      </c>
      <c r="D68" t="s">
        <v>21</v>
      </c>
      <c r="E68" s="2">
        <v>21500</v>
      </c>
      <c r="F68" s="2">
        <v>0</v>
      </c>
      <c r="G68" t="s">
        <v>26</v>
      </c>
      <c r="H68" t="s">
        <v>17</v>
      </c>
      <c r="I68" t="s">
        <v>18</v>
      </c>
      <c r="J68" s="3">
        <v>45487</v>
      </c>
      <c r="K68" s="4">
        <f>ClientiBanca[[#This Row],[Prestito]]+ClientiBanca[[#This Row],[Mutuo]]</f>
        <v>21500</v>
      </c>
      <c r="L68" t="str">
        <f>IF(ClientiBanca[[#This Row],[Reddito annuo]]&gt;=70000,"si","no")</f>
        <v>no</v>
      </c>
    </row>
    <row r="69" spans="1:12">
      <c r="A69">
        <v>100068</v>
      </c>
      <c r="B69">
        <v>25</v>
      </c>
      <c r="C69" s="2">
        <v>43500</v>
      </c>
      <c r="D69" t="s">
        <v>21</v>
      </c>
      <c r="E69" s="2">
        <v>20600</v>
      </c>
      <c r="F69" s="2">
        <v>0</v>
      </c>
      <c r="G69" t="s">
        <v>28</v>
      </c>
      <c r="H69" t="s">
        <v>17</v>
      </c>
      <c r="I69" t="s">
        <v>15</v>
      </c>
      <c r="J69" s="3">
        <v>45593</v>
      </c>
      <c r="K69" s="4">
        <f>ClientiBanca[[#This Row],[Prestito]]+ClientiBanca[[#This Row],[Mutuo]]</f>
        <v>20600</v>
      </c>
      <c r="L69" t="str">
        <f>IF(ClientiBanca[[#This Row],[Reddito annuo]]&gt;=70000,"si","no")</f>
        <v>no</v>
      </c>
    </row>
    <row r="70" spans="1:12">
      <c r="A70">
        <v>100069</v>
      </c>
      <c r="B70">
        <v>34</v>
      </c>
      <c r="C70" s="2">
        <v>53400</v>
      </c>
      <c r="D70" t="s">
        <v>21</v>
      </c>
      <c r="E70" s="2">
        <v>26800</v>
      </c>
      <c r="F70" s="2">
        <v>0</v>
      </c>
      <c r="G70" t="s">
        <v>19</v>
      </c>
      <c r="H70" t="s">
        <v>17</v>
      </c>
      <c r="I70" t="s">
        <v>18</v>
      </c>
      <c r="J70" s="3">
        <v>45630</v>
      </c>
      <c r="K70" s="4">
        <f>ClientiBanca[[#This Row],[Prestito]]+ClientiBanca[[#This Row],[Mutuo]]</f>
        <v>26800</v>
      </c>
      <c r="L70" t="str">
        <f>IF(ClientiBanca[[#This Row],[Reddito annuo]]&gt;=70000,"si","no")</f>
        <v>no</v>
      </c>
    </row>
    <row r="71" spans="1:12">
      <c r="A71">
        <v>100070</v>
      </c>
      <c r="B71">
        <v>42</v>
      </c>
      <c r="C71" s="2">
        <v>75900</v>
      </c>
      <c r="D71" t="s">
        <v>21</v>
      </c>
      <c r="E71" s="2">
        <v>15000</v>
      </c>
      <c r="F71" s="2">
        <v>129000</v>
      </c>
      <c r="G71" t="s">
        <v>24</v>
      </c>
      <c r="H71" t="s">
        <v>20</v>
      </c>
      <c r="I71" t="s">
        <v>18</v>
      </c>
      <c r="J71" s="3">
        <v>45575</v>
      </c>
      <c r="K71" s="4">
        <f>ClientiBanca[[#This Row],[Prestito]]+ClientiBanca[[#This Row],[Mutuo]]</f>
        <v>144000</v>
      </c>
      <c r="L71" t="str">
        <f>IF(ClientiBanca[[#This Row],[Reddito annuo]]&gt;=70000,"si","no")</f>
        <v>si</v>
      </c>
    </row>
    <row r="72" spans="1:12">
      <c r="A72">
        <v>100071</v>
      </c>
      <c r="B72">
        <v>66</v>
      </c>
      <c r="C72" s="2">
        <v>66400</v>
      </c>
      <c r="D72" t="s">
        <v>12</v>
      </c>
      <c r="E72" s="2">
        <v>78900</v>
      </c>
      <c r="F72" s="2">
        <v>0</v>
      </c>
      <c r="G72" t="s">
        <v>26</v>
      </c>
      <c r="H72" t="s">
        <v>20</v>
      </c>
      <c r="I72" t="s">
        <v>18</v>
      </c>
      <c r="J72" s="3">
        <v>45306</v>
      </c>
      <c r="K72" s="4">
        <f>ClientiBanca[[#This Row],[Prestito]]+ClientiBanca[[#This Row],[Mutuo]]</f>
        <v>78900</v>
      </c>
      <c r="L72" t="str">
        <f>IF(ClientiBanca[[#This Row],[Reddito annuo]]&gt;=70000,"si","no")</f>
        <v>no</v>
      </c>
    </row>
    <row r="73" spans="1:12">
      <c r="A73">
        <v>100072</v>
      </c>
      <c r="B73">
        <v>65</v>
      </c>
      <c r="C73" s="2">
        <v>62200</v>
      </c>
      <c r="D73" t="s">
        <v>21</v>
      </c>
      <c r="E73" s="2">
        <v>0</v>
      </c>
      <c r="F73" s="2">
        <v>0</v>
      </c>
      <c r="G73" t="s">
        <v>24</v>
      </c>
      <c r="H73" t="s">
        <v>17</v>
      </c>
      <c r="I73" t="s">
        <v>18</v>
      </c>
      <c r="J73" s="3">
        <v>46062</v>
      </c>
      <c r="K73" s="4">
        <f>ClientiBanca[[#This Row],[Prestito]]+ClientiBanca[[#This Row],[Mutuo]]</f>
        <v>0</v>
      </c>
      <c r="L73" t="str">
        <f>IF(ClientiBanca[[#This Row],[Reddito annuo]]&gt;=70000,"si","no")</f>
        <v>no</v>
      </c>
    </row>
    <row r="74" spans="1:12">
      <c r="A74">
        <v>100073</v>
      </c>
      <c r="B74">
        <v>51</v>
      </c>
      <c r="C74" s="2">
        <v>34600</v>
      </c>
      <c r="D74" t="s">
        <v>21</v>
      </c>
      <c r="E74" s="2">
        <v>32500</v>
      </c>
      <c r="F74" s="2">
        <v>0</v>
      </c>
      <c r="G74" t="s">
        <v>27</v>
      </c>
      <c r="H74" t="s">
        <v>17</v>
      </c>
      <c r="I74" t="s">
        <v>18</v>
      </c>
      <c r="J74" s="3">
        <v>45408</v>
      </c>
      <c r="K74" s="4">
        <f>ClientiBanca[[#This Row],[Prestito]]+ClientiBanca[[#This Row],[Mutuo]]</f>
        <v>32500</v>
      </c>
      <c r="L74" t="str">
        <f>IF(ClientiBanca[[#This Row],[Reddito annuo]]&gt;=70000,"si","no")</f>
        <v>no</v>
      </c>
    </row>
    <row r="75" spans="1:12">
      <c r="A75">
        <v>100074</v>
      </c>
      <c r="B75">
        <v>72</v>
      </c>
      <c r="C75" s="2">
        <v>31300</v>
      </c>
      <c r="D75" t="s">
        <v>21</v>
      </c>
      <c r="E75" s="2">
        <v>39100</v>
      </c>
      <c r="F75" s="2">
        <v>0</v>
      </c>
      <c r="G75" t="s">
        <v>26</v>
      </c>
      <c r="H75" t="s">
        <v>20</v>
      </c>
      <c r="I75" t="s">
        <v>18</v>
      </c>
      <c r="J75" s="3">
        <v>45863</v>
      </c>
      <c r="K75" s="4">
        <f>ClientiBanca[[#This Row],[Prestito]]+ClientiBanca[[#This Row],[Mutuo]]</f>
        <v>39100</v>
      </c>
      <c r="L75" t="str">
        <f>IF(ClientiBanca[[#This Row],[Reddito annuo]]&gt;=70000,"si","no")</f>
        <v>no</v>
      </c>
    </row>
    <row r="76" spans="1:12">
      <c r="A76">
        <v>100075</v>
      </c>
      <c r="B76">
        <v>68</v>
      </c>
      <c r="C76" s="2">
        <v>54100</v>
      </c>
      <c r="D76" t="s">
        <v>12</v>
      </c>
      <c r="E76" s="2">
        <v>52300</v>
      </c>
      <c r="F76" s="2">
        <v>0</v>
      </c>
      <c r="G76" t="s">
        <v>28</v>
      </c>
      <c r="H76" t="s">
        <v>20</v>
      </c>
      <c r="I76" t="s">
        <v>18</v>
      </c>
      <c r="J76" s="3">
        <v>45731</v>
      </c>
      <c r="K76" s="4">
        <f>ClientiBanca[[#This Row],[Prestito]]+ClientiBanca[[#This Row],[Mutuo]]</f>
        <v>52300</v>
      </c>
      <c r="L76" t="str">
        <f>IF(ClientiBanca[[#This Row],[Reddito annuo]]&gt;=70000,"si","no")</f>
        <v>no</v>
      </c>
    </row>
    <row r="77" spans="1:12">
      <c r="A77">
        <v>100076</v>
      </c>
      <c r="B77">
        <v>39</v>
      </c>
      <c r="C77" s="2">
        <v>64800</v>
      </c>
      <c r="D77" t="s">
        <v>21</v>
      </c>
      <c r="E77" s="2">
        <v>0</v>
      </c>
      <c r="F77" s="2">
        <v>274000</v>
      </c>
      <c r="G77" t="s">
        <v>23</v>
      </c>
      <c r="H77" t="s">
        <v>20</v>
      </c>
      <c r="I77" t="s">
        <v>18</v>
      </c>
      <c r="J77" s="3">
        <v>45375</v>
      </c>
      <c r="K77" s="4">
        <f>ClientiBanca[[#This Row],[Prestito]]+ClientiBanca[[#This Row],[Mutuo]]</f>
        <v>274000</v>
      </c>
      <c r="L77" t="str">
        <f>IF(ClientiBanca[[#This Row],[Reddito annuo]]&gt;=70000,"si","no")</f>
        <v>no</v>
      </c>
    </row>
    <row r="78" spans="1:12">
      <c r="A78">
        <v>100077</v>
      </c>
      <c r="B78">
        <v>30</v>
      </c>
      <c r="C78" s="2">
        <v>43400</v>
      </c>
      <c r="D78" t="s">
        <v>12</v>
      </c>
      <c r="E78" s="2">
        <v>28800</v>
      </c>
      <c r="F78" s="2">
        <v>0</v>
      </c>
      <c r="G78" t="s">
        <v>28</v>
      </c>
      <c r="H78" t="s">
        <v>17</v>
      </c>
      <c r="I78" t="s">
        <v>18</v>
      </c>
      <c r="J78" s="3">
        <v>46015</v>
      </c>
      <c r="K78" s="4">
        <f>ClientiBanca[[#This Row],[Prestito]]+ClientiBanca[[#This Row],[Mutuo]]</f>
        <v>28800</v>
      </c>
      <c r="L78" t="str">
        <f>IF(ClientiBanca[[#This Row],[Reddito annuo]]&gt;=70000,"si","no")</f>
        <v>no</v>
      </c>
    </row>
    <row r="79" spans="1:12">
      <c r="A79">
        <v>100078</v>
      </c>
      <c r="B79">
        <v>38</v>
      </c>
      <c r="C79" s="2">
        <v>75900</v>
      </c>
      <c r="D79" t="s">
        <v>21</v>
      </c>
      <c r="E79" s="2">
        <v>68000</v>
      </c>
      <c r="F79" s="2">
        <v>0</v>
      </c>
      <c r="G79" t="s">
        <v>23</v>
      </c>
      <c r="H79" t="s">
        <v>20</v>
      </c>
      <c r="I79" t="s">
        <v>18</v>
      </c>
      <c r="J79" s="3">
        <v>45955</v>
      </c>
      <c r="K79" s="4">
        <f>ClientiBanca[[#This Row],[Prestito]]+ClientiBanca[[#This Row],[Mutuo]]</f>
        <v>68000</v>
      </c>
      <c r="L79" t="str">
        <f>IF(ClientiBanca[[#This Row],[Reddito annuo]]&gt;=70000,"si","no")</f>
        <v>si</v>
      </c>
    </row>
    <row r="80" spans="1:12">
      <c r="A80">
        <v>100079</v>
      </c>
      <c r="B80">
        <v>29</v>
      </c>
      <c r="C80" s="2">
        <v>100000</v>
      </c>
      <c r="D80" t="s">
        <v>22</v>
      </c>
      <c r="E80" s="2">
        <v>17300</v>
      </c>
      <c r="F80" s="2">
        <v>0</v>
      </c>
      <c r="G80" t="s">
        <v>26</v>
      </c>
      <c r="H80" t="s">
        <v>20</v>
      </c>
      <c r="I80" t="s">
        <v>18</v>
      </c>
      <c r="J80" s="3">
        <v>45603</v>
      </c>
      <c r="K80" s="4">
        <f>ClientiBanca[[#This Row],[Prestito]]+ClientiBanca[[#This Row],[Mutuo]]</f>
        <v>17300</v>
      </c>
      <c r="L80" t="str">
        <f>IF(ClientiBanca[[#This Row],[Reddito annuo]]&gt;=70000,"si","no")</f>
        <v>si</v>
      </c>
    </row>
    <row r="81" spans="1:12">
      <c r="A81">
        <v>100080</v>
      </c>
      <c r="B81">
        <v>64</v>
      </c>
      <c r="C81" s="2">
        <v>53300</v>
      </c>
      <c r="D81" t="s">
        <v>21</v>
      </c>
      <c r="E81" s="2">
        <v>30300</v>
      </c>
      <c r="F81" s="2">
        <v>0</v>
      </c>
      <c r="G81" t="s">
        <v>16</v>
      </c>
      <c r="H81" t="s">
        <v>14</v>
      </c>
      <c r="I81" t="s">
        <v>18</v>
      </c>
      <c r="J81" s="3">
        <v>45318</v>
      </c>
      <c r="K81" s="4">
        <f>ClientiBanca[[#This Row],[Prestito]]+ClientiBanca[[#This Row],[Mutuo]]</f>
        <v>30300</v>
      </c>
      <c r="L81" t="str">
        <f>IF(ClientiBanca[[#This Row],[Reddito annuo]]&gt;=70000,"si","no")</f>
        <v>no</v>
      </c>
    </row>
    <row r="82" spans="1:12">
      <c r="A82">
        <v>100081</v>
      </c>
      <c r="B82">
        <v>25</v>
      </c>
      <c r="C82" s="2">
        <v>42800</v>
      </c>
      <c r="D82" t="s">
        <v>12</v>
      </c>
      <c r="E82" s="2">
        <v>0</v>
      </c>
      <c r="F82" s="2">
        <v>0</v>
      </c>
      <c r="G82" t="s">
        <v>27</v>
      </c>
      <c r="H82" t="s">
        <v>25</v>
      </c>
      <c r="I82" t="s">
        <v>18</v>
      </c>
      <c r="J82" s="3">
        <v>45980</v>
      </c>
      <c r="K82" s="4">
        <f>ClientiBanca[[#This Row],[Prestito]]+ClientiBanca[[#This Row],[Mutuo]]</f>
        <v>0</v>
      </c>
      <c r="L82" t="str">
        <f>IF(ClientiBanca[[#This Row],[Reddito annuo]]&gt;=70000,"si","no")</f>
        <v>no</v>
      </c>
    </row>
    <row r="83" spans="1:12">
      <c r="A83">
        <v>100082</v>
      </c>
      <c r="B83">
        <v>72</v>
      </c>
      <c r="C83" s="2">
        <v>45100</v>
      </c>
      <c r="D83" t="s">
        <v>21</v>
      </c>
      <c r="E83" s="2">
        <v>0</v>
      </c>
      <c r="F83" s="2">
        <v>0</v>
      </c>
      <c r="G83" t="s">
        <v>28</v>
      </c>
      <c r="H83" t="s">
        <v>14</v>
      </c>
      <c r="I83" t="s">
        <v>18</v>
      </c>
      <c r="J83" s="3">
        <v>45477</v>
      </c>
      <c r="K83" s="4">
        <f>ClientiBanca[[#This Row],[Prestito]]+ClientiBanca[[#This Row],[Mutuo]]</f>
        <v>0</v>
      </c>
      <c r="L83" t="str">
        <f>IF(ClientiBanca[[#This Row],[Reddito annuo]]&gt;=70000,"si","no")</f>
        <v>no</v>
      </c>
    </row>
    <row r="84" spans="1:12">
      <c r="A84">
        <v>100083</v>
      </c>
      <c r="B84">
        <v>57</v>
      </c>
      <c r="C84" s="2">
        <v>55400</v>
      </c>
      <c r="D84" t="s">
        <v>12</v>
      </c>
      <c r="E84" s="2">
        <v>0</v>
      </c>
      <c r="F84" s="2">
        <v>0</v>
      </c>
      <c r="G84" t="s">
        <v>16</v>
      </c>
      <c r="H84" t="s">
        <v>17</v>
      </c>
      <c r="I84" t="s">
        <v>18</v>
      </c>
      <c r="J84" s="3">
        <v>45978</v>
      </c>
      <c r="K84" s="4">
        <f>ClientiBanca[[#This Row],[Prestito]]+ClientiBanca[[#This Row],[Mutuo]]</f>
        <v>0</v>
      </c>
      <c r="L84" t="str">
        <f>IF(ClientiBanca[[#This Row],[Reddito annuo]]&gt;=70000,"si","no")</f>
        <v>no</v>
      </c>
    </row>
    <row r="85" spans="1:12">
      <c r="A85">
        <v>100084</v>
      </c>
      <c r="B85">
        <v>26</v>
      </c>
      <c r="C85" s="2">
        <v>92600</v>
      </c>
      <c r="D85" t="s">
        <v>21</v>
      </c>
      <c r="E85" s="2">
        <v>22800</v>
      </c>
      <c r="F85" s="2">
        <v>0</v>
      </c>
      <c r="G85" t="s">
        <v>27</v>
      </c>
      <c r="H85" t="s">
        <v>20</v>
      </c>
      <c r="I85" t="s">
        <v>18</v>
      </c>
      <c r="J85" s="3">
        <v>45623</v>
      </c>
      <c r="K85" s="4">
        <f>ClientiBanca[[#This Row],[Prestito]]+ClientiBanca[[#This Row],[Mutuo]]</f>
        <v>22800</v>
      </c>
      <c r="L85" t="str">
        <f>IF(ClientiBanca[[#This Row],[Reddito annuo]]&gt;=70000,"si","no")</f>
        <v>si</v>
      </c>
    </row>
    <row r="86" spans="1:12">
      <c r="A86">
        <v>100085</v>
      </c>
      <c r="B86">
        <v>27</v>
      </c>
      <c r="C86" s="2">
        <v>112900</v>
      </c>
      <c r="D86" t="s">
        <v>21</v>
      </c>
      <c r="E86" s="2">
        <v>81300</v>
      </c>
      <c r="F86" s="2">
        <v>0</v>
      </c>
      <c r="G86" t="s">
        <v>28</v>
      </c>
      <c r="H86" t="s">
        <v>20</v>
      </c>
      <c r="I86" t="s">
        <v>18</v>
      </c>
      <c r="J86" s="3">
        <v>45662</v>
      </c>
      <c r="K86" s="4">
        <f>ClientiBanca[[#This Row],[Prestito]]+ClientiBanca[[#This Row],[Mutuo]]</f>
        <v>81300</v>
      </c>
      <c r="L86" t="str">
        <f>IF(ClientiBanca[[#This Row],[Reddito annuo]]&gt;=70000,"si","no")</f>
        <v>si</v>
      </c>
    </row>
    <row r="87" spans="1:12">
      <c r="A87">
        <v>100086</v>
      </c>
      <c r="B87">
        <v>59</v>
      </c>
      <c r="C87" s="2">
        <v>81000</v>
      </c>
      <c r="D87" t="s">
        <v>12</v>
      </c>
      <c r="E87" s="2">
        <v>0</v>
      </c>
      <c r="F87" s="2">
        <v>219000</v>
      </c>
      <c r="G87" t="s">
        <v>26</v>
      </c>
      <c r="H87" t="s">
        <v>20</v>
      </c>
      <c r="I87" t="s">
        <v>18</v>
      </c>
      <c r="J87" s="3">
        <v>46007</v>
      </c>
      <c r="K87" s="4">
        <f>ClientiBanca[[#This Row],[Prestito]]+ClientiBanca[[#This Row],[Mutuo]]</f>
        <v>219000</v>
      </c>
      <c r="L87" t="str">
        <f>IF(ClientiBanca[[#This Row],[Reddito annuo]]&gt;=70000,"si","no")</f>
        <v>si</v>
      </c>
    </row>
    <row r="88" spans="1:12">
      <c r="A88">
        <v>100087</v>
      </c>
      <c r="B88">
        <v>51</v>
      </c>
      <c r="C88" s="2">
        <v>36100</v>
      </c>
      <c r="D88" t="s">
        <v>22</v>
      </c>
      <c r="E88" s="2">
        <v>20600</v>
      </c>
      <c r="F88" s="2">
        <v>219000</v>
      </c>
      <c r="G88" t="s">
        <v>16</v>
      </c>
      <c r="H88" t="s">
        <v>20</v>
      </c>
      <c r="I88" t="s">
        <v>18</v>
      </c>
      <c r="J88" s="3">
        <v>46226</v>
      </c>
      <c r="K88" s="4">
        <f>ClientiBanca[[#This Row],[Prestito]]+ClientiBanca[[#This Row],[Mutuo]]</f>
        <v>239600</v>
      </c>
      <c r="L88" t="str">
        <f>IF(ClientiBanca[[#This Row],[Reddito annuo]]&gt;=70000,"si","no")</f>
        <v>no</v>
      </c>
    </row>
    <row r="89" spans="1:12">
      <c r="A89">
        <v>100088</v>
      </c>
      <c r="B89">
        <v>27</v>
      </c>
      <c r="C89" s="2">
        <v>57100</v>
      </c>
      <c r="D89" t="s">
        <v>21</v>
      </c>
      <c r="E89" s="2">
        <v>0</v>
      </c>
      <c r="F89" s="2">
        <v>0</v>
      </c>
      <c r="G89" t="s">
        <v>26</v>
      </c>
      <c r="H89" t="s">
        <v>17</v>
      </c>
      <c r="I89" t="s">
        <v>18</v>
      </c>
      <c r="J89" s="3">
        <v>45571</v>
      </c>
      <c r="K89" s="4">
        <f>ClientiBanca[[#This Row],[Prestito]]+ClientiBanca[[#This Row],[Mutuo]]</f>
        <v>0</v>
      </c>
      <c r="L89" t="str">
        <f>IF(ClientiBanca[[#This Row],[Reddito annuo]]&gt;=70000,"si","no")</f>
        <v>no</v>
      </c>
    </row>
    <row r="90" spans="1:12">
      <c r="A90">
        <v>100089</v>
      </c>
      <c r="B90">
        <v>46</v>
      </c>
      <c r="C90" s="2">
        <v>89600</v>
      </c>
      <c r="D90" t="s">
        <v>22</v>
      </c>
      <c r="E90" s="2">
        <v>36700</v>
      </c>
      <c r="F90" s="2">
        <v>0</v>
      </c>
      <c r="G90" t="s">
        <v>24</v>
      </c>
      <c r="H90" t="s">
        <v>14</v>
      </c>
      <c r="I90" t="s">
        <v>18</v>
      </c>
      <c r="J90" s="3">
        <v>46100</v>
      </c>
      <c r="K90" s="4">
        <f>ClientiBanca[[#This Row],[Prestito]]+ClientiBanca[[#This Row],[Mutuo]]</f>
        <v>36700</v>
      </c>
      <c r="L90" t="str">
        <f>IF(ClientiBanca[[#This Row],[Reddito annuo]]&gt;=70000,"si","no")</f>
        <v>si</v>
      </c>
    </row>
    <row r="91" spans="1:12">
      <c r="A91">
        <v>100090</v>
      </c>
      <c r="B91">
        <v>74</v>
      </c>
      <c r="C91" s="2">
        <v>54100</v>
      </c>
      <c r="D91" t="s">
        <v>22</v>
      </c>
      <c r="E91" s="2">
        <v>56300</v>
      </c>
      <c r="F91" s="2">
        <v>0</v>
      </c>
      <c r="G91" t="s">
        <v>26</v>
      </c>
      <c r="H91" t="s">
        <v>14</v>
      </c>
      <c r="I91" t="s">
        <v>18</v>
      </c>
      <c r="J91" s="3">
        <v>45967</v>
      </c>
      <c r="K91" s="4">
        <f>ClientiBanca[[#This Row],[Prestito]]+ClientiBanca[[#This Row],[Mutuo]]</f>
        <v>56300</v>
      </c>
      <c r="L91" t="str">
        <f>IF(ClientiBanca[[#This Row],[Reddito annuo]]&gt;=70000,"si","no")</f>
        <v>no</v>
      </c>
    </row>
    <row r="92" spans="1:12">
      <c r="A92">
        <v>100091</v>
      </c>
      <c r="B92">
        <v>51</v>
      </c>
      <c r="C92" s="2">
        <v>93600</v>
      </c>
      <c r="D92" t="s">
        <v>21</v>
      </c>
      <c r="E92" s="2">
        <v>25000</v>
      </c>
      <c r="F92" s="2">
        <v>0</v>
      </c>
      <c r="G92" t="s">
        <v>16</v>
      </c>
      <c r="H92" t="s">
        <v>20</v>
      </c>
      <c r="I92" t="s">
        <v>18</v>
      </c>
      <c r="J92" s="3">
        <v>45485</v>
      </c>
      <c r="K92" s="4">
        <f>ClientiBanca[[#This Row],[Prestito]]+ClientiBanca[[#This Row],[Mutuo]]</f>
        <v>25000</v>
      </c>
      <c r="L92" t="str">
        <f>IF(ClientiBanca[[#This Row],[Reddito annuo]]&gt;=70000,"si","no")</f>
        <v>si</v>
      </c>
    </row>
    <row r="93" spans="1:12">
      <c r="A93">
        <v>100092</v>
      </c>
      <c r="B93">
        <v>64</v>
      </c>
      <c r="C93" s="2">
        <v>43400</v>
      </c>
      <c r="D93" t="s">
        <v>21</v>
      </c>
      <c r="E93" s="2">
        <v>0</v>
      </c>
      <c r="F93" s="2">
        <v>0</v>
      </c>
      <c r="G93" t="s">
        <v>19</v>
      </c>
      <c r="H93" t="s">
        <v>14</v>
      </c>
      <c r="I93" t="s">
        <v>18</v>
      </c>
      <c r="J93" s="3">
        <v>46014</v>
      </c>
      <c r="K93" s="4">
        <f>ClientiBanca[[#This Row],[Prestito]]+ClientiBanca[[#This Row],[Mutuo]]</f>
        <v>0</v>
      </c>
      <c r="L93" t="str">
        <f>IF(ClientiBanca[[#This Row],[Reddito annuo]]&gt;=70000,"si","no")</f>
        <v>no</v>
      </c>
    </row>
    <row r="94" spans="1:12">
      <c r="A94">
        <v>100093</v>
      </c>
      <c r="B94">
        <v>71</v>
      </c>
      <c r="C94" s="2">
        <v>51900</v>
      </c>
      <c r="D94" t="s">
        <v>22</v>
      </c>
      <c r="E94" s="2">
        <v>0</v>
      </c>
      <c r="F94" s="2">
        <v>0</v>
      </c>
      <c r="G94" t="s">
        <v>24</v>
      </c>
      <c r="H94" t="s">
        <v>17</v>
      </c>
      <c r="I94" t="s">
        <v>18</v>
      </c>
      <c r="J94" s="3">
        <v>45329</v>
      </c>
      <c r="K94" s="4">
        <f>ClientiBanca[[#This Row],[Prestito]]+ClientiBanca[[#This Row],[Mutuo]]</f>
        <v>0</v>
      </c>
      <c r="L94" t="str">
        <f>IF(ClientiBanca[[#This Row],[Reddito annuo]]&gt;=70000,"si","no")</f>
        <v>no</v>
      </c>
    </row>
    <row r="95" spans="1:12">
      <c r="A95">
        <v>100094</v>
      </c>
      <c r="B95">
        <v>28</v>
      </c>
      <c r="C95" s="2">
        <v>60000</v>
      </c>
      <c r="D95" t="s">
        <v>12</v>
      </c>
      <c r="E95" s="2">
        <v>0</v>
      </c>
      <c r="F95" s="2">
        <v>0</v>
      </c>
      <c r="G95" t="s">
        <v>28</v>
      </c>
      <c r="H95" t="s">
        <v>20</v>
      </c>
      <c r="I95" t="s">
        <v>18</v>
      </c>
      <c r="J95" s="3">
        <v>46224</v>
      </c>
      <c r="K95" s="4">
        <f>ClientiBanca[[#This Row],[Prestito]]+ClientiBanca[[#This Row],[Mutuo]]</f>
        <v>0</v>
      </c>
      <c r="L95" t="str">
        <f>IF(ClientiBanca[[#This Row],[Reddito annuo]]&gt;=70000,"si","no")</f>
        <v>no</v>
      </c>
    </row>
    <row r="96" spans="1:12">
      <c r="A96">
        <v>100095</v>
      </c>
      <c r="B96">
        <v>49</v>
      </c>
      <c r="C96" s="2">
        <v>24400</v>
      </c>
      <c r="D96" t="s">
        <v>21</v>
      </c>
      <c r="E96" s="2">
        <v>0</v>
      </c>
      <c r="F96" s="2">
        <v>0</v>
      </c>
      <c r="G96" t="s">
        <v>13</v>
      </c>
      <c r="H96" t="s">
        <v>17</v>
      </c>
      <c r="I96" t="s">
        <v>18</v>
      </c>
      <c r="J96" s="3">
        <v>45563</v>
      </c>
      <c r="K96" s="4">
        <f>ClientiBanca[[#This Row],[Prestito]]+ClientiBanca[[#This Row],[Mutuo]]</f>
        <v>0</v>
      </c>
      <c r="L96" t="str">
        <f>IF(ClientiBanca[[#This Row],[Reddito annuo]]&gt;=70000,"si","no")</f>
        <v>no</v>
      </c>
    </row>
    <row r="97" spans="1:12">
      <c r="A97">
        <v>100096</v>
      </c>
      <c r="B97">
        <v>41</v>
      </c>
      <c r="C97" s="2">
        <v>69100</v>
      </c>
      <c r="D97" t="s">
        <v>21</v>
      </c>
      <c r="E97" s="2">
        <v>24800</v>
      </c>
      <c r="F97" s="2">
        <v>0</v>
      </c>
      <c r="G97" t="s">
        <v>16</v>
      </c>
      <c r="H97" t="s">
        <v>25</v>
      </c>
      <c r="I97" t="s">
        <v>18</v>
      </c>
      <c r="J97" s="3">
        <v>46200</v>
      </c>
      <c r="K97" s="4">
        <f>ClientiBanca[[#This Row],[Prestito]]+ClientiBanca[[#This Row],[Mutuo]]</f>
        <v>24800</v>
      </c>
      <c r="L97" t="str">
        <f>IF(ClientiBanca[[#This Row],[Reddito annuo]]&gt;=70000,"si","no")</f>
        <v>no</v>
      </c>
    </row>
    <row r="98" spans="1:12">
      <c r="A98">
        <v>100097</v>
      </c>
      <c r="B98">
        <v>68</v>
      </c>
      <c r="C98" s="2">
        <v>59000</v>
      </c>
      <c r="D98" t="s">
        <v>12</v>
      </c>
      <c r="E98" s="2">
        <v>20400</v>
      </c>
      <c r="F98" s="2">
        <v>0</v>
      </c>
      <c r="G98" t="s">
        <v>26</v>
      </c>
      <c r="H98" t="s">
        <v>25</v>
      </c>
      <c r="I98" t="s">
        <v>18</v>
      </c>
      <c r="J98" s="3">
        <v>45736</v>
      </c>
      <c r="K98" s="4">
        <f>ClientiBanca[[#This Row],[Prestito]]+ClientiBanca[[#This Row],[Mutuo]]</f>
        <v>20400</v>
      </c>
      <c r="L98" t="str">
        <f>IF(ClientiBanca[[#This Row],[Reddito annuo]]&gt;=70000,"si","no")</f>
        <v>no</v>
      </c>
    </row>
    <row r="99" spans="1:12">
      <c r="A99">
        <v>100098</v>
      </c>
      <c r="B99">
        <v>26</v>
      </c>
      <c r="C99" s="2">
        <v>81400</v>
      </c>
      <c r="D99" t="s">
        <v>12</v>
      </c>
      <c r="E99" s="2">
        <v>17300</v>
      </c>
      <c r="F99" s="2">
        <v>0</v>
      </c>
      <c r="G99" t="s">
        <v>27</v>
      </c>
      <c r="H99" t="s">
        <v>20</v>
      </c>
      <c r="I99" t="s">
        <v>18</v>
      </c>
      <c r="J99" s="3">
        <v>45592</v>
      </c>
      <c r="K99" s="4">
        <f>ClientiBanca[[#This Row],[Prestito]]+ClientiBanca[[#This Row],[Mutuo]]</f>
        <v>17300</v>
      </c>
      <c r="L99" t="str">
        <f>IF(ClientiBanca[[#This Row],[Reddito annuo]]&gt;=70000,"si","no")</f>
        <v>si</v>
      </c>
    </row>
    <row r="100" spans="1:12">
      <c r="A100">
        <v>100099</v>
      </c>
      <c r="B100">
        <v>42</v>
      </c>
      <c r="C100" s="2">
        <v>51500</v>
      </c>
      <c r="D100" t="s">
        <v>21</v>
      </c>
      <c r="E100" s="2">
        <v>37600</v>
      </c>
      <c r="F100" s="2">
        <v>0</v>
      </c>
      <c r="G100" t="s">
        <v>24</v>
      </c>
      <c r="H100" t="s">
        <v>20</v>
      </c>
      <c r="I100" t="s">
        <v>18</v>
      </c>
      <c r="J100" s="3">
        <v>45683</v>
      </c>
      <c r="K100" s="4">
        <f>ClientiBanca[[#This Row],[Prestito]]+ClientiBanca[[#This Row],[Mutuo]]</f>
        <v>37600</v>
      </c>
      <c r="L100" t="str">
        <f>IF(ClientiBanca[[#This Row],[Reddito annuo]]&gt;=70000,"si","no")</f>
        <v>no</v>
      </c>
    </row>
    <row r="101" spans="1:12">
      <c r="A101">
        <v>100100</v>
      </c>
      <c r="B101">
        <v>59</v>
      </c>
      <c r="C101" s="2">
        <v>74100</v>
      </c>
      <c r="D101" t="s">
        <v>21</v>
      </c>
      <c r="E101" s="2">
        <v>20300</v>
      </c>
      <c r="F101" s="2">
        <v>0</v>
      </c>
      <c r="G101" t="s">
        <v>28</v>
      </c>
      <c r="H101" t="s">
        <v>20</v>
      </c>
      <c r="I101" t="s">
        <v>15</v>
      </c>
      <c r="J101" s="3">
        <v>46115</v>
      </c>
      <c r="K101" s="4">
        <f>ClientiBanca[[#This Row],[Prestito]]+ClientiBanca[[#This Row],[Mutuo]]</f>
        <v>20300</v>
      </c>
      <c r="L101" t="str">
        <f>IF(ClientiBanca[[#This Row],[Reddito annuo]]&gt;=70000,"si","no")</f>
        <v>si</v>
      </c>
    </row>
    <row r="102" spans="1:12">
      <c r="A102">
        <v>100101</v>
      </c>
      <c r="B102">
        <v>49</v>
      </c>
      <c r="C102" s="2">
        <v>98800</v>
      </c>
      <c r="D102" t="s">
        <v>12</v>
      </c>
      <c r="E102" s="2">
        <v>30500</v>
      </c>
      <c r="F102" s="2">
        <v>0</v>
      </c>
      <c r="G102" t="s">
        <v>26</v>
      </c>
      <c r="H102" t="s">
        <v>17</v>
      </c>
      <c r="I102" t="s">
        <v>18</v>
      </c>
      <c r="J102" s="3">
        <v>45548</v>
      </c>
      <c r="K102" s="4">
        <f>ClientiBanca[[#This Row],[Prestito]]+ClientiBanca[[#This Row],[Mutuo]]</f>
        <v>30500</v>
      </c>
      <c r="L102" t="str">
        <f>IF(ClientiBanca[[#This Row],[Reddito annuo]]&gt;=70000,"si","no")</f>
        <v>si</v>
      </c>
    </row>
    <row r="103" spans="1:12">
      <c r="A103">
        <v>100102</v>
      </c>
      <c r="B103">
        <v>49</v>
      </c>
      <c r="C103" s="2">
        <v>91000</v>
      </c>
      <c r="D103" t="s">
        <v>21</v>
      </c>
      <c r="E103" s="2">
        <v>32800</v>
      </c>
      <c r="F103" s="2">
        <v>224000</v>
      </c>
      <c r="G103" t="s">
        <v>26</v>
      </c>
      <c r="H103" t="s">
        <v>25</v>
      </c>
      <c r="I103" t="s">
        <v>18</v>
      </c>
      <c r="J103" s="3">
        <v>46141</v>
      </c>
      <c r="K103" s="4">
        <f>ClientiBanca[[#This Row],[Prestito]]+ClientiBanca[[#This Row],[Mutuo]]</f>
        <v>256800</v>
      </c>
      <c r="L103" t="str">
        <f>IF(ClientiBanca[[#This Row],[Reddito annuo]]&gt;=70000,"si","no")</f>
        <v>si</v>
      </c>
    </row>
    <row r="104" spans="1:12">
      <c r="A104">
        <v>100103</v>
      </c>
      <c r="B104">
        <v>62</v>
      </c>
      <c r="C104" s="2">
        <v>52800</v>
      </c>
      <c r="D104" t="s">
        <v>21</v>
      </c>
      <c r="E104" s="2">
        <v>0</v>
      </c>
      <c r="F104" s="2">
        <v>0</v>
      </c>
      <c r="G104" t="s">
        <v>27</v>
      </c>
      <c r="H104" t="s">
        <v>14</v>
      </c>
      <c r="I104" t="s">
        <v>18</v>
      </c>
      <c r="J104" s="3">
        <v>46055</v>
      </c>
      <c r="K104" s="4">
        <f>ClientiBanca[[#This Row],[Prestito]]+ClientiBanca[[#This Row],[Mutuo]]</f>
        <v>0</v>
      </c>
      <c r="L104" t="str">
        <f>IF(ClientiBanca[[#This Row],[Reddito annuo]]&gt;=70000,"si","no")</f>
        <v>no</v>
      </c>
    </row>
    <row r="105" spans="1:12">
      <c r="A105">
        <v>100104</v>
      </c>
      <c r="B105">
        <v>51</v>
      </c>
      <c r="C105" s="2">
        <v>89400</v>
      </c>
      <c r="D105" t="s">
        <v>22</v>
      </c>
      <c r="E105" s="2">
        <v>0</v>
      </c>
      <c r="F105" s="2">
        <v>286000</v>
      </c>
      <c r="G105" t="s">
        <v>23</v>
      </c>
      <c r="H105" t="s">
        <v>17</v>
      </c>
      <c r="I105" t="s">
        <v>18</v>
      </c>
      <c r="J105" s="3">
        <v>45927</v>
      </c>
      <c r="K105" s="4">
        <f>ClientiBanca[[#This Row],[Prestito]]+ClientiBanca[[#This Row],[Mutuo]]</f>
        <v>286000</v>
      </c>
      <c r="L105" t="str">
        <f>IF(ClientiBanca[[#This Row],[Reddito annuo]]&gt;=70000,"si","no")</f>
        <v>si</v>
      </c>
    </row>
    <row r="106" spans="1:12">
      <c r="A106">
        <v>100105</v>
      </c>
      <c r="B106">
        <v>36</v>
      </c>
      <c r="C106" s="2">
        <v>73600</v>
      </c>
      <c r="D106" t="s">
        <v>12</v>
      </c>
      <c r="E106" s="2">
        <v>58000</v>
      </c>
      <c r="F106" s="2">
        <v>0</v>
      </c>
      <c r="G106" t="s">
        <v>27</v>
      </c>
      <c r="H106" t="s">
        <v>17</v>
      </c>
      <c r="I106" t="s">
        <v>18</v>
      </c>
      <c r="J106" s="3">
        <v>45885</v>
      </c>
      <c r="K106" s="4">
        <f>ClientiBanca[[#This Row],[Prestito]]+ClientiBanca[[#This Row],[Mutuo]]</f>
        <v>58000</v>
      </c>
      <c r="L106" t="str">
        <f>IF(ClientiBanca[[#This Row],[Reddito annuo]]&gt;=70000,"si","no")</f>
        <v>si</v>
      </c>
    </row>
    <row r="107" spans="1:12">
      <c r="A107">
        <v>100106</v>
      </c>
      <c r="B107">
        <v>43</v>
      </c>
      <c r="C107" s="2">
        <v>78600</v>
      </c>
      <c r="D107" t="s">
        <v>21</v>
      </c>
      <c r="E107" s="2">
        <v>50000</v>
      </c>
      <c r="F107" s="2">
        <v>132000</v>
      </c>
      <c r="G107" t="s">
        <v>19</v>
      </c>
      <c r="H107" t="s">
        <v>17</v>
      </c>
      <c r="I107" t="s">
        <v>18</v>
      </c>
      <c r="J107" s="3">
        <v>46142</v>
      </c>
      <c r="K107" s="4">
        <f>ClientiBanca[[#This Row],[Prestito]]+ClientiBanca[[#This Row],[Mutuo]]</f>
        <v>182000</v>
      </c>
      <c r="L107" t="str">
        <f>IF(ClientiBanca[[#This Row],[Reddito annuo]]&gt;=70000,"si","no")</f>
        <v>si</v>
      </c>
    </row>
    <row r="108" spans="1:12">
      <c r="A108">
        <v>100107</v>
      </c>
      <c r="B108">
        <v>30</v>
      </c>
      <c r="C108" s="2">
        <v>44400</v>
      </c>
      <c r="D108" t="s">
        <v>22</v>
      </c>
      <c r="E108" s="2">
        <v>55000</v>
      </c>
      <c r="F108" s="2">
        <v>0</v>
      </c>
      <c r="G108" t="s">
        <v>19</v>
      </c>
      <c r="H108" t="s">
        <v>14</v>
      </c>
      <c r="I108" t="s">
        <v>18</v>
      </c>
      <c r="J108" s="3">
        <v>45369</v>
      </c>
      <c r="K108" s="4">
        <f>ClientiBanca[[#This Row],[Prestito]]+ClientiBanca[[#This Row],[Mutuo]]</f>
        <v>55000</v>
      </c>
      <c r="L108" t="str">
        <f>IF(ClientiBanca[[#This Row],[Reddito annuo]]&gt;=70000,"si","no")</f>
        <v>no</v>
      </c>
    </row>
    <row r="109" spans="1:12">
      <c r="A109">
        <v>100108</v>
      </c>
      <c r="B109">
        <v>29</v>
      </c>
      <c r="C109" s="2">
        <v>80800</v>
      </c>
      <c r="D109" t="s">
        <v>21</v>
      </c>
      <c r="E109" s="2">
        <v>44600</v>
      </c>
      <c r="F109" s="2">
        <v>0</v>
      </c>
      <c r="G109" t="s">
        <v>19</v>
      </c>
      <c r="H109" t="s">
        <v>20</v>
      </c>
      <c r="I109" t="s">
        <v>18</v>
      </c>
      <c r="J109" s="3">
        <v>45562</v>
      </c>
      <c r="K109" s="4">
        <f>ClientiBanca[[#This Row],[Prestito]]+ClientiBanca[[#This Row],[Mutuo]]</f>
        <v>44600</v>
      </c>
      <c r="L109" t="str">
        <f>IF(ClientiBanca[[#This Row],[Reddito annuo]]&gt;=70000,"si","no")</f>
        <v>si</v>
      </c>
    </row>
    <row r="110" spans="1:12">
      <c r="A110">
        <v>100109</v>
      </c>
      <c r="B110">
        <v>54</v>
      </c>
      <c r="C110" s="2">
        <v>36200</v>
      </c>
      <c r="D110" t="s">
        <v>21</v>
      </c>
      <c r="E110" s="2">
        <v>0</v>
      </c>
      <c r="F110" s="2">
        <v>0</v>
      </c>
      <c r="G110" t="s">
        <v>16</v>
      </c>
      <c r="H110" t="s">
        <v>14</v>
      </c>
      <c r="I110" t="s">
        <v>18</v>
      </c>
      <c r="J110" s="3">
        <v>46254</v>
      </c>
      <c r="K110" s="4">
        <f>ClientiBanca[[#This Row],[Prestito]]+ClientiBanca[[#This Row],[Mutuo]]</f>
        <v>0</v>
      </c>
      <c r="L110" t="str">
        <f>IF(ClientiBanca[[#This Row],[Reddito annuo]]&gt;=70000,"si","no")</f>
        <v>no</v>
      </c>
    </row>
    <row r="111" spans="1:12">
      <c r="A111">
        <v>100110</v>
      </c>
      <c r="B111">
        <v>43</v>
      </c>
      <c r="C111" s="2">
        <v>35100</v>
      </c>
      <c r="D111" t="s">
        <v>21</v>
      </c>
      <c r="E111" s="2">
        <v>43900</v>
      </c>
      <c r="F111" s="2">
        <v>0</v>
      </c>
      <c r="G111" t="s">
        <v>23</v>
      </c>
      <c r="H111" t="s">
        <v>14</v>
      </c>
      <c r="I111" t="s">
        <v>18</v>
      </c>
      <c r="J111" s="3">
        <v>45767</v>
      </c>
      <c r="K111" s="4">
        <f>ClientiBanca[[#This Row],[Prestito]]+ClientiBanca[[#This Row],[Mutuo]]</f>
        <v>43900</v>
      </c>
      <c r="L111" t="str">
        <f>IF(ClientiBanca[[#This Row],[Reddito annuo]]&gt;=70000,"si","no")</f>
        <v>no</v>
      </c>
    </row>
    <row r="112" spans="1:12">
      <c r="A112">
        <v>100111</v>
      </c>
      <c r="B112">
        <v>64</v>
      </c>
      <c r="C112" s="2">
        <v>47100</v>
      </c>
      <c r="D112" t="s">
        <v>21</v>
      </c>
      <c r="E112" s="2">
        <v>58900</v>
      </c>
      <c r="F112" s="2">
        <v>0</v>
      </c>
      <c r="G112" t="s">
        <v>28</v>
      </c>
      <c r="H112" t="s">
        <v>20</v>
      </c>
      <c r="I112" t="s">
        <v>18</v>
      </c>
      <c r="J112" s="3">
        <v>45842</v>
      </c>
      <c r="K112" s="4">
        <f>ClientiBanca[[#This Row],[Prestito]]+ClientiBanca[[#This Row],[Mutuo]]</f>
        <v>58900</v>
      </c>
      <c r="L112" t="str">
        <f>IF(ClientiBanca[[#This Row],[Reddito annuo]]&gt;=70000,"si","no")</f>
        <v>no</v>
      </c>
    </row>
    <row r="113" spans="1:12">
      <c r="A113">
        <v>100112</v>
      </c>
      <c r="B113">
        <v>28</v>
      </c>
      <c r="C113" s="2">
        <v>52400</v>
      </c>
      <c r="D113" t="s">
        <v>21</v>
      </c>
      <c r="E113" s="2">
        <v>0</v>
      </c>
      <c r="F113" s="2">
        <v>0</v>
      </c>
      <c r="G113" t="s">
        <v>16</v>
      </c>
      <c r="H113" t="s">
        <v>17</v>
      </c>
      <c r="I113" t="s">
        <v>18</v>
      </c>
      <c r="J113" s="3">
        <v>46036</v>
      </c>
      <c r="K113" s="4">
        <f>ClientiBanca[[#This Row],[Prestito]]+ClientiBanca[[#This Row],[Mutuo]]</f>
        <v>0</v>
      </c>
      <c r="L113" t="str">
        <f>IF(ClientiBanca[[#This Row],[Reddito annuo]]&gt;=70000,"si","no")</f>
        <v>no</v>
      </c>
    </row>
    <row r="114" spans="1:12">
      <c r="A114">
        <v>100113</v>
      </c>
      <c r="B114">
        <v>29</v>
      </c>
      <c r="C114" s="2">
        <v>96400</v>
      </c>
      <c r="D114" t="s">
        <v>12</v>
      </c>
      <c r="E114" s="2">
        <v>0</v>
      </c>
      <c r="F114" s="2">
        <v>0</v>
      </c>
      <c r="G114" t="s">
        <v>26</v>
      </c>
      <c r="H114" t="s">
        <v>20</v>
      </c>
      <c r="I114" t="s">
        <v>18</v>
      </c>
      <c r="J114" s="3">
        <v>45671</v>
      </c>
      <c r="K114" s="4">
        <f>ClientiBanca[[#This Row],[Prestito]]+ClientiBanca[[#This Row],[Mutuo]]</f>
        <v>0</v>
      </c>
      <c r="L114" t="str">
        <f>IF(ClientiBanca[[#This Row],[Reddito annuo]]&gt;=70000,"si","no")</f>
        <v>si</v>
      </c>
    </row>
    <row r="115" spans="1:12">
      <c r="A115">
        <v>100114</v>
      </c>
      <c r="B115">
        <v>33</v>
      </c>
      <c r="C115" s="2">
        <v>55900</v>
      </c>
      <c r="D115" t="s">
        <v>22</v>
      </c>
      <c r="E115" s="2">
        <v>0</v>
      </c>
      <c r="F115" s="2">
        <v>252000</v>
      </c>
      <c r="G115" t="s">
        <v>19</v>
      </c>
      <c r="H115" t="s">
        <v>20</v>
      </c>
      <c r="I115" t="s">
        <v>18</v>
      </c>
      <c r="J115" s="3">
        <v>45574</v>
      </c>
      <c r="K115" s="4">
        <f>ClientiBanca[[#This Row],[Prestito]]+ClientiBanca[[#This Row],[Mutuo]]</f>
        <v>252000</v>
      </c>
      <c r="L115" t="str">
        <f>IF(ClientiBanca[[#This Row],[Reddito annuo]]&gt;=70000,"si","no")</f>
        <v>no</v>
      </c>
    </row>
    <row r="116" spans="1:12">
      <c r="A116">
        <v>100115</v>
      </c>
      <c r="B116">
        <v>32</v>
      </c>
      <c r="C116" s="2">
        <v>112300</v>
      </c>
      <c r="D116" t="s">
        <v>22</v>
      </c>
      <c r="E116" s="2">
        <v>0</v>
      </c>
      <c r="F116" s="2">
        <v>152000</v>
      </c>
      <c r="G116" t="s">
        <v>27</v>
      </c>
      <c r="H116" t="s">
        <v>20</v>
      </c>
      <c r="I116" t="s">
        <v>18</v>
      </c>
      <c r="J116" s="3">
        <v>45633</v>
      </c>
      <c r="K116" s="4">
        <f>ClientiBanca[[#This Row],[Prestito]]+ClientiBanca[[#This Row],[Mutuo]]</f>
        <v>152000</v>
      </c>
      <c r="L116" t="str">
        <f>IF(ClientiBanca[[#This Row],[Reddito annuo]]&gt;=70000,"si","no")</f>
        <v>si</v>
      </c>
    </row>
    <row r="117" spans="1:12">
      <c r="A117">
        <v>100116</v>
      </c>
      <c r="B117">
        <v>35</v>
      </c>
      <c r="C117" s="2">
        <v>119500</v>
      </c>
      <c r="D117" t="s">
        <v>12</v>
      </c>
      <c r="E117" s="2">
        <v>57200</v>
      </c>
      <c r="F117" s="2">
        <v>0</v>
      </c>
      <c r="G117" t="s">
        <v>23</v>
      </c>
      <c r="H117" t="s">
        <v>17</v>
      </c>
      <c r="I117" t="s">
        <v>18</v>
      </c>
      <c r="J117" s="3">
        <v>46084</v>
      </c>
      <c r="K117" s="4">
        <f>ClientiBanca[[#This Row],[Prestito]]+ClientiBanca[[#This Row],[Mutuo]]</f>
        <v>57200</v>
      </c>
      <c r="L117" t="str">
        <f>IF(ClientiBanca[[#This Row],[Reddito annuo]]&gt;=70000,"si","no")</f>
        <v>si</v>
      </c>
    </row>
    <row r="118" spans="1:12">
      <c r="A118">
        <v>100117</v>
      </c>
      <c r="B118">
        <v>29</v>
      </c>
      <c r="C118" s="2">
        <v>84400</v>
      </c>
      <c r="D118" t="s">
        <v>12</v>
      </c>
      <c r="E118" s="2">
        <v>79900</v>
      </c>
      <c r="F118" s="2">
        <v>0</v>
      </c>
      <c r="G118" t="s">
        <v>26</v>
      </c>
      <c r="H118" t="s">
        <v>17</v>
      </c>
      <c r="I118" t="s">
        <v>18</v>
      </c>
      <c r="J118" s="3">
        <v>46179</v>
      </c>
      <c r="K118" s="4">
        <f>ClientiBanca[[#This Row],[Prestito]]+ClientiBanca[[#This Row],[Mutuo]]</f>
        <v>79900</v>
      </c>
      <c r="L118" t="str">
        <f>IF(ClientiBanca[[#This Row],[Reddito annuo]]&gt;=70000,"si","no")</f>
        <v>si</v>
      </c>
    </row>
    <row r="119" spans="1:12">
      <c r="A119">
        <v>100118</v>
      </c>
      <c r="B119">
        <v>21</v>
      </c>
      <c r="C119" s="2">
        <v>36800</v>
      </c>
      <c r="D119" t="s">
        <v>21</v>
      </c>
      <c r="E119" s="2">
        <v>0</v>
      </c>
      <c r="F119" s="2">
        <v>0</v>
      </c>
      <c r="G119" t="s">
        <v>27</v>
      </c>
      <c r="H119" t="s">
        <v>17</v>
      </c>
      <c r="I119" t="s">
        <v>18</v>
      </c>
      <c r="J119" s="3">
        <v>45345</v>
      </c>
      <c r="K119" s="4">
        <f>ClientiBanca[[#This Row],[Prestito]]+ClientiBanca[[#This Row],[Mutuo]]</f>
        <v>0</v>
      </c>
      <c r="L119" t="str">
        <f>IF(ClientiBanca[[#This Row],[Reddito annuo]]&gt;=70000,"si","no")</f>
        <v>no</v>
      </c>
    </row>
    <row r="120" spans="1:12">
      <c r="A120">
        <v>100119</v>
      </c>
      <c r="B120">
        <v>28</v>
      </c>
      <c r="C120" s="2">
        <v>79500</v>
      </c>
      <c r="D120" t="s">
        <v>12</v>
      </c>
      <c r="E120" s="2">
        <v>0</v>
      </c>
      <c r="F120" s="2">
        <v>0</v>
      </c>
      <c r="G120" t="s">
        <v>19</v>
      </c>
      <c r="H120" t="s">
        <v>17</v>
      </c>
      <c r="I120" t="s">
        <v>18</v>
      </c>
      <c r="J120" s="3">
        <v>45403</v>
      </c>
      <c r="K120" s="4">
        <f>ClientiBanca[[#This Row],[Prestito]]+ClientiBanca[[#This Row],[Mutuo]]</f>
        <v>0</v>
      </c>
      <c r="L120" t="str">
        <f>IF(ClientiBanca[[#This Row],[Reddito annuo]]&gt;=70000,"si","no")</f>
        <v>si</v>
      </c>
    </row>
    <row r="121" spans="1:12">
      <c r="A121">
        <v>100120</v>
      </c>
      <c r="B121">
        <v>48</v>
      </c>
      <c r="C121" s="2">
        <v>60100</v>
      </c>
      <c r="D121" t="s">
        <v>22</v>
      </c>
      <c r="E121" s="2">
        <v>52900</v>
      </c>
      <c r="F121" s="2">
        <v>0</v>
      </c>
      <c r="G121" t="s">
        <v>26</v>
      </c>
      <c r="H121" t="s">
        <v>17</v>
      </c>
      <c r="I121" t="s">
        <v>18</v>
      </c>
      <c r="J121" s="3">
        <v>45354</v>
      </c>
      <c r="K121" s="4">
        <f>ClientiBanca[[#This Row],[Prestito]]+ClientiBanca[[#This Row],[Mutuo]]</f>
        <v>52900</v>
      </c>
      <c r="L121" t="str">
        <f>IF(ClientiBanca[[#This Row],[Reddito annuo]]&gt;=70000,"si","no")</f>
        <v>no</v>
      </c>
    </row>
    <row r="122" spans="1:12">
      <c r="A122">
        <v>100121</v>
      </c>
      <c r="B122">
        <v>50</v>
      </c>
      <c r="C122" s="2">
        <v>91200</v>
      </c>
      <c r="D122" t="s">
        <v>21</v>
      </c>
      <c r="E122" s="2">
        <v>47300</v>
      </c>
      <c r="F122" s="2">
        <v>0</v>
      </c>
      <c r="G122" t="s">
        <v>13</v>
      </c>
      <c r="H122" t="s">
        <v>20</v>
      </c>
      <c r="I122" t="s">
        <v>18</v>
      </c>
      <c r="J122" s="3">
        <v>45421</v>
      </c>
      <c r="K122" s="4">
        <f>ClientiBanca[[#This Row],[Prestito]]+ClientiBanca[[#This Row],[Mutuo]]</f>
        <v>47300</v>
      </c>
      <c r="L122" t="str">
        <f>IF(ClientiBanca[[#This Row],[Reddito annuo]]&gt;=70000,"si","no")</f>
        <v>si</v>
      </c>
    </row>
    <row r="123" spans="1:12">
      <c r="A123">
        <v>100122</v>
      </c>
      <c r="B123">
        <v>37</v>
      </c>
      <c r="C123" s="2">
        <v>69100</v>
      </c>
      <c r="D123" t="s">
        <v>12</v>
      </c>
      <c r="E123" s="2">
        <v>27400</v>
      </c>
      <c r="F123" s="2">
        <v>0</v>
      </c>
      <c r="G123" t="s">
        <v>26</v>
      </c>
      <c r="H123" t="s">
        <v>17</v>
      </c>
      <c r="I123" t="s">
        <v>18</v>
      </c>
      <c r="J123" s="3">
        <v>45393</v>
      </c>
      <c r="K123" s="4">
        <f>ClientiBanca[[#This Row],[Prestito]]+ClientiBanca[[#This Row],[Mutuo]]</f>
        <v>27400</v>
      </c>
      <c r="L123" t="str">
        <f>IF(ClientiBanca[[#This Row],[Reddito annuo]]&gt;=70000,"si","no")</f>
        <v>no</v>
      </c>
    </row>
    <row r="124" spans="1:12">
      <c r="A124">
        <v>100123</v>
      </c>
      <c r="B124">
        <v>70</v>
      </c>
      <c r="C124" s="2">
        <v>75800</v>
      </c>
      <c r="D124" t="s">
        <v>22</v>
      </c>
      <c r="E124" s="2">
        <v>51700</v>
      </c>
      <c r="F124" s="2">
        <v>0</v>
      </c>
      <c r="G124" t="s">
        <v>23</v>
      </c>
      <c r="H124" t="s">
        <v>20</v>
      </c>
      <c r="I124" t="s">
        <v>18</v>
      </c>
      <c r="J124" s="3">
        <v>45715</v>
      </c>
      <c r="K124" s="4">
        <f>ClientiBanca[[#This Row],[Prestito]]+ClientiBanca[[#This Row],[Mutuo]]</f>
        <v>51700</v>
      </c>
      <c r="L124" t="str">
        <f>IF(ClientiBanca[[#This Row],[Reddito annuo]]&gt;=70000,"si","no")</f>
        <v>si</v>
      </c>
    </row>
    <row r="125" spans="1:12">
      <c r="A125">
        <v>100124</v>
      </c>
      <c r="B125">
        <v>41</v>
      </c>
      <c r="C125" s="2">
        <v>88800</v>
      </c>
      <c r="D125" t="s">
        <v>21</v>
      </c>
      <c r="E125" s="2">
        <v>0</v>
      </c>
      <c r="F125" s="2">
        <v>0</v>
      </c>
      <c r="G125" t="s">
        <v>19</v>
      </c>
      <c r="H125" t="s">
        <v>17</v>
      </c>
      <c r="I125" t="s">
        <v>18</v>
      </c>
      <c r="J125" s="3">
        <v>45675</v>
      </c>
      <c r="K125" s="4">
        <f>ClientiBanca[[#This Row],[Prestito]]+ClientiBanca[[#This Row],[Mutuo]]</f>
        <v>0</v>
      </c>
      <c r="L125" t="str">
        <f>IF(ClientiBanca[[#This Row],[Reddito annuo]]&gt;=70000,"si","no")</f>
        <v>si</v>
      </c>
    </row>
    <row r="126" spans="1:12">
      <c r="A126">
        <v>100125</v>
      </c>
      <c r="B126">
        <v>29</v>
      </c>
      <c r="C126" s="2">
        <v>74400</v>
      </c>
      <c r="D126" t="s">
        <v>21</v>
      </c>
      <c r="E126" s="2">
        <v>13000</v>
      </c>
      <c r="F126" s="2">
        <v>0</v>
      </c>
      <c r="G126" t="s">
        <v>19</v>
      </c>
      <c r="H126" t="s">
        <v>14</v>
      </c>
      <c r="I126" t="s">
        <v>18</v>
      </c>
      <c r="J126" s="3">
        <v>45892</v>
      </c>
      <c r="K126" s="4">
        <f>ClientiBanca[[#This Row],[Prestito]]+ClientiBanca[[#This Row],[Mutuo]]</f>
        <v>13000</v>
      </c>
      <c r="L126" t="str">
        <f>IF(ClientiBanca[[#This Row],[Reddito annuo]]&gt;=70000,"si","no")</f>
        <v>si</v>
      </c>
    </row>
    <row r="127" spans="1:12">
      <c r="A127">
        <v>100126</v>
      </c>
      <c r="B127">
        <v>55</v>
      </c>
      <c r="C127" s="2">
        <v>64300</v>
      </c>
      <c r="D127" t="s">
        <v>12</v>
      </c>
      <c r="E127" s="2">
        <v>61700</v>
      </c>
      <c r="F127" s="2">
        <v>0</v>
      </c>
      <c r="G127" t="s">
        <v>16</v>
      </c>
      <c r="H127" t="s">
        <v>14</v>
      </c>
      <c r="I127" t="s">
        <v>18</v>
      </c>
      <c r="J127" s="3">
        <v>45586</v>
      </c>
      <c r="K127" s="4">
        <f>ClientiBanca[[#This Row],[Prestito]]+ClientiBanca[[#This Row],[Mutuo]]</f>
        <v>61700</v>
      </c>
      <c r="L127" t="str">
        <f>IF(ClientiBanca[[#This Row],[Reddito annuo]]&gt;=70000,"si","no")</f>
        <v>no</v>
      </c>
    </row>
    <row r="128" spans="1:12">
      <c r="A128">
        <v>100127</v>
      </c>
      <c r="B128">
        <v>58</v>
      </c>
      <c r="C128" s="2">
        <v>47700</v>
      </c>
      <c r="D128" t="s">
        <v>21</v>
      </c>
      <c r="E128" s="2">
        <v>16800</v>
      </c>
      <c r="F128" s="2">
        <v>0</v>
      </c>
      <c r="G128" t="s">
        <v>13</v>
      </c>
      <c r="H128" t="s">
        <v>17</v>
      </c>
      <c r="I128" t="s">
        <v>18</v>
      </c>
      <c r="J128" s="3">
        <v>45409</v>
      </c>
      <c r="K128" s="4">
        <f>ClientiBanca[[#This Row],[Prestito]]+ClientiBanca[[#This Row],[Mutuo]]</f>
        <v>16800</v>
      </c>
      <c r="L128" t="str">
        <f>IF(ClientiBanca[[#This Row],[Reddito annuo]]&gt;=70000,"si","no")</f>
        <v>no</v>
      </c>
    </row>
    <row r="129" spans="1:12">
      <c r="A129">
        <v>100128</v>
      </c>
      <c r="B129">
        <v>68</v>
      </c>
      <c r="C129" s="2">
        <v>45700</v>
      </c>
      <c r="D129" t="s">
        <v>21</v>
      </c>
      <c r="E129" s="2">
        <v>37300</v>
      </c>
      <c r="F129" s="2">
        <v>0</v>
      </c>
      <c r="G129" t="s">
        <v>27</v>
      </c>
      <c r="H129" t="s">
        <v>17</v>
      </c>
      <c r="I129" t="s">
        <v>18</v>
      </c>
      <c r="J129" s="3">
        <v>46002</v>
      </c>
      <c r="K129" s="4">
        <f>ClientiBanca[[#This Row],[Prestito]]+ClientiBanca[[#This Row],[Mutuo]]</f>
        <v>37300</v>
      </c>
      <c r="L129" t="str">
        <f>IF(ClientiBanca[[#This Row],[Reddito annuo]]&gt;=70000,"si","no")</f>
        <v>no</v>
      </c>
    </row>
    <row r="130" spans="1:12">
      <c r="A130">
        <v>100129</v>
      </c>
      <c r="B130">
        <v>37</v>
      </c>
      <c r="C130" s="2">
        <v>26800</v>
      </c>
      <c r="D130" t="s">
        <v>21</v>
      </c>
      <c r="E130" s="2">
        <v>0</v>
      </c>
      <c r="F130" s="2">
        <v>0</v>
      </c>
      <c r="G130" t="s">
        <v>19</v>
      </c>
      <c r="H130" t="s">
        <v>20</v>
      </c>
      <c r="I130" t="s">
        <v>18</v>
      </c>
      <c r="J130" s="3">
        <v>46182</v>
      </c>
      <c r="K130" s="4">
        <f>ClientiBanca[[#This Row],[Prestito]]+ClientiBanca[[#This Row],[Mutuo]]</f>
        <v>0</v>
      </c>
      <c r="L130" t="str">
        <f>IF(ClientiBanca[[#This Row],[Reddito annuo]]&gt;=70000,"si","no")</f>
        <v>no</v>
      </c>
    </row>
    <row r="131" spans="1:12">
      <c r="A131">
        <v>100130</v>
      </c>
      <c r="B131">
        <v>29</v>
      </c>
      <c r="C131" s="2">
        <v>64600</v>
      </c>
      <c r="D131" t="s">
        <v>21</v>
      </c>
      <c r="E131" s="2">
        <v>41800</v>
      </c>
      <c r="F131" s="2">
        <v>269000</v>
      </c>
      <c r="G131" t="s">
        <v>23</v>
      </c>
      <c r="H131" t="s">
        <v>17</v>
      </c>
      <c r="I131" t="s">
        <v>18</v>
      </c>
      <c r="J131" s="3">
        <v>45453</v>
      </c>
      <c r="K131" s="4">
        <f>ClientiBanca[[#This Row],[Prestito]]+ClientiBanca[[#This Row],[Mutuo]]</f>
        <v>310800</v>
      </c>
      <c r="L131" t="str">
        <f>IF(ClientiBanca[[#This Row],[Reddito annuo]]&gt;=70000,"si","no")</f>
        <v>no</v>
      </c>
    </row>
    <row r="132" spans="1:12">
      <c r="A132">
        <v>100131</v>
      </c>
      <c r="B132">
        <v>43</v>
      </c>
      <c r="C132" s="2">
        <v>47600</v>
      </c>
      <c r="D132" t="s">
        <v>21</v>
      </c>
      <c r="E132" s="2">
        <v>0</v>
      </c>
      <c r="F132" s="2">
        <v>0</v>
      </c>
      <c r="G132" t="s">
        <v>27</v>
      </c>
      <c r="H132" t="s">
        <v>20</v>
      </c>
      <c r="I132" t="s">
        <v>18</v>
      </c>
      <c r="J132" s="3">
        <v>46064</v>
      </c>
      <c r="K132" s="4">
        <f>ClientiBanca[[#This Row],[Prestito]]+ClientiBanca[[#This Row],[Mutuo]]</f>
        <v>0</v>
      </c>
      <c r="L132" t="str">
        <f>IF(ClientiBanca[[#This Row],[Reddito annuo]]&gt;=70000,"si","no")</f>
        <v>no</v>
      </c>
    </row>
    <row r="133" spans="1:12">
      <c r="A133">
        <v>100132</v>
      </c>
      <c r="B133">
        <v>59</v>
      </c>
      <c r="C133" s="2">
        <v>29600</v>
      </c>
      <c r="D133" t="s">
        <v>21</v>
      </c>
      <c r="E133" s="2">
        <v>29600</v>
      </c>
      <c r="F133" s="2">
        <v>0</v>
      </c>
      <c r="G133" t="s">
        <v>16</v>
      </c>
      <c r="H133" t="s">
        <v>17</v>
      </c>
      <c r="I133" t="s">
        <v>18</v>
      </c>
      <c r="J133" s="3">
        <v>45408</v>
      </c>
      <c r="K133" s="4">
        <f>ClientiBanca[[#This Row],[Prestito]]+ClientiBanca[[#This Row],[Mutuo]]</f>
        <v>29600</v>
      </c>
      <c r="L133" t="str">
        <f>IF(ClientiBanca[[#This Row],[Reddito annuo]]&gt;=70000,"si","no")</f>
        <v>no</v>
      </c>
    </row>
    <row r="134" spans="1:12">
      <c r="A134">
        <v>100133</v>
      </c>
      <c r="B134">
        <v>42</v>
      </c>
      <c r="C134" s="2">
        <v>55000</v>
      </c>
      <c r="D134" t="s">
        <v>21</v>
      </c>
      <c r="E134" s="2">
        <v>33000</v>
      </c>
      <c r="F134" s="2">
        <v>0</v>
      </c>
      <c r="G134" t="s">
        <v>27</v>
      </c>
      <c r="H134" t="s">
        <v>20</v>
      </c>
      <c r="I134" t="s">
        <v>18</v>
      </c>
      <c r="J134" s="3">
        <v>45348</v>
      </c>
      <c r="K134" s="4">
        <f>ClientiBanca[[#This Row],[Prestito]]+ClientiBanca[[#This Row],[Mutuo]]</f>
        <v>33000</v>
      </c>
      <c r="L134" t="str">
        <f>IF(ClientiBanca[[#This Row],[Reddito annuo]]&gt;=70000,"si","no")</f>
        <v>no</v>
      </c>
    </row>
    <row r="135" spans="1:12">
      <c r="A135">
        <v>100134</v>
      </c>
      <c r="B135">
        <v>20</v>
      </c>
      <c r="C135" s="2">
        <v>41400</v>
      </c>
      <c r="D135" t="s">
        <v>22</v>
      </c>
      <c r="E135" s="2">
        <v>0</v>
      </c>
      <c r="F135" s="2">
        <v>0</v>
      </c>
      <c r="G135" t="s">
        <v>26</v>
      </c>
      <c r="H135" t="s">
        <v>17</v>
      </c>
      <c r="I135" t="s">
        <v>18</v>
      </c>
      <c r="J135" s="3">
        <v>45299</v>
      </c>
      <c r="K135" s="4">
        <f>ClientiBanca[[#This Row],[Prestito]]+ClientiBanca[[#This Row],[Mutuo]]</f>
        <v>0</v>
      </c>
      <c r="L135" t="str">
        <f>IF(ClientiBanca[[#This Row],[Reddito annuo]]&gt;=70000,"si","no")</f>
        <v>no</v>
      </c>
    </row>
    <row r="136" spans="1:12">
      <c r="A136">
        <v>100135</v>
      </c>
      <c r="B136">
        <v>51</v>
      </c>
      <c r="C136" s="2">
        <v>80100</v>
      </c>
      <c r="D136" t="s">
        <v>21</v>
      </c>
      <c r="E136" s="2">
        <v>46700</v>
      </c>
      <c r="F136" s="2">
        <v>0</v>
      </c>
      <c r="G136" t="s">
        <v>19</v>
      </c>
      <c r="H136" t="s">
        <v>20</v>
      </c>
      <c r="I136" t="s">
        <v>18</v>
      </c>
      <c r="J136" s="3">
        <v>45335</v>
      </c>
      <c r="K136" s="4">
        <f>ClientiBanca[[#This Row],[Prestito]]+ClientiBanca[[#This Row],[Mutuo]]</f>
        <v>46700</v>
      </c>
      <c r="L136" t="str">
        <f>IF(ClientiBanca[[#This Row],[Reddito annuo]]&gt;=70000,"si","no")</f>
        <v>si</v>
      </c>
    </row>
    <row r="137" spans="1:12">
      <c r="A137">
        <v>100136</v>
      </c>
      <c r="B137">
        <v>47</v>
      </c>
      <c r="C137" s="2">
        <v>25100</v>
      </c>
      <c r="D137" t="s">
        <v>22</v>
      </c>
      <c r="E137" s="2">
        <v>0</v>
      </c>
      <c r="F137" s="2">
        <v>0</v>
      </c>
      <c r="G137" t="s">
        <v>16</v>
      </c>
      <c r="H137" t="s">
        <v>14</v>
      </c>
      <c r="I137" t="s">
        <v>18</v>
      </c>
      <c r="J137" s="3">
        <v>45719</v>
      </c>
      <c r="K137" s="4">
        <f>ClientiBanca[[#This Row],[Prestito]]+ClientiBanca[[#This Row],[Mutuo]]</f>
        <v>0</v>
      </c>
      <c r="L137" t="str">
        <f>IF(ClientiBanca[[#This Row],[Reddito annuo]]&gt;=70000,"si","no")</f>
        <v>no</v>
      </c>
    </row>
    <row r="138" spans="1:12">
      <c r="A138">
        <v>100137</v>
      </c>
      <c r="B138">
        <v>38</v>
      </c>
      <c r="C138" s="2">
        <v>35600</v>
      </c>
      <c r="D138" t="s">
        <v>21</v>
      </c>
      <c r="E138" s="2">
        <v>44500</v>
      </c>
      <c r="F138" s="2">
        <v>0</v>
      </c>
      <c r="G138" t="s">
        <v>19</v>
      </c>
      <c r="H138" t="s">
        <v>20</v>
      </c>
      <c r="I138" t="s">
        <v>18</v>
      </c>
      <c r="J138" s="3">
        <v>45541</v>
      </c>
      <c r="K138" s="4">
        <f>ClientiBanca[[#This Row],[Prestito]]+ClientiBanca[[#This Row],[Mutuo]]</f>
        <v>44500</v>
      </c>
      <c r="L138" t="str">
        <f>IF(ClientiBanca[[#This Row],[Reddito annuo]]&gt;=70000,"si","no")</f>
        <v>no</v>
      </c>
    </row>
    <row r="139" spans="1:12">
      <c r="A139">
        <v>100138</v>
      </c>
      <c r="B139">
        <v>47</v>
      </c>
      <c r="C139" s="2">
        <v>66300</v>
      </c>
      <c r="D139" t="s">
        <v>12</v>
      </c>
      <c r="E139" s="2">
        <v>23900</v>
      </c>
      <c r="F139" s="2">
        <v>0</v>
      </c>
      <c r="G139" t="s">
        <v>19</v>
      </c>
      <c r="H139" t="s">
        <v>14</v>
      </c>
      <c r="I139" t="s">
        <v>15</v>
      </c>
      <c r="J139" s="3">
        <v>45940</v>
      </c>
      <c r="K139" s="4">
        <f>ClientiBanca[[#This Row],[Prestito]]+ClientiBanca[[#This Row],[Mutuo]]</f>
        <v>23900</v>
      </c>
      <c r="L139" t="str">
        <f>IF(ClientiBanca[[#This Row],[Reddito annuo]]&gt;=70000,"si","no")</f>
        <v>no</v>
      </c>
    </row>
    <row r="140" spans="1:12">
      <c r="A140">
        <v>100139</v>
      </c>
      <c r="B140">
        <v>27</v>
      </c>
      <c r="C140" s="2">
        <v>62000</v>
      </c>
      <c r="D140" t="s">
        <v>21</v>
      </c>
      <c r="E140" s="2">
        <v>0</v>
      </c>
      <c r="F140" s="2">
        <v>0</v>
      </c>
      <c r="G140" t="s">
        <v>24</v>
      </c>
      <c r="H140" t="s">
        <v>20</v>
      </c>
      <c r="I140" t="s">
        <v>18</v>
      </c>
      <c r="J140" s="3">
        <v>45441</v>
      </c>
      <c r="K140" s="4">
        <f>ClientiBanca[[#This Row],[Prestito]]+ClientiBanca[[#This Row],[Mutuo]]</f>
        <v>0</v>
      </c>
      <c r="L140" t="str">
        <f>IF(ClientiBanca[[#This Row],[Reddito annuo]]&gt;=70000,"si","no")</f>
        <v>no</v>
      </c>
    </row>
    <row r="141" spans="1:12">
      <c r="A141">
        <v>100140</v>
      </c>
      <c r="B141">
        <v>36</v>
      </c>
      <c r="C141" s="2">
        <v>41000</v>
      </c>
      <c r="D141" t="s">
        <v>12</v>
      </c>
      <c r="E141" s="2">
        <v>0</v>
      </c>
      <c r="F141" s="2">
        <v>0</v>
      </c>
      <c r="G141" t="s">
        <v>24</v>
      </c>
      <c r="H141" t="s">
        <v>25</v>
      </c>
      <c r="I141" t="s">
        <v>18</v>
      </c>
      <c r="J141" s="3">
        <v>45935</v>
      </c>
      <c r="K141" s="4">
        <f>ClientiBanca[[#This Row],[Prestito]]+ClientiBanca[[#This Row],[Mutuo]]</f>
        <v>0</v>
      </c>
      <c r="L141" t="str">
        <f>IF(ClientiBanca[[#This Row],[Reddito annuo]]&gt;=70000,"si","no")</f>
        <v>no</v>
      </c>
    </row>
    <row r="142" spans="1:12">
      <c r="A142">
        <v>100141</v>
      </c>
      <c r="B142">
        <v>51</v>
      </c>
      <c r="C142" s="2">
        <v>57300</v>
      </c>
      <c r="D142" t="s">
        <v>12</v>
      </c>
      <c r="E142" s="2">
        <v>45100</v>
      </c>
      <c r="F142" s="2">
        <v>0</v>
      </c>
      <c r="G142" t="s">
        <v>19</v>
      </c>
      <c r="H142" t="s">
        <v>14</v>
      </c>
      <c r="I142" t="s">
        <v>18</v>
      </c>
      <c r="J142" s="3">
        <v>45446</v>
      </c>
      <c r="K142" s="4">
        <f>ClientiBanca[[#This Row],[Prestito]]+ClientiBanca[[#This Row],[Mutuo]]</f>
        <v>45100</v>
      </c>
      <c r="L142" t="str">
        <f>IF(ClientiBanca[[#This Row],[Reddito annuo]]&gt;=70000,"si","no")</f>
        <v>no</v>
      </c>
    </row>
    <row r="143" spans="1:12">
      <c r="A143">
        <v>100142</v>
      </c>
      <c r="B143">
        <v>48</v>
      </c>
      <c r="C143" s="2">
        <v>31500</v>
      </c>
      <c r="D143" t="s">
        <v>21</v>
      </c>
      <c r="E143" s="2">
        <v>22200</v>
      </c>
      <c r="F143" s="2">
        <v>209000</v>
      </c>
      <c r="G143" t="s">
        <v>26</v>
      </c>
      <c r="H143" t="s">
        <v>17</v>
      </c>
      <c r="I143" t="s">
        <v>15</v>
      </c>
      <c r="J143" s="3">
        <v>45669</v>
      </c>
      <c r="K143" s="4">
        <f>ClientiBanca[[#This Row],[Prestito]]+ClientiBanca[[#This Row],[Mutuo]]</f>
        <v>231200</v>
      </c>
      <c r="L143" t="str">
        <f>IF(ClientiBanca[[#This Row],[Reddito annuo]]&gt;=70000,"si","no")</f>
        <v>no</v>
      </c>
    </row>
    <row r="144" spans="1:12">
      <c r="A144">
        <v>100143</v>
      </c>
      <c r="B144">
        <v>73</v>
      </c>
      <c r="C144" s="2">
        <v>46200</v>
      </c>
      <c r="D144" t="s">
        <v>12</v>
      </c>
      <c r="E144" s="2">
        <v>0</v>
      </c>
      <c r="F144" s="2">
        <v>229000</v>
      </c>
      <c r="G144" t="s">
        <v>16</v>
      </c>
      <c r="H144" t="s">
        <v>17</v>
      </c>
      <c r="I144" t="s">
        <v>18</v>
      </c>
      <c r="J144" s="3">
        <v>45859</v>
      </c>
      <c r="K144" s="4">
        <f>ClientiBanca[[#This Row],[Prestito]]+ClientiBanca[[#This Row],[Mutuo]]</f>
        <v>229000</v>
      </c>
      <c r="L144" t="str">
        <f>IF(ClientiBanca[[#This Row],[Reddito annuo]]&gt;=70000,"si","no")</f>
        <v>no</v>
      </c>
    </row>
    <row r="145" spans="1:12">
      <c r="A145">
        <v>100144</v>
      </c>
      <c r="B145">
        <v>70</v>
      </c>
      <c r="C145" s="2">
        <v>79300</v>
      </c>
      <c r="D145" t="s">
        <v>21</v>
      </c>
      <c r="E145" s="2">
        <v>0</v>
      </c>
      <c r="F145" s="2">
        <v>0</v>
      </c>
      <c r="G145" t="s">
        <v>23</v>
      </c>
      <c r="H145" t="s">
        <v>20</v>
      </c>
      <c r="I145" t="s">
        <v>18</v>
      </c>
      <c r="J145" s="3">
        <v>45779</v>
      </c>
      <c r="K145" s="4">
        <f>ClientiBanca[[#This Row],[Prestito]]+ClientiBanca[[#This Row],[Mutuo]]</f>
        <v>0</v>
      </c>
      <c r="L145" t="str">
        <f>IF(ClientiBanca[[#This Row],[Reddito annuo]]&gt;=70000,"si","no")</f>
        <v>si</v>
      </c>
    </row>
    <row r="146" spans="1:12">
      <c r="A146">
        <v>100145</v>
      </c>
      <c r="B146">
        <v>52</v>
      </c>
      <c r="C146" s="2">
        <v>38100</v>
      </c>
      <c r="D146" t="s">
        <v>21</v>
      </c>
      <c r="E146" s="2">
        <v>47600</v>
      </c>
      <c r="F146" s="2">
        <v>0</v>
      </c>
      <c r="G146" t="s">
        <v>13</v>
      </c>
      <c r="H146" t="s">
        <v>17</v>
      </c>
      <c r="I146" t="s">
        <v>18</v>
      </c>
      <c r="J146" s="3">
        <v>45545</v>
      </c>
      <c r="K146" s="4">
        <f>ClientiBanca[[#This Row],[Prestito]]+ClientiBanca[[#This Row],[Mutuo]]</f>
        <v>47600</v>
      </c>
      <c r="L146" t="str">
        <f>IF(ClientiBanca[[#This Row],[Reddito annuo]]&gt;=70000,"si","no")</f>
        <v>no</v>
      </c>
    </row>
    <row r="147" spans="1:12">
      <c r="A147">
        <v>100146</v>
      </c>
      <c r="B147">
        <v>65</v>
      </c>
      <c r="C147" s="2">
        <v>55600</v>
      </c>
      <c r="D147" t="s">
        <v>21</v>
      </c>
      <c r="E147" s="2">
        <v>17000</v>
      </c>
      <c r="F147" s="2">
        <v>0</v>
      </c>
      <c r="G147" t="s">
        <v>26</v>
      </c>
      <c r="H147" t="s">
        <v>17</v>
      </c>
      <c r="I147" t="s">
        <v>18</v>
      </c>
      <c r="J147" s="3">
        <v>45987</v>
      </c>
      <c r="K147" s="4">
        <f>ClientiBanca[[#This Row],[Prestito]]+ClientiBanca[[#This Row],[Mutuo]]</f>
        <v>17000</v>
      </c>
      <c r="L147" t="str">
        <f>IF(ClientiBanca[[#This Row],[Reddito annuo]]&gt;=70000,"si","no")</f>
        <v>no</v>
      </c>
    </row>
    <row r="148" spans="1:12">
      <c r="A148">
        <v>100147</v>
      </c>
      <c r="B148">
        <v>58</v>
      </c>
      <c r="C148" s="2">
        <v>29900</v>
      </c>
      <c r="D148" t="s">
        <v>12</v>
      </c>
      <c r="E148" s="2">
        <v>24800</v>
      </c>
      <c r="F148" s="2">
        <v>0</v>
      </c>
      <c r="G148" t="s">
        <v>16</v>
      </c>
      <c r="H148" t="s">
        <v>17</v>
      </c>
      <c r="I148" t="s">
        <v>18</v>
      </c>
      <c r="J148" s="3">
        <v>45964</v>
      </c>
      <c r="K148" s="4">
        <f>ClientiBanca[[#This Row],[Prestito]]+ClientiBanca[[#This Row],[Mutuo]]</f>
        <v>24800</v>
      </c>
      <c r="L148" t="str">
        <f>IF(ClientiBanca[[#This Row],[Reddito annuo]]&gt;=70000,"si","no")</f>
        <v>no</v>
      </c>
    </row>
    <row r="149" spans="1:12">
      <c r="A149">
        <v>100148</v>
      </c>
      <c r="B149">
        <v>58</v>
      </c>
      <c r="C149" s="2">
        <v>94700</v>
      </c>
      <c r="D149" t="s">
        <v>21</v>
      </c>
      <c r="E149" s="2">
        <v>16100</v>
      </c>
      <c r="F149" s="2">
        <v>0</v>
      </c>
      <c r="G149" t="s">
        <v>16</v>
      </c>
      <c r="H149" t="s">
        <v>20</v>
      </c>
      <c r="I149" t="s">
        <v>18</v>
      </c>
      <c r="J149" s="3">
        <v>45378</v>
      </c>
      <c r="K149" s="4">
        <f>ClientiBanca[[#This Row],[Prestito]]+ClientiBanca[[#This Row],[Mutuo]]</f>
        <v>16100</v>
      </c>
      <c r="L149" t="str">
        <f>IF(ClientiBanca[[#This Row],[Reddito annuo]]&gt;=70000,"si","no")</f>
        <v>si</v>
      </c>
    </row>
    <row r="150" spans="1:12">
      <c r="A150">
        <v>100149</v>
      </c>
      <c r="B150">
        <v>39</v>
      </c>
      <c r="C150" s="2">
        <v>64100</v>
      </c>
      <c r="D150" t="s">
        <v>12</v>
      </c>
      <c r="E150" s="2">
        <v>15400</v>
      </c>
      <c r="F150" s="2">
        <v>0</v>
      </c>
      <c r="G150" t="s">
        <v>13</v>
      </c>
      <c r="H150" t="s">
        <v>17</v>
      </c>
      <c r="I150" t="s">
        <v>18</v>
      </c>
      <c r="J150" s="3">
        <v>45662</v>
      </c>
      <c r="K150" s="4">
        <f>ClientiBanca[[#This Row],[Prestito]]+ClientiBanca[[#This Row],[Mutuo]]</f>
        <v>15400</v>
      </c>
      <c r="L150" t="str">
        <f>IF(ClientiBanca[[#This Row],[Reddito annuo]]&gt;=70000,"si","no")</f>
        <v>no</v>
      </c>
    </row>
    <row r="151" spans="1:12">
      <c r="A151">
        <v>100150</v>
      </c>
      <c r="B151">
        <v>21</v>
      </c>
      <c r="C151" s="2">
        <v>50700</v>
      </c>
      <c r="D151" t="s">
        <v>21</v>
      </c>
      <c r="E151" s="2">
        <v>63400</v>
      </c>
      <c r="F151" s="2">
        <v>0</v>
      </c>
      <c r="G151" t="s">
        <v>23</v>
      </c>
      <c r="H151" t="s">
        <v>25</v>
      </c>
      <c r="I151" t="s">
        <v>15</v>
      </c>
      <c r="J151" s="3">
        <v>45594</v>
      </c>
      <c r="K151" s="4">
        <f>ClientiBanca[[#This Row],[Prestito]]+ClientiBanca[[#This Row],[Mutuo]]</f>
        <v>63400</v>
      </c>
      <c r="L151" t="str">
        <f>IF(ClientiBanca[[#This Row],[Reddito annuo]]&gt;=70000,"si","no")</f>
        <v>no</v>
      </c>
    </row>
    <row r="152" spans="1:12">
      <c r="A152">
        <v>100151</v>
      </c>
      <c r="B152">
        <v>74</v>
      </c>
      <c r="C152" s="2">
        <v>84300</v>
      </c>
      <c r="D152" t="s">
        <v>12</v>
      </c>
      <c r="E152" s="2">
        <v>49300</v>
      </c>
      <c r="F152" s="2">
        <v>0</v>
      </c>
      <c r="G152" t="s">
        <v>19</v>
      </c>
      <c r="H152" t="s">
        <v>14</v>
      </c>
      <c r="I152" t="s">
        <v>18</v>
      </c>
      <c r="J152" s="3">
        <v>45903</v>
      </c>
      <c r="K152" s="4">
        <f>ClientiBanca[[#This Row],[Prestito]]+ClientiBanca[[#This Row],[Mutuo]]</f>
        <v>49300</v>
      </c>
      <c r="L152" t="str">
        <f>IF(ClientiBanca[[#This Row],[Reddito annuo]]&gt;=70000,"si","no")</f>
        <v>si</v>
      </c>
    </row>
    <row r="153" spans="1:12">
      <c r="A153">
        <v>100152</v>
      </c>
      <c r="B153">
        <v>44</v>
      </c>
      <c r="C153" s="2">
        <v>38400</v>
      </c>
      <c r="D153" t="s">
        <v>21</v>
      </c>
      <c r="E153" s="2">
        <v>41200</v>
      </c>
      <c r="F153" s="2">
        <v>0</v>
      </c>
      <c r="G153" t="s">
        <v>28</v>
      </c>
      <c r="H153" t="s">
        <v>20</v>
      </c>
      <c r="I153" t="s">
        <v>18</v>
      </c>
      <c r="J153" s="3">
        <v>46028</v>
      </c>
      <c r="K153" s="4">
        <f>ClientiBanca[[#This Row],[Prestito]]+ClientiBanca[[#This Row],[Mutuo]]</f>
        <v>41200</v>
      </c>
      <c r="L153" t="str">
        <f>IF(ClientiBanca[[#This Row],[Reddito annuo]]&gt;=70000,"si","no")</f>
        <v>no</v>
      </c>
    </row>
    <row r="154" spans="1:12">
      <c r="A154">
        <v>100153</v>
      </c>
      <c r="B154">
        <v>35</v>
      </c>
      <c r="C154" s="2">
        <v>112700</v>
      </c>
      <c r="D154" t="s">
        <v>12</v>
      </c>
      <c r="E154" s="2">
        <v>0</v>
      </c>
      <c r="F154" s="2">
        <v>0</v>
      </c>
      <c r="G154" t="s">
        <v>23</v>
      </c>
      <c r="H154" t="s">
        <v>17</v>
      </c>
      <c r="I154" t="s">
        <v>18</v>
      </c>
      <c r="J154" s="3">
        <v>45608</v>
      </c>
      <c r="K154" s="4">
        <f>ClientiBanca[[#This Row],[Prestito]]+ClientiBanca[[#This Row],[Mutuo]]</f>
        <v>0</v>
      </c>
      <c r="L154" t="str">
        <f>IF(ClientiBanca[[#This Row],[Reddito annuo]]&gt;=70000,"si","no")</f>
        <v>si</v>
      </c>
    </row>
    <row r="155" spans="1:12">
      <c r="A155">
        <v>100154</v>
      </c>
      <c r="B155">
        <v>71</v>
      </c>
      <c r="C155" s="2">
        <v>83900</v>
      </c>
      <c r="D155" t="s">
        <v>22</v>
      </c>
      <c r="E155" s="2">
        <v>44900</v>
      </c>
      <c r="F155" s="2">
        <v>0</v>
      </c>
      <c r="G155" t="s">
        <v>28</v>
      </c>
      <c r="H155" t="s">
        <v>20</v>
      </c>
      <c r="I155" t="s">
        <v>18</v>
      </c>
      <c r="J155" s="3">
        <v>45683</v>
      </c>
      <c r="K155" s="4">
        <f>ClientiBanca[[#This Row],[Prestito]]+ClientiBanca[[#This Row],[Mutuo]]</f>
        <v>44900</v>
      </c>
      <c r="L155" t="str">
        <f>IF(ClientiBanca[[#This Row],[Reddito annuo]]&gt;=70000,"si","no")</f>
        <v>si</v>
      </c>
    </row>
    <row r="156" spans="1:12">
      <c r="A156">
        <v>100155</v>
      </c>
      <c r="B156">
        <v>52</v>
      </c>
      <c r="C156" s="2">
        <v>61800</v>
      </c>
      <c r="D156" t="s">
        <v>22</v>
      </c>
      <c r="E156" s="2">
        <v>0</v>
      </c>
      <c r="F156" s="2">
        <v>0</v>
      </c>
      <c r="G156" t="s">
        <v>24</v>
      </c>
      <c r="H156" t="s">
        <v>14</v>
      </c>
      <c r="I156" t="s">
        <v>18</v>
      </c>
      <c r="J156" s="3">
        <v>45345</v>
      </c>
      <c r="K156" s="4">
        <f>ClientiBanca[[#This Row],[Prestito]]+ClientiBanca[[#This Row],[Mutuo]]</f>
        <v>0</v>
      </c>
      <c r="L156" t="str">
        <f>IF(ClientiBanca[[#This Row],[Reddito annuo]]&gt;=70000,"si","no")</f>
        <v>no</v>
      </c>
    </row>
    <row r="157" spans="1:12">
      <c r="A157">
        <v>100156</v>
      </c>
      <c r="B157">
        <v>61</v>
      </c>
      <c r="C157" s="2">
        <v>58500</v>
      </c>
      <c r="D157" t="s">
        <v>21</v>
      </c>
      <c r="E157" s="2">
        <v>0</v>
      </c>
      <c r="F157" s="2">
        <v>0</v>
      </c>
      <c r="G157" t="s">
        <v>13</v>
      </c>
      <c r="H157" t="s">
        <v>20</v>
      </c>
      <c r="I157" t="s">
        <v>18</v>
      </c>
      <c r="J157" s="3">
        <v>46073</v>
      </c>
      <c r="K157" s="4">
        <f>ClientiBanca[[#This Row],[Prestito]]+ClientiBanca[[#This Row],[Mutuo]]</f>
        <v>0</v>
      </c>
      <c r="L157" t="str">
        <f>IF(ClientiBanca[[#This Row],[Reddito annuo]]&gt;=70000,"si","no")</f>
        <v>no</v>
      </c>
    </row>
    <row r="158" spans="1:12">
      <c r="A158">
        <v>100157</v>
      </c>
      <c r="B158">
        <v>30</v>
      </c>
      <c r="C158" s="2">
        <v>45300</v>
      </c>
      <c r="D158" t="s">
        <v>22</v>
      </c>
      <c r="E158" s="2">
        <v>30300</v>
      </c>
      <c r="F158" s="2">
        <v>0</v>
      </c>
      <c r="G158" t="s">
        <v>23</v>
      </c>
      <c r="H158" t="s">
        <v>14</v>
      </c>
      <c r="I158" t="s">
        <v>18</v>
      </c>
      <c r="J158" s="3">
        <v>46244</v>
      </c>
      <c r="K158" s="4">
        <f>ClientiBanca[[#This Row],[Prestito]]+ClientiBanca[[#This Row],[Mutuo]]</f>
        <v>30300</v>
      </c>
      <c r="L158" t="str">
        <f>IF(ClientiBanca[[#This Row],[Reddito annuo]]&gt;=70000,"si","no")</f>
        <v>no</v>
      </c>
    </row>
    <row r="159" spans="1:12">
      <c r="A159">
        <v>100158</v>
      </c>
      <c r="B159">
        <v>21</v>
      </c>
      <c r="C159" s="2">
        <v>54100</v>
      </c>
      <c r="D159" t="s">
        <v>21</v>
      </c>
      <c r="E159" s="2">
        <v>27600</v>
      </c>
      <c r="F159" s="2">
        <v>154000</v>
      </c>
      <c r="G159" t="s">
        <v>19</v>
      </c>
      <c r="H159" t="s">
        <v>14</v>
      </c>
      <c r="I159" t="s">
        <v>18</v>
      </c>
      <c r="J159" s="3">
        <v>45957</v>
      </c>
      <c r="K159" s="4">
        <f>ClientiBanca[[#This Row],[Prestito]]+ClientiBanca[[#This Row],[Mutuo]]</f>
        <v>181600</v>
      </c>
      <c r="L159" t="str">
        <f>IF(ClientiBanca[[#This Row],[Reddito annuo]]&gt;=70000,"si","no")</f>
        <v>no</v>
      </c>
    </row>
    <row r="160" spans="1:12">
      <c r="A160">
        <v>100159</v>
      </c>
      <c r="B160">
        <v>41</v>
      </c>
      <c r="C160" s="2">
        <v>84700</v>
      </c>
      <c r="D160" t="s">
        <v>21</v>
      </c>
      <c r="E160" s="2">
        <v>57200</v>
      </c>
      <c r="F160" s="2">
        <v>0</v>
      </c>
      <c r="G160" t="s">
        <v>24</v>
      </c>
      <c r="H160" t="s">
        <v>17</v>
      </c>
      <c r="I160" t="s">
        <v>18</v>
      </c>
      <c r="J160" s="3">
        <v>45922</v>
      </c>
      <c r="K160" s="4">
        <f>ClientiBanca[[#This Row],[Prestito]]+ClientiBanca[[#This Row],[Mutuo]]</f>
        <v>57200</v>
      </c>
      <c r="L160" t="str">
        <f>IF(ClientiBanca[[#This Row],[Reddito annuo]]&gt;=70000,"si","no")</f>
        <v>si</v>
      </c>
    </row>
    <row r="161" spans="1:12">
      <c r="A161">
        <v>100160</v>
      </c>
      <c r="B161">
        <v>20</v>
      </c>
      <c r="C161" s="2">
        <v>99500</v>
      </c>
      <c r="D161" t="s">
        <v>21</v>
      </c>
      <c r="E161" s="2">
        <v>16500</v>
      </c>
      <c r="F161" s="2">
        <v>0</v>
      </c>
      <c r="G161" t="s">
        <v>16</v>
      </c>
      <c r="H161" t="s">
        <v>20</v>
      </c>
      <c r="I161" t="s">
        <v>18</v>
      </c>
      <c r="J161" s="3">
        <v>45600</v>
      </c>
      <c r="K161" s="4">
        <f>ClientiBanca[[#This Row],[Prestito]]+ClientiBanca[[#This Row],[Mutuo]]</f>
        <v>16500</v>
      </c>
      <c r="L161" t="str">
        <f>IF(ClientiBanca[[#This Row],[Reddito annuo]]&gt;=70000,"si","no")</f>
        <v>si</v>
      </c>
    </row>
    <row r="162" spans="1:12">
      <c r="A162">
        <v>100161</v>
      </c>
      <c r="B162">
        <v>27</v>
      </c>
      <c r="C162" s="2">
        <v>29300</v>
      </c>
      <c r="D162" t="s">
        <v>21</v>
      </c>
      <c r="E162" s="2">
        <v>0</v>
      </c>
      <c r="F162" s="2">
        <v>0</v>
      </c>
      <c r="G162" t="s">
        <v>13</v>
      </c>
      <c r="H162" t="s">
        <v>14</v>
      </c>
      <c r="I162" t="s">
        <v>18</v>
      </c>
      <c r="J162" s="3">
        <v>45803</v>
      </c>
      <c r="K162" s="4">
        <f>ClientiBanca[[#This Row],[Prestito]]+ClientiBanca[[#This Row],[Mutuo]]</f>
        <v>0</v>
      </c>
      <c r="L162" t="str">
        <f>IF(ClientiBanca[[#This Row],[Reddito annuo]]&gt;=70000,"si","no")</f>
        <v>no</v>
      </c>
    </row>
    <row r="163" spans="1:12">
      <c r="A163">
        <v>100162</v>
      </c>
      <c r="B163">
        <v>58</v>
      </c>
      <c r="C163" s="2">
        <v>62400</v>
      </c>
      <c r="D163" t="s">
        <v>12</v>
      </c>
      <c r="E163" s="2">
        <v>47800</v>
      </c>
      <c r="F163" s="2">
        <v>0</v>
      </c>
      <c r="G163" t="s">
        <v>27</v>
      </c>
      <c r="H163" t="s">
        <v>17</v>
      </c>
      <c r="I163" t="s">
        <v>18</v>
      </c>
      <c r="J163" s="3">
        <v>45718</v>
      </c>
      <c r="K163" s="4">
        <f>ClientiBanca[[#This Row],[Prestito]]+ClientiBanca[[#This Row],[Mutuo]]</f>
        <v>47800</v>
      </c>
      <c r="L163" t="str">
        <f>IF(ClientiBanca[[#This Row],[Reddito annuo]]&gt;=70000,"si","no")</f>
        <v>no</v>
      </c>
    </row>
    <row r="164" spans="1:12">
      <c r="A164">
        <v>100163</v>
      </c>
      <c r="B164">
        <v>31</v>
      </c>
      <c r="C164" s="2">
        <v>72500</v>
      </c>
      <c r="D164" t="s">
        <v>21</v>
      </c>
      <c r="E164" s="2">
        <v>0</v>
      </c>
      <c r="F164" s="2">
        <v>213000</v>
      </c>
      <c r="G164" t="s">
        <v>27</v>
      </c>
      <c r="H164" t="s">
        <v>17</v>
      </c>
      <c r="I164" t="s">
        <v>18</v>
      </c>
      <c r="J164" s="3">
        <v>45773</v>
      </c>
      <c r="K164" s="4">
        <f>ClientiBanca[[#This Row],[Prestito]]+ClientiBanca[[#This Row],[Mutuo]]</f>
        <v>213000</v>
      </c>
      <c r="L164" t="str">
        <f>IF(ClientiBanca[[#This Row],[Reddito annuo]]&gt;=70000,"si","no")</f>
        <v>si</v>
      </c>
    </row>
    <row r="165" spans="1:12">
      <c r="A165">
        <v>100164</v>
      </c>
      <c r="B165">
        <v>22</v>
      </c>
      <c r="C165" s="2">
        <v>70100</v>
      </c>
      <c r="D165" t="s">
        <v>22</v>
      </c>
      <c r="E165" s="2">
        <v>6800</v>
      </c>
      <c r="F165" s="2">
        <v>0</v>
      </c>
      <c r="G165" t="s">
        <v>19</v>
      </c>
      <c r="H165" t="s">
        <v>20</v>
      </c>
      <c r="I165" t="s">
        <v>18</v>
      </c>
      <c r="J165" s="3">
        <v>45398</v>
      </c>
      <c r="K165" s="4">
        <f>ClientiBanca[[#This Row],[Prestito]]+ClientiBanca[[#This Row],[Mutuo]]</f>
        <v>6800</v>
      </c>
      <c r="L165" t="str">
        <f>IF(ClientiBanca[[#This Row],[Reddito annuo]]&gt;=70000,"si","no")</f>
        <v>si</v>
      </c>
    </row>
    <row r="166" spans="1:12">
      <c r="A166">
        <v>100165</v>
      </c>
      <c r="B166">
        <v>69</v>
      </c>
      <c r="C166" s="2">
        <v>65800</v>
      </c>
      <c r="D166" t="s">
        <v>12</v>
      </c>
      <c r="E166" s="2">
        <v>25900</v>
      </c>
      <c r="F166" s="2">
        <v>0</v>
      </c>
      <c r="G166" t="s">
        <v>24</v>
      </c>
      <c r="H166" t="s">
        <v>14</v>
      </c>
      <c r="I166" t="s">
        <v>18</v>
      </c>
      <c r="J166" s="3">
        <v>46004</v>
      </c>
      <c r="K166" s="4">
        <f>ClientiBanca[[#This Row],[Prestito]]+ClientiBanca[[#This Row],[Mutuo]]</f>
        <v>25900</v>
      </c>
      <c r="L166" t="str">
        <f>IF(ClientiBanca[[#This Row],[Reddito annuo]]&gt;=70000,"si","no")</f>
        <v>no</v>
      </c>
    </row>
    <row r="167" spans="1:12">
      <c r="A167">
        <v>100166</v>
      </c>
      <c r="B167">
        <v>50</v>
      </c>
      <c r="C167" s="2">
        <v>69800</v>
      </c>
      <c r="D167" t="s">
        <v>12</v>
      </c>
      <c r="E167" s="2">
        <v>52300</v>
      </c>
      <c r="F167" s="2">
        <v>0</v>
      </c>
      <c r="G167" t="s">
        <v>26</v>
      </c>
      <c r="H167" t="s">
        <v>20</v>
      </c>
      <c r="I167" t="s">
        <v>18</v>
      </c>
      <c r="J167" s="3">
        <v>46199</v>
      </c>
      <c r="K167" s="4">
        <f>ClientiBanca[[#This Row],[Prestito]]+ClientiBanca[[#This Row],[Mutuo]]</f>
        <v>52300</v>
      </c>
      <c r="L167" t="str">
        <f>IF(ClientiBanca[[#This Row],[Reddito annuo]]&gt;=70000,"si","no")</f>
        <v>no</v>
      </c>
    </row>
    <row r="168" spans="1:12">
      <c r="A168">
        <v>100167</v>
      </c>
      <c r="B168">
        <v>22</v>
      </c>
      <c r="C168" s="2">
        <v>47900</v>
      </c>
      <c r="D168" t="s">
        <v>21</v>
      </c>
      <c r="E168" s="2">
        <v>55800</v>
      </c>
      <c r="F168" s="2">
        <v>0</v>
      </c>
      <c r="G168" t="s">
        <v>27</v>
      </c>
      <c r="H168" t="s">
        <v>14</v>
      </c>
      <c r="I168" t="s">
        <v>18</v>
      </c>
      <c r="J168" s="3">
        <v>45657</v>
      </c>
      <c r="K168" s="4">
        <f>ClientiBanca[[#This Row],[Prestito]]+ClientiBanca[[#This Row],[Mutuo]]</f>
        <v>55800</v>
      </c>
      <c r="L168" t="str">
        <f>IF(ClientiBanca[[#This Row],[Reddito annuo]]&gt;=70000,"si","no")</f>
        <v>no</v>
      </c>
    </row>
    <row r="169" spans="1:12">
      <c r="A169">
        <v>100168</v>
      </c>
      <c r="B169">
        <v>75</v>
      </c>
      <c r="C169" s="2">
        <v>83500</v>
      </c>
      <c r="D169" t="s">
        <v>22</v>
      </c>
      <c r="E169" s="2">
        <v>15200</v>
      </c>
      <c r="F169" s="2">
        <v>0</v>
      </c>
      <c r="G169" t="s">
        <v>16</v>
      </c>
      <c r="H169" t="s">
        <v>17</v>
      </c>
      <c r="I169" t="s">
        <v>18</v>
      </c>
      <c r="J169" s="3">
        <v>45687</v>
      </c>
      <c r="K169" s="4">
        <f>ClientiBanca[[#This Row],[Prestito]]+ClientiBanca[[#This Row],[Mutuo]]</f>
        <v>15200</v>
      </c>
      <c r="L169" t="str">
        <f>IF(ClientiBanca[[#This Row],[Reddito annuo]]&gt;=70000,"si","no")</f>
        <v>si</v>
      </c>
    </row>
    <row r="170" spans="1:12">
      <c r="A170">
        <v>100169</v>
      </c>
      <c r="B170">
        <v>41</v>
      </c>
      <c r="C170" s="2">
        <v>113900</v>
      </c>
      <c r="D170" t="s">
        <v>21</v>
      </c>
      <c r="E170" s="2">
        <v>68100</v>
      </c>
      <c r="F170" s="2">
        <v>0</v>
      </c>
      <c r="G170" t="s">
        <v>13</v>
      </c>
      <c r="H170" t="s">
        <v>17</v>
      </c>
      <c r="I170" t="s">
        <v>18</v>
      </c>
      <c r="J170" s="3">
        <v>45908</v>
      </c>
      <c r="K170" s="4">
        <f>ClientiBanca[[#This Row],[Prestito]]+ClientiBanca[[#This Row],[Mutuo]]</f>
        <v>68100</v>
      </c>
      <c r="L170" t="str">
        <f>IF(ClientiBanca[[#This Row],[Reddito annuo]]&gt;=70000,"si","no")</f>
        <v>si</v>
      </c>
    </row>
    <row r="171" spans="1:12">
      <c r="A171">
        <v>100170</v>
      </c>
      <c r="B171">
        <v>72</v>
      </c>
      <c r="C171" s="2">
        <v>40000</v>
      </c>
      <c r="D171" t="s">
        <v>21</v>
      </c>
      <c r="E171" s="2">
        <v>24700</v>
      </c>
      <c r="F171" s="2">
        <v>0</v>
      </c>
      <c r="G171" t="s">
        <v>28</v>
      </c>
      <c r="H171" t="s">
        <v>14</v>
      </c>
      <c r="I171" t="s">
        <v>18</v>
      </c>
      <c r="J171" s="3">
        <v>45998</v>
      </c>
      <c r="K171" s="4">
        <f>ClientiBanca[[#This Row],[Prestito]]+ClientiBanca[[#This Row],[Mutuo]]</f>
        <v>24700</v>
      </c>
      <c r="L171" t="str">
        <f>IF(ClientiBanca[[#This Row],[Reddito annuo]]&gt;=70000,"si","no")</f>
        <v>no</v>
      </c>
    </row>
    <row r="172" spans="1:12">
      <c r="A172">
        <v>100171</v>
      </c>
      <c r="B172">
        <v>48</v>
      </c>
      <c r="C172" s="2">
        <v>50100</v>
      </c>
      <c r="D172" t="s">
        <v>21</v>
      </c>
      <c r="E172" s="2">
        <v>0</v>
      </c>
      <c r="F172" s="2">
        <v>0</v>
      </c>
      <c r="G172" t="s">
        <v>16</v>
      </c>
      <c r="H172" t="s">
        <v>20</v>
      </c>
      <c r="I172" t="s">
        <v>18</v>
      </c>
      <c r="J172" s="3">
        <v>46102</v>
      </c>
      <c r="K172" s="4">
        <f>ClientiBanca[[#This Row],[Prestito]]+ClientiBanca[[#This Row],[Mutuo]]</f>
        <v>0</v>
      </c>
      <c r="L172" t="str">
        <f>IF(ClientiBanca[[#This Row],[Reddito annuo]]&gt;=70000,"si","no")</f>
        <v>no</v>
      </c>
    </row>
    <row r="173" spans="1:12">
      <c r="A173">
        <v>100172</v>
      </c>
      <c r="B173">
        <v>23</v>
      </c>
      <c r="C173" s="2">
        <v>32200</v>
      </c>
      <c r="D173" t="s">
        <v>12</v>
      </c>
      <c r="E173" s="2">
        <v>40200</v>
      </c>
      <c r="F173" s="2">
        <v>0</v>
      </c>
      <c r="G173" t="s">
        <v>27</v>
      </c>
      <c r="H173" t="s">
        <v>20</v>
      </c>
      <c r="I173" t="s">
        <v>18</v>
      </c>
      <c r="J173" s="3">
        <v>46092</v>
      </c>
      <c r="K173" s="4">
        <f>ClientiBanca[[#This Row],[Prestito]]+ClientiBanca[[#This Row],[Mutuo]]</f>
        <v>40200</v>
      </c>
      <c r="L173" t="str">
        <f>IF(ClientiBanca[[#This Row],[Reddito annuo]]&gt;=70000,"si","no")</f>
        <v>no</v>
      </c>
    </row>
    <row r="174" spans="1:12">
      <c r="A174">
        <v>100173</v>
      </c>
      <c r="B174">
        <v>48</v>
      </c>
      <c r="C174" s="2">
        <v>27700</v>
      </c>
      <c r="D174" t="s">
        <v>21</v>
      </c>
      <c r="E174" s="2">
        <v>0</v>
      </c>
      <c r="F174" s="2">
        <v>0</v>
      </c>
      <c r="G174" t="s">
        <v>16</v>
      </c>
      <c r="H174" t="s">
        <v>25</v>
      </c>
      <c r="I174" t="s">
        <v>18</v>
      </c>
      <c r="J174" s="3">
        <v>45325</v>
      </c>
      <c r="K174" s="4">
        <f>ClientiBanca[[#This Row],[Prestito]]+ClientiBanca[[#This Row],[Mutuo]]</f>
        <v>0</v>
      </c>
      <c r="L174" t="str">
        <f>IF(ClientiBanca[[#This Row],[Reddito annuo]]&gt;=70000,"si","no")</f>
        <v>no</v>
      </c>
    </row>
    <row r="175" spans="1:12">
      <c r="A175">
        <v>100174</v>
      </c>
      <c r="B175">
        <v>58</v>
      </c>
      <c r="C175" s="2">
        <v>38300</v>
      </c>
      <c r="D175" t="s">
        <v>21</v>
      </c>
      <c r="E175" s="2">
        <v>30600</v>
      </c>
      <c r="F175" s="2">
        <v>134000</v>
      </c>
      <c r="G175" t="s">
        <v>19</v>
      </c>
      <c r="H175" t="s">
        <v>17</v>
      </c>
      <c r="I175" t="s">
        <v>18</v>
      </c>
      <c r="J175" s="3">
        <v>45547</v>
      </c>
      <c r="K175" s="4">
        <f>ClientiBanca[[#This Row],[Prestito]]+ClientiBanca[[#This Row],[Mutuo]]</f>
        <v>164600</v>
      </c>
      <c r="L175" t="str">
        <f>IF(ClientiBanca[[#This Row],[Reddito annuo]]&gt;=70000,"si","no")</f>
        <v>no</v>
      </c>
    </row>
    <row r="176" spans="1:12">
      <c r="A176">
        <v>100175</v>
      </c>
      <c r="B176">
        <v>27</v>
      </c>
      <c r="C176" s="2">
        <v>26300</v>
      </c>
      <c r="D176" t="s">
        <v>21</v>
      </c>
      <c r="E176" s="2">
        <v>32900</v>
      </c>
      <c r="F176" s="2">
        <v>278000</v>
      </c>
      <c r="G176" t="s">
        <v>28</v>
      </c>
      <c r="H176" t="s">
        <v>17</v>
      </c>
      <c r="I176" t="s">
        <v>18</v>
      </c>
      <c r="J176" s="3">
        <v>46002</v>
      </c>
      <c r="K176" s="4">
        <f>ClientiBanca[[#This Row],[Prestito]]+ClientiBanca[[#This Row],[Mutuo]]</f>
        <v>310900</v>
      </c>
      <c r="L176" t="str">
        <f>IF(ClientiBanca[[#This Row],[Reddito annuo]]&gt;=70000,"si","no")</f>
        <v>no</v>
      </c>
    </row>
    <row r="177" spans="1:12">
      <c r="A177">
        <v>100176</v>
      </c>
      <c r="B177">
        <v>51</v>
      </c>
      <c r="C177" s="2">
        <v>41200</v>
      </c>
      <c r="D177" t="s">
        <v>21</v>
      </c>
      <c r="E177" s="2">
        <v>17600</v>
      </c>
      <c r="F177" s="2">
        <v>0</v>
      </c>
      <c r="G177" t="s">
        <v>13</v>
      </c>
      <c r="H177" t="s">
        <v>14</v>
      </c>
      <c r="I177" t="s">
        <v>18</v>
      </c>
      <c r="J177" s="3">
        <v>45619</v>
      </c>
      <c r="K177" s="4">
        <f>ClientiBanca[[#This Row],[Prestito]]+ClientiBanca[[#This Row],[Mutuo]]</f>
        <v>17600</v>
      </c>
      <c r="L177" t="str">
        <f>IF(ClientiBanca[[#This Row],[Reddito annuo]]&gt;=70000,"si","no")</f>
        <v>no</v>
      </c>
    </row>
    <row r="178" spans="1:12">
      <c r="A178">
        <v>100177</v>
      </c>
      <c r="B178">
        <v>62</v>
      </c>
      <c r="C178" s="2">
        <v>49800</v>
      </c>
      <c r="D178" t="s">
        <v>21</v>
      </c>
      <c r="E178" s="2">
        <v>62200</v>
      </c>
      <c r="F178" s="2">
        <v>0</v>
      </c>
      <c r="G178" t="s">
        <v>24</v>
      </c>
      <c r="H178" t="s">
        <v>14</v>
      </c>
      <c r="I178" t="s">
        <v>18</v>
      </c>
      <c r="J178" s="3">
        <v>45416</v>
      </c>
      <c r="K178" s="4">
        <f>ClientiBanca[[#This Row],[Prestito]]+ClientiBanca[[#This Row],[Mutuo]]</f>
        <v>62200</v>
      </c>
      <c r="L178" t="str">
        <f>IF(ClientiBanca[[#This Row],[Reddito annuo]]&gt;=70000,"si","no")</f>
        <v>no</v>
      </c>
    </row>
    <row r="179" spans="1:12">
      <c r="A179">
        <v>100178</v>
      </c>
      <c r="B179">
        <v>32</v>
      </c>
      <c r="C179" s="2">
        <v>84700</v>
      </c>
      <c r="D179" t="s">
        <v>21</v>
      </c>
      <c r="E179" s="2">
        <v>26400</v>
      </c>
      <c r="F179" s="2">
        <v>0</v>
      </c>
      <c r="G179" t="s">
        <v>28</v>
      </c>
      <c r="H179" t="s">
        <v>17</v>
      </c>
      <c r="I179" t="s">
        <v>18</v>
      </c>
      <c r="J179" s="3">
        <v>45918</v>
      </c>
      <c r="K179" s="4">
        <f>ClientiBanca[[#This Row],[Prestito]]+ClientiBanca[[#This Row],[Mutuo]]</f>
        <v>26400</v>
      </c>
      <c r="L179" t="str">
        <f>IF(ClientiBanca[[#This Row],[Reddito annuo]]&gt;=70000,"si","no")</f>
        <v>si</v>
      </c>
    </row>
    <row r="180" spans="1:12">
      <c r="A180">
        <v>100179</v>
      </c>
      <c r="B180">
        <v>25</v>
      </c>
      <c r="C180" s="2">
        <v>31300</v>
      </c>
      <c r="D180" t="s">
        <v>21</v>
      </c>
      <c r="E180" s="2">
        <v>32500</v>
      </c>
      <c r="F180" s="2">
        <v>0</v>
      </c>
      <c r="G180" t="s">
        <v>16</v>
      </c>
      <c r="H180" t="s">
        <v>14</v>
      </c>
      <c r="I180" t="s">
        <v>15</v>
      </c>
      <c r="J180" s="3">
        <v>45616</v>
      </c>
      <c r="K180" s="4">
        <f>ClientiBanca[[#This Row],[Prestito]]+ClientiBanca[[#This Row],[Mutuo]]</f>
        <v>32500</v>
      </c>
      <c r="L180" t="str">
        <f>IF(ClientiBanca[[#This Row],[Reddito annuo]]&gt;=70000,"si","no")</f>
        <v>no</v>
      </c>
    </row>
    <row r="181" spans="1:12">
      <c r="A181">
        <v>100180</v>
      </c>
      <c r="B181">
        <v>61</v>
      </c>
      <c r="C181" s="2">
        <v>32100</v>
      </c>
      <c r="D181" t="s">
        <v>21</v>
      </c>
      <c r="E181" s="2">
        <v>15400</v>
      </c>
      <c r="F181" s="2">
        <v>0</v>
      </c>
      <c r="G181" t="s">
        <v>24</v>
      </c>
      <c r="H181" t="s">
        <v>14</v>
      </c>
      <c r="I181" t="s">
        <v>18</v>
      </c>
      <c r="J181" s="3">
        <v>45806</v>
      </c>
      <c r="K181" s="4">
        <f>ClientiBanca[[#This Row],[Prestito]]+ClientiBanca[[#This Row],[Mutuo]]</f>
        <v>15400</v>
      </c>
      <c r="L181" t="str">
        <f>IF(ClientiBanca[[#This Row],[Reddito annuo]]&gt;=70000,"si","no")</f>
        <v>no</v>
      </c>
    </row>
    <row r="182" spans="1:12">
      <c r="A182">
        <v>100181</v>
      </c>
      <c r="B182">
        <v>75</v>
      </c>
      <c r="C182" s="2">
        <v>30200</v>
      </c>
      <c r="D182" t="s">
        <v>21</v>
      </c>
      <c r="E182" s="2">
        <v>17200</v>
      </c>
      <c r="F182" s="2">
        <v>0</v>
      </c>
      <c r="G182" t="s">
        <v>23</v>
      </c>
      <c r="H182" t="s">
        <v>17</v>
      </c>
      <c r="I182" t="s">
        <v>18</v>
      </c>
      <c r="J182" s="3">
        <v>46208</v>
      </c>
      <c r="K182" s="4">
        <f>ClientiBanca[[#This Row],[Prestito]]+ClientiBanca[[#This Row],[Mutuo]]</f>
        <v>17200</v>
      </c>
      <c r="L182" t="str">
        <f>IF(ClientiBanca[[#This Row],[Reddito annuo]]&gt;=70000,"si","no")</f>
        <v>no</v>
      </c>
    </row>
    <row r="183" spans="1:12">
      <c r="A183">
        <v>100182</v>
      </c>
      <c r="B183">
        <v>38</v>
      </c>
      <c r="C183" s="2">
        <v>91000</v>
      </c>
      <c r="D183" t="s">
        <v>21</v>
      </c>
      <c r="E183" s="2">
        <v>36700</v>
      </c>
      <c r="F183" s="2">
        <v>170000</v>
      </c>
      <c r="G183" t="s">
        <v>13</v>
      </c>
      <c r="H183" t="s">
        <v>17</v>
      </c>
      <c r="I183" t="s">
        <v>18</v>
      </c>
      <c r="J183" s="3">
        <v>46256</v>
      </c>
      <c r="K183" s="4">
        <f>ClientiBanca[[#This Row],[Prestito]]+ClientiBanca[[#This Row],[Mutuo]]</f>
        <v>206700</v>
      </c>
      <c r="L183" t="str">
        <f>IF(ClientiBanca[[#This Row],[Reddito annuo]]&gt;=70000,"si","no")</f>
        <v>si</v>
      </c>
    </row>
    <row r="184" spans="1:12">
      <c r="A184">
        <v>100183</v>
      </c>
      <c r="B184">
        <v>57</v>
      </c>
      <c r="C184" s="2">
        <v>38400</v>
      </c>
      <c r="D184" t="s">
        <v>12</v>
      </c>
      <c r="E184" s="2">
        <v>0</v>
      </c>
      <c r="F184" s="2">
        <v>0</v>
      </c>
      <c r="G184" t="s">
        <v>27</v>
      </c>
      <c r="H184" t="s">
        <v>14</v>
      </c>
      <c r="I184" t="s">
        <v>18</v>
      </c>
      <c r="J184" s="3">
        <v>45321</v>
      </c>
      <c r="K184" s="4">
        <f>ClientiBanca[[#This Row],[Prestito]]+ClientiBanca[[#This Row],[Mutuo]]</f>
        <v>0</v>
      </c>
      <c r="L184" t="str">
        <f>IF(ClientiBanca[[#This Row],[Reddito annuo]]&gt;=70000,"si","no")</f>
        <v>no</v>
      </c>
    </row>
    <row r="185" spans="1:12">
      <c r="A185">
        <v>100184</v>
      </c>
      <c r="B185">
        <v>25</v>
      </c>
      <c r="C185" s="2">
        <v>29100</v>
      </c>
      <c r="D185" t="s">
        <v>12</v>
      </c>
      <c r="E185" s="2">
        <v>36400</v>
      </c>
      <c r="F185" s="2">
        <v>0</v>
      </c>
      <c r="G185" t="s">
        <v>16</v>
      </c>
      <c r="H185" t="s">
        <v>14</v>
      </c>
      <c r="I185" t="s">
        <v>15</v>
      </c>
      <c r="J185" s="3">
        <v>46202</v>
      </c>
      <c r="K185" s="4">
        <f>ClientiBanca[[#This Row],[Prestito]]+ClientiBanca[[#This Row],[Mutuo]]</f>
        <v>36400</v>
      </c>
      <c r="L185" t="str">
        <f>IF(ClientiBanca[[#This Row],[Reddito annuo]]&gt;=70000,"si","no")</f>
        <v>no</v>
      </c>
    </row>
    <row r="186" spans="1:12">
      <c r="A186">
        <v>100185</v>
      </c>
      <c r="B186">
        <v>60</v>
      </c>
      <c r="C186" s="2">
        <v>63100</v>
      </c>
      <c r="D186" t="s">
        <v>12</v>
      </c>
      <c r="E186" s="2">
        <v>20800</v>
      </c>
      <c r="F186" s="2">
        <v>0</v>
      </c>
      <c r="G186" t="s">
        <v>16</v>
      </c>
      <c r="H186" t="s">
        <v>20</v>
      </c>
      <c r="I186" t="s">
        <v>18</v>
      </c>
      <c r="J186" s="3">
        <v>45353</v>
      </c>
      <c r="K186" s="4">
        <f>ClientiBanca[[#This Row],[Prestito]]+ClientiBanca[[#This Row],[Mutuo]]</f>
        <v>20800</v>
      </c>
      <c r="L186" t="str">
        <f>IF(ClientiBanca[[#This Row],[Reddito annuo]]&gt;=70000,"si","no")</f>
        <v>no</v>
      </c>
    </row>
    <row r="187" spans="1:12">
      <c r="A187">
        <v>100186</v>
      </c>
      <c r="B187">
        <v>30</v>
      </c>
      <c r="C187" s="2">
        <v>55700</v>
      </c>
      <c r="D187" t="s">
        <v>21</v>
      </c>
      <c r="E187" s="2">
        <v>40100</v>
      </c>
      <c r="F187" s="2">
        <v>0</v>
      </c>
      <c r="G187" t="s">
        <v>19</v>
      </c>
      <c r="H187" t="s">
        <v>14</v>
      </c>
      <c r="I187" t="s">
        <v>18</v>
      </c>
      <c r="J187" s="3">
        <v>45700</v>
      </c>
      <c r="K187" s="4">
        <f>ClientiBanca[[#This Row],[Prestito]]+ClientiBanca[[#This Row],[Mutuo]]</f>
        <v>40100</v>
      </c>
      <c r="L187" t="str">
        <f>IF(ClientiBanca[[#This Row],[Reddito annuo]]&gt;=70000,"si","no")</f>
        <v>no</v>
      </c>
    </row>
    <row r="188" spans="1:12">
      <c r="A188">
        <v>100187</v>
      </c>
      <c r="B188">
        <v>28</v>
      </c>
      <c r="C188" s="2">
        <v>81400</v>
      </c>
      <c r="D188" t="s">
        <v>12</v>
      </c>
      <c r="E188" s="2">
        <v>20700</v>
      </c>
      <c r="F188" s="2">
        <v>197000</v>
      </c>
      <c r="G188" t="s">
        <v>24</v>
      </c>
      <c r="H188" t="s">
        <v>20</v>
      </c>
      <c r="I188" t="s">
        <v>18</v>
      </c>
      <c r="J188" s="3">
        <v>45685</v>
      </c>
      <c r="K188" s="4">
        <f>ClientiBanca[[#This Row],[Prestito]]+ClientiBanca[[#This Row],[Mutuo]]</f>
        <v>217700</v>
      </c>
      <c r="L188" t="str">
        <f>IF(ClientiBanca[[#This Row],[Reddito annuo]]&gt;=70000,"si","no")</f>
        <v>si</v>
      </c>
    </row>
    <row r="189" spans="1:12">
      <c r="A189">
        <v>100188</v>
      </c>
      <c r="B189">
        <v>75</v>
      </c>
      <c r="C189" s="2">
        <v>68400</v>
      </c>
      <c r="D189" t="s">
        <v>21</v>
      </c>
      <c r="E189" s="2">
        <v>0</v>
      </c>
      <c r="F189" s="2">
        <v>174000</v>
      </c>
      <c r="G189" t="s">
        <v>19</v>
      </c>
      <c r="H189" t="s">
        <v>20</v>
      </c>
      <c r="I189" t="s">
        <v>18</v>
      </c>
      <c r="J189" s="3">
        <v>45455</v>
      </c>
      <c r="K189" s="4">
        <f>ClientiBanca[[#This Row],[Prestito]]+ClientiBanca[[#This Row],[Mutuo]]</f>
        <v>174000</v>
      </c>
      <c r="L189" t="str">
        <f>IF(ClientiBanca[[#This Row],[Reddito annuo]]&gt;=70000,"si","no")</f>
        <v>no</v>
      </c>
    </row>
    <row r="190" spans="1:12">
      <c r="A190">
        <v>100189</v>
      </c>
      <c r="B190">
        <v>51</v>
      </c>
      <c r="C190" s="2">
        <v>123700</v>
      </c>
      <c r="D190" t="s">
        <v>21</v>
      </c>
      <c r="E190" s="2">
        <v>0</v>
      </c>
      <c r="F190" s="2">
        <v>0</v>
      </c>
      <c r="G190" t="s">
        <v>13</v>
      </c>
      <c r="H190" t="s">
        <v>14</v>
      </c>
      <c r="I190" t="s">
        <v>18</v>
      </c>
      <c r="J190" s="3">
        <v>45809</v>
      </c>
      <c r="K190" s="4">
        <f>ClientiBanca[[#This Row],[Prestito]]+ClientiBanca[[#This Row],[Mutuo]]</f>
        <v>0</v>
      </c>
      <c r="L190" t="str">
        <f>IF(ClientiBanca[[#This Row],[Reddito annuo]]&gt;=70000,"si","no")</f>
        <v>si</v>
      </c>
    </row>
    <row r="191" spans="1:12">
      <c r="A191">
        <v>100190</v>
      </c>
      <c r="B191">
        <v>49</v>
      </c>
      <c r="C191" s="2">
        <v>111900</v>
      </c>
      <c r="D191" t="s">
        <v>21</v>
      </c>
      <c r="E191" s="2">
        <v>10400</v>
      </c>
      <c r="F191" s="2">
        <v>0</v>
      </c>
      <c r="G191" t="s">
        <v>28</v>
      </c>
      <c r="H191" t="s">
        <v>20</v>
      </c>
      <c r="I191" t="s">
        <v>15</v>
      </c>
      <c r="J191" s="3">
        <v>45402</v>
      </c>
      <c r="K191" s="4">
        <f>ClientiBanca[[#This Row],[Prestito]]+ClientiBanca[[#This Row],[Mutuo]]</f>
        <v>10400</v>
      </c>
      <c r="L191" t="str">
        <f>IF(ClientiBanca[[#This Row],[Reddito annuo]]&gt;=70000,"si","no")</f>
        <v>si</v>
      </c>
    </row>
    <row r="192" spans="1:12">
      <c r="A192">
        <v>100191</v>
      </c>
      <c r="B192">
        <v>47</v>
      </c>
      <c r="C192" s="2">
        <v>37000</v>
      </c>
      <c r="D192" t="s">
        <v>21</v>
      </c>
      <c r="E192" s="2">
        <v>28500</v>
      </c>
      <c r="F192" s="2">
        <v>105000</v>
      </c>
      <c r="G192" t="s">
        <v>23</v>
      </c>
      <c r="H192" t="s">
        <v>17</v>
      </c>
      <c r="I192" t="s">
        <v>18</v>
      </c>
      <c r="J192" s="3">
        <v>45687</v>
      </c>
      <c r="K192" s="4">
        <f>ClientiBanca[[#This Row],[Prestito]]+ClientiBanca[[#This Row],[Mutuo]]</f>
        <v>133500</v>
      </c>
      <c r="L192" t="str">
        <f>IF(ClientiBanca[[#This Row],[Reddito annuo]]&gt;=70000,"si","no")</f>
        <v>no</v>
      </c>
    </row>
    <row r="193" spans="1:12">
      <c r="A193">
        <v>100192</v>
      </c>
      <c r="B193">
        <v>52</v>
      </c>
      <c r="C193" s="2">
        <v>56400</v>
      </c>
      <c r="D193" t="s">
        <v>12</v>
      </c>
      <c r="E193" s="2">
        <v>0</v>
      </c>
      <c r="F193" s="2">
        <v>0</v>
      </c>
      <c r="G193" t="s">
        <v>13</v>
      </c>
      <c r="H193" t="s">
        <v>20</v>
      </c>
      <c r="I193" t="s">
        <v>18</v>
      </c>
      <c r="J193" s="3">
        <v>45391</v>
      </c>
      <c r="K193" s="4">
        <f>ClientiBanca[[#This Row],[Prestito]]+ClientiBanca[[#This Row],[Mutuo]]</f>
        <v>0</v>
      </c>
      <c r="L193" t="str">
        <f>IF(ClientiBanca[[#This Row],[Reddito annuo]]&gt;=70000,"si","no")</f>
        <v>no</v>
      </c>
    </row>
    <row r="194" spans="1:12">
      <c r="A194">
        <v>100193</v>
      </c>
      <c r="B194">
        <v>45</v>
      </c>
      <c r="C194" s="2">
        <v>51400</v>
      </c>
      <c r="D194" t="s">
        <v>22</v>
      </c>
      <c r="E194" s="2">
        <v>26600</v>
      </c>
      <c r="F194" s="2">
        <v>231000</v>
      </c>
      <c r="G194" t="s">
        <v>16</v>
      </c>
      <c r="H194" t="s">
        <v>17</v>
      </c>
      <c r="I194" t="s">
        <v>15</v>
      </c>
      <c r="J194" s="3">
        <v>45432</v>
      </c>
      <c r="K194" s="4">
        <f>ClientiBanca[[#This Row],[Prestito]]+ClientiBanca[[#This Row],[Mutuo]]</f>
        <v>257600</v>
      </c>
      <c r="L194" t="str">
        <f>IF(ClientiBanca[[#This Row],[Reddito annuo]]&gt;=70000,"si","no")</f>
        <v>no</v>
      </c>
    </row>
    <row r="195" spans="1:12">
      <c r="A195">
        <v>100194</v>
      </c>
      <c r="B195">
        <v>65</v>
      </c>
      <c r="C195" s="2">
        <v>48900</v>
      </c>
      <c r="D195" t="s">
        <v>21</v>
      </c>
      <c r="E195" s="2">
        <v>40100</v>
      </c>
      <c r="F195" s="2">
        <v>0</v>
      </c>
      <c r="G195" t="s">
        <v>19</v>
      </c>
      <c r="H195" t="s">
        <v>14</v>
      </c>
      <c r="I195" t="s">
        <v>18</v>
      </c>
      <c r="J195" s="3">
        <v>45694</v>
      </c>
      <c r="K195" s="4">
        <f>ClientiBanca[[#This Row],[Prestito]]+ClientiBanca[[#This Row],[Mutuo]]</f>
        <v>40100</v>
      </c>
      <c r="L195" t="str">
        <f>IF(ClientiBanca[[#This Row],[Reddito annuo]]&gt;=70000,"si","no")</f>
        <v>no</v>
      </c>
    </row>
    <row r="196" spans="1:12">
      <c r="A196">
        <v>100195</v>
      </c>
      <c r="B196">
        <v>59</v>
      </c>
      <c r="C196" s="2">
        <v>79300</v>
      </c>
      <c r="D196" t="s">
        <v>21</v>
      </c>
      <c r="E196" s="2">
        <v>57000</v>
      </c>
      <c r="F196" s="2">
        <v>0</v>
      </c>
      <c r="G196" t="s">
        <v>26</v>
      </c>
      <c r="H196" t="s">
        <v>20</v>
      </c>
      <c r="I196" t="s">
        <v>15</v>
      </c>
      <c r="J196" s="3">
        <v>45631</v>
      </c>
      <c r="K196" s="4">
        <f>ClientiBanca[[#This Row],[Prestito]]+ClientiBanca[[#This Row],[Mutuo]]</f>
        <v>57000</v>
      </c>
      <c r="L196" t="str">
        <f>IF(ClientiBanca[[#This Row],[Reddito annuo]]&gt;=70000,"si","no")</f>
        <v>si</v>
      </c>
    </row>
    <row r="197" spans="1:12">
      <c r="A197">
        <v>100196</v>
      </c>
      <c r="B197">
        <v>63</v>
      </c>
      <c r="C197" s="2">
        <v>35200</v>
      </c>
      <c r="D197" t="s">
        <v>21</v>
      </c>
      <c r="E197" s="2">
        <v>44000</v>
      </c>
      <c r="F197" s="2">
        <v>0</v>
      </c>
      <c r="G197" t="s">
        <v>27</v>
      </c>
      <c r="H197" t="s">
        <v>14</v>
      </c>
      <c r="I197" t="s">
        <v>18</v>
      </c>
      <c r="J197" s="3">
        <v>45963</v>
      </c>
      <c r="K197" s="4">
        <f>ClientiBanca[[#This Row],[Prestito]]+ClientiBanca[[#This Row],[Mutuo]]</f>
        <v>44000</v>
      </c>
      <c r="L197" t="str">
        <f>IF(ClientiBanca[[#This Row],[Reddito annuo]]&gt;=70000,"si","no")</f>
        <v>no</v>
      </c>
    </row>
    <row r="198" spans="1:12">
      <c r="A198">
        <v>100197</v>
      </c>
      <c r="B198">
        <v>70</v>
      </c>
      <c r="C198" s="2">
        <v>113400</v>
      </c>
      <c r="D198" t="s">
        <v>12</v>
      </c>
      <c r="E198" s="2">
        <v>10500</v>
      </c>
      <c r="F198" s="2">
        <v>0</v>
      </c>
      <c r="G198" t="s">
        <v>16</v>
      </c>
      <c r="H198" t="s">
        <v>20</v>
      </c>
      <c r="I198" t="s">
        <v>18</v>
      </c>
      <c r="J198" s="3">
        <v>45324</v>
      </c>
      <c r="K198" s="4">
        <f>ClientiBanca[[#This Row],[Prestito]]+ClientiBanca[[#This Row],[Mutuo]]</f>
        <v>10500</v>
      </c>
      <c r="L198" t="str">
        <f>IF(ClientiBanca[[#This Row],[Reddito annuo]]&gt;=70000,"si","no")</f>
        <v>si</v>
      </c>
    </row>
    <row r="199" spans="1:12">
      <c r="A199">
        <v>100198</v>
      </c>
      <c r="B199">
        <v>56</v>
      </c>
      <c r="C199" s="2">
        <v>107400</v>
      </c>
      <c r="D199" t="s">
        <v>21</v>
      </c>
      <c r="E199" s="2">
        <v>24100</v>
      </c>
      <c r="F199" s="2">
        <v>253000</v>
      </c>
      <c r="G199" t="s">
        <v>16</v>
      </c>
      <c r="H199" t="s">
        <v>17</v>
      </c>
      <c r="I199" t="s">
        <v>18</v>
      </c>
      <c r="J199" s="3">
        <v>45774</v>
      </c>
      <c r="K199" s="4">
        <f>ClientiBanca[[#This Row],[Prestito]]+ClientiBanca[[#This Row],[Mutuo]]</f>
        <v>277100</v>
      </c>
      <c r="L199" t="str">
        <f>IF(ClientiBanca[[#This Row],[Reddito annuo]]&gt;=70000,"si","no")</f>
        <v>si</v>
      </c>
    </row>
    <row r="200" spans="1:12">
      <c r="A200">
        <v>100199</v>
      </c>
      <c r="B200">
        <v>75</v>
      </c>
      <c r="C200" s="2">
        <v>91300</v>
      </c>
      <c r="D200" t="s">
        <v>12</v>
      </c>
      <c r="E200" s="2">
        <v>34800</v>
      </c>
      <c r="F200" s="2">
        <v>0</v>
      </c>
      <c r="G200" t="s">
        <v>28</v>
      </c>
      <c r="H200" t="s">
        <v>17</v>
      </c>
      <c r="I200" t="s">
        <v>18</v>
      </c>
      <c r="J200" s="3">
        <v>45469</v>
      </c>
      <c r="K200" s="4">
        <f>ClientiBanca[[#This Row],[Prestito]]+ClientiBanca[[#This Row],[Mutuo]]</f>
        <v>34800</v>
      </c>
      <c r="L200" t="str">
        <f>IF(ClientiBanca[[#This Row],[Reddito annuo]]&gt;=70000,"si","no")</f>
        <v>si</v>
      </c>
    </row>
    <row r="201" spans="1:12">
      <c r="A201">
        <v>100200</v>
      </c>
      <c r="B201">
        <v>49</v>
      </c>
      <c r="C201" s="2">
        <v>100600</v>
      </c>
      <c r="D201" t="s">
        <v>21</v>
      </c>
      <c r="E201" s="2">
        <v>52000</v>
      </c>
      <c r="F201" s="2">
        <v>0</v>
      </c>
      <c r="G201" t="s">
        <v>26</v>
      </c>
      <c r="H201" t="s">
        <v>17</v>
      </c>
      <c r="I201" t="s">
        <v>18</v>
      </c>
      <c r="J201" s="3">
        <v>45544</v>
      </c>
      <c r="K201" s="4">
        <f>ClientiBanca[[#This Row],[Prestito]]+ClientiBanca[[#This Row],[Mutuo]]</f>
        <v>52000</v>
      </c>
      <c r="L201" t="str">
        <f>IF(ClientiBanca[[#This Row],[Reddito annuo]]&gt;=70000,"si","no")</f>
        <v>si</v>
      </c>
    </row>
    <row r="202" spans="1:12">
      <c r="A202">
        <v>100201</v>
      </c>
      <c r="B202">
        <v>37</v>
      </c>
      <c r="C202" s="2">
        <v>64000</v>
      </c>
      <c r="D202" t="s">
        <v>21</v>
      </c>
      <c r="E202" s="2">
        <v>0</v>
      </c>
      <c r="F202" s="2">
        <v>0</v>
      </c>
      <c r="G202" t="s">
        <v>26</v>
      </c>
      <c r="H202" t="s">
        <v>17</v>
      </c>
      <c r="I202" t="s">
        <v>18</v>
      </c>
      <c r="J202" s="3">
        <v>45998</v>
      </c>
      <c r="K202" s="4">
        <f>ClientiBanca[[#This Row],[Prestito]]+ClientiBanca[[#This Row],[Mutuo]]</f>
        <v>0</v>
      </c>
      <c r="L202" t="str">
        <f>IF(ClientiBanca[[#This Row],[Reddito annuo]]&gt;=70000,"si","no")</f>
        <v>no</v>
      </c>
    </row>
    <row r="203" spans="1:12">
      <c r="A203">
        <v>100202</v>
      </c>
      <c r="B203">
        <v>65</v>
      </c>
      <c r="C203" s="2">
        <v>59000</v>
      </c>
      <c r="D203" t="s">
        <v>21</v>
      </c>
      <c r="E203" s="2">
        <v>69600</v>
      </c>
      <c r="F203" s="2">
        <v>0</v>
      </c>
      <c r="G203" t="s">
        <v>26</v>
      </c>
      <c r="H203" t="s">
        <v>20</v>
      </c>
      <c r="I203" t="s">
        <v>18</v>
      </c>
      <c r="J203" s="3">
        <v>45680</v>
      </c>
      <c r="K203" s="4">
        <f>ClientiBanca[[#This Row],[Prestito]]+ClientiBanca[[#This Row],[Mutuo]]</f>
        <v>69600</v>
      </c>
      <c r="L203" t="str">
        <f>IF(ClientiBanca[[#This Row],[Reddito annuo]]&gt;=70000,"si","no")</f>
        <v>no</v>
      </c>
    </row>
    <row r="204" spans="1:12">
      <c r="A204">
        <v>100203</v>
      </c>
      <c r="B204">
        <v>45</v>
      </c>
      <c r="C204" s="2">
        <v>87700</v>
      </c>
      <c r="D204" t="s">
        <v>22</v>
      </c>
      <c r="E204" s="2">
        <v>0</v>
      </c>
      <c r="F204" s="2">
        <v>0</v>
      </c>
      <c r="G204" t="s">
        <v>26</v>
      </c>
      <c r="H204" t="s">
        <v>14</v>
      </c>
      <c r="I204" t="s">
        <v>18</v>
      </c>
      <c r="J204" s="3">
        <v>45372</v>
      </c>
      <c r="K204" s="4">
        <f>ClientiBanca[[#This Row],[Prestito]]+ClientiBanca[[#This Row],[Mutuo]]</f>
        <v>0</v>
      </c>
      <c r="L204" t="str">
        <f>IF(ClientiBanca[[#This Row],[Reddito annuo]]&gt;=70000,"si","no")</f>
        <v>si</v>
      </c>
    </row>
    <row r="205" spans="1:12">
      <c r="A205">
        <v>100204</v>
      </c>
      <c r="B205">
        <v>42</v>
      </c>
      <c r="C205" s="2">
        <v>102600</v>
      </c>
      <c r="D205" t="s">
        <v>12</v>
      </c>
      <c r="E205" s="2">
        <v>0</v>
      </c>
      <c r="F205" s="2">
        <v>296000</v>
      </c>
      <c r="G205" t="s">
        <v>26</v>
      </c>
      <c r="H205" t="s">
        <v>14</v>
      </c>
      <c r="I205" t="s">
        <v>18</v>
      </c>
      <c r="J205" s="3">
        <v>46004</v>
      </c>
      <c r="K205" s="4">
        <f>ClientiBanca[[#This Row],[Prestito]]+ClientiBanca[[#This Row],[Mutuo]]</f>
        <v>296000</v>
      </c>
      <c r="L205" t="str">
        <f>IF(ClientiBanca[[#This Row],[Reddito annuo]]&gt;=70000,"si","no")</f>
        <v>si</v>
      </c>
    </row>
    <row r="206" spans="1:12">
      <c r="A206">
        <v>100205</v>
      </c>
      <c r="B206">
        <v>37</v>
      </c>
      <c r="C206" s="2">
        <v>37200</v>
      </c>
      <c r="D206" t="s">
        <v>12</v>
      </c>
      <c r="E206" s="2">
        <v>20700</v>
      </c>
      <c r="F206" s="2">
        <v>0</v>
      </c>
      <c r="G206" t="s">
        <v>23</v>
      </c>
      <c r="H206" t="s">
        <v>14</v>
      </c>
      <c r="I206" t="s">
        <v>15</v>
      </c>
      <c r="J206" s="3">
        <v>45715</v>
      </c>
      <c r="K206" s="4">
        <f>ClientiBanca[[#This Row],[Prestito]]+ClientiBanca[[#This Row],[Mutuo]]</f>
        <v>20700</v>
      </c>
      <c r="L206" t="str">
        <f>IF(ClientiBanca[[#This Row],[Reddito annuo]]&gt;=70000,"si","no")</f>
        <v>no</v>
      </c>
    </row>
    <row r="207" spans="1:12">
      <c r="A207">
        <v>100206</v>
      </c>
      <c r="B207">
        <v>41</v>
      </c>
      <c r="C207" s="2">
        <v>77200</v>
      </c>
      <c r="D207" t="s">
        <v>21</v>
      </c>
      <c r="E207" s="2">
        <v>0</v>
      </c>
      <c r="F207" s="2">
        <v>219000</v>
      </c>
      <c r="G207" t="s">
        <v>24</v>
      </c>
      <c r="H207" t="s">
        <v>20</v>
      </c>
      <c r="I207" t="s">
        <v>18</v>
      </c>
      <c r="J207" s="3">
        <v>46249</v>
      </c>
      <c r="K207" s="4">
        <f>ClientiBanca[[#This Row],[Prestito]]+ClientiBanca[[#This Row],[Mutuo]]</f>
        <v>219000</v>
      </c>
      <c r="L207" t="str">
        <f>IF(ClientiBanca[[#This Row],[Reddito annuo]]&gt;=70000,"si","no")</f>
        <v>si</v>
      </c>
    </row>
    <row r="208" spans="1:12">
      <c r="A208">
        <v>100207</v>
      </c>
      <c r="B208">
        <v>50</v>
      </c>
      <c r="C208" s="2">
        <v>58200</v>
      </c>
      <c r="D208" t="s">
        <v>21</v>
      </c>
      <c r="E208" s="2">
        <v>0</v>
      </c>
      <c r="F208" s="2">
        <v>0</v>
      </c>
      <c r="G208" t="s">
        <v>27</v>
      </c>
      <c r="H208" t="s">
        <v>14</v>
      </c>
      <c r="I208" t="s">
        <v>18</v>
      </c>
      <c r="J208" s="3">
        <v>45383</v>
      </c>
      <c r="K208" s="4">
        <f>ClientiBanca[[#This Row],[Prestito]]+ClientiBanca[[#This Row],[Mutuo]]</f>
        <v>0</v>
      </c>
      <c r="L208" t="str">
        <f>IF(ClientiBanca[[#This Row],[Reddito annuo]]&gt;=70000,"si","no")</f>
        <v>no</v>
      </c>
    </row>
    <row r="209" spans="1:12">
      <c r="A209">
        <v>100208</v>
      </c>
      <c r="B209">
        <v>61</v>
      </c>
      <c r="C209" s="2">
        <v>65200</v>
      </c>
      <c r="D209" t="s">
        <v>12</v>
      </c>
      <c r="E209" s="2">
        <v>0</v>
      </c>
      <c r="F209" s="2">
        <v>0</v>
      </c>
      <c r="G209" t="s">
        <v>24</v>
      </c>
      <c r="H209" t="s">
        <v>17</v>
      </c>
      <c r="I209" t="s">
        <v>18</v>
      </c>
      <c r="J209" s="3">
        <v>46149</v>
      </c>
      <c r="K209" s="4">
        <f>ClientiBanca[[#This Row],[Prestito]]+ClientiBanca[[#This Row],[Mutuo]]</f>
        <v>0</v>
      </c>
      <c r="L209" t="str">
        <f>IF(ClientiBanca[[#This Row],[Reddito annuo]]&gt;=70000,"si","no")</f>
        <v>no</v>
      </c>
    </row>
    <row r="210" spans="1:12">
      <c r="A210">
        <v>100209</v>
      </c>
      <c r="B210">
        <v>31</v>
      </c>
      <c r="C210" s="2">
        <v>104500</v>
      </c>
      <c r="D210" t="s">
        <v>21</v>
      </c>
      <c r="E210" s="2">
        <v>0</v>
      </c>
      <c r="F210" s="2">
        <v>0</v>
      </c>
      <c r="G210" t="s">
        <v>24</v>
      </c>
      <c r="H210" t="s">
        <v>14</v>
      </c>
      <c r="I210" t="s">
        <v>18</v>
      </c>
      <c r="J210" s="3">
        <v>46185</v>
      </c>
      <c r="K210" s="4">
        <f>ClientiBanca[[#This Row],[Prestito]]+ClientiBanca[[#This Row],[Mutuo]]</f>
        <v>0</v>
      </c>
      <c r="L210" t="str">
        <f>IF(ClientiBanca[[#This Row],[Reddito annuo]]&gt;=70000,"si","no")</f>
        <v>si</v>
      </c>
    </row>
    <row r="211" spans="1:12">
      <c r="A211">
        <v>100210</v>
      </c>
      <c r="B211">
        <v>38</v>
      </c>
      <c r="C211" s="2">
        <v>95100</v>
      </c>
      <c r="D211" t="s">
        <v>21</v>
      </c>
      <c r="E211" s="2">
        <v>14300</v>
      </c>
      <c r="F211" s="2">
        <v>0</v>
      </c>
      <c r="G211" t="s">
        <v>26</v>
      </c>
      <c r="H211" t="s">
        <v>20</v>
      </c>
      <c r="I211" t="s">
        <v>18</v>
      </c>
      <c r="J211" s="3">
        <v>45828</v>
      </c>
      <c r="K211" s="4">
        <f>ClientiBanca[[#This Row],[Prestito]]+ClientiBanca[[#This Row],[Mutuo]]</f>
        <v>14300</v>
      </c>
      <c r="L211" t="str">
        <f>IF(ClientiBanca[[#This Row],[Reddito annuo]]&gt;=70000,"si","no")</f>
        <v>si</v>
      </c>
    </row>
    <row r="212" spans="1:12">
      <c r="A212">
        <v>100211</v>
      </c>
      <c r="B212">
        <v>51</v>
      </c>
      <c r="C212" s="2">
        <v>97000</v>
      </c>
      <c r="D212" t="s">
        <v>21</v>
      </c>
      <c r="E212" s="2">
        <v>22100</v>
      </c>
      <c r="F212" s="2">
        <v>0</v>
      </c>
      <c r="G212" t="s">
        <v>19</v>
      </c>
      <c r="H212" t="s">
        <v>20</v>
      </c>
      <c r="I212" t="s">
        <v>18</v>
      </c>
      <c r="J212" s="3">
        <v>45555</v>
      </c>
      <c r="K212" s="4">
        <f>ClientiBanca[[#This Row],[Prestito]]+ClientiBanca[[#This Row],[Mutuo]]</f>
        <v>22100</v>
      </c>
      <c r="L212" t="str">
        <f>IF(ClientiBanca[[#This Row],[Reddito annuo]]&gt;=70000,"si","no")</f>
        <v>si</v>
      </c>
    </row>
    <row r="213" spans="1:12">
      <c r="A213">
        <v>100212</v>
      </c>
      <c r="B213">
        <v>65</v>
      </c>
      <c r="C213" s="2">
        <v>40400</v>
      </c>
      <c r="D213" t="s">
        <v>12</v>
      </c>
      <c r="E213" s="2">
        <v>0</v>
      </c>
      <c r="F213" s="2">
        <v>0</v>
      </c>
      <c r="G213" t="s">
        <v>23</v>
      </c>
      <c r="H213" t="s">
        <v>17</v>
      </c>
      <c r="I213" t="s">
        <v>18</v>
      </c>
      <c r="J213" s="3">
        <v>46168</v>
      </c>
      <c r="K213" s="4">
        <f>ClientiBanca[[#This Row],[Prestito]]+ClientiBanca[[#This Row],[Mutuo]]</f>
        <v>0</v>
      </c>
      <c r="L213" t="str">
        <f>IF(ClientiBanca[[#This Row],[Reddito annuo]]&gt;=70000,"si","no")</f>
        <v>no</v>
      </c>
    </row>
    <row r="214" spans="1:12">
      <c r="A214">
        <v>100213</v>
      </c>
      <c r="B214">
        <v>60</v>
      </c>
      <c r="C214" s="2">
        <v>98100</v>
      </c>
      <c r="D214" t="s">
        <v>22</v>
      </c>
      <c r="E214" s="2">
        <v>13100</v>
      </c>
      <c r="F214" s="2">
        <v>0</v>
      </c>
      <c r="G214" t="s">
        <v>24</v>
      </c>
      <c r="H214" t="s">
        <v>25</v>
      </c>
      <c r="I214" t="s">
        <v>18</v>
      </c>
      <c r="J214" s="3">
        <v>46250</v>
      </c>
      <c r="K214" s="4">
        <f>ClientiBanca[[#This Row],[Prestito]]+ClientiBanca[[#This Row],[Mutuo]]</f>
        <v>13100</v>
      </c>
      <c r="L214" t="str">
        <f>IF(ClientiBanca[[#This Row],[Reddito annuo]]&gt;=70000,"si","no")</f>
        <v>si</v>
      </c>
    </row>
    <row r="215" spans="1:12">
      <c r="A215">
        <v>100214</v>
      </c>
      <c r="B215">
        <v>35</v>
      </c>
      <c r="C215" s="2">
        <v>22300</v>
      </c>
      <c r="D215" t="s">
        <v>21</v>
      </c>
      <c r="E215" s="2">
        <v>21900</v>
      </c>
      <c r="F215" s="2">
        <v>0</v>
      </c>
      <c r="G215" t="s">
        <v>27</v>
      </c>
      <c r="H215" t="s">
        <v>17</v>
      </c>
      <c r="I215" t="s">
        <v>18</v>
      </c>
      <c r="J215" s="3">
        <v>45533</v>
      </c>
      <c r="K215" s="4">
        <f>ClientiBanca[[#This Row],[Prestito]]+ClientiBanca[[#This Row],[Mutuo]]</f>
        <v>21900</v>
      </c>
      <c r="L215" t="str">
        <f>IF(ClientiBanca[[#This Row],[Reddito annuo]]&gt;=70000,"si","no")</f>
        <v>no</v>
      </c>
    </row>
    <row r="216" spans="1:12">
      <c r="A216">
        <v>100215</v>
      </c>
      <c r="B216">
        <v>23</v>
      </c>
      <c r="C216" s="2">
        <v>72800</v>
      </c>
      <c r="D216" t="s">
        <v>21</v>
      </c>
      <c r="E216" s="2">
        <v>45400</v>
      </c>
      <c r="F216" s="2">
        <v>0</v>
      </c>
      <c r="G216" t="s">
        <v>26</v>
      </c>
      <c r="H216" t="s">
        <v>17</v>
      </c>
      <c r="I216" t="s">
        <v>18</v>
      </c>
      <c r="J216" s="3">
        <v>46255</v>
      </c>
      <c r="K216" s="4">
        <f>ClientiBanca[[#This Row],[Prestito]]+ClientiBanca[[#This Row],[Mutuo]]</f>
        <v>45400</v>
      </c>
      <c r="L216" t="str">
        <f>IF(ClientiBanca[[#This Row],[Reddito annuo]]&gt;=70000,"si","no")</f>
        <v>si</v>
      </c>
    </row>
    <row r="217" spans="1:12">
      <c r="A217">
        <v>100216</v>
      </c>
      <c r="B217">
        <v>38</v>
      </c>
      <c r="C217" s="2">
        <v>51000</v>
      </c>
      <c r="D217" t="s">
        <v>21</v>
      </c>
      <c r="E217" s="2">
        <v>0</v>
      </c>
      <c r="F217" s="2">
        <v>0</v>
      </c>
      <c r="G217" t="s">
        <v>28</v>
      </c>
      <c r="H217" t="s">
        <v>14</v>
      </c>
      <c r="I217" t="s">
        <v>18</v>
      </c>
      <c r="J217" s="3">
        <v>45912</v>
      </c>
      <c r="K217" s="4">
        <f>ClientiBanca[[#This Row],[Prestito]]+ClientiBanca[[#This Row],[Mutuo]]</f>
        <v>0</v>
      </c>
      <c r="L217" t="str">
        <f>IF(ClientiBanca[[#This Row],[Reddito annuo]]&gt;=70000,"si","no")</f>
        <v>no</v>
      </c>
    </row>
    <row r="218" spans="1:12">
      <c r="A218">
        <v>100217</v>
      </c>
      <c r="B218">
        <v>43</v>
      </c>
      <c r="C218" s="2">
        <v>54100</v>
      </c>
      <c r="D218" t="s">
        <v>12</v>
      </c>
      <c r="E218" s="2">
        <v>35900</v>
      </c>
      <c r="F218" s="2">
        <v>0</v>
      </c>
      <c r="G218" t="s">
        <v>23</v>
      </c>
      <c r="H218" t="s">
        <v>14</v>
      </c>
      <c r="I218" t="s">
        <v>18</v>
      </c>
      <c r="J218" s="3">
        <v>45902</v>
      </c>
      <c r="K218" s="4">
        <f>ClientiBanca[[#This Row],[Prestito]]+ClientiBanca[[#This Row],[Mutuo]]</f>
        <v>35900</v>
      </c>
      <c r="L218" t="str">
        <f>IF(ClientiBanca[[#This Row],[Reddito annuo]]&gt;=70000,"si","no")</f>
        <v>no</v>
      </c>
    </row>
    <row r="219" spans="1:12">
      <c r="A219">
        <v>100218</v>
      </c>
      <c r="B219">
        <v>75</v>
      </c>
      <c r="C219" s="2">
        <v>84200</v>
      </c>
      <c r="D219" t="s">
        <v>12</v>
      </c>
      <c r="E219" s="2">
        <v>26400</v>
      </c>
      <c r="F219" s="2">
        <v>0</v>
      </c>
      <c r="G219" t="s">
        <v>13</v>
      </c>
      <c r="H219" t="s">
        <v>20</v>
      </c>
      <c r="I219" t="s">
        <v>18</v>
      </c>
      <c r="J219" s="3">
        <v>45809</v>
      </c>
      <c r="K219" s="4">
        <f>ClientiBanca[[#This Row],[Prestito]]+ClientiBanca[[#This Row],[Mutuo]]</f>
        <v>26400</v>
      </c>
      <c r="L219" t="str">
        <f>IF(ClientiBanca[[#This Row],[Reddito annuo]]&gt;=70000,"si","no")</f>
        <v>si</v>
      </c>
    </row>
    <row r="220" spans="1:12">
      <c r="A220">
        <v>100219</v>
      </c>
      <c r="B220">
        <v>32</v>
      </c>
      <c r="C220" s="2">
        <v>65100</v>
      </c>
      <c r="D220" t="s">
        <v>21</v>
      </c>
      <c r="E220" s="2">
        <v>34900</v>
      </c>
      <c r="F220" s="2">
        <v>150000</v>
      </c>
      <c r="G220" t="s">
        <v>28</v>
      </c>
      <c r="H220" t="s">
        <v>20</v>
      </c>
      <c r="I220" t="s">
        <v>18</v>
      </c>
      <c r="J220" s="3">
        <v>46120</v>
      </c>
      <c r="K220" s="4">
        <f>ClientiBanca[[#This Row],[Prestito]]+ClientiBanca[[#This Row],[Mutuo]]</f>
        <v>184900</v>
      </c>
      <c r="L220" t="str">
        <f>IF(ClientiBanca[[#This Row],[Reddito annuo]]&gt;=70000,"si","no")</f>
        <v>no</v>
      </c>
    </row>
    <row r="221" spans="1:12">
      <c r="A221">
        <v>100220</v>
      </c>
      <c r="B221">
        <v>23</v>
      </c>
      <c r="C221" s="2">
        <v>56600</v>
      </c>
      <c r="D221" t="s">
        <v>12</v>
      </c>
      <c r="E221" s="2">
        <v>11000</v>
      </c>
      <c r="F221" s="2">
        <v>0</v>
      </c>
      <c r="G221" t="s">
        <v>26</v>
      </c>
      <c r="H221" t="s">
        <v>14</v>
      </c>
      <c r="I221" t="s">
        <v>18</v>
      </c>
      <c r="J221" s="3">
        <v>46128</v>
      </c>
      <c r="K221" s="4">
        <f>ClientiBanca[[#This Row],[Prestito]]+ClientiBanca[[#This Row],[Mutuo]]</f>
        <v>11000</v>
      </c>
      <c r="L221" t="str">
        <f>IF(ClientiBanca[[#This Row],[Reddito annuo]]&gt;=70000,"si","no")</f>
        <v>no</v>
      </c>
    </row>
    <row r="222" spans="1:12">
      <c r="A222">
        <v>100221</v>
      </c>
      <c r="B222">
        <v>20</v>
      </c>
      <c r="C222" s="2">
        <v>79900</v>
      </c>
      <c r="D222" t="s">
        <v>12</v>
      </c>
      <c r="E222" s="2">
        <v>25600</v>
      </c>
      <c r="F222" s="2">
        <v>397000</v>
      </c>
      <c r="G222" t="s">
        <v>13</v>
      </c>
      <c r="H222" t="s">
        <v>25</v>
      </c>
      <c r="I222" t="s">
        <v>18</v>
      </c>
      <c r="J222" s="3">
        <v>45585</v>
      </c>
      <c r="K222" s="4">
        <f>ClientiBanca[[#This Row],[Prestito]]+ClientiBanca[[#This Row],[Mutuo]]</f>
        <v>422600</v>
      </c>
      <c r="L222" t="str">
        <f>IF(ClientiBanca[[#This Row],[Reddito annuo]]&gt;=70000,"si","no")</f>
        <v>si</v>
      </c>
    </row>
    <row r="223" spans="1:12">
      <c r="A223">
        <v>100222</v>
      </c>
      <c r="B223">
        <v>46</v>
      </c>
      <c r="C223" s="2">
        <v>40000</v>
      </c>
      <c r="D223" t="s">
        <v>21</v>
      </c>
      <c r="E223" s="2">
        <v>48600</v>
      </c>
      <c r="F223" s="2">
        <v>0</v>
      </c>
      <c r="G223" t="s">
        <v>19</v>
      </c>
      <c r="H223" t="s">
        <v>25</v>
      </c>
      <c r="I223" t="s">
        <v>18</v>
      </c>
      <c r="J223" s="3">
        <v>46182</v>
      </c>
      <c r="K223" s="4">
        <f>ClientiBanca[[#This Row],[Prestito]]+ClientiBanca[[#This Row],[Mutuo]]</f>
        <v>48600</v>
      </c>
      <c r="L223" t="str">
        <f>IF(ClientiBanca[[#This Row],[Reddito annuo]]&gt;=70000,"si","no")</f>
        <v>no</v>
      </c>
    </row>
    <row r="224" spans="1:12">
      <c r="A224">
        <v>100223</v>
      </c>
      <c r="B224">
        <v>44</v>
      </c>
      <c r="C224" s="2">
        <v>51600</v>
      </c>
      <c r="D224" t="s">
        <v>12</v>
      </c>
      <c r="E224" s="2">
        <v>36000</v>
      </c>
      <c r="F224" s="2">
        <v>0</v>
      </c>
      <c r="G224" t="s">
        <v>19</v>
      </c>
      <c r="H224" t="s">
        <v>20</v>
      </c>
      <c r="I224" t="s">
        <v>18</v>
      </c>
      <c r="J224" s="3">
        <v>45694</v>
      </c>
      <c r="K224" s="4">
        <f>ClientiBanca[[#This Row],[Prestito]]+ClientiBanca[[#This Row],[Mutuo]]</f>
        <v>36000</v>
      </c>
      <c r="L224" t="str">
        <f>IF(ClientiBanca[[#This Row],[Reddito annuo]]&gt;=70000,"si","no")</f>
        <v>no</v>
      </c>
    </row>
    <row r="225" spans="1:12">
      <c r="A225">
        <v>100224</v>
      </c>
      <c r="B225">
        <v>53</v>
      </c>
      <c r="C225" s="2">
        <v>36500</v>
      </c>
      <c r="D225" t="s">
        <v>22</v>
      </c>
      <c r="E225" s="2">
        <v>0</v>
      </c>
      <c r="F225" s="2">
        <v>0</v>
      </c>
      <c r="G225" t="s">
        <v>26</v>
      </c>
      <c r="H225" t="s">
        <v>17</v>
      </c>
      <c r="I225" t="s">
        <v>18</v>
      </c>
      <c r="J225" s="3">
        <v>46028</v>
      </c>
      <c r="K225" s="4">
        <f>ClientiBanca[[#This Row],[Prestito]]+ClientiBanca[[#This Row],[Mutuo]]</f>
        <v>0</v>
      </c>
      <c r="L225" t="str">
        <f>IF(ClientiBanca[[#This Row],[Reddito annuo]]&gt;=70000,"si","no")</f>
        <v>no</v>
      </c>
    </row>
    <row r="226" spans="1:12">
      <c r="A226">
        <v>100225</v>
      </c>
      <c r="B226">
        <v>54</v>
      </c>
      <c r="C226" s="2">
        <v>54700</v>
      </c>
      <c r="D226" t="s">
        <v>21</v>
      </c>
      <c r="E226" s="2">
        <v>31500</v>
      </c>
      <c r="F226" s="2">
        <v>146000</v>
      </c>
      <c r="G226" t="s">
        <v>13</v>
      </c>
      <c r="H226" t="s">
        <v>20</v>
      </c>
      <c r="I226" t="s">
        <v>18</v>
      </c>
      <c r="J226" s="3">
        <v>45921</v>
      </c>
      <c r="K226" s="4">
        <f>ClientiBanca[[#This Row],[Prestito]]+ClientiBanca[[#This Row],[Mutuo]]</f>
        <v>177500</v>
      </c>
      <c r="L226" t="str">
        <f>IF(ClientiBanca[[#This Row],[Reddito annuo]]&gt;=70000,"si","no")</f>
        <v>no</v>
      </c>
    </row>
    <row r="227" spans="1:12">
      <c r="A227">
        <v>100226</v>
      </c>
      <c r="B227">
        <v>69</v>
      </c>
      <c r="C227" s="2">
        <v>104900</v>
      </c>
      <c r="D227" t="s">
        <v>22</v>
      </c>
      <c r="E227" s="2">
        <v>11700</v>
      </c>
      <c r="F227" s="2">
        <v>0</v>
      </c>
      <c r="G227" t="s">
        <v>28</v>
      </c>
      <c r="H227" t="s">
        <v>17</v>
      </c>
      <c r="I227" t="s">
        <v>18</v>
      </c>
      <c r="J227" s="3">
        <v>45341</v>
      </c>
      <c r="K227" s="4">
        <f>ClientiBanca[[#This Row],[Prestito]]+ClientiBanca[[#This Row],[Mutuo]]</f>
        <v>11700</v>
      </c>
      <c r="L227" t="str">
        <f>IF(ClientiBanca[[#This Row],[Reddito annuo]]&gt;=70000,"si","no")</f>
        <v>si</v>
      </c>
    </row>
    <row r="228" spans="1:12">
      <c r="A228">
        <v>100227</v>
      </c>
      <c r="B228">
        <v>35</v>
      </c>
      <c r="C228" s="2">
        <v>79400</v>
      </c>
      <c r="D228" t="s">
        <v>21</v>
      </c>
      <c r="E228" s="2">
        <v>19600</v>
      </c>
      <c r="F228" s="2">
        <v>0</v>
      </c>
      <c r="G228" t="s">
        <v>27</v>
      </c>
      <c r="H228" t="s">
        <v>20</v>
      </c>
      <c r="I228" t="s">
        <v>18</v>
      </c>
      <c r="J228" s="3">
        <v>45531</v>
      </c>
      <c r="K228" s="4">
        <f>ClientiBanca[[#This Row],[Prestito]]+ClientiBanca[[#This Row],[Mutuo]]</f>
        <v>19600</v>
      </c>
      <c r="L228" t="str">
        <f>IF(ClientiBanca[[#This Row],[Reddito annuo]]&gt;=70000,"si","no")</f>
        <v>si</v>
      </c>
    </row>
    <row r="229" spans="1:12">
      <c r="A229">
        <v>100228</v>
      </c>
      <c r="B229">
        <v>72</v>
      </c>
      <c r="C229" s="2">
        <v>101300</v>
      </c>
      <c r="D229" t="s">
        <v>12</v>
      </c>
      <c r="E229" s="2">
        <v>52000</v>
      </c>
      <c r="F229" s="2">
        <v>0</v>
      </c>
      <c r="G229" t="s">
        <v>23</v>
      </c>
      <c r="H229" t="s">
        <v>20</v>
      </c>
      <c r="I229" t="s">
        <v>18</v>
      </c>
      <c r="J229" s="3">
        <v>45968</v>
      </c>
      <c r="K229" s="4">
        <f>ClientiBanca[[#This Row],[Prestito]]+ClientiBanca[[#This Row],[Mutuo]]</f>
        <v>52000</v>
      </c>
      <c r="L229" t="str">
        <f>IF(ClientiBanca[[#This Row],[Reddito annuo]]&gt;=70000,"si","no")</f>
        <v>si</v>
      </c>
    </row>
    <row r="230" spans="1:12">
      <c r="A230">
        <v>100229</v>
      </c>
      <c r="B230">
        <v>53</v>
      </c>
      <c r="C230" s="2">
        <v>42400</v>
      </c>
      <c r="D230" t="s">
        <v>21</v>
      </c>
      <c r="E230" s="2">
        <v>53000</v>
      </c>
      <c r="F230" s="2">
        <v>0</v>
      </c>
      <c r="G230" t="s">
        <v>24</v>
      </c>
      <c r="H230" t="s">
        <v>14</v>
      </c>
      <c r="I230" t="s">
        <v>18</v>
      </c>
      <c r="J230" s="3">
        <v>45799</v>
      </c>
      <c r="K230" s="4">
        <f>ClientiBanca[[#This Row],[Prestito]]+ClientiBanca[[#This Row],[Mutuo]]</f>
        <v>53000</v>
      </c>
      <c r="L230" t="str">
        <f>IF(ClientiBanca[[#This Row],[Reddito annuo]]&gt;=70000,"si","no")</f>
        <v>no</v>
      </c>
    </row>
    <row r="231" spans="1:12">
      <c r="A231">
        <v>100230</v>
      </c>
      <c r="B231">
        <v>23</v>
      </c>
      <c r="C231" s="2">
        <v>113500</v>
      </c>
      <c r="D231" t="s">
        <v>22</v>
      </c>
      <c r="E231" s="2">
        <v>53200</v>
      </c>
      <c r="F231" s="2">
        <v>0</v>
      </c>
      <c r="G231" t="s">
        <v>16</v>
      </c>
      <c r="H231" t="s">
        <v>20</v>
      </c>
      <c r="I231" t="s">
        <v>18</v>
      </c>
      <c r="J231" s="3">
        <v>45480</v>
      </c>
      <c r="K231" s="4">
        <f>ClientiBanca[[#This Row],[Prestito]]+ClientiBanca[[#This Row],[Mutuo]]</f>
        <v>53200</v>
      </c>
      <c r="L231" t="str">
        <f>IF(ClientiBanca[[#This Row],[Reddito annuo]]&gt;=70000,"si","no")</f>
        <v>si</v>
      </c>
    </row>
    <row r="232" spans="1:12">
      <c r="A232">
        <v>100231</v>
      </c>
      <c r="B232">
        <v>68</v>
      </c>
      <c r="C232" s="2">
        <v>62500</v>
      </c>
      <c r="D232" t="s">
        <v>21</v>
      </c>
      <c r="E232" s="2">
        <v>60000</v>
      </c>
      <c r="F232" s="2">
        <v>200000</v>
      </c>
      <c r="G232" t="s">
        <v>27</v>
      </c>
      <c r="H232" t="s">
        <v>17</v>
      </c>
      <c r="I232" t="s">
        <v>18</v>
      </c>
      <c r="J232" s="3">
        <v>45862</v>
      </c>
      <c r="K232" s="4">
        <f>ClientiBanca[[#This Row],[Prestito]]+ClientiBanca[[#This Row],[Mutuo]]</f>
        <v>260000</v>
      </c>
      <c r="L232" t="str">
        <f>IF(ClientiBanca[[#This Row],[Reddito annuo]]&gt;=70000,"si","no")</f>
        <v>no</v>
      </c>
    </row>
    <row r="233" spans="1:12">
      <c r="A233">
        <v>100232</v>
      </c>
      <c r="B233">
        <v>53</v>
      </c>
      <c r="C233" s="2">
        <v>37000</v>
      </c>
      <c r="D233" t="s">
        <v>21</v>
      </c>
      <c r="E233" s="2">
        <v>42700</v>
      </c>
      <c r="F233" s="2">
        <v>0</v>
      </c>
      <c r="G233" t="s">
        <v>19</v>
      </c>
      <c r="H233" t="s">
        <v>20</v>
      </c>
      <c r="I233" t="s">
        <v>18</v>
      </c>
      <c r="J233" s="3">
        <v>45487</v>
      </c>
      <c r="K233" s="4">
        <f>ClientiBanca[[#This Row],[Prestito]]+ClientiBanca[[#This Row],[Mutuo]]</f>
        <v>42700</v>
      </c>
      <c r="L233" t="str">
        <f>IF(ClientiBanca[[#This Row],[Reddito annuo]]&gt;=70000,"si","no")</f>
        <v>no</v>
      </c>
    </row>
    <row r="234" spans="1:12">
      <c r="A234">
        <v>100233</v>
      </c>
      <c r="B234">
        <v>23</v>
      </c>
      <c r="C234" s="2">
        <v>45100</v>
      </c>
      <c r="D234" t="s">
        <v>12</v>
      </c>
      <c r="E234" s="2">
        <v>56400</v>
      </c>
      <c r="F234" s="2">
        <v>274000</v>
      </c>
      <c r="G234" t="s">
        <v>23</v>
      </c>
      <c r="H234" t="s">
        <v>17</v>
      </c>
      <c r="I234" t="s">
        <v>18</v>
      </c>
      <c r="J234" s="3">
        <v>45632</v>
      </c>
      <c r="K234" s="4">
        <f>ClientiBanca[[#This Row],[Prestito]]+ClientiBanca[[#This Row],[Mutuo]]</f>
        <v>330400</v>
      </c>
      <c r="L234" t="str">
        <f>IF(ClientiBanca[[#This Row],[Reddito annuo]]&gt;=70000,"si","no")</f>
        <v>no</v>
      </c>
    </row>
    <row r="235" spans="1:12">
      <c r="A235">
        <v>100234</v>
      </c>
      <c r="B235">
        <v>39</v>
      </c>
      <c r="C235" s="2">
        <v>109400</v>
      </c>
      <c r="D235" t="s">
        <v>21</v>
      </c>
      <c r="E235" s="2">
        <v>0</v>
      </c>
      <c r="F235" s="2">
        <v>0</v>
      </c>
      <c r="G235" t="s">
        <v>13</v>
      </c>
      <c r="H235" t="s">
        <v>17</v>
      </c>
      <c r="I235" t="s">
        <v>18</v>
      </c>
      <c r="J235" s="3">
        <v>46064</v>
      </c>
      <c r="K235" s="4">
        <f>ClientiBanca[[#This Row],[Prestito]]+ClientiBanca[[#This Row],[Mutuo]]</f>
        <v>0</v>
      </c>
      <c r="L235" t="str">
        <f>IF(ClientiBanca[[#This Row],[Reddito annuo]]&gt;=70000,"si","no")</f>
        <v>si</v>
      </c>
    </row>
    <row r="236" spans="1:12">
      <c r="A236">
        <v>100235</v>
      </c>
      <c r="B236">
        <v>50</v>
      </c>
      <c r="C236" s="2">
        <v>101000</v>
      </c>
      <c r="D236" t="s">
        <v>12</v>
      </c>
      <c r="E236" s="2">
        <v>28200</v>
      </c>
      <c r="F236" s="2">
        <v>173000</v>
      </c>
      <c r="G236" t="s">
        <v>26</v>
      </c>
      <c r="H236" t="s">
        <v>20</v>
      </c>
      <c r="I236" t="s">
        <v>18</v>
      </c>
      <c r="J236" s="3">
        <v>45659</v>
      </c>
      <c r="K236" s="4">
        <f>ClientiBanca[[#This Row],[Prestito]]+ClientiBanca[[#This Row],[Mutuo]]</f>
        <v>201200</v>
      </c>
      <c r="L236" t="str">
        <f>IF(ClientiBanca[[#This Row],[Reddito annuo]]&gt;=70000,"si","no")</f>
        <v>si</v>
      </c>
    </row>
    <row r="237" spans="1:12">
      <c r="A237">
        <v>100236</v>
      </c>
      <c r="B237">
        <v>39</v>
      </c>
      <c r="C237" s="2">
        <v>44700</v>
      </c>
      <c r="D237" t="s">
        <v>12</v>
      </c>
      <c r="E237" s="2">
        <v>13800</v>
      </c>
      <c r="F237" s="2">
        <v>0</v>
      </c>
      <c r="G237" t="s">
        <v>28</v>
      </c>
      <c r="H237" t="s">
        <v>14</v>
      </c>
      <c r="I237" t="s">
        <v>18</v>
      </c>
      <c r="J237" s="3">
        <v>45500</v>
      </c>
      <c r="K237" s="4">
        <f>ClientiBanca[[#This Row],[Prestito]]+ClientiBanca[[#This Row],[Mutuo]]</f>
        <v>13800</v>
      </c>
      <c r="L237" t="str">
        <f>IF(ClientiBanca[[#This Row],[Reddito annuo]]&gt;=70000,"si","no")</f>
        <v>no</v>
      </c>
    </row>
    <row r="238" spans="1:12">
      <c r="A238">
        <v>100237</v>
      </c>
      <c r="B238">
        <v>43</v>
      </c>
      <c r="C238" s="2">
        <v>47700</v>
      </c>
      <c r="D238" t="s">
        <v>21</v>
      </c>
      <c r="E238" s="2">
        <v>0</v>
      </c>
      <c r="F238" s="2">
        <v>0</v>
      </c>
      <c r="G238" t="s">
        <v>27</v>
      </c>
      <c r="H238" t="s">
        <v>20</v>
      </c>
      <c r="I238" t="s">
        <v>18</v>
      </c>
      <c r="J238" s="3">
        <v>46249</v>
      </c>
      <c r="K238" s="4">
        <f>ClientiBanca[[#This Row],[Prestito]]+ClientiBanca[[#This Row],[Mutuo]]</f>
        <v>0</v>
      </c>
      <c r="L238" t="str">
        <f>IF(ClientiBanca[[#This Row],[Reddito annuo]]&gt;=70000,"si","no")</f>
        <v>no</v>
      </c>
    </row>
    <row r="239" spans="1:12">
      <c r="A239">
        <v>100238</v>
      </c>
      <c r="B239">
        <v>57</v>
      </c>
      <c r="C239" s="2">
        <v>65600</v>
      </c>
      <c r="D239" t="s">
        <v>21</v>
      </c>
      <c r="E239" s="2">
        <v>24800</v>
      </c>
      <c r="F239" s="2">
        <v>0</v>
      </c>
      <c r="G239" t="s">
        <v>23</v>
      </c>
      <c r="H239" t="s">
        <v>17</v>
      </c>
      <c r="I239" t="s">
        <v>18</v>
      </c>
      <c r="J239" s="3">
        <v>45993</v>
      </c>
      <c r="K239" s="4">
        <f>ClientiBanca[[#This Row],[Prestito]]+ClientiBanca[[#This Row],[Mutuo]]</f>
        <v>24800</v>
      </c>
      <c r="L239" t="str">
        <f>IF(ClientiBanca[[#This Row],[Reddito annuo]]&gt;=70000,"si","no")</f>
        <v>no</v>
      </c>
    </row>
    <row r="240" spans="1:12">
      <c r="A240">
        <v>100239</v>
      </c>
      <c r="B240">
        <v>41</v>
      </c>
      <c r="C240" s="2">
        <v>44400</v>
      </c>
      <c r="D240" t="s">
        <v>22</v>
      </c>
      <c r="E240" s="2">
        <v>0</v>
      </c>
      <c r="F240" s="2">
        <v>0</v>
      </c>
      <c r="G240" t="s">
        <v>28</v>
      </c>
      <c r="H240" t="s">
        <v>17</v>
      </c>
      <c r="I240" t="s">
        <v>18</v>
      </c>
      <c r="J240" s="3">
        <v>46042</v>
      </c>
      <c r="K240" s="4">
        <f>ClientiBanca[[#This Row],[Prestito]]+ClientiBanca[[#This Row],[Mutuo]]</f>
        <v>0</v>
      </c>
      <c r="L240" t="str">
        <f>IF(ClientiBanca[[#This Row],[Reddito annuo]]&gt;=70000,"si","no")</f>
        <v>no</v>
      </c>
    </row>
    <row r="241" spans="1:12">
      <c r="A241">
        <v>100240</v>
      </c>
      <c r="B241">
        <v>70</v>
      </c>
      <c r="C241" s="2">
        <v>50100</v>
      </c>
      <c r="D241" t="s">
        <v>21</v>
      </c>
      <c r="E241" s="2">
        <v>18100</v>
      </c>
      <c r="F241" s="2">
        <v>0</v>
      </c>
      <c r="G241" t="s">
        <v>27</v>
      </c>
      <c r="H241" t="s">
        <v>17</v>
      </c>
      <c r="I241" t="s">
        <v>18</v>
      </c>
      <c r="J241" s="3">
        <v>45368</v>
      </c>
      <c r="K241" s="4">
        <f>ClientiBanca[[#This Row],[Prestito]]+ClientiBanca[[#This Row],[Mutuo]]</f>
        <v>18100</v>
      </c>
      <c r="L241" t="str">
        <f>IF(ClientiBanca[[#This Row],[Reddito annuo]]&gt;=70000,"si","no")</f>
        <v>no</v>
      </c>
    </row>
    <row r="242" spans="1:12">
      <c r="A242">
        <v>100241</v>
      </c>
      <c r="B242">
        <v>72</v>
      </c>
      <c r="C242" s="2">
        <v>72800</v>
      </c>
      <c r="D242" t="s">
        <v>12</v>
      </c>
      <c r="E242" s="2">
        <v>58400</v>
      </c>
      <c r="F242" s="2">
        <v>0</v>
      </c>
      <c r="G242" t="s">
        <v>24</v>
      </c>
      <c r="H242" t="s">
        <v>20</v>
      </c>
      <c r="I242" t="s">
        <v>18</v>
      </c>
      <c r="J242" s="3">
        <v>45674</v>
      </c>
      <c r="K242" s="4">
        <f>ClientiBanca[[#This Row],[Prestito]]+ClientiBanca[[#This Row],[Mutuo]]</f>
        <v>58400</v>
      </c>
      <c r="L242" t="str">
        <f>IF(ClientiBanca[[#This Row],[Reddito annuo]]&gt;=70000,"si","no")</f>
        <v>si</v>
      </c>
    </row>
    <row r="243" spans="1:12">
      <c r="A243">
        <v>100242</v>
      </c>
      <c r="B243">
        <v>23</v>
      </c>
      <c r="C243" s="2">
        <v>68600</v>
      </c>
      <c r="D243" t="s">
        <v>12</v>
      </c>
      <c r="E243" s="2">
        <v>32800</v>
      </c>
      <c r="F243" s="2">
        <v>0</v>
      </c>
      <c r="G243" t="s">
        <v>27</v>
      </c>
      <c r="H243" t="s">
        <v>17</v>
      </c>
      <c r="I243" t="s">
        <v>18</v>
      </c>
      <c r="J243" s="3">
        <v>45309</v>
      </c>
      <c r="K243" s="4">
        <f>ClientiBanca[[#This Row],[Prestito]]+ClientiBanca[[#This Row],[Mutuo]]</f>
        <v>32800</v>
      </c>
      <c r="L243" t="str">
        <f>IF(ClientiBanca[[#This Row],[Reddito annuo]]&gt;=70000,"si","no")</f>
        <v>no</v>
      </c>
    </row>
    <row r="244" spans="1:12">
      <c r="A244">
        <v>100243</v>
      </c>
      <c r="B244">
        <v>53</v>
      </c>
      <c r="C244" s="2">
        <v>77700</v>
      </c>
      <c r="D244" t="s">
        <v>12</v>
      </c>
      <c r="E244" s="2">
        <v>33800</v>
      </c>
      <c r="F244" s="2">
        <v>0</v>
      </c>
      <c r="G244" t="s">
        <v>16</v>
      </c>
      <c r="H244" t="s">
        <v>17</v>
      </c>
      <c r="I244" t="s">
        <v>18</v>
      </c>
      <c r="J244" s="3">
        <v>45401</v>
      </c>
      <c r="K244" s="4">
        <f>ClientiBanca[[#This Row],[Prestito]]+ClientiBanca[[#This Row],[Mutuo]]</f>
        <v>33800</v>
      </c>
      <c r="L244" t="str">
        <f>IF(ClientiBanca[[#This Row],[Reddito annuo]]&gt;=70000,"si","no")</f>
        <v>si</v>
      </c>
    </row>
    <row r="245" spans="1:12">
      <c r="A245">
        <v>100244</v>
      </c>
      <c r="B245">
        <v>26</v>
      </c>
      <c r="C245" s="2">
        <v>61500</v>
      </c>
      <c r="D245" t="s">
        <v>21</v>
      </c>
      <c r="E245" s="2">
        <v>21200</v>
      </c>
      <c r="F245" s="2">
        <v>0</v>
      </c>
      <c r="G245" t="s">
        <v>16</v>
      </c>
      <c r="H245" t="s">
        <v>20</v>
      </c>
      <c r="I245" t="s">
        <v>18</v>
      </c>
      <c r="J245" s="3">
        <v>45762</v>
      </c>
      <c r="K245" s="4">
        <f>ClientiBanca[[#This Row],[Prestito]]+ClientiBanca[[#This Row],[Mutuo]]</f>
        <v>21200</v>
      </c>
      <c r="L245" t="str">
        <f>IF(ClientiBanca[[#This Row],[Reddito annuo]]&gt;=70000,"si","no")</f>
        <v>no</v>
      </c>
    </row>
    <row r="246" spans="1:12">
      <c r="A246">
        <v>100245</v>
      </c>
      <c r="B246">
        <v>56</v>
      </c>
      <c r="C246" s="2">
        <v>43600</v>
      </c>
      <c r="D246" t="s">
        <v>12</v>
      </c>
      <c r="E246" s="2">
        <v>54500</v>
      </c>
      <c r="F246" s="2">
        <v>393000</v>
      </c>
      <c r="G246" t="s">
        <v>27</v>
      </c>
      <c r="H246" t="s">
        <v>20</v>
      </c>
      <c r="I246" t="s">
        <v>18</v>
      </c>
      <c r="J246" s="3">
        <v>45857</v>
      </c>
      <c r="K246" s="4">
        <f>ClientiBanca[[#This Row],[Prestito]]+ClientiBanca[[#This Row],[Mutuo]]</f>
        <v>447500</v>
      </c>
      <c r="L246" t="str">
        <f>IF(ClientiBanca[[#This Row],[Reddito annuo]]&gt;=70000,"si","no")</f>
        <v>no</v>
      </c>
    </row>
    <row r="247" spans="1:12">
      <c r="A247">
        <v>100246</v>
      </c>
      <c r="B247">
        <v>50</v>
      </c>
      <c r="C247" s="2">
        <v>30300</v>
      </c>
      <c r="D247" t="s">
        <v>21</v>
      </c>
      <c r="E247" s="2">
        <v>33700</v>
      </c>
      <c r="F247" s="2">
        <v>0</v>
      </c>
      <c r="G247" t="s">
        <v>19</v>
      </c>
      <c r="H247" t="s">
        <v>14</v>
      </c>
      <c r="I247" t="s">
        <v>18</v>
      </c>
      <c r="J247" s="3">
        <v>45389</v>
      </c>
      <c r="K247" s="4">
        <f>ClientiBanca[[#This Row],[Prestito]]+ClientiBanca[[#This Row],[Mutuo]]</f>
        <v>33700</v>
      </c>
      <c r="L247" t="str">
        <f>IF(ClientiBanca[[#This Row],[Reddito annuo]]&gt;=70000,"si","no")</f>
        <v>no</v>
      </c>
    </row>
    <row r="248" spans="1:12">
      <c r="A248">
        <v>100247</v>
      </c>
      <c r="B248">
        <v>53</v>
      </c>
      <c r="C248" s="2">
        <v>101800</v>
      </c>
      <c r="D248" t="s">
        <v>21</v>
      </c>
      <c r="E248" s="2">
        <v>0</v>
      </c>
      <c r="F248" s="2">
        <v>0</v>
      </c>
      <c r="G248" t="s">
        <v>28</v>
      </c>
      <c r="H248" t="s">
        <v>20</v>
      </c>
      <c r="I248" t="s">
        <v>18</v>
      </c>
      <c r="J248" s="3">
        <v>46238</v>
      </c>
      <c r="K248" s="4">
        <f>ClientiBanca[[#This Row],[Prestito]]+ClientiBanca[[#This Row],[Mutuo]]</f>
        <v>0</v>
      </c>
      <c r="L248" t="str">
        <f>IF(ClientiBanca[[#This Row],[Reddito annuo]]&gt;=70000,"si","no")</f>
        <v>si</v>
      </c>
    </row>
    <row r="249" spans="1:12">
      <c r="A249">
        <v>100248</v>
      </c>
      <c r="B249">
        <v>24</v>
      </c>
      <c r="C249" s="2">
        <v>74200</v>
      </c>
      <c r="D249" t="s">
        <v>21</v>
      </c>
      <c r="E249" s="2">
        <v>43500</v>
      </c>
      <c r="F249" s="2">
        <v>304000</v>
      </c>
      <c r="G249" t="s">
        <v>27</v>
      </c>
      <c r="H249" t="s">
        <v>25</v>
      </c>
      <c r="I249" t="s">
        <v>18</v>
      </c>
      <c r="J249" s="3">
        <v>46062</v>
      </c>
      <c r="K249" s="4">
        <f>ClientiBanca[[#This Row],[Prestito]]+ClientiBanca[[#This Row],[Mutuo]]</f>
        <v>347500</v>
      </c>
      <c r="L249" t="str">
        <f>IF(ClientiBanca[[#This Row],[Reddito annuo]]&gt;=70000,"si","no")</f>
        <v>si</v>
      </c>
    </row>
    <row r="250" spans="1:12">
      <c r="A250">
        <v>100249</v>
      </c>
      <c r="B250">
        <v>72</v>
      </c>
      <c r="C250" s="2">
        <v>76800</v>
      </c>
      <c r="D250" t="s">
        <v>21</v>
      </c>
      <c r="E250" s="2">
        <v>17100</v>
      </c>
      <c r="F250" s="2">
        <v>0</v>
      </c>
      <c r="G250" t="s">
        <v>16</v>
      </c>
      <c r="H250" t="s">
        <v>17</v>
      </c>
      <c r="I250" t="s">
        <v>18</v>
      </c>
      <c r="J250" s="3">
        <v>45685</v>
      </c>
      <c r="K250" s="4">
        <f>ClientiBanca[[#This Row],[Prestito]]+ClientiBanca[[#This Row],[Mutuo]]</f>
        <v>17100</v>
      </c>
      <c r="L250" t="str">
        <f>IF(ClientiBanca[[#This Row],[Reddito annuo]]&gt;=70000,"si","no")</f>
        <v>si</v>
      </c>
    </row>
    <row r="251" spans="1:12">
      <c r="A251">
        <v>100250</v>
      </c>
      <c r="B251">
        <v>68</v>
      </c>
      <c r="C251" s="2">
        <v>79400</v>
      </c>
      <c r="D251" t="s">
        <v>12</v>
      </c>
      <c r="E251" s="2">
        <v>12500</v>
      </c>
      <c r="F251" s="2">
        <v>0</v>
      </c>
      <c r="G251" t="s">
        <v>19</v>
      </c>
      <c r="H251" t="s">
        <v>20</v>
      </c>
      <c r="I251" t="s">
        <v>18</v>
      </c>
      <c r="J251" s="3">
        <v>46150</v>
      </c>
      <c r="K251" s="4">
        <f>ClientiBanca[[#This Row],[Prestito]]+ClientiBanca[[#This Row],[Mutuo]]</f>
        <v>12500</v>
      </c>
      <c r="L251" t="str">
        <f>IF(ClientiBanca[[#This Row],[Reddito annuo]]&gt;=70000,"si","no")</f>
        <v>si</v>
      </c>
    </row>
    <row r="252" spans="1:12">
      <c r="A252">
        <v>100251</v>
      </c>
      <c r="B252">
        <v>24</v>
      </c>
      <c r="C252" s="2">
        <v>49400</v>
      </c>
      <c r="D252" t="s">
        <v>12</v>
      </c>
      <c r="E252" s="2">
        <v>0</v>
      </c>
      <c r="F252" s="2">
        <v>0</v>
      </c>
      <c r="G252" t="s">
        <v>19</v>
      </c>
      <c r="H252" t="s">
        <v>20</v>
      </c>
      <c r="I252" t="s">
        <v>18</v>
      </c>
      <c r="J252" s="3">
        <v>45571</v>
      </c>
      <c r="K252" s="4">
        <f>ClientiBanca[[#This Row],[Prestito]]+ClientiBanca[[#This Row],[Mutuo]]</f>
        <v>0</v>
      </c>
      <c r="L252" t="str">
        <f>IF(ClientiBanca[[#This Row],[Reddito annuo]]&gt;=70000,"si","no")</f>
        <v>no</v>
      </c>
    </row>
    <row r="253" spans="1:12">
      <c r="A253">
        <v>100252</v>
      </c>
      <c r="B253">
        <v>70</v>
      </c>
      <c r="C253" s="2">
        <v>121500</v>
      </c>
      <c r="D253" t="s">
        <v>21</v>
      </c>
      <c r="E253" s="2">
        <v>70700</v>
      </c>
      <c r="F253" s="2">
        <v>0</v>
      </c>
      <c r="G253" t="s">
        <v>16</v>
      </c>
      <c r="H253" t="s">
        <v>20</v>
      </c>
      <c r="I253" t="s">
        <v>18</v>
      </c>
      <c r="J253" s="3">
        <v>46109</v>
      </c>
      <c r="K253" s="4">
        <f>ClientiBanca[[#This Row],[Prestito]]+ClientiBanca[[#This Row],[Mutuo]]</f>
        <v>70700</v>
      </c>
      <c r="L253" t="str">
        <f>IF(ClientiBanca[[#This Row],[Reddito annuo]]&gt;=70000,"si","no")</f>
        <v>si</v>
      </c>
    </row>
    <row r="254" spans="1:12">
      <c r="A254">
        <v>100253</v>
      </c>
      <c r="B254">
        <v>35</v>
      </c>
      <c r="C254" s="2">
        <v>76800</v>
      </c>
      <c r="D254" t="s">
        <v>21</v>
      </c>
      <c r="E254" s="2">
        <v>47300</v>
      </c>
      <c r="F254" s="2">
        <v>0</v>
      </c>
      <c r="G254" t="s">
        <v>16</v>
      </c>
      <c r="H254" t="s">
        <v>20</v>
      </c>
      <c r="I254" t="s">
        <v>18</v>
      </c>
      <c r="J254" s="3">
        <v>45297</v>
      </c>
      <c r="K254" s="4">
        <f>ClientiBanca[[#This Row],[Prestito]]+ClientiBanca[[#This Row],[Mutuo]]</f>
        <v>47300</v>
      </c>
      <c r="L254" t="str">
        <f>IF(ClientiBanca[[#This Row],[Reddito annuo]]&gt;=70000,"si","no")</f>
        <v>si</v>
      </c>
    </row>
    <row r="255" spans="1:12">
      <c r="A255">
        <v>100254</v>
      </c>
      <c r="B255">
        <v>39</v>
      </c>
      <c r="C255" s="2">
        <v>56000</v>
      </c>
      <c r="D255" t="s">
        <v>12</v>
      </c>
      <c r="E255" s="2">
        <v>13100</v>
      </c>
      <c r="F255" s="2">
        <v>0</v>
      </c>
      <c r="G255" t="s">
        <v>16</v>
      </c>
      <c r="H255" t="s">
        <v>20</v>
      </c>
      <c r="I255" t="s">
        <v>18</v>
      </c>
      <c r="J255" s="3">
        <v>45859</v>
      </c>
      <c r="K255" s="4">
        <f>ClientiBanca[[#This Row],[Prestito]]+ClientiBanca[[#This Row],[Mutuo]]</f>
        <v>13100</v>
      </c>
      <c r="L255" t="str">
        <f>IF(ClientiBanca[[#This Row],[Reddito annuo]]&gt;=70000,"si","no")</f>
        <v>no</v>
      </c>
    </row>
    <row r="256" spans="1:12">
      <c r="A256">
        <v>100255</v>
      </c>
      <c r="B256">
        <v>25</v>
      </c>
      <c r="C256" s="2">
        <v>67000</v>
      </c>
      <c r="D256" t="s">
        <v>12</v>
      </c>
      <c r="E256" s="2">
        <v>0</v>
      </c>
      <c r="F256" s="2">
        <v>190000</v>
      </c>
      <c r="G256" t="s">
        <v>13</v>
      </c>
      <c r="H256" t="s">
        <v>14</v>
      </c>
      <c r="I256" t="s">
        <v>18</v>
      </c>
      <c r="J256" s="3">
        <v>45864</v>
      </c>
      <c r="K256" s="4">
        <f>ClientiBanca[[#This Row],[Prestito]]+ClientiBanca[[#This Row],[Mutuo]]</f>
        <v>190000</v>
      </c>
      <c r="L256" t="str">
        <f>IF(ClientiBanca[[#This Row],[Reddito annuo]]&gt;=70000,"si","no")</f>
        <v>no</v>
      </c>
    </row>
    <row r="257" spans="1:12">
      <c r="A257">
        <v>100256</v>
      </c>
      <c r="B257">
        <v>35</v>
      </c>
      <c r="C257" s="2">
        <v>65000</v>
      </c>
      <c r="D257" t="s">
        <v>21</v>
      </c>
      <c r="E257" s="2">
        <v>16000</v>
      </c>
      <c r="F257" s="2">
        <v>0</v>
      </c>
      <c r="G257" t="s">
        <v>28</v>
      </c>
      <c r="H257" t="s">
        <v>20</v>
      </c>
      <c r="I257" t="s">
        <v>18</v>
      </c>
      <c r="J257" s="3">
        <v>45574</v>
      </c>
      <c r="K257" s="4">
        <f>ClientiBanca[[#This Row],[Prestito]]+ClientiBanca[[#This Row],[Mutuo]]</f>
        <v>16000</v>
      </c>
      <c r="L257" t="str">
        <f>IF(ClientiBanca[[#This Row],[Reddito annuo]]&gt;=70000,"si","no")</f>
        <v>no</v>
      </c>
    </row>
    <row r="258" spans="1:12">
      <c r="A258">
        <v>100257</v>
      </c>
      <c r="B258">
        <v>46</v>
      </c>
      <c r="C258" s="2">
        <v>46900</v>
      </c>
      <c r="D258" t="s">
        <v>12</v>
      </c>
      <c r="E258" s="2">
        <v>58600</v>
      </c>
      <c r="F258" s="2">
        <v>0</v>
      </c>
      <c r="G258" t="s">
        <v>28</v>
      </c>
      <c r="H258" t="s">
        <v>17</v>
      </c>
      <c r="I258" t="s">
        <v>18</v>
      </c>
      <c r="J258" s="3">
        <v>45401</v>
      </c>
      <c r="K258" s="4">
        <f>ClientiBanca[[#This Row],[Prestito]]+ClientiBanca[[#This Row],[Mutuo]]</f>
        <v>58600</v>
      </c>
      <c r="L258" t="str">
        <f>IF(ClientiBanca[[#This Row],[Reddito annuo]]&gt;=70000,"si","no")</f>
        <v>no</v>
      </c>
    </row>
    <row r="259" spans="1:12">
      <c r="A259">
        <v>100258</v>
      </c>
      <c r="B259">
        <v>28</v>
      </c>
      <c r="C259" s="2">
        <v>47200</v>
      </c>
      <c r="D259" t="s">
        <v>22</v>
      </c>
      <c r="E259" s="2">
        <v>40900</v>
      </c>
      <c r="F259" s="2">
        <v>0</v>
      </c>
      <c r="G259" t="s">
        <v>19</v>
      </c>
      <c r="H259" t="s">
        <v>17</v>
      </c>
      <c r="I259" t="s">
        <v>18</v>
      </c>
      <c r="J259" s="3">
        <v>46135</v>
      </c>
      <c r="K259" s="4">
        <f>ClientiBanca[[#This Row],[Prestito]]+ClientiBanca[[#This Row],[Mutuo]]</f>
        <v>40900</v>
      </c>
      <c r="L259" t="str">
        <f>IF(ClientiBanca[[#This Row],[Reddito annuo]]&gt;=70000,"si","no")</f>
        <v>no</v>
      </c>
    </row>
    <row r="260" spans="1:12">
      <c r="A260">
        <v>100259</v>
      </c>
      <c r="B260">
        <v>75</v>
      </c>
      <c r="C260" s="2">
        <v>71400</v>
      </c>
      <c r="D260" t="s">
        <v>12</v>
      </c>
      <c r="E260" s="2">
        <v>39900</v>
      </c>
      <c r="F260" s="2">
        <v>0</v>
      </c>
      <c r="G260" t="s">
        <v>28</v>
      </c>
      <c r="H260" t="s">
        <v>17</v>
      </c>
      <c r="I260" t="s">
        <v>18</v>
      </c>
      <c r="J260" s="3">
        <v>45618</v>
      </c>
      <c r="K260" s="4">
        <f>ClientiBanca[[#This Row],[Prestito]]+ClientiBanca[[#This Row],[Mutuo]]</f>
        <v>39900</v>
      </c>
      <c r="L260" t="str">
        <f>IF(ClientiBanca[[#This Row],[Reddito annuo]]&gt;=70000,"si","no")</f>
        <v>si</v>
      </c>
    </row>
    <row r="261" spans="1:12">
      <c r="A261">
        <v>100260</v>
      </c>
      <c r="B261">
        <v>38</v>
      </c>
      <c r="C261" s="2">
        <v>78900</v>
      </c>
      <c r="D261" t="s">
        <v>12</v>
      </c>
      <c r="E261" s="2">
        <v>0</v>
      </c>
      <c r="F261" s="2">
        <v>0</v>
      </c>
      <c r="G261" t="s">
        <v>19</v>
      </c>
      <c r="H261" t="s">
        <v>20</v>
      </c>
      <c r="I261" t="s">
        <v>18</v>
      </c>
      <c r="J261" s="3">
        <v>46128</v>
      </c>
      <c r="K261" s="4">
        <f>ClientiBanca[[#This Row],[Prestito]]+ClientiBanca[[#This Row],[Mutuo]]</f>
        <v>0</v>
      </c>
      <c r="L261" t="str">
        <f>IF(ClientiBanca[[#This Row],[Reddito annuo]]&gt;=70000,"si","no")</f>
        <v>si</v>
      </c>
    </row>
    <row r="262" spans="1:12">
      <c r="A262">
        <v>100261</v>
      </c>
      <c r="B262">
        <v>70</v>
      </c>
      <c r="C262" s="2">
        <v>52600</v>
      </c>
      <c r="D262" t="s">
        <v>21</v>
      </c>
      <c r="E262" s="2">
        <v>39200</v>
      </c>
      <c r="F262" s="2">
        <v>0</v>
      </c>
      <c r="G262" t="s">
        <v>27</v>
      </c>
      <c r="H262" t="s">
        <v>25</v>
      </c>
      <c r="I262" t="s">
        <v>18</v>
      </c>
      <c r="J262" s="3">
        <v>46017</v>
      </c>
      <c r="K262" s="4">
        <f>ClientiBanca[[#This Row],[Prestito]]+ClientiBanca[[#This Row],[Mutuo]]</f>
        <v>39200</v>
      </c>
      <c r="L262" t="str">
        <f>IF(ClientiBanca[[#This Row],[Reddito annuo]]&gt;=70000,"si","no")</f>
        <v>no</v>
      </c>
    </row>
    <row r="263" spans="1:12">
      <c r="A263">
        <v>100262</v>
      </c>
      <c r="B263">
        <v>33</v>
      </c>
      <c r="C263" s="2">
        <v>55600</v>
      </c>
      <c r="D263" t="s">
        <v>21</v>
      </c>
      <c r="E263" s="2">
        <v>56100</v>
      </c>
      <c r="F263" s="2">
        <v>0</v>
      </c>
      <c r="G263" t="s">
        <v>16</v>
      </c>
      <c r="H263" t="s">
        <v>17</v>
      </c>
      <c r="I263" t="s">
        <v>18</v>
      </c>
      <c r="J263" s="3">
        <v>45602</v>
      </c>
      <c r="K263" s="4">
        <f>ClientiBanca[[#This Row],[Prestito]]+ClientiBanca[[#This Row],[Mutuo]]</f>
        <v>56100</v>
      </c>
      <c r="L263" t="str">
        <f>IF(ClientiBanca[[#This Row],[Reddito annuo]]&gt;=70000,"si","no")</f>
        <v>no</v>
      </c>
    </row>
    <row r="264" spans="1:12">
      <c r="A264">
        <v>100263</v>
      </c>
      <c r="B264">
        <v>35</v>
      </c>
      <c r="C264" s="2">
        <v>44200</v>
      </c>
      <c r="D264" t="s">
        <v>21</v>
      </c>
      <c r="E264" s="2">
        <v>27200</v>
      </c>
      <c r="F264" s="2">
        <v>0</v>
      </c>
      <c r="G264" t="s">
        <v>28</v>
      </c>
      <c r="H264" t="s">
        <v>14</v>
      </c>
      <c r="I264" t="s">
        <v>18</v>
      </c>
      <c r="J264" s="3">
        <v>46237</v>
      </c>
      <c r="K264" s="4">
        <f>ClientiBanca[[#This Row],[Prestito]]+ClientiBanca[[#This Row],[Mutuo]]</f>
        <v>27200</v>
      </c>
      <c r="L264" t="str">
        <f>IF(ClientiBanca[[#This Row],[Reddito annuo]]&gt;=70000,"si","no")</f>
        <v>no</v>
      </c>
    </row>
    <row r="265" spans="1:12">
      <c r="A265">
        <v>100264</v>
      </c>
      <c r="B265">
        <v>75</v>
      </c>
      <c r="C265" s="2">
        <v>74900</v>
      </c>
      <c r="D265" t="s">
        <v>12</v>
      </c>
      <c r="E265" s="2">
        <v>0</v>
      </c>
      <c r="F265" s="2">
        <v>0</v>
      </c>
      <c r="G265" t="s">
        <v>13</v>
      </c>
      <c r="H265" t="s">
        <v>20</v>
      </c>
      <c r="I265" t="s">
        <v>18</v>
      </c>
      <c r="J265" s="3">
        <v>45546</v>
      </c>
      <c r="K265" s="4">
        <f>ClientiBanca[[#This Row],[Prestito]]+ClientiBanca[[#This Row],[Mutuo]]</f>
        <v>0</v>
      </c>
      <c r="L265" t="str">
        <f>IF(ClientiBanca[[#This Row],[Reddito annuo]]&gt;=70000,"si","no")</f>
        <v>si</v>
      </c>
    </row>
    <row r="266" spans="1:12">
      <c r="A266">
        <v>100265</v>
      </c>
      <c r="B266">
        <v>62</v>
      </c>
      <c r="C266" s="2">
        <v>72500</v>
      </c>
      <c r="D266" t="s">
        <v>21</v>
      </c>
      <c r="E266" s="2">
        <v>37400</v>
      </c>
      <c r="F266" s="2">
        <v>0</v>
      </c>
      <c r="G266" t="s">
        <v>16</v>
      </c>
      <c r="H266" t="s">
        <v>25</v>
      </c>
      <c r="I266" t="s">
        <v>18</v>
      </c>
      <c r="J266" s="3">
        <v>46107</v>
      </c>
      <c r="K266" s="4">
        <f>ClientiBanca[[#This Row],[Prestito]]+ClientiBanca[[#This Row],[Mutuo]]</f>
        <v>37400</v>
      </c>
      <c r="L266" t="str">
        <f>IF(ClientiBanca[[#This Row],[Reddito annuo]]&gt;=70000,"si","no")</f>
        <v>si</v>
      </c>
    </row>
    <row r="267" spans="1:12">
      <c r="A267">
        <v>100266</v>
      </c>
      <c r="B267">
        <v>47</v>
      </c>
      <c r="C267" s="2">
        <v>34900</v>
      </c>
      <c r="D267" t="s">
        <v>21</v>
      </c>
      <c r="E267" s="2">
        <v>43600</v>
      </c>
      <c r="F267" s="2">
        <v>0</v>
      </c>
      <c r="G267" t="s">
        <v>23</v>
      </c>
      <c r="H267" t="s">
        <v>17</v>
      </c>
      <c r="I267" t="s">
        <v>18</v>
      </c>
      <c r="J267" s="3">
        <v>46082</v>
      </c>
      <c r="K267" s="4">
        <f>ClientiBanca[[#This Row],[Prestito]]+ClientiBanca[[#This Row],[Mutuo]]</f>
        <v>43600</v>
      </c>
      <c r="L267" t="str">
        <f>IF(ClientiBanca[[#This Row],[Reddito annuo]]&gt;=70000,"si","no")</f>
        <v>no</v>
      </c>
    </row>
    <row r="268" spans="1:12">
      <c r="A268">
        <v>100267</v>
      </c>
      <c r="B268">
        <v>63</v>
      </c>
      <c r="C268" s="2">
        <v>66300</v>
      </c>
      <c r="D268" t="s">
        <v>12</v>
      </c>
      <c r="E268" s="2">
        <v>7900</v>
      </c>
      <c r="F268" s="2">
        <v>191000</v>
      </c>
      <c r="G268" t="s">
        <v>13</v>
      </c>
      <c r="H268" t="s">
        <v>20</v>
      </c>
      <c r="I268" t="s">
        <v>18</v>
      </c>
      <c r="J268" s="3">
        <v>45437</v>
      </c>
      <c r="K268" s="4">
        <f>ClientiBanca[[#This Row],[Prestito]]+ClientiBanca[[#This Row],[Mutuo]]</f>
        <v>198900</v>
      </c>
      <c r="L268" t="str">
        <f>IF(ClientiBanca[[#This Row],[Reddito annuo]]&gt;=70000,"si","no")</f>
        <v>no</v>
      </c>
    </row>
    <row r="269" spans="1:12">
      <c r="A269">
        <v>100268</v>
      </c>
      <c r="B269">
        <v>42</v>
      </c>
      <c r="C269" s="2">
        <v>47600</v>
      </c>
      <c r="D269" t="s">
        <v>21</v>
      </c>
      <c r="E269" s="2">
        <v>32800</v>
      </c>
      <c r="F269" s="2">
        <v>0</v>
      </c>
      <c r="G269" t="s">
        <v>28</v>
      </c>
      <c r="H269" t="s">
        <v>14</v>
      </c>
      <c r="I269" t="s">
        <v>18</v>
      </c>
      <c r="J269" s="3">
        <v>45360</v>
      </c>
      <c r="K269" s="4">
        <f>ClientiBanca[[#This Row],[Prestito]]+ClientiBanca[[#This Row],[Mutuo]]</f>
        <v>32800</v>
      </c>
      <c r="L269" t="str">
        <f>IF(ClientiBanca[[#This Row],[Reddito annuo]]&gt;=70000,"si","no")</f>
        <v>no</v>
      </c>
    </row>
    <row r="270" spans="1:12">
      <c r="A270">
        <v>100269</v>
      </c>
      <c r="B270">
        <v>39</v>
      </c>
      <c r="C270" s="2">
        <v>29000</v>
      </c>
      <c r="D270" t="s">
        <v>12</v>
      </c>
      <c r="E270" s="2">
        <v>25500</v>
      </c>
      <c r="F270" s="2">
        <v>286000</v>
      </c>
      <c r="G270" t="s">
        <v>23</v>
      </c>
      <c r="H270" t="s">
        <v>17</v>
      </c>
      <c r="I270" t="s">
        <v>18</v>
      </c>
      <c r="J270" s="3">
        <v>45630</v>
      </c>
      <c r="K270" s="4">
        <f>ClientiBanca[[#This Row],[Prestito]]+ClientiBanca[[#This Row],[Mutuo]]</f>
        <v>311500</v>
      </c>
      <c r="L270" t="str">
        <f>IF(ClientiBanca[[#This Row],[Reddito annuo]]&gt;=70000,"si","no")</f>
        <v>no</v>
      </c>
    </row>
    <row r="271" spans="1:12">
      <c r="A271">
        <v>100270</v>
      </c>
      <c r="B271">
        <v>55</v>
      </c>
      <c r="C271" s="2">
        <v>54800</v>
      </c>
      <c r="D271" t="s">
        <v>21</v>
      </c>
      <c r="E271" s="2">
        <v>0</v>
      </c>
      <c r="F271" s="2">
        <v>0</v>
      </c>
      <c r="G271" t="s">
        <v>24</v>
      </c>
      <c r="H271" t="s">
        <v>17</v>
      </c>
      <c r="I271" t="s">
        <v>18</v>
      </c>
      <c r="J271" s="3">
        <v>45734</v>
      </c>
      <c r="K271" s="4">
        <f>ClientiBanca[[#This Row],[Prestito]]+ClientiBanca[[#This Row],[Mutuo]]</f>
        <v>0</v>
      </c>
      <c r="L271" t="str">
        <f>IF(ClientiBanca[[#This Row],[Reddito annuo]]&gt;=70000,"si","no")</f>
        <v>no</v>
      </c>
    </row>
    <row r="272" spans="1:12">
      <c r="A272">
        <v>100271</v>
      </c>
      <c r="B272">
        <v>45</v>
      </c>
      <c r="C272" s="2">
        <v>26900</v>
      </c>
      <c r="D272" t="s">
        <v>12</v>
      </c>
      <c r="E272" s="2">
        <v>33600</v>
      </c>
      <c r="F272" s="2">
        <v>0</v>
      </c>
      <c r="G272" t="s">
        <v>23</v>
      </c>
      <c r="H272" t="s">
        <v>17</v>
      </c>
      <c r="I272" t="s">
        <v>18</v>
      </c>
      <c r="J272" s="3">
        <v>46120</v>
      </c>
      <c r="K272" s="4">
        <f>ClientiBanca[[#This Row],[Prestito]]+ClientiBanca[[#This Row],[Mutuo]]</f>
        <v>33600</v>
      </c>
      <c r="L272" t="str">
        <f>IF(ClientiBanca[[#This Row],[Reddito annuo]]&gt;=70000,"si","no")</f>
        <v>no</v>
      </c>
    </row>
    <row r="273" spans="1:12">
      <c r="A273">
        <v>100272</v>
      </c>
      <c r="B273">
        <v>70</v>
      </c>
      <c r="C273" s="2">
        <v>31000</v>
      </c>
      <c r="D273" t="s">
        <v>21</v>
      </c>
      <c r="E273" s="2">
        <v>0</v>
      </c>
      <c r="F273" s="2">
        <v>0</v>
      </c>
      <c r="G273" t="s">
        <v>19</v>
      </c>
      <c r="H273" t="s">
        <v>17</v>
      </c>
      <c r="I273" t="s">
        <v>18</v>
      </c>
      <c r="J273" s="3">
        <v>45408</v>
      </c>
      <c r="K273" s="4">
        <f>ClientiBanca[[#This Row],[Prestito]]+ClientiBanca[[#This Row],[Mutuo]]</f>
        <v>0</v>
      </c>
      <c r="L273" t="str">
        <f>IF(ClientiBanca[[#This Row],[Reddito annuo]]&gt;=70000,"si","no")</f>
        <v>no</v>
      </c>
    </row>
    <row r="274" spans="1:12">
      <c r="A274">
        <v>100273</v>
      </c>
      <c r="B274">
        <v>36</v>
      </c>
      <c r="C274" s="2">
        <v>73000</v>
      </c>
      <c r="D274" t="s">
        <v>21</v>
      </c>
      <c r="E274" s="2">
        <v>0</v>
      </c>
      <c r="F274" s="2">
        <v>0</v>
      </c>
      <c r="G274" t="s">
        <v>16</v>
      </c>
      <c r="H274" t="s">
        <v>17</v>
      </c>
      <c r="I274" t="s">
        <v>18</v>
      </c>
      <c r="J274" s="3">
        <v>45893</v>
      </c>
      <c r="K274" s="4">
        <f>ClientiBanca[[#This Row],[Prestito]]+ClientiBanca[[#This Row],[Mutuo]]</f>
        <v>0</v>
      </c>
      <c r="L274" t="str">
        <f>IF(ClientiBanca[[#This Row],[Reddito annuo]]&gt;=70000,"si","no")</f>
        <v>si</v>
      </c>
    </row>
    <row r="275" spans="1:12">
      <c r="A275">
        <v>100274</v>
      </c>
      <c r="B275">
        <v>27</v>
      </c>
      <c r="C275" s="2">
        <v>49800</v>
      </c>
      <c r="D275" t="s">
        <v>22</v>
      </c>
      <c r="E275" s="2">
        <v>55600</v>
      </c>
      <c r="F275" s="2">
        <v>0</v>
      </c>
      <c r="G275" t="s">
        <v>26</v>
      </c>
      <c r="H275" t="s">
        <v>14</v>
      </c>
      <c r="I275" t="s">
        <v>18</v>
      </c>
      <c r="J275" s="3">
        <v>45980</v>
      </c>
      <c r="K275" s="4">
        <f>ClientiBanca[[#This Row],[Prestito]]+ClientiBanca[[#This Row],[Mutuo]]</f>
        <v>55600</v>
      </c>
      <c r="L275" t="str">
        <f>IF(ClientiBanca[[#This Row],[Reddito annuo]]&gt;=70000,"si","no")</f>
        <v>no</v>
      </c>
    </row>
    <row r="276" spans="1:12">
      <c r="A276">
        <v>100275</v>
      </c>
      <c r="B276">
        <v>28</v>
      </c>
      <c r="C276" s="2">
        <v>47700</v>
      </c>
      <c r="D276" t="s">
        <v>21</v>
      </c>
      <c r="E276" s="2">
        <v>27000</v>
      </c>
      <c r="F276" s="2">
        <v>185000</v>
      </c>
      <c r="G276" t="s">
        <v>24</v>
      </c>
      <c r="H276" t="s">
        <v>17</v>
      </c>
      <c r="I276" t="s">
        <v>18</v>
      </c>
      <c r="J276" s="3">
        <v>45790</v>
      </c>
      <c r="K276" s="4">
        <f>ClientiBanca[[#This Row],[Prestito]]+ClientiBanca[[#This Row],[Mutuo]]</f>
        <v>212000</v>
      </c>
      <c r="L276" t="str">
        <f>IF(ClientiBanca[[#This Row],[Reddito annuo]]&gt;=70000,"si","no")</f>
        <v>no</v>
      </c>
    </row>
    <row r="277" spans="1:12">
      <c r="A277">
        <v>100276</v>
      </c>
      <c r="B277">
        <v>60</v>
      </c>
      <c r="C277" s="2">
        <v>62500</v>
      </c>
      <c r="D277" t="s">
        <v>22</v>
      </c>
      <c r="E277" s="2">
        <v>0</v>
      </c>
      <c r="F277" s="2">
        <v>141000</v>
      </c>
      <c r="G277" t="s">
        <v>26</v>
      </c>
      <c r="H277" t="s">
        <v>20</v>
      </c>
      <c r="I277" t="s">
        <v>18</v>
      </c>
      <c r="J277" s="3">
        <v>45614</v>
      </c>
      <c r="K277" s="4">
        <f>ClientiBanca[[#This Row],[Prestito]]+ClientiBanca[[#This Row],[Mutuo]]</f>
        <v>141000</v>
      </c>
      <c r="L277" t="str">
        <f>IF(ClientiBanca[[#This Row],[Reddito annuo]]&gt;=70000,"si","no")</f>
        <v>no</v>
      </c>
    </row>
    <row r="278" spans="1:12">
      <c r="A278">
        <v>100277</v>
      </c>
      <c r="B278">
        <v>73</v>
      </c>
      <c r="C278" s="2">
        <v>56400</v>
      </c>
      <c r="D278" t="s">
        <v>21</v>
      </c>
      <c r="E278" s="2">
        <v>5700</v>
      </c>
      <c r="F278" s="2">
        <v>291000</v>
      </c>
      <c r="G278" t="s">
        <v>28</v>
      </c>
      <c r="H278" t="s">
        <v>17</v>
      </c>
      <c r="I278" t="s">
        <v>18</v>
      </c>
      <c r="J278" s="3">
        <v>46019</v>
      </c>
      <c r="K278" s="4">
        <f>ClientiBanca[[#This Row],[Prestito]]+ClientiBanca[[#This Row],[Mutuo]]</f>
        <v>296700</v>
      </c>
      <c r="L278" t="str">
        <f>IF(ClientiBanca[[#This Row],[Reddito annuo]]&gt;=70000,"si","no")</f>
        <v>no</v>
      </c>
    </row>
    <row r="279" spans="1:12">
      <c r="A279">
        <v>100278</v>
      </c>
      <c r="B279">
        <v>73</v>
      </c>
      <c r="C279" s="2">
        <v>56000</v>
      </c>
      <c r="D279" t="s">
        <v>21</v>
      </c>
      <c r="E279" s="2">
        <v>54000</v>
      </c>
      <c r="F279" s="2">
        <v>0</v>
      </c>
      <c r="G279" t="s">
        <v>27</v>
      </c>
      <c r="H279" t="s">
        <v>20</v>
      </c>
      <c r="I279" t="s">
        <v>18</v>
      </c>
      <c r="J279" s="3">
        <v>45464</v>
      </c>
      <c r="K279" s="4">
        <f>ClientiBanca[[#This Row],[Prestito]]+ClientiBanca[[#This Row],[Mutuo]]</f>
        <v>54000</v>
      </c>
      <c r="L279" t="str">
        <f>IF(ClientiBanca[[#This Row],[Reddito annuo]]&gt;=70000,"si","no")</f>
        <v>no</v>
      </c>
    </row>
    <row r="280" spans="1:12">
      <c r="A280">
        <v>100279</v>
      </c>
      <c r="B280">
        <v>69</v>
      </c>
      <c r="C280" s="2">
        <v>56900</v>
      </c>
      <c r="D280" t="s">
        <v>12</v>
      </c>
      <c r="E280" s="2">
        <v>0</v>
      </c>
      <c r="F280" s="2">
        <v>0</v>
      </c>
      <c r="G280" t="s">
        <v>13</v>
      </c>
      <c r="H280" t="s">
        <v>17</v>
      </c>
      <c r="I280" t="s">
        <v>18</v>
      </c>
      <c r="J280" s="3">
        <v>45566</v>
      </c>
      <c r="K280" s="4">
        <f>ClientiBanca[[#This Row],[Prestito]]+ClientiBanca[[#This Row],[Mutuo]]</f>
        <v>0</v>
      </c>
      <c r="L280" t="str">
        <f>IF(ClientiBanca[[#This Row],[Reddito annuo]]&gt;=70000,"si","no")</f>
        <v>no</v>
      </c>
    </row>
    <row r="281" spans="1:12">
      <c r="A281">
        <v>100280</v>
      </c>
      <c r="B281">
        <v>69</v>
      </c>
      <c r="C281" s="2">
        <v>62900</v>
      </c>
      <c r="D281" t="s">
        <v>22</v>
      </c>
      <c r="E281" s="2">
        <v>50700</v>
      </c>
      <c r="F281" s="2">
        <v>0</v>
      </c>
      <c r="G281" t="s">
        <v>28</v>
      </c>
      <c r="H281" t="s">
        <v>17</v>
      </c>
      <c r="I281" t="s">
        <v>18</v>
      </c>
      <c r="J281" s="3">
        <v>45396</v>
      </c>
      <c r="K281" s="4">
        <f>ClientiBanca[[#This Row],[Prestito]]+ClientiBanca[[#This Row],[Mutuo]]</f>
        <v>50700</v>
      </c>
      <c r="L281" t="str">
        <f>IF(ClientiBanca[[#This Row],[Reddito annuo]]&gt;=70000,"si","no")</f>
        <v>no</v>
      </c>
    </row>
    <row r="282" spans="1:12">
      <c r="A282">
        <v>100281</v>
      </c>
      <c r="B282">
        <v>67</v>
      </c>
      <c r="C282" s="2">
        <v>89100</v>
      </c>
      <c r="D282" t="s">
        <v>12</v>
      </c>
      <c r="E282" s="2">
        <v>87900</v>
      </c>
      <c r="F282" s="2">
        <v>0</v>
      </c>
      <c r="G282" t="s">
        <v>19</v>
      </c>
      <c r="H282" t="s">
        <v>14</v>
      </c>
      <c r="I282" t="s">
        <v>15</v>
      </c>
      <c r="J282" s="3">
        <v>46178</v>
      </c>
      <c r="K282" s="4">
        <f>ClientiBanca[[#This Row],[Prestito]]+ClientiBanca[[#This Row],[Mutuo]]</f>
        <v>87900</v>
      </c>
      <c r="L282" t="str">
        <f>IF(ClientiBanca[[#This Row],[Reddito annuo]]&gt;=70000,"si","no")</f>
        <v>si</v>
      </c>
    </row>
    <row r="283" spans="1:12">
      <c r="A283">
        <v>100282</v>
      </c>
      <c r="B283">
        <v>27</v>
      </c>
      <c r="C283" s="2">
        <v>83000</v>
      </c>
      <c r="D283" t="s">
        <v>21</v>
      </c>
      <c r="E283" s="2">
        <v>0</v>
      </c>
      <c r="F283" s="2">
        <v>0</v>
      </c>
      <c r="G283" t="s">
        <v>19</v>
      </c>
      <c r="H283" t="s">
        <v>14</v>
      </c>
      <c r="I283" t="s">
        <v>18</v>
      </c>
      <c r="J283" s="3">
        <v>45916</v>
      </c>
      <c r="K283" s="4">
        <f>ClientiBanca[[#This Row],[Prestito]]+ClientiBanca[[#This Row],[Mutuo]]</f>
        <v>0</v>
      </c>
      <c r="L283" t="str">
        <f>IF(ClientiBanca[[#This Row],[Reddito annuo]]&gt;=70000,"si","no")</f>
        <v>si</v>
      </c>
    </row>
    <row r="284" spans="1:12">
      <c r="A284">
        <v>100283</v>
      </c>
      <c r="B284">
        <v>60</v>
      </c>
      <c r="C284" s="2">
        <v>54900</v>
      </c>
      <c r="D284" t="s">
        <v>12</v>
      </c>
      <c r="E284" s="2">
        <v>0</v>
      </c>
      <c r="F284" s="2">
        <v>0</v>
      </c>
      <c r="G284" t="s">
        <v>27</v>
      </c>
      <c r="H284" t="s">
        <v>17</v>
      </c>
      <c r="I284" t="s">
        <v>18</v>
      </c>
      <c r="J284" s="3">
        <v>45837</v>
      </c>
      <c r="K284" s="4">
        <f>ClientiBanca[[#This Row],[Prestito]]+ClientiBanca[[#This Row],[Mutuo]]</f>
        <v>0</v>
      </c>
      <c r="L284" t="str">
        <f>IF(ClientiBanca[[#This Row],[Reddito annuo]]&gt;=70000,"si","no")</f>
        <v>no</v>
      </c>
    </row>
    <row r="285" spans="1:12">
      <c r="A285">
        <v>100284</v>
      </c>
      <c r="B285">
        <v>37</v>
      </c>
      <c r="C285" s="2">
        <v>67000</v>
      </c>
      <c r="D285" t="s">
        <v>21</v>
      </c>
      <c r="E285" s="2">
        <v>0</v>
      </c>
      <c r="F285" s="2">
        <v>0</v>
      </c>
      <c r="G285" t="s">
        <v>26</v>
      </c>
      <c r="H285" t="s">
        <v>25</v>
      </c>
      <c r="I285" t="s">
        <v>18</v>
      </c>
      <c r="J285" s="3">
        <v>45818</v>
      </c>
      <c r="K285" s="4">
        <f>ClientiBanca[[#This Row],[Prestito]]+ClientiBanca[[#This Row],[Mutuo]]</f>
        <v>0</v>
      </c>
      <c r="L285" t="str">
        <f>IF(ClientiBanca[[#This Row],[Reddito annuo]]&gt;=70000,"si","no")</f>
        <v>no</v>
      </c>
    </row>
    <row r="286" spans="1:12">
      <c r="A286">
        <v>100285</v>
      </c>
      <c r="B286">
        <v>63</v>
      </c>
      <c r="C286" s="2">
        <v>87300</v>
      </c>
      <c r="D286" t="s">
        <v>21</v>
      </c>
      <c r="E286" s="2">
        <v>0</v>
      </c>
      <c r="F286" s="2">
        <v>0</v>
      </c>
      <c r="G286" t="s">
        <v>27</v>
      </c>
      <c r="H286" t="s">
        <v>25</v>
      </c>
      <c r="I286" t="s">
        <v>18</v>
      </c>
      <c r="J286" s="3">
        <v>46179</v>
      </c>
      <c r="K286" s="4">
        <f>ClientiBanca[[#This Row],[Prestito]]+ClientiBanca[[#This Row],[Mutuo]]</f>
        <v>0</v>
      </c>
      <c r="L286" t="str">
        <f>IF(ClientiBanca[[#This Row],[Reddito annuo]]&gt;=70000,"si","no")</f>
        <v>si</v>
      </c>
    </row>
    <row r="287" spans="1:12">
      <c r="A287">
        <v>100286</v>
      </c>
      <c r="B287">
        <v>61</v>
      </c>
      <c r="C287" s="2">
        <v>36500</v>
      </c>
      <c r="D287" t="s">
        <v>22</v>
      </c>
      <c r="E287" s="2">
        <v>45600</v>
      </c>
      <c r="F287" s="2">
        <v>0</v>
      </c>
      <c r="G287" t="s">
        <v>16</v>
      </c>
      <c r="H287" t="s">
        <v>17</v>
      </c>
      <c r="I287" t="s">
        <v>18</v>
      </c>
      <c r="J287" s="3">
        <v>45567</v>
      </c>
      <c r="K287" s="4">
        <f>ClientiBanca[[#This Row],[Prestito]]+ClientiBanca[[#This Row],[Mutuo]]</f>
        <v>45600</v>
      </c>
      <c r="L287" t="str">
        <f>IF(ClientiBanca[[#This Row],[Reddito annuo]]&gt;=70000,"si","no")</f>
        <v>no</v>
      </c>
    </row>
    <row r="288" spans="1:12">
      <c r="A288">
        <v>100287</v>
      </c>
      <c r="B288">
        <v>60</v>
      </c>
      <c r="C288" s="2">
        <v>54000</v>
      </c>
      <c r="D288" t="s">
        <v>21</v>
      </c>
      <c r="E288" s="2">
        <v>62400</v>
      </c>
      <c r="F288" s="2">
        <v>211000</v>
      </c>
      <c r="G288" t="s">
        <v>26</v>
      </c>
      <c r="H288" t="s">
        <v>17</v>
      </c>
      <c r="I288" t="s">
        <v>18</v>
      </c>
      <c r="J288" s="3">
        <v>45757</v>
      </c>
      <c r="K288" s="4">
        <f>ClientiBanca[[#This Row],[Prestito]]+ClientiBanca[[#This Row],[Mutuo]]</f>
        <v>273400</v>
      </c>
      <c r="L288" t="str">
        <f>IF(ClientiBanca[[#This Row],[Reddito annuo]]&gt;=70000,"si","no")</f>
        <v>no</v>
      </c>
    </row>
    <row r="289" spans="1:12">
      <c r="A289">
        <v>100288</v>
      </c>
      <c r="B289">
        <v>51</v>
      </c>
      <c r="C289" s="2">
        <v>48600</v>
      </c>
      <c r="D289" t="s">
        <v>21</v>
      </c>
      <c r="E289" s="2">
        <v>0</v>
      </c>
      <c r="F289" s="2">
        <v>0</v>
      </c>
      <c r="G289" t="s">
        <v>28</v>
      </c>
      <c r="H289" t="s">
        <v>17</v>
      </c>
      <c r="I289" t="s">
        <v>18</v>
      </c>
      <c r="J289" s="3">
        <v>46006</v>
      </c>
      <c r="K289" s="4">
        <f>ClientiBanca[[#This Row],[Prestito]]+ClientiBanca[[#This Row],[Mutuo]]</f>
        <v>0</v>
      </c>
      <c r="L289" t="str">
        <f>IF(ClientiBanca[[#This Row],[Reddito annuo]]&gt;=70000,"si","no")</f>
        <v>no</v>
      </c>
    </row>
    <row r="290" spans="1:12">
      <c r="A290">
        <v>100289</v>
      </c>
      <c r="B290">
        <v>42</v>
      </c>
      <c r="C290" s="2">
        <v>91600</v>
      </c>
      <c r="D290" t="s">
        <v>12</v>
      </c>
      <c r="E290" s="2">
        <v>75800</v>
      </c>
      <c r="F290" s="2">
        <v>0</v>
      </c>
      <c r="G290" t="s">
        <v>28</v>
      </c>
      <c r="H290" t="s">
        <v>20</v>
      </c>
      <c r="I290" t="s">
        <v>18</v>
      </c>
      <c r="J290" s="3">
        <v>45637</v>
      </c>
      <c r="K290" s="4">
        <f>ClientiBanca[[#This Row],[Prestito]]+ClientiBanca[[#This Row],[Mutuo]]</f>
        <v>75800</v>
      </c>
      <c r="L290" t="str">
        <f>IF(ClientiBanca[[#This Row],[Reddito annuo]]&gt;=70000,"si","no")</f>
        <v>si</v>
      </c>
    </row>
    <row r="291" spans="1:12">
      <c r="A291">
        <v>100290</v>
      </c>
      <c r="B291">
        <v>55</v>
      </c>
      <c r="C291" s="2">
        <v>65500</v>
      </c>
      <c r="D291" t="s">
        <v>12</v>
      </c>
      <c r="E291" s="2">
        <v>25500</v>
      </c>
      <c r="F291" s="2">
        <v>0</v>
      </c>
      <c r="G291" t="s">
        <v>27</v>
      </c>
      <c r="H291" t="s">
        <v>20</v>
      </c>
      <c r="I291" t="s">
        <v>18</v>
      </c>
      <c r="J291" s="3">
        <v>46148</v>
      </c>
      <c r="K291" s="4">
        <f>ClientiBanca[[#This Row],[Prestito]]+ClientiBanca[[#This Row],[Mutuo]]</f>
        <v>25500</v>
      </c>
      <c r="L291" t="str">
        <f>IF(ClientiBanca[[#This Row],[Reddito annuo]]&gt;=70000,"si","no")</f>
        <v>no</v>
      </c>
    </row>
    <row r="292" spans="1:12">
      <c r="A292">
        <v>100291</v>
      </c>
      <c r="B292">
        <v>49</v>
      </c>
      <c r="C292" s="2">
        <v>24600</v>
      </c>
      <c r="D292" t="s">
        <v>22</v>
      </c>
      <c r="E292" s="2">
        <v>30800</v>
      </c>
      <c r="F292" s="2">
        <v>0</v>
      </c>
      <c r="G292" t="s">
        <v>16</v>
      </c>
      <c r="H292" t="s">
        <v>17</v>
      </c>
      <c r="I292" t="s">
        <v>18</v>
      </c>
      <c r="J292" s="3">
        <v>45427</v>
      </c>
      <c r="K292" s="4">
        <f>ClientiBanca[[#This Row],[Prestito]]+ClientiBanca[[#This Row],[Mutuo]]</f>
        <v>30800</v>
      </c>
      <c r="L292" t="str">
        <f>IF(ClientiBanca[[#This Row],[Reddito annuo]]&gt;=70000,"si","no")</f>
        <v>no</v>
      </c>
    </row>
    <row r="293" spans="1:12">
      <c r="A293">
        <v>100292</v>
      </c>
      <c r="B293">
        <v>61</v>
      </c>
      <c r="C293" s="2">
        <v>47000</v>
      </c>
      <c r="D293" t="s">
        <v>22</v>
      </c>
      <c r="E293" s="2">
        <v>0</v>
      </c>
      <c r="F293" s="2">
        <v>180000</v>
      </c>
      <c r="G293" t="s">
        <v>13</v>
      </c>
      <c r="H293" t="s">
        <v>17</v>
      </c>
      <c r="I293" t="s">
        <v>18</v>
      </c>
      <c r="J293" s="3">
        <v>46217</v>
      </c>
      <c r="K293" s="4">
        <f>ClientiBanca[[#This Row],[Prestito]]+ClientiBanca[[#This Row],[Mutuo]]</f>
        <v>180000</v>
      </c>
      <c r="L293" t="str">
        <f>IF(ClientiBanca[[#This Row],[Reddito annuo]]&gt;=70000,"si","no")</f>
        <v>no</v>
      </c>
    </row>
    <row r="294" spans="1:12">
      <c r="A294">
        <v>100293</v>
      </c>
      <c r="B294">
        <v>61</v>
      </c>
      <c r="C294" s="2">
        <v>39100</v>
      </c>
      <c r="D294" t="s">
        <v>21</v>
      </c>
      <c r="E294" s="2">
        <v>46400</v>
      </c>
      <c r="F294" s="2">
        <v>0</v>
      </c>
      <c r="G294" t="s">
        <v>13</v>
      </c>
      <c r="H294" t="s">
        <v>14</v>
      </c>
      <c r="I294" t="s">
        <v>15</v>
      </c>
      <c r="J294" s="3">
        <v>45780</v>
      </c>
      <c r="K294" s="4">
        <f>ClientiBanca[[#This Row],[Prestito]]+ClientiBanca[[#This Row],[Mutuo]]</f>
        <v>46400</v>
      </c>
      <c r="L294" t="str">
        <f>IF(ClientiBanca[[#This Row],[Reddito annuo]]&gt;=70000,"si","no")</f>
        <v>no</v>
      </c>
    </row>
    <row r="295" spans="1:12">
      <c r="A295">
        <v>100294</v>
      </c>
      <c r="B295">
        <v>24</v>
      </c>
      <c r="C295" s="2">
        <v>36900</v>
      </c>
      <c r="D295" t="s">
        <v>21</v>
      </c>
      <c r="E295" s="2">
        <v>5600</v>
      </c>
      <c r="F295" s="2">
        <v>0</v>
      </c>
      <c r="G295" t="s">
        <v>13</v>
      </c>
      <c r="H295" t="s">
        <v>25</v>
      </c>
      <c r="I295" t="s">
        <v>18</v>
      </c>
      <c r="J295" s="3">
        <v>45427</v>
      </c>
      <c r="K295" s="4">
        <f>ClientiBanca[[#This Row],[Prestito]]+ClientiBanca[[#This Row],[Mutuo]]</f>
        <v>5600</v>
      </c>
      <c r="L295" t="str">
        <f>IF(ClientiBanca[[#This Row],[Reddito annuo]]&gt;=70000,"si","no")</f>
        <v>no</v>
      </c>
    </row>
    <row r="296" spans="1:12">
      <c r="A296">
        <v>100295</v>
      </c>
      <c r="B296">
        <v>50</v>
      </c>
      <c r="C296" s="2">
        <v>31800</v>
      </c>
      <c r="D296" t="s">
        <v>21</v>
      </c>
      <c r="E296" s="2">
        <v>0</v>
      </c>
      <c r="F296" s="2">
        <v>171000</v>
      </c>
      <c r="G296" t="s">
        <v>26</v>
      </c>
      <c r="H296" t="s">
        <v>20</v>
      </c>
      <c r="I296" t="s">
        <v>18</v>
      </c>
      <c r="J296" s="3">
        <v>46084</v>
      </c>
      <c r="K296" s="4">
        <f>ClientiBanca[[#This Row],[Prestito]]+ClientiBanca[[#This Row],[Mutuo]]</f>
        <v>171000</v>
      </c>
      <c r="L296" t="str">
        <f>IF(ClientiBanca[[#This Row],[Reddito annuo]]&gt;=70000,"si","no")</f>
        <v>no</v>
      </c>
    </row>
    <row r="297" spans="1:12">
      <c r="A297">
        <v>100296</v>
      </c>
      <c r="B297">
        <v>72</v>
      </c>
      <c r="C297" s="2">
        <v>80700</v>
      </c>
      <c r="D297" t="s">
        <v>21</v>
      </c>
      <c r="E297" s="2">
        <v>0</v>
      </c>
      <c r="F297" s="2">
        <v>214000</v>
      </c>
      <c r="G297" t="s">
        <v>27</v>
      </c>
      <c r="H297" t="s">
        <v>17</v>
      </c>
      <c r="I297" t="s">
        <v>18</v>
      </c>
      <c r="J297" s="3">
        <v>45460</v>
      </c>
      <c r="K297" s="4">
        <f>ClientiBanca[[#This Row],[Prestito]]+ClientiBanca[[#This Row],[Mutuo]]</f>
        <v>214000</v>
      </c>
      <c r="L297" t="str">
        <f>IF(ClientiBanca[[#This Row],[Reddito annuo]]&gt;=70000,"si","no")</f>
        <v>si</v>
      </c>
    </row>
    <row r="298" spans="1:12">
      <c r="A298">
        <v>100297</v>
      </c>
      <c r="B298">
        <v>48</v>
      </c>
      <c r="C298" s="2">
        <v>50000</v>
      </c>
      <c r="D298" t="s">
        <v>21</v>
      </c>
      <c r="E298" s="2">
        <v>0</v>
      </c>
      <c r="F298" s="2">
        <v>0</v>
      </c>
      <c r="G298" t="s">
        <v>28</v>
      </c>
      <c r="H298" t="s">
        <v>14</v>
      </c>
      <c r="I298" t="s">
        <v>18</v>
      </c>
      <c r="J298" s="3">
        <v>45380</v>
      </c>
      <c r="K298" s="4">
        <f>ClientiBanca[[#This Row],[Prestito]]+ClientiBanca[[#This Row],[Mutuo]]</f>
        <v>0</v>
      </c>
      <c r="L298" t="str">
        <f>IF(ClientiBanca[[#This Row],[Reddito annuo]]&gt;=70000,"si","no")</f>
        <v>no</v>
      </c>
    </row>
    <row r="299" spans="1:12">
      <c r="A299">
        <v>100298</v>
      </c>
      <c r="B299">
        <v>26</v>
      </c>
      <c r="C299" s="2">
        <v>37400</v>
      </c>
      <c r="D299" t="s">
        <v>21</v>
      </c>
      <c r="E299" s="2">
        <v>0</v>
      </c>
      <c r="F299" s="2">
        <v>0</v>
      </c>
      <c r="G299" t="s">
        <v>16</v>
      </c>
      <c r="H299" t="s">
        <v>17</v>
      </c>
      <c r="I299" t="s">
        <v>18</v>
      </c>
      <c r="J299" s="3">
        <v>45435</v>
      </c>
      <c r="K299" s="4">
        <f>ClientiBanca[[#This Row],[Prestito]]+ClientiBanca[[#This Row],[Mutuo]]</f>
        <v>0</v>
      </c>
      <c r="L299" t="str">
        <f>IF(ClientiBanca[[#This Row],[Reddito annuo]]&gt;=70000,"si","no")</f>
        <v>no</v>
      </c>
    </row>
    <row r="300" spans="1:12">
      <c r="A300">
        <v>100299</v>
      </c>
      <c r="B300">
        <v>35</v>
      </c>
      <c r="C300" s="2">
        <v>45600</v>
      </c>
      <c r="D300" t="s">
        <v>21</v>
      </c>
      <c r="E300" s="2">
        <v>39700</v>
      </c>
      <c r="F300" s="2">
        <v>0</v>
      </c>
      <c r="G300" t="s">
        <v>27</v>
      </c>
      <c r="H300" t="s">
        <v>14</v>
      </c>
      <c r="I300" t="s">
        <v>18</v>
      </c>
      <c r="J300" s="3">
        <v>45600</v>
      </c>
      <c r="K300" s="4">
        <f>ClientiBanca[[#This Row],[Prestito]]+ClientiBanca[[#This Row],[Mutuo]]</f>
        <v>39700</v>
      </c>
      <c r="L300" t="str">
        <f>IF(ClientiBanca[[#This Row],[Reddito annuo]]&gt;=70000,"si","no")</f>
        <v>no</v>
      </c>
    </row>
    <row r="301" spans="1:12">
      <c r="A301">
        <v>100300</v>
      </c>
      <c r="B301">
        <v>33</v>
      </c>
      <c r="C301" s="2">
        <v>61100</v>
      </c>
      <c r="D301" t="s">
        <v>12</v>
      </c>
      <c r="E301" s="2">
        <v>0</v>
      </c>
      <c r="F301" s="2">
        <v>0</v>
      </c>
      <c r="G301" t="s">
        <v>27</v>
      </c>
      <c r="H301" t="s">
        <v>14</v>
      </c>
      <c r="I301" t="s">
        <v>18</v>
      </c>
      <c r="J301" s="3">
        <v>46104</v>
      </c>
      <c r="K301" s="4">
        <f>ClientiBanca[[#This Row],[Prestito]]+ClientiBanca[[#This Row],[Mutuo]]</f>
        <v>0</v>
      </c>
      <c r="L301" t="str">
        <f>IF(ClientiBanca[[#This Row],[Reddito annuo]]&gt;=70000,"si","no")</f>
        <v>no</v>
      </c>
    </row>
    <row r="302" spans="1:12">
      <c r="A302">
        <v>100301</v>
      </c>
      <c r="B302">
        <v>35</v>
      </c>
      <c r="C302" s="2">
        <v>59400</v>
      </c>
      <c r="D302" t="s">
        <v>21</v>
      </c>
      <c r="E302" s="2">
        <v>39300</v>
      </c>
      <c r="F302" s="2">
        <v>0</v>
      </c>
      <c r="G302" t="s">
        <v>27</v>
      </c>
      <c r="H302" t="s">
        <v>25</v>
      </c>
      <c r="I302" t="s">
        <v>18</v>
      </c>
      <c r="J302" s="3">
        <v>45427</v>
      </c>
      <c r="K302" s="4">
        <f>ClientiBanca[[#This Row],[Prestito]]+ClientiBanca[[#This Row],[Mutuo]]</f>
        <v>39300</v>
      </c>
      <c r="L302" t="str">
        <f>IF(ClientiBanca[[#This Row],[Reddito annuo]]&gt;=70000,"si","no")</f>
        <v>no</v>
      </c>
    </row>
    <row r="303" spans="1:12">
      <c r="A303">
        <v>100302</v>
      </c>
      <c r="B303">
        <v>44</v>
      </c>
      <c r="C303" s="2">
        <v>93000</v>
      </c>
      <c r="D303" t="s">
        <v>12</v>
      </c>
      <c r="E303" s="2">
        <v>45200</v>
      </c>
      <c r="F303" s="2">
        <v>0</v>
      </c>
      <c r="G303" t="s">
        <v>13</v>
      </c>
      <c r="H303" t="s">
        <v>20</v>
      </c>
      <c r="I303" t="s">
        <v>18</v>
      </c>
      <c r="J303" s="3">
        <v>45560</v>
      </c>
      <c r="K303" s="4">
        <f>ClientiBanca[[#This Row],[Prestito]]+ClientiBanca[[#This Row],[Mutuo]]</f>
        <v>45200</v>
      </c>
      <c r="L303" t="str">
        <f>IF(ClientiBanca[[#This Row],[Reddito annuo]]&gt;=70000,"si","no")</f>
        <v>si</v>
      </c>
    </row>
    <row r="304" spans="1:12">
      <c r="A304">
        <v>100303</v>
      </c>
      <c r="B304">
        <v>33</v>
      </c>
      <c r="C304" s="2">
        <v>28300</v>
      </c>
      <c r="D304" t="s">
        <v>21</v>
      </c>
      <c r="E304" s="2">
        <v>0</v>
      </c>
      <c r="F304" s="2">
        <v>0</v>
      </c>
      <c r="G304" t="s">
        <v>16</v>
      </c>
      <c r="H304" t="s">
        <v>17</v>
      </c>
      <c r="I304" t="s">
        <v>18</v>
      </c>
      <c r="J304" s="3">
        <v>45703</v>
      </c>
      <c r="K304" s="4">
        <f>ClientiBanca[[#This Row],[Prestito]]+ClientiBanca[[#This Row],[Mutuo]]</f>
        <v>0</v>
      </c>
      <c r="L304" t="str">
        <f>IF(ClientiBanca[[#This Row],[Reddito annuo]]&gt;=70000,"si","no")</f>
        <v>no</v>
      </c>
    </row>
    <row r="305" spans="1:12">
      <c r="A305">
        <v>100304</v>
      </c>
      <c r="B305">
        <v>25</v>
      </c>
      <c r="C305" s="2">
        <v>70500</v>
      </c>
      <c r="D305" t="s">
        <v>12</v>
      </c>
      <c r="E305" s="2">
        <v>12800</v>
      </c>
      <c r="F305" s="2">
        <v>336000</v>
      </c>
      <c r="G305" t="s">
        <v>24</v>
      </c>
      <c r="H305" t="s">
        <v>17</v>
      </c>
      <c r="I305" t="s">
        <v>18</v>
      </c>
      <c r="J305" s="3">
        <v>45941</v>
      </c>
      <c r="K305" s="4">
        <f>ClientiBanca[[#This Row],[Prestito]]+ClientiBanca[[#This Row],[Mutuo]]</f>
        <v>348800</v>
      </c>
      <c r="L305" t="str">
        <f>IF(ClientiBanca[[#This Row],[Reddito annuo]]&gt;=70000,"si","no")</f>
        <v>si</v>
      </c>
    </row>
    <row r="306" spans="1:12">
      <c r="A306">
        <v>100305</v>
      </c>
      <c r="B306">
        <v>68</v>
      </c>
      <c r="C306" s="2">
        <v>89600</v>
      </c>
      <c r="D306" t="s">
        <v>12</v>
      </c>
      <c r="E306" s="2">
        <v>46300</v>
      </c>
      <c r="F306" s="2">
        <v>0</v>
      </c>
      <c r="G306" t="s">
        <v>23</v>
      </c>
      <c r="H306" t="s">
        <v>20</v>
      </c>
      <c r="I306" t="s">
        <v>18</v>
      </c>
      <c r="J306" s="3">
        <v>45736</v>
      </c>
      <c r="K306" s="4">
        <f>ClientiBanca[[#This Row],[Prestito]]+ClientiBanca[[#This Row],[Mutuo]]</f>
        <v>46300</v>
      </c>
      <c r="L306" t="str">
        <f>IF(ClientiBanca[[#This Row],[Reddito annuo]]&gt;=70000,"si","no")</f>
        <v>si</v>
      </c>
    </row>
    <row r="307" spans="1:12">
      <c r="A307">
        <v>100306</v>
      </c>
      <c r="B307">
        <v>27</v>
      </c>
      <c r="C307" s="2">
        <v>56600</v>
      </c>
      <c r="D307" t="s">
        <v>12</v>
      </c>
      <c r="E307" s="2">
        <v>49500</v>
      </c>
      <c r="F307" s="2">
        <v>0</v>
      </c>
      <c r="G307" t="s">
        <v>13</v>
      </c>
      <c r="H307" t="s">
        <v>20</v>
      </c>
      <c r="I307" t="s">
        <v>18</v>
      </c>
      <c r="J307" s="3">
        <v>45303</v>
      </c>
      <c r="K307" s="4">
        <f>ClientiBanca[[#This Row],[Prestito]]+ClientiBanca[[#This Row],[Mutuo]]</f>
        <v>49500</v>
      </c>
      <c r="L307" t="str">
        <f>IF(ClientiBanca[[#This Row],[Reddito annuo]]&gt;=70000,"si","no")</f>
        <v>no</v>
      </c>
    </row>
    <row r="308" spans="1:12">
      <c r="A308">
        <v>100307</v>
      </c>
      <c r="B308">
        <v>30</v>
      </c>
      <c r="C308" s="2">
        <v>59500</v>
      </c>
      <c r="D308" t="s">
        <v>21</v>
      </c>
      <c r="E308" s="2">
        <v>56500</v>
      </c>
      <c r="F308" s="2">
        <v>182000</v>
      </c>
      <c r="G308" t="s">
        <v>26</v>
      </c>
      <c r="H308" t="s">
        <v>14</v>
      </c>
      <c r="I308" t="s">
        <v>18</v>
      </c>
      <c r="J308" s="3">
        <v>46213</v>
      </c>
      <c r="K308" s="4">
        <f>ClientiBanca[[#This Row],[Prestito]]+ClientiBanca[[#This Row],[Mutuo]]</f>
        <v>238500</v>
      </c>
      <c r="L308" t="str">
        <f>IF(ClientiBanca[[#This Row],[Reddito annuo]]&gt;=70000,"si","no")</f>
        <v>no</v>
      </c>
    </row>
    <row r="309" spans="1:12">
      <c r="A309">
        <v>100308</v>
      </c>
      <c r="B309">
        <v>21</v>
      </c>
      <c r="C309" s="2">
        <v>49000</v>
      </c>
      <c r="D309" t="s">
        <v>21</v>
      </c>
      <c r="E309" s="2">
        <v>21700</v>
      </c>
      <c r="F309" s="2">
        <v>0</v>
      </c>
      <c r="G309" t="s">
        <v>13</v>
      </c>
      <c r="H309" t="s">
        <v>17</v>
      </c>
      <c r="I309" t="s">
        <v>18</v>
      </c>
      <c r="J309" s="3">
        <v>45348</v>
      </c>
      <c r="K309" s="4">
        <f>ClientiBanca[[#This Row],[Prestito]]+ClientiBanca[[#This Row],[Mutuo]]</f>
        <v>21700</v>
      </c>
      <c r="L309" t="str">
        <f>IF(ClientiBanca[[#This Row],[Reddito annuo]]&gt;=70000,"si","no")</f>
        <v>no</v>
      </c>
    </row>
    <row r="310" spans="1:12">
      <c r="A310">
        <v>100309</v>
      </c>
      <c r="B310">
        <v>51</v>
      </c>
      <c r="C310" s="2">
        <v>92800</v>
      </c>
      <c r="D310" t="s">
        <v>21</v>
      </c>
      <c r="E310" s="2">
        <v>52100</v>
      </c>
      <c r="F310" s="2">
        <v>0</v>
      </c>
      <c r="G310" t="s">
        <v>13</v>
      </c>
      <c r="H310" t="s">
        <v>20</v>
      </c>
      <c r="I310" t="s">
        <v>18</v>
      </c>
      <c r="J310" s="3">
        <v>45337</v>
      </c>
      <c r="K310" s="4">
        <f>ClientiBanca[[#This Row],[Prestito]]+ClientiBanca[[#This Row],[Mutuo]]</f>
        <v>52100</v>
      </c>
      <c r="L310" t="str">
        <f>IF(ClientiBanca[[#This Row],[Reddito annuo]]&gt;=70000,"si","no")</f>
        <v>si</v>
      </c>
    </row>
    <row r="311" spans="1:12">
      <c r="A311">
        <v>100310</v>
      </c>
      <c r="B311">
        <v>74</v>
      </c>
      <c r="C311" s="2">
        <v>93200</v>
      </c>
      <c r="D311" t="s">
        <v>21</v>
      </c>
      <c r="E311" s="2">
        <v>27500</v>
      </c>
      <c r="F311" s="2">
        <v>341000</v>
      </c>
      <c r="G311" t="s">
        <v>27</v>
      </c>
      <c r="H311" t="s">
        <v>17</v>
      </c>
      <c r="I311" t="s">
        <v>18</v>
      </c>
      <c r="J311" s="3">
        <v>46050</v>
      </c>
      <c r="K311" s="4">
        <f>ClientiBanca[[#This Row],[Prestito]]+ClientiBanca[[#This Row],[Mutuo]]</f>
        <v>368500</v>
      </c>
      <c r="L311" t="str">
        <f>IF(ClientiBanca[[#This Row],[Reddito annuo]]&gt;=70000,"si","no")</f>
        <v>si</v>
      </c>
    </row>
    <row r="312" spans="1:12">
      <c r="A312">
        <v>100311</v>
      </c>
      <c r="B312">
        <v>61</v>
      </c>
      <c r="C312" s="2">
        <v>54400</v>
      </c>
      <c r="D312" t="s">
        <v>21</v>
      </c>
      <c r="E312" s="2">
        <v>47900</v>
      </c>
      <c r="F312" s="2">
        <v>0</v>
      </c>
      <c r="G312" t="s">
        <v>13</v>
      </c>
      <c r="H312" t="s">
        <v>17</v>
      </c>
      <c r="I312" t="s">
        <v>18</v>
      </c>
      <c r="J312" s="3">
        <v>45981</v>
      </c>
      <c r="K312" s="4">
        <f>ClientiBanca[[#This Row],[Prestito]]+ClientiBanca[[#This Row],[Mutuo]]</f>
        <v>47900</v>
      </c>
      <c r="L312" t="str">
        <f>IF(ClientiBanca[[#This Row],[Reddito annuo]]&gt;=70000,"si","no")</f>
        <v>no</v>
      </c>
    </row>
    <row r="313" spans="1:12">
      <c r="A313">
        <v>100312</v>
      </c>
      <c r="B313">
        <v>23</v>
      </c>
      <c r="C313" s="2">
        <v>40000</v>
      </c>
      <c r="D313" t="s">
        <v>12</v>
      </c>
      <c r="E313" s="2">
        <v>0</v>
      </c>
      <c r="F313" s="2">
        <v>0</v>
      </c>
      <c r="G313" t="s">
        <v>13</v>
      </c>
      <c r="H313" t="s">
        <v>25</v>
      </c>
      <c r="I313" t="s">
        <v>18</v>
      </c>
      <c r="J313" s="3">
        <v>46178</v>
      </c>
      <c r="K313" s="4">
        <f>ClientiBanca[[#This Row],[Prestito]]+ClientiBanca[[#This Row],[Mutuo]]</f>
        <v>0</v>
      </c>
      <c r="L313" t="str">
        <f>IF(ClientiBanca[[#This Row],[Reddito annuo]]&gt;=70000,"si","no")</f>
        <v>no</v>
      </c>
    </row>
    <row r="314" spans="1:12">
      <c r="A314">
        <v>100313</v>
      </c>
      <c r="B314">
        <v>38</v>
      </c>
      <c r="C314" s="2">
        <v>82800</v>
      </c>
      <c r="D314" t="s">
        <v>21</v>
      </c>
      <c r="E314" s="2">
        <v>31300</v>
      </c>
      <c r="F314" s="2">
        <v>0</v>
      </c>
      <c r="G314" t="s">
        <v>26</v>
      </c>
      <c r="H314" t="s">
        <v>17</v>
      </c>
      <c r="I314" t="s">
        <v>18</v>
      </c>
      <c r="J314" s="3">
        <v>45929</v>
      </c>
      <c r="K314" s="4">
        <f>ClientiBanca[[#This Row],[Prestito]]+ClientiBanca[[#This Row],[Mutuo]]</f>
        <v>31300</v>
      </c>
      <c r="L314" t="str">
        <f>IF(ClientiBanca[[#This Row],[Reddito annuo]]&gt;=70000,"si","no")</f>
        <v>si</v>
      </c>
    </row>
    <row r="315" spans="1:12">
      <c r="A315">
        <v>100314</v>
      </c>
      <c r="B315">
        <v>35</v>
      </c>
      <c r="C315" s="2">
        <v>57300</v>
      </c>
      <c r="D315" t="s">
        <v>12</v>
      </c>
      <c r="E315" s="2">
        <v>52000</v>
      </c>
      <c r="F315" s="2">
        <v>325000</v>
      </c>
      <c r="G315" t="s">
        <v>23</v>
      </c>
      <c r="H315" t="s">
        <v>20</v>
      </c>
      <c r="I315" t="s">
        <v>18</v>
      </c>
      <c r="J315" s="3">
        <v>45316</v>
      </c>
      <c r="K315" s="4">
        <f>ClientiBanca[[#This Row],[Prestito]]+ClientiBanca[[#This Row],[Mutuo]]</f>
        <v>377000</v>
      </c>
      <c r="L315" t="str">
        <f>IF(ClientiBanca[[#This Row],[Reddito annuo]]&gt;=70000,"si","no")</f>
        <v>no</v>
      </c>
    </row>
    <row r="316" spans="1:12">
      <c r="A316">
        <v>100315</v>
      </c>
      <c r="B316">
        <v>34</v>
      </c>
      <c r="C316" s="2">
        <v>62800</v>
      </c>
      <c r="D316" t="s">
        <v>12</v>
      </c>
      <c r="E316" s="2">
        <v>5700</v>
      </c>
      <c r="F316" s="2">
        <v>0</v>
      </c>
      <c r="G316" t="s">
        <v>16</v>
      </c>
      <c r="H316" t="s">
        <v>14</v>
      </c>
      <c r="I316" t="s">
        <v>18</v>
      </c>
      <c r="J316" s="3">
        <v>45398</v>
      </c>
      <c r="K316" s="4">
        <f>ClientiBanca[[#This Row],[Prestito]]+ClientiBanca[[#This Row],[Mutuo]]</f>
        <v>5700</v>
      </c>
      <c r="L316" t="str">
        <f>IF(ClientiBanca[[#This Row],[Reddito annuo]]&gt;=70000,"si","no")</f>
        <v>no</v>
      </c>
    </row>
    <row r="317" spans="1:12">
      <c r="A317">
        <v>100316</v>
      </c>
      <c r="B317">
        <v>33</v>
      </c>
      <c r="C317" s="2">
        <v>61900</v>
      </c>
      <c r="D317" t="s">
        <v>21</v>
      </c>
      <c r="E317" s="2">
        <v>11200</v>
      </c>
      <c r="F317" s="2">
        <v>0</v>
      </c>
      <c r="G317" t="s">
        <v>26</v>
      </c>
      <c r="H317" t="s">
        <v>20</v>
      </c>
      <c r="I317" t="s">
        <v>18</v>
      </c>
      <c r="J317" s="3">
        <v>46210</v>
      </c>
      <c r="K317" s="4">
        <f>ClientiBanca[[#This Row],[Prestito]]+ClientiBanca[[#This Row],[Mutuo]]</f>
        <v>11200</v>
      </c>
      <c r="L317" t="str">
        <f>IF(ClientiBanca[[#This Row],[Reddito annuo]]&gt;=70000,"si","no")</f>
        <v>no</v>
      </c>
    </row>
    <row r="318" spans="1:12">
      <c r="A318">
        <v>100317</v>
      </c>
      <c r="B318">
        <v>74</v>
      </c>
      <c r="C318" s="2">
        <v>61200</v>
      </c>
      <c r="D318" t="s">
        <v>12</v>
      </c>
      <c r="E318" s="2">
        <v>76500</v>
      </c>
      <c r="F318" s="2">
        <v>122000</v>
      </c>
      <c r="G318" t="s">
        <v>24</v>
      </c>
      <c r="H318" t="s">
        <v>17</v>
      </c>
      <c r="I318" t="s">
        <v>18</v>
      </c>
      <c r="J318" s="3">
        <v>45898</v>
      </c>
      <c r="K318" s="4">
        <f>ClientiBanca[[#This Row],[Prestito]]+ClientiBanca[[#This Row],[Mutuo]]</f>
        <v>198500</v>
      </c>
      <c r="L318" t="str">
        <f>IF(ClientiBanca[[#This Row],[Reddito annuo]]&gt;=70000,"si","no")</f>
        <v>no</v>
      </c>
    </row>
    <row r="319" spans="1:12">
      <c r="A319">
        <v>100318</v>
      </c>
      <c r="B319">
        <v>56</v>
      </c>
      <c r="C319" s="2">
        <v>30900</v>
      </c>
      <c r="D319" t="s">
        <v>12</v>
      </c>
      <c r="E319" s="2">
        <v>23000</v>
      </c>
      <c r="F319" s="2">
        <v>0</v>
      </c>
      <c r="G319" t="s">
        <v>16</v>
      </c>
      <c r="H319" t="s">
        <v>14</v>
      </c>
      <c r="I319" t="s">
        <v>18</v>
      </c>
      <c r="J319" s="3">
        <v>45617</v>
      </c>
      <c r="K319" s="4">
        <f>ClientiBanca[[#This Row],[Prestito]]+ClientiBanca[[#This Row],[Mutuo]]</f>
        <v>23000</v>
      </c>
      <c r="L319" t="str">
        <f>IF(ClientiBanca[[#This Row],[Reddito annuo]]&gt;=70000,"si","no")</f>
        <v>no</v>
      </c>
    </row>
    <row r="320" spans="1:12">
      <c r="A320">
        <v>100319</v>
      </c>
      <c r="B320">
        <v>48</v>
      </c>
      <c r="C320" s="2">
        <v>45300</v>
      </c>
      <c r="D320" t="s">
        <v>21</v>
      </c>
      <c r="E320" s="2">
        <v>52700</v>
      </c>
      <c r="F320" s="2">
        <v>0</v>
      </c>
      <c r="G320" t="s">
        <v>24</v>
      </c>
      <c r="H320" t="s">
        <v>20</v>
      </c>
      <c r="I320" t="s">
        <v>18</v>
      </c>
      <c r="J320" s="3">
        <v>45613</v>
      </c>
      <c r="K320" s="4">
        <f>ClientiBanca[[#This Row],[Prestito]]+ClientiBanca[[#This Row],[Mutuo]]</f>
        <v>52700</v>
      </c>
      <c r="L320" t="str">
        <f>IF(ClientiBanca[[#This Row],[Reddito annuo]]&gt;=70000,"si","no")</f>
        <v>no</v>
      </c>
    </row>
    <row r="321" spans="1:12">
      <c r="A321">
        <v>100320</v>
      </c>
      <c r="B321">
        <v>46</v>
      </c>
      <c r="C321" s="2">
        <v>36000</v>
      </c>
      <c r="D321" t="s">
        <v>21</v>
      </c>
      <c r="E321" s="2">
        <v>0</v>
      </c>
      <c r="F321" s="2">
        <v>0</v>
      </c>
      <c r="G321" t="s">
        <v>28</v>
      </c>
      <c r="H321" t="s">
        <v>17</v>
      </c>
      <c r="I321" t="s">
        <v>18</v>
      </c>
      <c r="J321" s="3">
        <v>45414</v>
      </c>
      <c r="K321" s="4">
        <f>ClientiBanca[[#This Row],[Prestito]]+ClientiBanca[[#This Row],[Mutuo]]</f>
        <v>0</v>
      </c>
      <c r="L321" t="str">
        <f>IF(ClientiBanca[[#This Row],[Reddito annuo]]&gt;=70000,"si","no")</f>
        <v>no</v>
      </c>
    </row>
    <row r="322" spans="1:12">
      <c r="A322">
        <v>100321</v>
      </c>
      <c r="B322">
        <v>25</v>
      </c>
      <c r="C322" s="2">
        <v>38600</v>
      </c>
      <c r="D322" t="s">
        <v>12</v>
      </c>
      <c r="E322" s="2">
        <v>0</v>
      </c>
      <c r="F322" s="2">
        <v>0</v>
      </c>
      <c r="G322" t="s">
        <v>27</v>
      </c>
      <c r="H322" t="s">
        <v>17</v>
      </c>
      <c r="I322" t="s">
        <v>18</v>
      </c>
      <c r="J322" s="3">
        <v>46169</v>
      </c>
      <c r="K322" s="4">
        <f>ClientiBanca[[#This Row],[Prestito]]+ClientiBanca[[#This Row],[Mutuo]]</f>
        <v>0</v>
      </c>
      <c r="L322" t="str">
        <f>IF(ClientiBanca[[#This Row],[Reddito annuo]]&gt;=70000,"si","no")</f>
        <v>no</v>
      </c>
    </row>
    <row r="323" spans="1:12">
      <c r="A323">
        <v>100322</v>
      </c>
      <c r="B323">
        <v>40</v>
      </c>
      <c r="C323" s="2">
        <v>38000</v>
      </c>
      <c r="D323" t="s">
        <v>12</v>
      </c>
      <c r="E323" s="2">
        <v>0</v>
      </c>
      <c r="F323" s="2">
        <v>0</v>
      </c>
      <c r="G323" t="s">
        <v>27</v>
      </c>
      <c r="H323" t="s">
        <v>14</v>
      </c>
      <c r="I323" t="s">
        <v>18</v>
      </c>
      <c r="J323" s="3">
        <v>45558</v>
      </c>
      <c r="K323" s="4">
        <f>ClientiBanca[[#This Row],[Prestito]]+ClientiBanca[[#This Row],[Mutuo]]</f>
        <v>0</v>
      </c>
      <c r="L323" t="str">
        <f>IF(ClientiBanca[[#This Row],[Reddito annuo]]&gt;=70000,"si","no")</f>
        <v>no</v>
      </c>
    </row>
    <row r="324" spans="1:12">
      <c r="A324">
        <v>100323</v>
      </c>
      <c r="B324">
        <v>72</v>
      </c>
      <c r="C324" s="2">
        <v>120400</v>
      </c>
      <c r="D324" t="s">
        <v>21</v>
      </c>
      <c r="E324" s="2">
        <v>31100</v>
      </c>
      <c r="F324" s="2">
        <v>0</v>
      </c>
      <c r="G324" t="s">
        <v>23</v>
      </c>
      <c r="H324" t="s">
        <v>20</v>
      </c>
      <c r="I324" t="s">
        <v>18</v>
      </c>
      <c r="J324" s="3">
        <v>46104</v>
      </c>
      <c r="K324" s="4">
        <f>ClientiBanca[[#This Row],[Prestito]]+ClientiBanca[[#This Row],[Mutuo]]</f>
        <v>31100</v>
      </c>
      <c r="L324" t="str">
        <f>IF(ClientiBanca[[#This Row],[Reddito annuo]]&gt;=70000,"si","no")</f>
        <v>si</v>
      </c>
    </row>
    <row r="325" spans="1:12">
      <c r="A325">
        <v>100324</v>
      </c>
      <c r="B325">
        <v>28</v>
      </c>
      <c r="C325" s="2">
        <v>36100</v>
      </c>
      <c r="D325" t="s">
        <v>21</v>
      </c>
      <c r="E325" s="2">
        <v>0</v>
      </c>
      <c r="F325" s="2">
        <v>0</v>
      </c>
      <c r="G325" t="s">
        <v>23</v>
      </c>
      <c r="H325" t="s">
        <v>14</v>
      </c>
      <c r="I325" t="s">
        <v>18</v>
      </c>
      <c r="J325" s="3">
        <v>45673</v>
      </c>
      <c r="K325" s="4">
        <f>ClientiBanca[[#This Row],[Prestito]]+ClientiBanca[[#This Row],[Mutuo]]</f>
        <v>0</v>
      </c>
      <c r="L325" t="str">
        <f>IF(ClientiBanca[[#This Row],[Reddito annuo]]&gt;=70000,"si","no")</f>
        <v>no</v>
      </c>
    </row>
    <row r="326" spans="1:12">
      <c r="A326">
        <v>100325</v>
      </c>
      <c r="B326">
        <v>63</v>
      </c>
      <c r="C326" s="2">
        <v>69600</v>
      </c>
      <c r="D326" t="s">
        <v>12</v>
      </c>
      <c r="E326" s="2">
        <v>21500</v>
      </c>
      <c r="F326" s="2">
        <v>0</v>
      </c>
      <c r="G326" t="s">
        <v>27</v>
      </c>
      <c r="H326" t="s">
        <v>25</v>
      </c>
      <c r="I326" t="s">
        <v>15</v>
      </c>
      <c r="J326" s="3">
        <v>45953</v>
      </c>
      <c r="K326" s="4">
        <f>ClientiBanca[[#This Row],[Prestito]]+ClientiBanca[[#This Row],[Mutuo]]</f>
        <v>21500</v>
      </c>
      <c r="L326" t="str">
        <f>IF(ClientiBanca[[#This Row],[Reddito annuo]]&gt;=70000,"si","no")</f>
        <v>no</v>
      </c>
    </row>
    <row r="327" spans="1:12">
      <c r="A327">
        <v>100326</v>
      </c>
      <c r="B327">
        <v>48</v>
      </c>
      <c r="C327" s="2">
        <v>86600</v>
      </c>
      <c r="D327" t="s">
        <v>21</v>
      </c>
      <c r="E327" s="2">
        <v>0</v>
      </c>
      <c r="F327" s="2">
        <v>0</v>
      </c>
      <c r="G327" t="s">
        <v>13</v>
      </c>
      <c r="H327" t="s">
        <v>20</v>
      </c>
      <c r="I327" t="s">
        <v>18</v>
      </c>
      <c r="J327" s="3">
        <v>45764</v>
      </c>
      <c r="K327" s="4">
        <f>ClientiBanca[[#This Row],[Prestito]]+ClientiBanca[[#This Row],[Mutuo]]</f>
        <v>0</v>
      </c>
      <c r="L327" t="str">
        <f>IF(ClientiBanca[[#This Row],[Reddito annuo]]&gt;=70000,"si","no")</f>
        <v>si</v>
      </c>
    </row>
    <row r="328" spans="1:12">
      <c r="A328">
        <v>100327</v>
      </c>
      <c r="B328">
        <v>23</v>
      </c>
      <c r="C328" s="2">
        <v>39200</v>
      </c>
      <c r="D328" t="s">
        <v>12</v>
      </c>
      <c r="E328" s="2">
        <v>0</v>
      </c>
      <c r="F328" s="2">
        <v>0</v>
      </c>
      <c r="G328" t="s">
        <v>27</v>
      </c>
      <c r="H328" t="s">
        <v>17</v>
      </c>
      <c r="I328" t="s">
        <v>18</v>
      </c>
      <c r="J328" s="3">
        <v>45728</v>
      </c>
      <c r="K328" s="4">
        <f>ClientiBanca[[#This Row],[Prestito]]+ClientiBanca[[#This Row],[Mutuo]]</f>
        <v>0</v>
      </c>
      <c r="L328" t="str">
        <f>IF(ClientiBanca[[#This Row],[Reddito annuo]]&gt;=70000,"si","no")</f>
        <v>no</v>
      </c>
    </row>
    <row r="329" spans="1:12">
      <c r="A329">
        <v>100328</v>
      </c>
      <c r="B329">
        <v>31</v>
      </c>
      <c r="C329" s="2">
        <v>50200</v>
      </c>
      <c r="D329" t="s">
        <v>22</v>
      </c>
      <c r="E329" s="2">
        <v>30800</v>
      </c>
      <c r="F329" s="2">
        <v>234000</v>
      </c>
      <c r="G329" t="s">
        <v>23</v>
      </c>
      <c r="H329" t="s">
        <v>17</v>
      </c>
      <c r="I329" t="s">
        <v>18</v>
      </c>
      <c r="J329" s="3">
        <v>46195</v>
      </c>
      <c r="K329" s="4">
        <f>ClientiBanca[[#This Row],[Prestito]]+ClientiBanca[[#This Row],[Mutuo]]</f>
        <v>264800</v>
      </c>
      <c r="L329" t="str">
        <f>IF(ClientiBanca[[#This Row],[Reddito annuo]]&gt;=70000,"si","no")</f>
        <v>no</v>
      </c>
    </row>
    <row r="330" spans="1:12">
      <c r="A330">
        <v>100329</v>
      </c>
      <c r="B330">
        <v>55</v>
      </c>
      <c r="C330" s="2">
        <v>58300</v>
      </c>
      <c r="D330" t="s">
        <v>21</v>
      </c>
      <c r="E330" s="2">
        <v>29300</v>
      </c>
      <c r="F330" s="2">
        <v>0</v>
      </c>
      <c r="G330" t="s">
        <v>23</v>
      </c>
      <c r="H330" t="s">
        <v>17</v>
      </c>
      <c r="I330" t="s">
        <v>18</v>
      </c>
      <c r="J330" s="3">
        <v>46105</v>
      </c>
      <c r="K330" s="4">
        <f>ClientiBanca[[#This Row],[Prestito]]+ClientiBanca[[#This Row],[Mutuo]]</f>
        <v>29300</v>
      </c>
      <c r="L330" t="str">
        <f>IF(ClientiBanca[[#This Row],[Reddito annuo]]&gt;=70000,"si","no")</f>
        <v>no</v>
      </c>
    </row>
    <row r="331" spans="1:12">
      <c r="A331">
        <v>100330</v>
      </c>
      <c r="B331">
        <v>21</v>
      </c>
      <c r="C331" s="2">
        <v>119800</v>
      </c>
      <c r="D331" t="s">
        <v>12</v>
      </c>
      <c r="E331" s="2">
        <v>36300</v>
      </c>
      <c r="F331" s="2">
        <v>0</v>
      </c>
      <c r="G331" t="s">
        <v>19</v>
      </c>
      <c r="H331" t="s">
        <v>20</v>
      </c>
      <c r="I331" t="s">
        <v>18</v>
      </c>
      <c r="J331" s="3">
        <v>45618</v>
      </c>
      <c r="K331" s="4">
        <f>ClientiBanca[[#This Row],[Prestito]]+ClientiBanca[[#This Row],[Mutuo]]</f>
        <v>36300</v>
      </c>
      <c r="L331" t="str">
        <f>IF(ClientiBanca[[#This Row],[Reddito annuo]]&gt;=70000,"si","no")</f>
        <v>si</v>
      </c>
    </row>
    <row r="332" spans="1:12">
      <c r="A332">
        <v>100331</v>
      </c>
      <c r="B332">
        <v>58</v>
      </c>
      <c r="C332" s="2">
        <v>42300</v>
      </c>
      <c r="D332" t="s">
        <v>22</v>
      </c>
      <c r="E332" s="2">
        <v>0</v>
      </c>
      <c r="F332" s="2">
        <v>392000</v>
      </c>
      <c r="G332" t="s">
        <v>19</v>
      </c>
      <c r="H332" t="s">
        <v>14</v>
      </c>
      <c r="I332" t="s">
        <v>18</v>
      </c>
      <c r="J332" s="3">
        <v>45530</v>
      </c>
      <c r="K332" s="4">
        <f>ClientiBanca[[#This Row],[Prestito]]+ClientiBanca[[#This Row],[Mutuo]]</f>
        <v>392000</v>
      </c>
      <c r="L332" t="str">
        <f>IF(ClientiBanca[[#This Row],[Reddito annuo]]&gt;=70000,"si","no")</f>
        <v>no</v>
      </c>
    </row>
    <row r="333" spans="1:12">
      <c r="A333">
        <v>100332</v>
      </c>
      <c r="B333">
        <v>30</v>
      </c>
      <c r="C333" s="2">
        <v>34400</v>
      </c>
      <c r="D333" t="s">
        <v>12</v>
      </c>
      <c r="E333" s="2">
        <v>43000</v>
      </c>
      <c r="F333" s="2">
        <v>0</v>
      </c>
      <c r="G333" t="s">
        <v>27</v>
      </c>
      <c r="H333" t="s">
        <v>14</v>
      </c>
      <c r="I333" t="s">
        <v>18</v>
      </c>
      <c r="J333" s="3">
        <v>45881</v>
      </c>
      <c r="K333" s="4">
        <f>ClientiBanca[[#This Row],[Prestito]]+ClientiBanca[[#This Row],[Mutuo]]</f>
        <v>43000</v>
      </c>
      <c r="L333" t="str">
        <f>IF(ClientiBanca[[#This Row],[Reddito annuo]]&gt;=70000,"si","no")</f>
        <v>no</v>
      </c>
    </row>
    <row r="334" spans="1:12">
      <c r="A334">
        <v>100333</v>
      </c>
      <c r="B334">
        <v>74</v>
      </c>
      <c r="C334" s="2">
        <v>116900</v>
      </c>
      <c r="D334" t="s">
        <v>21</v>
      </c>
      <c r="E334" s="2">
        <v>0</v>
      </c>
      <c r="F334" s="2">
        <v>0</v>
      </c>
      <c r="G334" t="s">
        <v>24</v>
      </c>
      <c r="H334" t="s">
        <v>20</v>
      </c>
      <c r="I334" t="s">
        <v>18</v>
      </c>
      <c r="J334" s="3">
        <v>45898</v>
      </c>
      <c r="K334" s="4">
        <f>ClientiBanca[[#This Row],[Prestito]]+ClientiBanca[[#This Row],[Mutuo]]</f>
        <v>0</v>
      </c>
      <c r="L334" t="str">
        <f>IF(ClientiBanca[[#This Row],[Reddito annuo]]&gt;=70000,"si","no")</f>
        <v>si</v>
      </c>
    </row>
    <row r="335" spans="1:12">
      <c r="A335">
        <v>100334</v>
      </c>
      <c r="B335">
        <v>40</v>
      </c>
      <c r="C335" s="2">
        <v>86300</v>
      </c>
      <c r="D335" t="s">
        <v>12</v>
      </c>
      <c r="E335" s="2">
        <v>0</v>
      </c>
      <c r="F335" s="2">
        <v>256000</v>
      </c>
      <c r="G335" t="s">
        <v>24</v>
      </c>
      <c r="H335" t="s">
        <v>17</v>
      </c>
      <c r="I335" t="s">
        <v>18</v>
      </c>
      <c r="J335" s="3">
        <v>45484</v>
      </c>
      <c r="K335" s="4">
        <f>ClientiBanca[[#This Row],[Prestito]]+ClientiBanca[[#This Row],[Mutuo]]</f>
        <v>256000</v>
      </c>
      <c r="L335" t="str">
        <f>IF(ClientiBanca[[#This Row],[Reddito annuo]]&gt;=70000,"si","no")</f>
        <v>si</v>
      </c>
    </row>
    <row r="336" spans="1:12">
      <c r="A336">
        <v>100335</v>
      </c>
      <c r="B336">
        <v>73</v>
      </c>
      <c r="C336" s="2">
        <v>119100</v>
      </c>
      <c r="D336" t="s">
        <v>22</v>
      </c>
      <c r="E336" s="2">
        <v>23800</v>
      </c>
      <c r="F336" s="2">
        <v>0</v>
      </c>
      <c r="G336" t="s">
        <v>13</v>
      </c>
      <c r="H336" t="s">
        <v>20</v>
      </c>
      <c r="I336" t="s">
        <v>18</v>
      </c>
      <c r="J336" s="3">
        <v>45312</v>
      </c>
      <c r="K336" s="4">
        <f>ClientiBanca[[#This Row],[Prestito]]+ClientiBanca[[#This Row],[Mutuo]]</f>
        <v>23800</v>
      </c>
      <c r="L336" t="str">
        <f>IF(ClientiBanca[[#This Row],[Reddito annuo]]&gt;=70000,"si","no")</f>
        <v>si</v>
      </c>
    </row>
    <row r="337" spans="1:12">
      <c r="A337">
        <v>100336</v>
      </c>
      <c r="B337">
        <v>53</v>
      </c>
      <c r="C337" s="2">
        <v>58300</v>
      </c>
      <c r="D337" t="s">
        <v>21</v>
      </c>
      <c r="E337" s="2">
        <v>55000</v>
      </c>
      <c r="F337" s="2">
        <v>0</v>
      </c>
      <c r="G337" t="s">
        <v>24</v>
      </c>
      <c r="H337" t="s">
        <v>14</v>
      </c>
      <c r="I337" t="s">
        <v>18</v>
      </c>
      <c r="J337" s="3">
        <v>45623</v>
      </c>
      <c r="K337" s="4">
        <f>ClientiBanca[[#This Row],[Prestito]]+ClientiBanca[[#This Row],[Mutuo]]</f>
        <v>55000</v>
      </c>
      <c r="L337" t="str">
        <f>IF(ClientiBanca[[#This Row],[Reddito annuo]]&gt;=70000,"si","no")</f>
        <v>no</v>
      </c>
    </row>
    <row r="338" spans="1:12">
      <c r="A338">
        <v>100337</v>
      </c>
      <c r="B338">
        <v>23</v>
      </c>
      <c r="C338" s="2">
        <v>25700</v>
      </c>
      <c r="D338" t="s">
        <v>12</v>
      </c>
      <c r="E338" s="2">
        <v>0</v>
      </c>
      <c r="F338" s="2">
        <v>0</v>
      </c>
      <c r="G338" t="s">
        <v>19</v>
      </c>
      <c r="H338" t="s">
        <v>25</v>
      </c>
      <c r="I338" t="s">
        <v>18</v>
      </c>
      <c r="J338" s="3">
        <v>45674</v>
      </c>
      <c r="K338" s="4">
        <f>ClientiBanca[[#This Row],[Prestito]]+ClientiBanca[[#This Row],[Mutuo]]</f>
        <v>0</v>
      </c>
      <c r="L338" t="str">
        <f>IF(ClientiBanca[[#This Row],[Reddito annuo]]&gt;=70000,"si","no")</f>
        <v>no</v>
      </c>
    </row>
    <row r="339" spans="1:12">
      <c r="A339">
        <v>100338</v>
      </c>
      <c r="B339">
        <v>65</v>
      </c>
      <c r="C339" s="2">
        <v>106100</v>
      </c>
      <c r="D339" t="s">
        <v>21</v>
      </c>
      <c r="E339" s="2">
        <v>23500</v>
      </c>
      <c r="F339" s="2">
        <v>139000</v>
      </c>
      <c r="G339" t="s">
        <v>16</v>
      </c>
      <c r="H339" t="s">
        <v>17</v>
      </c>
      <c r="I339" t="s">
        <v>18</v>
      </c>
      <c r="J339" s="3">
        <v>45956</v>
      </c>
      <c r="K339" s="4">
        <f>ClientiBanca[[#This Row],[Prestito]]+ClientiBanca[[#This Row],[Mutuo]]</f>
        <v>162500</v>
      </c>
      <c r="L339" t="str">
        <f>IF(ClientiBanca[[#This Row],[Reddito annuo]]&gt;=70000,"si","no")</f>
        <v>si</v>
      </c>
    </row>
    <row r="340" spans="1:12">
      <c r="A340">
        <v>100339</v>
      </c>
      <c r="B340">
        <v>40</v>
      </c>
      <c r="C340" s="2">
        <v>39600</v>
      </c>
      <c r="D340" t="s">
        <v>22</v>
      </c>
      <c r="E340" s="2">
        <v>49500</v>
      </c>
      <c r="F340" s="2">
        <v>0</v>
      </c>
      <c r="G340" t="s">
        <v>23</v>
      </c>
      <c r="H340" t="s">
        <v>14</v>
      </c>
      <c r="I340" t="s">
        <v>18</v>
      </c>
      <c r="J340" s="3">
        <v>45679</v>
      </c>
      <c r="K340" s="4">
        <f>ClientiBanca[[#This Row],[Prestito]]+ClientiBanca[[#This Row],[Mutuo]]</f>
        <v>49500</v>
      </c>
      <c r="L340" t="str">
        <f>IF(ClientiBanca[[#This Row],[Reddito annuo]]&gt;=70000,"si","no")</f>
        <v>no</v>
      </c>
    </row>
    <row r="341" spans="1:12">
      <c r="A341">
        <v>100340</v>
      </c>
      <c r="B341">
        <v>39</v>
      </c>
      <c r="C341" s="2">
        <v>78800</v>
      </c>
      <c r="D341" t="s">
        <v>21</v>
      </c>
      <c r="E341" s="2">
        <v>3600</v>
      </c>
      <c r="F341" s="2">
        <v>0</v>
      </c>
      <c r="G341" t="s">
        <v>16</v>
      </c>
      <c r="H341" t="s">
        <v>14</v>
      </c>
      <c r="I341" t="s">
        <v>18</v>
      </c>
      <c r="J341" s="3">
        <v>45873</v>
      </c>
      <c r="K341" s="4">
        <f>ClientiBanca[[#This Row],[Prestito]]+ClientiBanca[[#This Row],[Mutuo]]</f>
        <v>3600</v>
      </c>
      <c r="L341" t="str">
        <f>IF(ClientiBanca[[#This Row],[Reddito annuo]]&gt;=70000,"si","no")</f>
        <v>si</v>
      </c>
    </row>
    <row r="342" spans="1:12">
      <c r="A342">
        <v>100341</v>
      </c>
      <c r="B342">
        <v>22</v>
      </c>
      <c r="C342" s="2">
        <v>40100</v>
      </c>
      <c r="D342" t="s">
        <v>21</v>
      </c>
      <c r="E342" s="2">
        <v>0</v>
      </c>
      <c r="F342" s="2">
        <v>0</v>
      </c>
      <c r="G342" t="s">
        <v>13</v>
      </c>
      <c r="H342" t="s">
        <v>25</v>
      </c>
      <c r="I342" t="s">
        <v>18</v>
      </c>
      <c r="J342" s="3">
        <v>45436</v>
      </c>
      <c r="K342" s="4">
        <f>ClientiBanca[[#This Row],[Prestito]]+ClientiBanca[[#This Row],[Mutuo]]</f>
        <v>0</v>
      </c>
      <c r="L342" t="str">
        <f>IF(ClientiBanca[[#This Row],[Reddito annuo]]&gt;=70000,"si","no")</f>
        <v>no</v>
      </c>
    </row>
    <row r="343" spans="1:12">
      <c r="A343">
        <v>100342</v>
      </c>
      <c r="B343">
        <v>41</v>
      </c>
      <c r="C343" s="2">
        <v>79900</v>
      </c>
      <c r="D343" t="s">
        <v>21</v>
      </c>
      <c r="E343" s="2">
        <v>0</v>
      </c>
      <c r="F343" s="2">
        <v>318000</v>
      </c>
      <c r="G343" t="s">
        <v>13</v>
      </c>
      <c r="H343" t="s">
        <v>14</v>
      </c>
      <c r="I343" t="s">
        <v>18</v>
      </c>
      <c r="J343" s="3">
        <v>45978</v>
      </c>
      <c r="K343" s="4">
        <f>ClientiBanca[[#This Row],[Prestito]]+ClientiBanca[[#This Row],[Mutuo]]</f>
        <v>318000</v>
      </c>
      <c r="L343" t="str">
        <f>IF(ClientiBanca[[#This Row],[Reddito annuo]]&gt;=70000,"si","no")</f>
        <v>si</v>
      </c>
    </row>
    <row r="344" spans="1:12">
      <c r="A344">
        <v>100343</v>
      </c>
      <c r="B344">
        <v>60</v>
      </c>
      <c r="C344" s="2">
        <v>78300</v>
      </c>
      <c r="D344" t="s">
        <v>21</v>
      </c>
      <c r="E344" s="2">
        <v>19200</v>
      </c>
      <c r="F344" s="2">
        <v>0</v>
      </c>
      <c r="G344" t="s">
        <v>19</v>
      </c>
      <c r="H344" t="s">
        <v>20</v>
      </c>
      <c r="I344" t="s">
        <v>18</v>
      </c>
      <c r="J344" s="3">
        <v>45293</v>
      </c>
      <c r="K344" s="4">
        <f>ClientiBanca[[#This Row],[Prestito]]+ClientiBanca[[#This Row],[Mutuo]]</f>
        <v>19200</v>
      </c>
      <c r="L344" t="str">
        <f>IF(ClientiBanca[[#This Row],[Reddito annuo]]&gt;=70000,"si","no")</f>
        <v>si</v>
      </c>
    </row>
    <row r="345" spans="1:12">
      <c r="A345">
        <v>100344</v>
      </c>
      <c r="B345">
        <v>23</v>
      </c>
      <c r="C345" s="2">
        <v>52200</v>
      </c>
      <c r="D345" t="s">
        <v>12</v>
      </c>
      <c r="E345" s="2">
        <v>0</v>
      </c>
      <c r="F345" s="2">
        <v>0</v>
      </c>
      <c r="G345" t="s">
        <v>28</v>
      </c>
      <c r="H345" t="s">
        <v>14</v>
      </c>
      <c r="I345" t="s">
        <v>18</v>
      </c>
      <c r="J345" s="3">
        <v>45651</v>
      </c>
      <c r="K345" s="4">
        <f>ClientiBanca[[#This Row],[Prestito]]+ClientiBanca[[#This Row],[Mutuo]]</f>
        <v>0</v>
      </c>
      <c r="L345" t="str">
        <f>IF(ClientiBanca[[#This Row],[Reddito annuo]]&gt;=70000,"si","no")</f>
        <v>no</v>
      </c>
    </row>
    <row r="346" spans="1:12">
      <c r="A346">
        <v>100345</v>
      </c>
      <c r="B346">
        <v>54</v>
      </c>
      <c r="C346" s="2">
        <v>51500</v>
      </c>
      <c r="D346" t="s">
        <v>22</v>
      </c>
      <c r="E346" s="2">
        <v>0</v>
      </c>
      <c r="F346" s="2">
        <v>0</v>
      </c>
      <c r="G346" t="s">
        <v>23</v>
      </c>
      <c r="H346" t="s">
        <v>20</v>
      </c>
      <c r="I346" t="s">
        <v>18</v>
      </c>
      <c r="J346" s="3">
        <v>45367</v>
      </c>
      <c r="K346" s="4">
        <f>ClientiBanca[[#This Row],[Prestito]]+ClientiBanca[[#This Row],[Mutuo]]</f>
        <v>0</v>
      </c>
      <c r="L346" t="str">
        <f>IF(ClientiBanca[[#This Row],[Reddito annuo]]&gt;=70000,"si","no")</f>
        <v>no</v>
      </c>
    </row>
    <row r="347" spans="1:12">
      <c r="A347">
        <v>100346</v>
      </c>
      <c r="B347">
        <v>71</v>
      </c>
      <c r="C347" s="2">
        <v>91000</v>
      </c>
      <c r="D347" t="s">
        <v>21</v>
      </c>
      <c r="E347" s="2">
        <v>72500</v>
      </c>
      <c r="F347" s="2">
        <v>142000</v>
      </c>
      <c r="G347" t="s">
        <v>16</v>
      </c>
      <c r="H347" t="s">
        <v>20</v>
      </c>
      <c r="I347" t="s">
        <v>18</v>
      </c>
      <c r="J347" s="3">
        <v>46256</v>
      </c>
      <c r="K347" s="4">
        <f>ClientiBanca[[#This Row],[Prestito]]+ClientiBanca[[#This Row],[Mutuo]]</f>
        <v>214500</v>
      </c>
      <c r="L347" t="str">
        <f>IF(ClientiBanca[[#This Row],[Reddito annuo]]&gt;=70000,"si","no")</f>
        <v>si</v>
      </c>
    </row>
    <row r="348" spans="1:12">
      <c r="A348">
        <v>100347</v>
      </c>
      <c r="B348">
        <v>25</v>
      </c>
      <c r="C348" s="2">
        <v>49200</v>
      </c>
      <c r="D348" t="s">
        <v>22</v>
      </c>
      <c r="E348" s="2">
        <v>0</v>
      </c>
      <c r="F348" s="2">
        <v>0</v>
      </c>
      <c r="G348" t="s">
        <v>16</v>
      </c>
      <c r="H348" t="s">
        <v>25</v>
      </c>
      <c r="I348" t="s">
        <v>18</v>
      </c>
      <c r="J348" s="3">
        <v>45460</v>
      </c>
      <c r="K348" s="4">
        <f>ClientiBanca[[#This Row],[Prestito]]+ClientiBanca[[#This Row],[Mutuo]]</f>
        <v>0</v>
      </c>
      <c r="L348" t="str">
        <f>IF(ClientiBanca[[#This Row],[Reddito annuo]]&gt;=70000,"si","no")</f>
        <v>no</v>
      </c>
    </row>
    <row r="349" spans="1:12">
      <c r="A349">
        <v>100348</v>
      </c>
      <c r="B349">
        <v>58</v>
      </c>
      <c r="C349" s="2">
        <v>97000</v>
      </c>
      <c r="D349" t="s">
        <v>21</v>
      </c>
      <c r="E349" s="2">
        <v>19100</v>
      </c>
      <c r="F349" s="2">
        <v>255000</v>
      </c>
      <c r="G349" t="s">
        <v>26</v>
      </c>
      <c r="H349" t="s">
        <v>17</v>
      </c>
      <c r="I349" t="s">
        <v>18</v>
      </c>
      <c r="J349" s="3">
        <v>45390</v>
      </c>
      <c r="K349" s="4">
        <f>ClientiBanca[[#This Row],[Prestito]]+ClientiBanca[[#This Row],[Mutuo]]</f>
        <v>274100</v>
      </c>
      <c r="L349" t="str">
        <f>IF(ClientiBanca[[#This Row],[Reddito annuo]]&gt;=70000,"si","no")</f>
        <v>si</v>
      </c>
    </row>
    <row r="350" spans="1:12">
      <c r="A350">
        <v>100349</v>
      </c>
      <c r="B350">
        <v>23</v>
      </c>
      <c r="C350" s="2">
        <v>52600</v>
      </c>
      <c r="D350" t="s">
        <v>12</v>
      </c>
      <c r="E350" s="2">
        <v>10800</v>
      </c>
      <c r="F350" s="2">
        <v>119000</v>
      </c>
      <c r="G350" t="s">
        <v>28</v>
      </c>
      <c r="H350" t="s">
        <v>20</v>
      </c>
      <c r="I350" t="s">
        <v>18</v>
      </c>
      <c r="J350" s="3">
        <v>45466</v>
      </c>
      <c r="K350" s="4">
        <f>ClientiBanca[[#This Row],[Prestito]]+ClientiBanca[[#This Row],[Mutuo]]</f>
        <v>129800</v>
      </c>
      <c r="L350" t="str">
        <f>IF(ClientiBanca[[#This Row],[Reddito annuo]]&gt;=70000,"si","no")</f>
        <v>no</v>
      </c>
    </row>
    <row r="351" spans="1:12">
      <c r="A351">
        <v>100350</v>
      </c>
      <c r="B351">
        <v>60</v>
      </c>
      <c r="C351" s="2">
        <v>46500</v>
      </c>
      <c r="D351" t="s">
        <v>21</v>
      </c>
      <c r="E351" s="2">
        <v>0</v>
      </c>
      <c r="F351" s="2">
        <v>0</v>
      </c>
      <c r="G351" t="s">
        <v>16</v>
      </c>
      <c r="H351" t="s">
        <v>17</v>
      </c>
      <c r="I351" t="s">
        <v>18</v>
      </c>
      <c r="J351" s="3">
        <v>46208</v>
      </c>
      <c r="K351" s="4">
        <f>ClientiBanca[[#This Row],[Prestito]]+ClientiBanca[[#This Row],[Mutuo]]</f>
        <v>0</v>
      </c>
      <c r="L351" t="str">
        <f>IF(ClientiBanca[[#This Row],[Reddito annuo]]&gt;=70000,"si","no")</f>
        <v>no</v>
      </c>
    </row>
    <row r="352" spans="1:12">
      <c r="A352">
        <v>100351</v>
      </c>
      <c r="B352">
        <v>62</v>
      </c>
      <c r="C352" s="2">
        <v>44900</v>
      </c>
      <c r="D352" t="s">
        <v>12</v>
      </c>
      <c r="E352" s="2">
        <v>26900</v>
      </c>
      <c r="F352" s="2">
        <v>0</v>
      </c>
      <c r="G352" t="s">
        <v>24</v>
      </c>
      <c r="H352" t="s">
        <v>17</v>
      </c>
      <c r="I352" t="s">
        <v>18</v>
      </c>
      <c r="J352" s="3">
        <v>45768</v>
      </c>
      <c r="K352" s="4">
        <f>ClientiBanca[[#This Row],[Prestito]]+ClientiBanca[[#This Row],[Mutuo]]</f>
        <v>26900</v>
      </c>
      <c r="L352" t="str">
        <f>IF(ClientiBanca[[#This Row],[Reddito annuo]]&gt;=70000,"si","no")</f>
        <v>no</v>
      </c>
    </row>
    <row r="353" spans="1:12">
      <c r="A353">
        <v>100352</v>
      </c>
      <c r="B353">
        <v>36</v>
      </c>
      <c r="C353" s="2">
        <v>42700</v>
      </c>
      <c r="D353" t="s">
        <v>21</v>
      </c>
      <c r="E353" s="2">
        <v>50400</v>
      </c>
      <c r="F353" s="2">
        <v>0</v>
      </c>
      <c r="G353" t="s">
        <v>13</v>
      </c>
      <c r="H353" t="s">
        <v>14</v>
      </c>
      <c r="I353" t="s">
        <v>18</v>
      </c>
      <c r="J353" s="3">
        <v>45715</v>
      </c>
      <c r="K353" s="4">
        <f>ClientiBanca[[#This Row],[Prestito]]+ClientiBanca[[#This Row],[Mutuo]]</f>
        <v>50400</v>
      </c>
      <c r="L353" t="str">
        <f>IF(ClientiBanca[[#This Row],[Reddito annuo]]&gt;=70000,"si","no")</f>
        <v>no</v>
      </c>
    </row>
    <row r="354" spans="1:12">
      <c r="A354">
        <v>100353</v>
      </c>
      <c r="B354">
        <v>68</v>
      </c>
      <c r="C354" s="2">
        <v>66400</v>
      </c>
      <c r="D354" t="s">
        <v>12</v>
      </c>
      <c r="E354" s="2">
        <v>0</v>
      </c>
      <c r="F354" s="2">
        <v>0</v>
      </c>
      <c r="G354" t="s">
        <v>16</v>
      </c>
      <c r="H354" t="s">
        <v>25</v>
      </c>
      <c r="I354" t="s">
        <v>18</v>
      </c>
      <c r="J354" s="3">
        <v>45995</v>
      </c>
      <c r="K354" s="4">
        <f>ClientiBanca[[#This Row],[Prestito]]+ClientiBanca[[#This Row],[Mutuo]]</f>
        <v>0</v>
      </c>
      <c r="L354" t="str">
        <f>IF(ClientiBanca[[#This Row],[Reddito annuo]]&gt;=70000,"si","no")</f>
        <v>no</v>
      </c>
    </row>
    <row r="355" spans="1:12">
      <c r="A355">
        <v>100354</v>
      </c>
      <c r="B355">
        <v>75</v>
      </c>
      <c r="C355" s="2">
        <v>105000</v>
      </c>
      <c r="D355" t="s">
        <v>12</v>
      </c>
      <c r="E355" s="2">
        <v>23300</v>
      </c>
      <c r="F355" s="2">
        <v>0</v>
      </c>
      <c r="G355" t="s">
        <v>27</v>
      </c>
      <c r="H355" t="s">
        <v>17</v>
      </c>
      <c r="I355" t="s">
        <v>18</v>
      </c>
      <c r="J355" s="3">
        <v>46111</v>
      </c>
      <c r="K355" s="4">
        <f>ClientiBanca[[#This Row],[Prestito]]+ClientiBanca[[#This Row],[Mutuo]]</f>
        <v>23300</v>
      </c>
      <c r="L355" t="str">
        <f>IF(ClientiBanca[[#This Row],[Reddito annuo]]&gt;=70000,"si","no")</f>
        <v>si</v>
      </c>
    </row>
    <row r="356" spans="1:12">
      <c r="A356">
        <v>100355</v>
      </c>
      <c r="B356">
        <v>56</v>
      </c>
      <c r="C356" s="2">
        <v>73600</v>
      </c>
      <c r="D356" t="s">
        <v>12</v>
      </c>
      <c r="E356" s="2">
        <v>50800</v>
      </c>
      <c r="F356" s="2">
        <v>382000</v>
      </c>
      <c r="G356" t="s">
        <v>23</v>
      </c>
      <c r="H356" t="s">
        <v>14</v>
      </c>
      <c r="I356" t="s">
        <v>18</v>
      </c>
      <c r="J356" s="3">
        <v>45725</v>
      </c>
      <c r="K356" s="4">
        <f>ClientiBanca[[#This Row],[Prestito]]+ClientiBanca[[#This Row],[Mutuo]]</f>
        <v>432800</v>
      </c>
      <c r="L356" t="str">
        <f>IF(ClientiBanca[[#This Row],[Reddito annuo]]&gt;=70000,"si","no")</f>
        <v>si</v>
      </c>
    </row>
    <row r="357" spans="1:12">
      <c r="A357">
        <v>100356</v>
      </c>
      <c r="B357">
        <v>25</v>
      </c>
      <c r="C357" s="2">
        <v>119300</v>
      </c>
      <c r="D357" t="s">
        <v>21</v>
      </c>
      <c r="E357" s="2">
        <v>0</v>
      </c>
      <c r="F357" s="2">
        <v>0</v>
      </c>
      <c r="G357" t="s">
        <v>26</v>
      </c>
      <c r="H357" t="s">
        <v>20</v>
      </c>
      <c r="I357" t="s">
        <v>18</v>
      </c>
      <c r="J357" s="3">
        <v>46036</v>
      </c>
      <c r="K357" s="4">
        <f>ClientiBanca[[#This Row],[Prestito]]+ClientiBanca[[#This Row],[Mutuo]]</f>
        <v>0</v>
      </c>
      <c r="L357" t="str">
        <f>IF(ClientiBanca[[#This Row],[Reddito annuo]]&gt;=70000,"si","no")</f>
        <v>si</v>
      </c>
    </row>
    <row r="358" spans="1:12">
      <c r="A358">
        <v>100357</v>
      </c>
      <c r="B358">
        <v>71</v>
      </c>
      <c r="C358" s="2">
        <v>31400</v>
      </c>
      <c r="D358" t="s">
        <v>21</v>
      </c>
      <c r="E358" s="2">
        <v>24700</v>
      </c>
      <c r="F358" s="2">
        <v>0</v>
      </c>
      <c r="G358" t="s">
        <v>28</v>
      </c>
      <c r="H358" t="s">
        <v>25</v>
      </c>
      <c r="I358" t="s">
        <v>15</v>
      </c>
      <c r="J358" s="3">
        <v>46009</v>
      </c>
      <c r="K358" s="4">
        <f>ClientiBanca[[#This Row],[Prestito]]+ClientiBanca[[#This Row],[Mutuo]]</f>
        <v>24700</v>
      </c>
      <c r="L358" t="str">
        <f>IF(ClientiBanca[[#This Row],[Reddito annuo]]&gt;=70000,"si","no")</f>
        <v>no</v>
      </c>
    </row>
    <row r="359" spans="1:12">
      <c r="A359">
        <v>100358</v>
      </c>
      <c r="B359">
        <v>59</v>
      </c>
      <c r="C359" s="2">
        <v>66200</v>
      </c>
      <c r="D359" t="s">
        <v>12</v>
      </c>
      <c r="E359" s="2">
        <v>16500</v>
      </c>
      <c r="F359" s="2">
        <v>0</v>
      </c>
      <c r="G359" t="s">
        <v>13</v>
      </c>
      <c r="H359" t="s">
        <v>14</v>
      </c>
      <c r="I359" t="s">
        <v>18</v>
      </c>
      <c r="J359" s="3">
        <v>45395</v>
      </c>
      <c r="K359" s="4">
        <f>ClientiBanca[[#This Row],[Prestito]]+ClientiBanca[[#This Row],[Mutuo]]</f>
        <v>16500</v>
      </c>
      <c r="L359" t="str">
        <f>IF(ClientiBanca[[#This Row],[Reddito annuo]]&gt;=70000,"si","no")</f>
        <v>no</v>
      </c>
    </row>
    <row r="360" spans="1:12">
      <c r="A360">
        <v>100359</v>
      </c>
      <c r="B360">
        <v>70</v>
      </c>
      <c r="C360" s="2">
        <v>46100</v>
      </c>
      <c r="D360" t="s">
        <v>12</v>
      </c>
      <c r="E360" s="2">
        <v>28900</v>
      </c>
      <c r="F360" s="2">
        <v>0</v>
      </c>
      <c r="G360" t="s">
        <v>28</v>
      </c>
      <c r="H360" t="s">
        <v>17</v>
      </c>
      <c r="I360" t="s">
        <v>18</v>
      </c>
      <c r="J360" s="3">
        <v>45468</v>
      </c>
      <c r="K360" s="4">
        <f>ClientiBanca[[#This Row],[Prestito]]+ClientiBanca[[#This Row],[Mutuo]]</f>
        <v>28900</v>
      </c>
      <c r="L360" t="str">
        <f>IF(ClientiBanca[[#This Row],[Reddito annuo]]&gt;=70000,"si","no")</f>
        <v>no</v>
      </c>
    </row>
    <row r="361" spans="1:12">
      <c r="A361">
        <v>100360</v>
      </c>
      <c r="B361">
        <v>37</v>
      </c>
      <c r="C361" s="2">
        <v>53300</v>
      </c>
      <c r="D361" t="s">
        <v>12</v>
      </c>
      <c r="E361" s="2">
        <v>28400</v>
      </c>
      <c r="F361" s="2">
        <v>0</v>
      </c>
      <c r="G361" t="s">
        <v>19</v>
      </c>
      <c r="H361" t="s">
        <v>17</v>
      </c>
      <c r="I361" t="s">
        <v>15</v>
      </c>
      <c r="J361" s="3">
        <v>45778</v>
      </c>
      <c r="K361" s="4">
        <f>ClientiBanca[[#This Row],[Prestito]]+ClientiBanca[[#This Row],[Mutuo]]</f>
        <v>28400</v>
      </c>
      <c r="L361" t="str">
        <f>IF(ClientiBanca[[#This Row],[Reddito annuo]]&gt;=70000,"si","no")</f>
        <v>no</v>
      </c>
    </row>
    <row r="362" spans="1:12">
      <c r="A362">
        <v>100361</v>
      </c>
      <c r="B362">
        <v>37</v>
      </c>
      <c r="C362" s="2">
        <v>98100</v>
      </c>
      <c r="D362" t="s">
        <v>21</v>
      </c>
      <c r="E362" s="2">
        <v>0</v>
      </c>
      <c r="F362" s="2">
        <v>0</v>
      </c>
      <c r="G362" t="s">
        <v>26</v>
      </c>
      <c r="H362" t="s">
        <v>14</v>
      </c>
      <c r="I362" t="s">
        <v>18</v>
      </c>
      <c r="J362" s="3">
        <v>46170</v>
      </c>
      <c r="K362" s="4">
        <f>ClientiBanca[[#This Row],[Prestito]]+ClientiBanca[[#This Row],[Mutuo]]</f>
        <v>0</v>
      </c>
      <c r="L362" t="str">
        <f>IF(ClientiBanca[[#This Row],[Reddito annuo]]&gt;=70000,"si","no")</f>
        <v>si</v>
      </c>
    </row>
    <row r="363" spans="1:12">
      <c r="A363">
        <v>100362</v>
      </c>
      <c r="B363">
        <v>64</v>
      </c>
      <c r="C363" s="2">
        <v>74300</v>
      </c>
      <c r="D363" t="s">
        <v>22</v>
      </c>
      <c r="E363" s="2">
        <v>23400</v>
      </c>
      <c r="F363" s="2">
        <v>0</v>
      </c>
      <c r="G363" t="s">
        <v>19</v>
      </c>
      <c r="H363" t="s">
        <v>20</v>
      </c>
      <c r="I363" t="s">
        <v>18</v>
      </c>
      <c r="J363" s="3">
        <v>45953</v>
      </c>
      <c r="K363" s="4">
        <f>ClientiBanca[[#This Row],[Prestito]]+ClientiBanca[[#This Row],[Mutuo]]</f>
        <v>23400</v>
      </c>
      <c r="L363" t="str">
        <f>IF(ClientiBanca[[#This Row],[Reddito annuo]]&gt;=70000,"si","no")</f>
        <v>si</v>
      </c>
    </row>
    <row r="364" spans="1:12">
      <c r="A364">
        <v>100363</v>
      </c>
      <c r="B364">
        <v>25</v>
      </c>
      <c r="C364" s="2">
        <v>40500</v>
      </c>
      <c r="D364" t="s">
        <v>21</v>
      </c>
      <c r="E364" s="2">
        <v>0</v>
      </c>
      <c r="F364" s="2">
        <v>0</v>
      </c>
      <c r="G364" t="s">
        <v>19</v>
      </c>
      <c r="H364" t="s">
        <v>14</v>
      </c>
      <c r="I364" t="s">
        <v>18</v>
      </c>
      <c r="J364" s="3">
        <v>45819</v>
      </c>
      <c r="K364" s="4">
        <f>ClientiBanca[[#This Row],[Prestito]]+ClientiBanca[[#This Row],[Mutuo]]</f>
        <v>0</v>
      </c>
      <c r="L364" t="str">
        <f>IF(ClientiBanca[[#This Row],[Reddito annuo]]&gt;=70000,"si","no")</f>
        <v>no</v>
      </c>
    </row>
    <row r="365" spans="1:12">
      <c r="A365">
        <v>100364</v>
      </c>
      <c r="B365">
        <v>70</v>
      </c>
      <c r="C365" s="2">
        <v>38700</v>
      </c>
      <c r="D365" t="s">
        <v>21</v>
      </c>
      <c r="E365" s="2">
        <v>15800</v>
      </c>
      <c r="F365" s="2">
        <v>0</v>
      </c>
      <c r="G365" t="s">
        <v>27</v>
      </c>
      <c r="H365" t="s">
        <v>17</v>
      </c>
      <c r="I365" t="s">
        <v>18</v>
      </c>
      <c r="J365" s="3">
        <v>45497</v>
      </c>
      <c r="K365" s="4">
        <f>ClientiBanca[[#This Row],[Prestito]]+ClientiBanca[[#This Row],[Mutuo]]</f>
        <v>15800</v>
      </c>
      <c r="L365" t="str">
        <f>IF(ClientiBanca[[#This Row],[Reddito annuo]]&gt;=70000,"si","no")</f>
        <v>no</v>
      </c>
    </row>
    <row r="366" spans="1:12">
      <c r="A366">
        <v>100365</v>
      </c>
      <c r="B366">
        <v>73</v>
      </c>
      <c r="C366" s="2">
        <v>30400</v>
      </c>
      <c r="D366" t="s">
        <v>21</v>
      </c>
      <c r="E366" s="2">
        <v>26300</v>
      </c>
      <c r="F366" s="2">
        <v>0</v>
      </c>
      <c r="G366" t="s">
        <v>19</v>
      </c>
      <c r="H366" t="s">
        <v>14</v>
      </c>
      <c r="I366" t="s">
        <v>18</v>
      </c>
      <c r="J366" s="3">
        <v>45942</v>
      </c>
      <c r="K366" s="4">
        <f>ClientiBanca[[#This Row],[Prestito]]+ClientiBanca[[#This Row],[Mutuo]]</f>
        <v>26300</v>
      </c>
      <c r="L366" t="str">
        <f>IF(ClientiBanca[[#This Row],[Reddito annuo]]&gt;=70000,"si","no")</f>
        <v>no</v>
      </c>
    </row>
    <row r="367" spans="1:12">
      <c r="A367">
        <v>100366</v>
      </c>
      <c r="B367">
        <v>27</v>
      </c>
      <c r="C367" s="2">
        <v>73900</v>
      </c>
      <c r="D367" t="s">
        <v>21</v>
      </c>
      <c r="E367" s="2">
        <v>30800</v>
      </c>
      <c r="F367" s="2">
        <v>0</v>
      </c>
      <c r="G367" t="s">
        <v>28</v>
      </c>
      <c r="H367" t="s">
        <v>17</v>
      </c>
      <c r="I367" t="s">
        <v>18</v>
      </c>
      <c r="J367" s="3">
        <v>45459</v>
      </c>
      <c r="K367" s="4">
        <f>ClientiBanca[[#This Row],[Prestito]]+ClientiBanca[[#This Row],[Mutuo]]</f>
        <v>30800</v>
      </c>
      <c r="L367" t="str">
        <f>IF(ClientiBanca[[#This Row],[Reddito annuo]]&gt;=70000,"si","no")</f>
        <v>si</v>
      </c>
    </row>
    <row r="368" spans="1:12">
      <c r="A368">
        <v>100367</v>
      </c>
      <c r="B368">
        <v>73</v>
      </c>
      <c r="C368" s="2">
        <v>97800</v>
      </c>
      <c r="D368" t="s">
        <v>12</v>
      </c>
      <c r="E368" s="2">
        <v>22700</v>
      </c>
      <c r="F368" s="2">
        <v>0</v>
      </c>
      <c r="G368" t="s">
        <v>24</v>
      </c>
      <c r="H368" t="s">
        <v>14</v>
      </c>
      <c r="I368" t="s">
        <v>18</v>
      </c>
      <c r="J368" s="3">
        <v>45511</v>
      </c>
      <c r="K368" s="4">
        <f>ClientiBanca[[#This Row],[Prestito]]+ClientiBanca[[#This Row],[Mutuo]]</f>
        <v>22700</v>
      </c>
      <c r="L368" t="str">
        <f>IF(ClientiBanca[[#This Row],[Reddito annuo]]&gt;=70000,"si","no")</f>
        <v>si</v>
      </c>
    </row>
    <row r="369" spans="1:12">
      <c r="A369">
        <v>100368</v>
      </c>
      <c r="B369">
        <v>74</v>
      </c>
      <c r="C369" s="2">
        <v>42400</v>
      </c>
      <c r="D369" t="s">
        <v>21</v>
      </c>
      <c r="E369" s="2">
        <v>43000</v>
      </c>
      <c r="F369" s="2">
        <v>0</v>
      </c>
      <c r="G369" t="s">
        <v>27</v>
      </c>
      <c r="H369" t="s">
        <v>17</v>
      </c>
      <c r="I369" t="s">
        <v>18</v>
      </c>
      <c r="J369" s="3">
        <v>45469</v>
      </c>
      <c r="K369" s="4">
        <f>ClientiBanca[[#This Row],[Prestito]]+ClientiBanca[[#This Row],[Mutuo]]</f>
        <v>43000</v>
      </c>
      <c r="L369" t="str">
        <f>IF(ClientiBanca[[#This Row],[Reddito annuo]]&gt;=70000,"si","no")</f>
        <v>no</v>
      </c>
    </row>
    <row r="370" spans="1:12">
      <c r="A370">
        <v>100369</v>
      </c>
      <c r="B370">
        <v>58</v>
      </c>
      <c r="C370" s="2">
        <v>85700</v>
      </c>
      <c r="D370" t="s">
        <v>21</v>
      </c>
      <c r="E370" s="2">
        <v>71000</v>
      </c>
      <c r="F370" s="2">
        <v>0</v>
      </c>
      <c r="G370" t="s">
        <v>26</v>
      </c>
      <c r="H370" t="s">
        <v>20</v>
      </c>
      <c r="I370" t="s">
        <v>18</v>
      </c>
      <c r="J370" s="3">
        <v>45649</v>
      </c>
      <c r="K370" s="4">
        <f>ClientiBanca[[#This Row],[Prestito]]+ClientiBanca[[#This Row],[Mutuo]]</f>
        <v>71000</v>
      </c>
      <c r="L370" t="str">
        <f>IF(ClientiBanca[[#This Row],[Reddito annuo]]&gt;=70000,"si","no")</f>
        <v>si</v>
      </c>
    </row>
    <row r="371" spans="1:12">
      <c r="A371">
        <v>100370</v>
      </c>
      <c r="B371">
        <v>49</v>
      </c>
      <c r="C371" s="2">
        <v>44100</v>
      </c>
      <c r="D371" t="s">
        <v>21</v>
      </c>
      <c r="E371" s="2">
        <v>55100</v>
      </c>
      <c r="F371" s="2">
        <v>0</v>
      </c>
      <c r="G371" t="s">
        <v>13</v>
      </c>
      <c r="H371" t="s">
        <v>20</v>
      </c>
      <c r="I371" t="s">
        <v>18</v>
      </c>
      <c r="J371" s="3">
        <v>46155</v>
      </c>
      <c r="K371" s="4">
        <f>ClientiBanca[[#This Row],[Prestito]]+ClientiBanca[[#This Row],[Mutuo]]</f>
        <v>55100</v>
      </c>
      <c r="L371" t="str">
        <f>IF(ClientiBanca[[#This Row],[Reddito annuo]]&gt;=70000,"si","no")</f>
        <v>no</v>
      </c>
    </row>
    <row r="372" spans="1:12">
      <c r="A372">
        <v>100371</v>
      </c>
      <c r="B372">
        <v>73</v>
      </c>
      <c r="C372" s="2">
        <v>51500</v>
      </c>
      <c r="D372" t="s">
        <v>12</v>
      </c>
      <c r="E372" s="2">
        <v>23300</v>
      </c>
      <c r="F372" s="2">
        <v>110000</v>
      </c>
      <c r="G372" t="s">
        <v>26</v>
      </c>
      <c r="H372" t="s">
        <v>17</v>
      </c>
      <c r="I372" t="s">
        <v>18</v>
      </c>
      <c r="J372" s="3">
        <v>45559</v>
      </c>
      <c r="K372" s="4">
        <f>ClientiBanca[[#This Row],[Prestito]]+ClientiBanca[[#This Row],[Mutuo]]</f>
        <v>133300</v>
      </c>
      <c r="L372" t="str">
        <f>IF(ClientiBanca[[#This Row],[Reddito annuo]]&gt;=70000,"si","no")</f>
        <v>no</v>
      </c>
    </row>
    <row r="373" spans="1:12">
      <c r="A373">
        <v>100372</v>
      </c>
      <c r="B373">
        <v>61</v>
      </c>
      <c r="C373" s="2">
        <v>76600</v>
      </c>
      <c r="D373" t="s">
        <v>22</v>
      </c>
      <c r="E373" s="2">
        <v>16500</v>
      </c>
      <c r="F373" s="2">
        <v>0</v>
      </c>
      <c r="G373" t="s">
        <v>27</v>
      </c>
      <c r="H373" t="s">
        <v>17</v>
      </c>
      <c r="I373" t="s">
        <v>18</v>
      </c>
      <c r="J373" s="3">
        <v>45906</v>
      </c>
      <c r="K373" s="4">
        <f>ClientiBanca[[#This Row],[Prestito]]+ClientiBanca[[#This Row],[Mutuo]]</f>
        <v>16500</v>
      </c>
      <c r="L373" t="str">
        <f>IF(ClientiBanca[[#This Row],[Reddito annuo]]&gt;=70000,"si","no")</f>
        <v>si</v>
      </c>
    </row>
    <row r="374" spans="1:12">
      <c r="A374">
        <v>100373</v>
      </c>
      <c r="B374">
        <v>45</v>
      </c>
      <c r="C374" s="2">
        <v>72200</v>
      </c>
      <c r="D374" t="s">
        <v>12</v>
      </c>
      <c r="E374" s="2">
        <v>0</v>
      </c>
      <c r="F374" s="2">
        <v>0</v>
      </c>
      <c r="G374" t="s">
        <v>26</v>
      </c>
      <c r="H374" t="s">
        <v>20</v>
      </c>
      <c r="I374" t="s">
        <v>18</v>
      </c>
      <c r="J374" s="3">
        <v>45720</v>
      </c>
      <c r="K374" s="4">
        <f>ClientiBanca[[#This Row],[Prestito]]+ClientiBanca[[#This Row],[Mutuo]]</f>
        <v>0</v>
      </c>
      <c r="L374" t="str">
        <f>IF(ClientiBanca[[#This Row],[Reddito annuo]]&gt;=70000,"si","no")</f>
        <v>si</v>
      </c>
    </row>
    <row r="375" spans="1:12">
      <c r="A375">
        <v>100374</v>
      </c>
      <c r="B375">
        <v>45</v>
      </c>
      <c r="C375" s="2">
        <v>52400</v>
      </c>
      <c r="D375" t="s">
        <v>21</v>
      </c>
      <c r="E375" s="2">
        <v>37900</v>
      </c>
      <c r="F375" s="2">
        <v>263000</v>
      </c>
      <c r="G375" t="s">
        <v>23</v>
      </c>
      <c r="H375" t="s">
        <v>17</v>
      </c>
      <c r="I375" t="s">
        <v>18</v>
      </c>
      <c r="J375" s="3">
        <v>45779</v>
      </c>
      <c r="K375" s="4">
        <f>ClientiBanca[[#This Row],[Prestito]]+ClientiBanca[[#This Row],[Mutuo]]</f>
        <v>300900</v>
      </c>
      <c r="L375" t="str">
        <f>IF(ClientiBanca[[#This Row],[Reddito annuo]]&gt;=70000,"si","no")</f>
        <v>no</v>
      </c>
    </row>
    <row r="376" spans="1:12">
      <c r="A376">
        <v>100375</v>
      </c>
      <c r="B376">
        <v>62</v>
      </c>
      <c r="C376" s="2">
        <v>50500</v>
      </c>
      <c r="D376" t="s">
        <v>21</v>
      </c>
      <c r="E376" s="2">
        <v>43400</v>
      </c>
      <c r="F376" s="2">
        <v>0</v>
      </c>
      <c r="G376" t="s">
        <v>26</v>
      </c>
      <c r="H376" t="s">
        <v>20</v>
      </c>
      <c r="I376" t="s">
        <v>18</v>
      </c>
      <c r="J376" s="3">
        <v>45556</v>
      </c>
      <c r="K376" s="4">
        <f>ClientiBanca[[#This Row],[Prestito]]+ClientiBanca[[#This Row],[Mutuo]]</f>
        <v>43400</v>
      </c>
      <c r="L376" t="str">
        <f>IF(ClientiBanca[[#This Row],[Reddito annuo]]&gt;=70000,"si","no")</f>
        <v>no</v>
      </c>
    </row>
    <row r="377" spans="1:12">
      <c r="A377">
        <v>100376</v>
      </c>
      <c r="B377">
        <v>66</v>
      </c>
      <c r="C377" s="2">
        <v>86500</v>
      </c>
      <c r="D377" t="s">
        <v>12</v>
      </c>
      <c r="E377" s="2">
        <v>45000</v>
      </c>
      <c r="F377" s="2">
        <v>0</v>
      </c>
      <c r="G377" t="s">
        <v>13</v>
      </c>
      <c r="H377" t="s">
        <v>20</v>
      </c>
      <c r="I377" t="s">
        <v>18</v>
      </c>
      <c r="J377" s="3">
        <v>46184</v>
      </c>
      <c r="K377" s="4">
        <f>ClientiBanca[[#This Row],[Prestito]]+ClientiBanca[[#This Row],[Mutuo]]</f>
        <v>45000</v>
      </c>
      <c r="L377" t="str">
        <f>IF(ClientiBanca[[#This Row],[Reddito annuo]]&gt;=70000,"si","no")</f>
        <v>si</v>
      </c>
    </row>
    <row r="378" spans="1:12">
      <c r="A378">
        <v>100377</v>
      </c>
      <c r="B378">
        <v>39</v>
      </c>
      <c r="C378" s="2">
        <v>54400</v>
      </c>
      <c r="D378" t="s">
        <v>22</v>
      </c>
      <c r="E378" s="2">
        <v>38800</v>
      </c>
      <c r="F378" s="2">
        <v>0</v>
      </c>
      <c r="G378" t="s">
        <v>13</v>
      </c>
      <c r="H378" t="s">
        <v>17</v>
      </c>
      <c r="I378" t="s">
        <v>18</v>
      </c>
      <c r="J378" s="3">
        <v>45889</v>
      </c>
      <c r="K378" s="4">
        <f>ClientiBanca[[#This Row],[Prestito]]+ClientiBanca[[#This Row],[Mutuo]]</f>
        <v>38800</v>
      </c>
      <c r="L378" t="str">
        <f>IF(ClientiBanca[[#This Row],[Reddito annuo]]&gt;=70000,"si","no")</f>
        <v>no</v>
      </c>
    </row>
    <row r="379" spans="1:12">
      <c r="A379">
        <v>100378</v>
      </c>
      <c r="B379">
        <v>57</v>
      </c>
      <c r="C379" s="2">
        <v>106600</v>
      </c>
      <c r="D379" t="s">
        <v>21</v>
      </c>
      <c r="E379" s="2">
        <v>0</v>
      </c>
      <c r="F379" s="2">
        <v>0</v>
      </c>
      <c r="G379" t="s">
        <v>16</v>
      </c>
      <c r="H379" t="s">
        <v>17</v>
      </c>
      <c r="I379" t="s">
        <v>18</v>
      </c>
      <c r="J379" s="3">
        <v>45715</v>
      </c>
      <c r="K379" s="4">
        <f>ClientiBanca[[#This Row],[Prestito]]+ClientiBanca[[#This Row],[Mutuo]]</f>
        <v>0</v>
      </c>
      <c r="L379" t="str">
        <f>IF(ClientiBanca[[#This Row],[Reddito annuo]]&gt;=70000,"si","no")</f>
        <v>si</v>
      </c>
    </row>
    <row r="380" spans="1:12">
      <c r="A380">
        <v>100379</v>
      </c>
      <c r="B380">
        <v>23</v>
      </c>
      <c r="C380" s="2">
        <v>94300</v>
      </c>
      <c r="D380" t="s">
        <v>21</v>
      </c>
      <c r="E380" s="2">
        <v>0</v>
      </c>
      <c r="F380" s="2">
        <v>0</v>
      </c>
      <c r="G380" t="s">
        <v>28</v>
      </c>
      <c r="H380" t="s">
        <v>20</v>
      </c>
      <c r="I380" t="s">
        <v>18</v>
      </c>
      <c r="J380" s="3">
        <v>46175</v>
      </c>
      <c r="K380" s="4">
        <f>ClientiBanca[[#This Row],[Prestito]]+ClientiBanca[[#This Row],[Mutuo]]</f>
        <v>0</v>
      </c>
      <c r="L380" t="str">
        <f>IF(ClientiBanca[[#This Row],[Reddito annuo]]&gt;=70000,"si","no")</f>
        <v>si</v>
      </c>
    </row>
    <row r="381" spans="1:12">
      <c r="A381">
        <v>100380</v>
      </c>
      <c r="B381">
        <v>65</v>
      </c>
      <c r="C381" s="2">
        <v>40000</v>
      </c>
      <c r="D381" t="s">
        <v>21</v>
      </c>
      <c r="E381" s="2">
        <v>50000</v>
      </c>
      <c r="F381" s="2">
        <v>0</v>
      </c>
      <c r="G381" t="s">
        <v>27</v>
      </c>
      <c r="H381" t="s">
        <v>20</v>
      </c>
      <c r="I381" t="s">
        <v>18</v>
      </c>
      <c r="J381" s="3">
        <v>46071</v>
      </c>
      <c r="K381" s="4">
        <f>ClientiBanca[[#This Row],[Prestito]]+ClientiBanca[[#This Row],[Mutuo]]</f>
        <v>50000</v>
      </c>
      <c r="L381" t="str">
        <f>IF(ClientiBanca[[#This Row],[Reddito annuo]]&gt;=70000,"si","no")</f>
        <v>no</v>
      </c>
    </row>
    <row r="382" spans="1:12">
      <c r="A382">
        <v>100381</v>
      </c>
      <c r="B382">
        <v>69</v>
      </c>
      <c r="C382" s="2">
        <v>39300</v>
      </c>
      <c r="D382" t="s">
        <v>12</v>
      </c>
      <c r="E382" s="2">
        <v>49100</v>
      </c>
      <c r="F382" s="2">
        <v>234000</v>
      </c>
      <c r="G382" t="s">
        <v>16</v>
      </c>
      <c r="H382" t="s">
        <v>17</v>
      </c>
      <c r="I382" t="s">
        <v>18</v>
      </c>
      <c r="J382" s="3">
        <v>45684</v>
      </c>
      <c r="K382" s="4">
        <f>ClientiBanca[[#This Row],[Prestito]]+ClientiBanca[[#This Row],[Mutuo]]</f>
        <v>283100</v>
      </c>
      <c r="L382" t="str">
        <f>IF(ClientiBanca[[#This Row],[Reddito annuo]]&gt;=70000,"si","no")</f>
        <v>no</v>
      </c>
    </row>
    <row r="383" spans="1:12">
      <c r="A383">
        <v>100382</v>
      </c>
      <c r="B383">
        <v>20</v>
      </c>
      <c r="C383" s="2">
        <v>28100</v>
      </c>
      <c r="D383" t="s">
        <v>21</v>
      </c>
      <c r="E383" s="2">
        <v>6500</v>
      </c>
      <c r="F383" s="2">
        <v>0</v>
      </c>
      <c r="G383" t="s">
        <v>23</v>
      </c>
      <c r="H383" t="s">
        <v>20</v>
      </c>
      <c r="I383" t="s">
        <v>15</v>
      </c>
      <c r="J383" s="3">
        <v>46043</v>
      </c>
      <c r="K383" s="4">
        <f>ClientiBanca[[#This Row],[Prestito]]+ClientiBanca[[#This Row],[Mutuo]]</f>
        <v>6500</v>
      </c>
      <c r="L383" t="str">
        <f>IF(ClientiBanca[[#This Row],[Reddito annuo]]&gt;=70000,"si","no")</f>
        <v>no</v>
      </c>
    </row>
    <row r="384" spans="1:12">
      <c r="A384">
        <v>100383</v>
      </c>
      <c r="B384">
        <v>35</v>
      </c>
      <c r="C384" s="2">
        <v>42700</v>
      </c>
      <c r="D384" t="s">
        <v>22</v>
      </c>
      <c r="E384" s="2">
        <v>14000</v>
      </c>
      <c r="F384" s="2">
        <v>0</v>
      </c>
      <c r="G384" t="s">
        <v>26</v>
      </c>
      <c r="H384" t="s">
        <v>17</v>
      </c>
      <c r="I384" t="s">
        <v>18</v>
      </c>
      <c r="J384" s="3">
        <v>45597</v>
      </c>
      <c r="K384" s="4">
        <f>ClientiBanca[[#This Row],[Prestito]]+ClientiBanca[[#This Row],[Mutuo]]</f>
        <v>14000</v>
      </c>
      <c r="L384" t="str">
        <f>IF(ClientiBanca[[#This Row],[Reddito annuo]]&gt;=70000,"si","no")</f>
        <v>no</v>
      </c>
    </row>
    <row r="385" spans="1:12">
      <c r="A385">
        <v>100384</v>
      </c>
      <c r="B385">
        <v>38</v>
      </c>
      <c r="C385" s="2">
        <v>56800</v>
      </c>
      <c r="D385" t="s">
        <v>12</v>
      </c>
      <c r="E385" s="2">
        <v>30100</v>
      </c>
      <c r="F385" s="2">
        <v>0</v>
      </c>
      <c r="G385" t="s">
        <v>24</v>
      </c>
      <c r="H385" t="s">
        <v>17</v>
      </c>
      <c r="I385" t="s">
        <v>18</v>
      </c>
      <c r="J385" s="3">
        <v>45659</v>
      </c>
      <c r="K385" s="4">
        <f>ClientiBanca[[#This Row],[Prestito]]+ClientiBanca[[#This Row],[Mutuo]]</f>
        <v>30100</v>
      </c>
      <c r="L385" t="str">
        <f>IF(ClientiBanca[[#This Row],[Reddito annuo]]&gt;=70000,"si","no")</f>
        <v>no</v>
      </c>
    </row>
    <row r="386" spans="1:12">
      <c r="A386">
        <v>100385</v>
      </c>
      <c r="B386">
        <v>68</v>
      </c>
      <c r="C386" s="2">
        <v>40500</v>
      </c>
      <c r="D386" t="s">
        <v>22</v>
      </c>
      <c r="E386" s="2">
        <v>0</v>
      </c>
      <c r="F386" s="2">
        <v>0</v>
      </c>
      <c r="G386" t="s">
        <v>23</v>
      </c>
      <c r="H386" t="s">
        <v>17</v>
      </c>
      <c r="I386" t="s">
        <v>18</v>
      </c>
      <c r="J386" s="3">
        <v>45426</v>
      </c>
      <c r="K386" s="4">
        <f>ClientiBanca[[#This Row],[Prestito]]+ClientiBanca[[#This Row],[Mutuo]]</f>
        <v>0</v>
      </c>
      <c r="L386" t="str">
        <f>IF(ClientiBanca[[#This Row],[Reddito annuo]]&gt;=70000,"si","no")</f>
        <v>no</v>
      </c>
    </row>
    <row r="387" spans="1:12">
      <c r="A387">
        <v>100386</v>
      </c>
      <c r="B387">
        <v>33</v>
      </c>
      <c r="C387" s="2">
        <v>78800</v>
      </c>
      <c r="D387" t="s">
        <v>12</v>
      </c>
      <c r="E387" s="2">
        <v>26600</v>
      </c>
      <c r="F387" s="2">
        <v>0</v>
      </c>
      <c r="G387" t="s">
        <v>27</v>
      </c>
      <c r="H387" t="s">
        <v>20</v>
      </c>
      <c r="I387" t="s">
        <v>18</v>
      </c>
      <c r="J387" s="3">
        <v>46081</v>
      </c>
      <c r="K387" s="4">
        <f>ClientiBanca[[#This Row],[Prestito]]+ClientiBanca[[#This Row],[Mutuo]]</f>
        <v>26600</v>
      </c>
      <c r="L387" t="str">
        <f>IF(ClientiBanca[[#This Row],[Reddito annuo]]&gt;=70000,"si","no")</f>
        <v>si</v>
      </c>
    </row>
    <row r="388" spans="1:12">
      <c r="A388">
        <v>100387</v>
      </c>
      <c r="B388">
        <v>54</v>
      </c>
      <c r="C388" s="2">
        <v>69100</v>
      </c>
      <c r="D388" t="s">
        <v>12</v>
      </c>
      <c r="E388" s="2">
        <v>14300</v>
      </c>
      <c r="F388" s="2">
        <v>0</v>
      </c>
      <c r="G388" t="s">
        <v>27</v>
      </c>
      <c r="H388" t="s">
        <v>17</v>
      </c>
      <c r="I388" t="s">
        <v>18</v>
      </c>
      <c r="J388" s="3">
        <v>45681</v>
      </c>
      <c r="K388" s="4">
        <f>ClientiBanca[[#This Row],[Prestito]]+ClientiBanca[[#This Row],[Mutuo]]</f>
        <v>14300</v>
      </c>
      <c r="L388" t="str">
        <f>IF(ClientiBanca[[#This Row],[Reddito annuo]]&gt;=70000,"si","no")</f>
        <v>no</v>
      </c>
    </row>
    <row r="389" spans="1:12">
      <c r="A389">
        <v>100388</v>
      </c>
      <c r="B389">
        <v>27</v>
      </c>
      <c r="C389" s="2">
        <v>63200</v>
      </c>
      <c r="D389" t="s">
        <v>21</v>
      </c>
      <c r="E389" s="2">
        <v>46100</v>
      </c>
      <c r="F389" s="2">
        <v>0</v>
      </c>
      <c r="G389" t="s">
        <v>26</v>
      </c>
      <c r="H389" t="s">
        <v>17</v>
      </c>
      <c r="I389" t="s">
        <v>18</v>
      </c>
      <c r="J389" s="3">
        <v>45824</v>
      </c>
      <c r="K389" s="4">
        <f>ClientiBanca[[#This Row],[Prestito]]+ClientiBanca[[#This Row],[Mutuo]]</f>
        <v>46100</v>
      </c>
      <c r="L389" t="str">
        <f>IF(ClientiBanca[[#This Row],[Reddito annuo]]&gt;=70000,"si","no")</f>
        <v>no</v>
      </c>
    </row>
    <row r="390" spans="1:12">
      <c r="A390">
        <v>100389</v>
      </c>
      <c r="B390">
        <v>37</v>
      </c>
      <c r="C390" s="2">
        <v>69000</v>
      </c>
      <c r="D390" t="s">
        <v>12</v>
      </c>
      <c r="E390" s="2">
        <v>64700</v>
      </c>
      <c r="F390" s="2">
        <v>0</v>
      </c>
      <c r="G390" t="s">
        <v>13</v>
      </c>
      <c r="H390" t="s">
        <v>20</v>
      </c>
      <c r="I390" t="s">
        <v>18</v>
      </c>
      <c r="J390" s="3">
        <v>45801</v>
      </c>
      <c r="K390" s="4">
        <f>ClientiBanca[[#This Row],[Prestito]]+ClientiBanca[[#This Row],[Mutuo]]</f>
        <v>64700</v>
      </c>
      <c r="L390" t="str">
        <f>IF(ClientiBanca[[#This Row],[Reddito annuo]]&gt;=70000,"si","no")</f>
        <v>no</v>
      </c>
    </row>
    <row r="391" spans="1:12">
      <c r="A391">
        <v>100390</v>
      </c>
      <c r="B391">
        <v>32</v>
      </c>
      <c r="C391" s="2">
        <v>67900</v>
      </c>
      <c r="D391" t="s">
        <v>12</v>
      </c>
      <c r="E391" s="2">
        <v>0</v>
      </c>
      <c r="F391" s="2">
        <v>0</v>
      </c>
      <c r="G391" t="s">
        <v>19</v>
      </c>
      <c r="H391" t="s">
        <v>17</v>
      </c>
      <c r="I391" t="s">
        <v>18</v>
      </c>
      <c r="J391" s="3">
        <v>45594</v>
      </c>
      <c r="K391" s="4">
        <f>ClientiBanca[[#This Row],[Prestito]]+ClientiBanca[[#This Row],[Mutuo]]</f>
        <v>0</v>
      </c>
      <c r="L391" t="str">
        <f>IF(ClientiBanca[[#This Row],[Reddito annuo]]&gt;=70000,"si","no")</f>
        <v>no</v>
      </c>
    </row>
    <row r="392" spans="1:12">
      <c r="A392">
        <v>100391</v>
      </c>
      <c r="B392">
        <v>30</v>
      </c>
      <c r="C392" s="2">
        <v>28300</v>
      </c>
      <c r="D392" t="s">
        <v>21</v>
      </c>
      <c r="E392" s="2">
        <v>35400</v>
      </c>
      <c r="F392" s="2">
        <v>0</v>
      </c>
      <c r="G392" t="s">
        <v>27</v>
      </c>
      <c r="H392" t="s">
        <v>20</v>
      </c>
      <c r="I392" t="s">
        <v>18</v>
      </c>
      <c r="J392" s="3">
        <v>45405</v>
      </c>
      <c r="K392" s="4">
        <f>ClientiBanca[[#This Row],[Prestito]]+ClientiBanca[[#This Row],[Mutuo]]</f>
        <v>35400</v>
      </c>
      <c r="L392" t="str">
        <f>IF(ClientiBanca[[#This Row],[Reddito annuo]]&gt;=70000,"si","no")</f>
        <v>no</v>
      </c>
    </row>
    <row r="393" spans="1:12">
      <c r="A393">
        <v>100392</v>
      </c>
      <c r="B393">
        <v>73</v>
      </c>
      <c r="C393" s="2">
        <v>65200</v>
      </c>
      <c r="D393" t="s">
        <v>21</v>
      </c>
      <c r="E393" s="2">
        <v>0</v>
      </c>
      <c r="F393" s="2">
        <v>0</v>
      </c>
      <c r="G393" t="s">
        <v>13</v>
      </c>
      <c r="H393" t="s">
        <v>14</v>
      </c>
      <c r="I393" t="s">
        <v>18</v>
      </c>
      <c r="J393" s="3">
        <v>45395</v>
      </c>
      <c r="K393" s="4">
        <f>ClientiBanca[[#This Row],[Prestito]]+ClientiBanca[[#This Row],[Mutuo]]</f>
        <v>0</v>
      </c>
      <c r="L393" t="str">
        <f>IF(ClientiBanca[[#This Row],[Reddito annuo]]&gt;=70000,"si","no")</f>
        <v>no</v>
      </c>
    </row>
    <row r="394" spans="1:12">
      <c r="A394">
        <v>100393</v>
      </c>
      <c r="B394">
        <v>36</v>
      </c>
      <c r="C394" s="2">
        <v>70800</v>
      </c>
      <c r="D394" t="s">
        <v>21</v>
      </c>
      <c r="E394" s="2">
        <v>0</v>
      </c>
      <c r="F394" s="2">
        <v>105000</v>
      </c>
      <c r="G394" t="s">
        <v>24</v>
      </c>
      <c r="H394" t="s">
        <v>14</v>
      </c>
      <c r="I394" t="s">
        <v>18</v>
      </c>
      <c r="J394" s="3">
        <v>46164</v>
      </c>
      <c r="K394" s="4">
        <f>ClientiBanca[[#This Row],[Prestito]]+ClientiBanca[[#This Row],[Mutuo]]</f>
        <v>105000</v>
      </c>
      <c r="L394" t="str">
        <f>IF(ClientiBanca[[#This Row],[Reddito annuo]]&gt;=70000,"si","no")</f>
        <v>si</v>
      </c>
    </row>
    <row r="395" spans="1:12">
      <c r="A395">
        <v>100394</v>
      </c>
      <c r="B395">
        <v>38</v>
      </c>
      <c r="C395" s="2">
        <v>50600</v>
      </c>
      <c r="D395" t="s">
        <v>12</v>
      </c>
      <c r="E395" s="2">
        <v>14800</v>
      </c>
      <c r="F395" s="2">
        <v>0</v>
      </c>
      <c r="G395" t="s">
        <v>27</v>
      </c>
      <c r="H395" t="s">
        <v>20</v>
      </c>
      <c r="I395" t="s">
        <v>18</v>
      </c>
      <c r="J395" s="3">
        <v>45954</v>
      </c>
      <c r="K395" s="4">
        <f>ClientiBanca[[#This Row],[Prestito]]+ClientiBanca[[#This Row],[Mutuo]]</f>
        <v>14800</v>
      </c>
      <c r="L395" t="str">
        <f>IF(ClientiBanca[[#This Row],[Reddito annuo]]&gt;=70000,"si","no")</f>
        <v>no</v>
      </c>
    </row>
    <row r="396" spans="1:12">
      <c r="A396">
        <v>100395</v>
      </c>
      <c r="B396">
        <v>30</v>
      </c>
      <c r="C396" s="2">
        <v>48700</v>
      </c>
      <c r="D396" t="s">
        <v>22</v>
      </c>
      <c r="E396" s="2">
        <v>0</v>
      </c>
      <c r="F396" s="2">
        <v>265000</v>
      </c>
      <c r="G396" t="s">
        <v>19</v>
      </c>
      <c r="H396" t="s">
        <v>14</v>
      </c>
      <c r="I396" t="s">
        <v>18</v>
      </c>
      <c r="J396" s="3">
        <v>45479</v>
      </c>
      <c r="K396" s="4">
        <f>ClientiBanca[[#This Row],[Prestito]]+ClientiBanca[[#This Row],[Mutuo]]</f>
        <v>265000</v>
      </c>
      <c r="L396" t="str">
        <f>IF(ClientiBanca[[#This Row],[Reddito annuo]]&gt;=70000,"si","no")</f>
        <v>no</v>
      </c>
    </row>
    <row r="397" spans="1:12">
      <c r="A397">
        <v>100396</v>
      </c>
      <c r="B397">
        <v>27</v>
      </c>
      <c r="C397" s="2">
        <v>53100</v>
      </c>
      <c r="D397" t="s">
        <v>22</v>
      </c>
      <c r="E397" s="2">
        <v>27600</v>
      </c>
      <c r="F397" s="2">
        <v>0</v>
      </c>
      <c r="G397" t="s">
        <v>16</v>
      </c>
      <c r="H397" t="s">
        <v>17</v>
      </c>
      <c r="I397" t="s">
        <v>18</v>
      </c>
      <c r="J397" s="3">
        <v>45407</v>
      </c>
      <c r="K397" s="4">
        <f>ClientiBanca[[#This Row],[Prestito]]+ClientiBanca[[#This Row],[Mutuo]]</f>
        <v>27600</v>
      </c>
      <c r="L397" t="str">
        <f>IF(ClientiBanca[[#This Row],[Reddito annuo]]&gt;=70000,"si","no")</f>
        <v>no</v>
      </c>
    </row>
    <row r="398" spans="1:12">
      <c r="A398">
        <v>100397</v>
      </c>
      <c r="B398">
        <v>28</v>
      </c>
      <c r="C398" s="2">
        <v>75300</v>
      </c>
      <c r="D398" t="s">
        <v>21</v>
      </c>
      <c r="E398" s="2">
        <v>0</v>
      </c>
      <c r="F398" s="2">
        <v>191000</v>
      </c>
      <c r="G398" t="s">
        <v>28</v>
      </c>
      <c r="H398" t="s">
        <v>17</v>
      </c>
      <c r="I398" t="s">
        <v>18</v>
      </c>
      <c r="J398" s="3">
        <v>45986</v>
      </c>
      <c r="K398" s="4">
        <f>ClientiBanca[[#This Row],[Prestito]]+ClientiBanca[[#This Row],[Mutuo]]</f>
        <v>191000</v>
      </c>
      <c r="L398" t="str">
        <f>IF(ClientiBanca[[#This Row],[Reddito annuo]]&gt;=70000,"si","no")</f>
        <v>si</v>
      </c>
    </row>
    <row r="399" spans="1:12">
      <c r="A399">
        <v>100398</v>
      </c>
      <c r="B399">
        <v>48</v>
      </c>
      <c r="C399" s="2">
        <v>40100</v>
      </c>
      <c r="D399" t="s">
        <v>21</v>
      </c>
      <c r="E399" s="2">
        <v>8400</v>
      </c>
      <c r="F399" s="2">
        <v>0</v>
      </c>
      <c r="G399" t="s">
        <v>24</v>
      </c>
      <c r="H399" t="s">
        <v>17</v>
      </c>
      <c r="I399" t="s">
        <v>18</v>
      </c>
      <c r="J399" s="3">
        <v>46200</v>
      </c>
      <c r="K399" s="4">
        <f>ClientiBanca[[#This Row],[Prestito]]+ClientiBanca[[#This Row],[Mutuo]]</f>
        <v>8400</v>
      </c>
      <c r="L399" t="str">
        <f>IF(ClientiBanca[[#This Row],[Reddito annuo]]&gt;=70000,"si","no")</f>
        <v>no</v>
      </c>
    </row>
    <row r="400" spans="1:12">
      <c r="A400">
        <v>100399</v>
      </c>
      <c r="B400">
        <v>46</v>
      </c>
      <c r="C400" s="2">
        <v>55800</v>
      </c>
      <c r="D400" t="s">
        <v>21</v>
      </c>
      <c r="E400" s="2">
        <v>6200</v>
      </c>
      <c r="F400" s="2">
        <v>0</v>
      </c>
      <c r="G400" t="s">
        <v>23</v>
      </c>
      <c r="H400" t="s">
        <v>25</v>
      </c>
      <c r="I400" t="s">
        <v>18</v>
      </c>
      <c r="J400" s="3">
        <v>45638</v>
      </c>
      <c r="K400" s="4">
        <f>ClientiBanca[[#This Row],[Prestito]]+ClientiBanca[[#This Row],[Mutuo]]</f>
        <v>6200</v>
      </c>
      <c r="L400" t="str">
        <f>IF(ClientiBanca[[#This Row],[Reddito annuo]]&gt;=70000,"si","no")</f>
        <v>no</v>
      </c>
    </row>
    <row r="401" spans="1:12">
      <c r="A401">
        <v>100400</v>
      </c>
      <c r="B401">
        <v>53</v>
      </c>
      <c r="C401" s="2">
        <v>61400</v>
      </c>
      <c r="D401" t="s">
        <v>12</v>
      </c>
      <c r="E401" s="2">
        <v>43700</v>
      </c>
      <c r="F401" s="2">
        <v>177000</v>
      </c>
      <c r="G401" t="s">
        <v>16</v>
      </c>
      <c r="H401" t="s">
        <v>20</v>
      </c>
      <c r="I401" t="s">
        <v>18</v>
      </c>
      <c r="J401" s="3">
        <v>46205</v>
      </c>
      <c r="K401" s="4">
        <f>ClientiBanca[[#This Row],[Prestito]]+ClientiBanca[[#This Row],[Mutuo]]</f>
        <v>220700</v>
      </c>
      <c r="L401" t="str">
        <f>IF(ClientiBanca[[#This Row],[Reddito annuo]]&gt;=70000,"si","no")</f>
        <v>no</v>
      </c>
    </row>
    <row r="402" spans="1:12">
      <c r="A402">
        <v>100401</v>
      </c>
      <c r="B402">
        <v>59</v>
      </c>
      <c r="C402" s="2">
        <v>30100</v>
      </c>
      <c r="D402" t="s">
        <v>12</v>
      </c>
      <c r="E402" s="2">
        <v>37600</v>
      </c>
      <c r="F402" s="2">
        <v>0</v>
      </c>
      <c r="G402" t="s">
        <v>24</v>
      </c>
      <c r="H402" t="s">
        <v>20</v>
      </c>
      <c r="I402" t="s">
        <v>18</v>
      </c>
      <c r="J402" s="3">
        <v>45538</v>
      </c>
      <c r="K402" s="4">
        <f>ClientiBanca[[#This Row],[Prestito]]+ClientiBanca[[#This Row],[Mutuo]]</f>
        <v>37600</v>
      </c>
      <c r="L402" t="str">
        <f>IF(ClientiBanca[[#This Row],[Reddito annuo]]&gt;=70000,"si","no")</f>
        <v>no</v>
      </c>
    </row>
    <row r="403" spans="1:12">
      <c r="A403">
        <v>100402</v>
      </c>
      <c r="B403">
        <v>41</v>
      </c>
      <c r="C403" s="2">
        <v>112800</v>
      </c>
      <c r="D403" t="s">
        <v>21</v>
      </c>
      <c r="E403" s="2">
        <v>42500</v>
      </c>
      <c r="F403" s="2">
        <v>0</v>
      </c>
      <c r="G403" t="s">
        <v>23</v>
      </c>
      <c r="H403" t="s">
        <v>20</v>
      </c>
      <c r="I403" t="s">
        <v>18</v>
      </c>
      <c r="J403" s="3">
        <v>45878</v>
      </c>
      <c r="K403" s="4">
        <f>ClientiBanca[[#This Row],[Prestito]]+ClientiBanca[[#This Row],[Mutuo]]</f>
        <v>42500</v>
      </c>
      <c r="L403" t="str">
        <f>IF(ClientiBanca[[#This Row],[Reddito annuo]]&gt;=70000,"si","no")</f>
        <v>si</v>
      </c>
    </row>
    <row r="404" spans="1:12">
      <c r="A404">
        <v>100403</v>
      </c>
      <c r="B404">
        <v>48</v>
      </c>
      <c r="C404" s="2">
        <v>33400</v>
      </c>
      <c r="D404" t="s">
        <v>21</v>
      </c>
      <c r="E404" s="2">
        <v>41800</v>
      </c>
      <c r="F404" s="2">
        <v>0</v>
      </c>
      <c r="G404" t="s">
        <v>27</v>
      </c>
      <c r="H404" t="s">
        <v>20</v>
      </c>
      <c r="I404" t="s">
        <v>18</v>
      </c>
      <c r="J404" s="3">
        <v>45862</v>
      </c>
      <c r="K404" s="4">
        <f>ClientiBanca[[#This Row],[Prestito]]+ClientiBanca[[#This Row],[Mutuo]]</f>
        <v>41800</v>
      </c>
      <c r="L404" t="str">
        <f>IF(ClientiBanca[[#This Row],[Reddito annuo]]&gt;=70000,"si","no")</f>
        <v>no</v>
      </c>
    </row>
    <row r="405" spans="1:12">
      <c r="A405">
        <v>100404</v>
      </c>
      <c r="B405">
        <v>55</v>
      </c>
      <c r="C405" s="2">
        <v>18700</v>
      </c>
      <c r="D405" t="s">
        <v>21</v>
      </c>
      <c r="E405" s="2">
        <v>23400</v>
      </c>
      <c r="F405" s="2">
        <v>0</v>
      </c>
      <c r="G405" t="s">
        <v>23</v>
      </c>
      <c r="H405" t="s">
        <v>14</v>
      </c>
      <c r="I405" t="s">
        <v>18</v>
      </c>
      <c r="J405" s="3">
        <v>45641</v>
      </c>
      <c r="K405" s="4">
        <f>ClientiBanca[[#This Row],[Prestito]]+ClientiBanca[[#This Row],[Mutuo]]</f>
        <v>23400</v>
      </c>
      <c r="L405" t="str">
        <f>IF(ClientiBanca[[#This Row],[Reddito annuo]]&gt;=70000,"si","no")</f>
        <v>no</v>
      </c>
    </row>
    <row r="406" spans="1:12">
      <c r="A406">
        <v>100405</v>
      </c>
      <c r="B406">
        <v>43</v>
      </c>
      <c r="C406" s="2">
        <v>88500</v>
      </c>
      <c r="D406" t="s">
        <v>12</v>
      </c>
      <c r="E406" s="2">
        <v>0</v>
      </c>
      <c r="F406" s="2">
        <v>0</v>
      </c>
      <c r="G406" t="s">
        <v>28</v>
      </c>
      <c r="H406" t="s">
        <v>17</v>
      </c>
      <c r="I406" t="s">
        <v>18</v>
      </c>
      <c r="J406" s="3">
        <v>45664</v>
      </c>
      <c r="K406" s="4">
        <f>ClientiBanca[[#This Row],[Prestito]]+ClientiBanca[[#This Row],[Mutuo]]</f>
        <v>0</v>
      </c>
      <c r="L406" t="str">
        <f>IF(ClientiBanca[[#This Row],[Reddito annuo]]&gt;=70000,"si","no")</f>
        <v>si</v>
      </c>
    </row>
    <row r="407" spans="1:12">
      <c r="A407">
        <v>100406</v>
      </c>
      <c r="B407">
        <v>65</v>
      </c>
      <c r="C407" s="2">
        <v>56500</v>
      </c>
      <c r="D407" t="s">
        <v>21</v>
      </c>
      <c r="E407" s="2">
        <v>3800</v>
      </c>
      <c r="F407" s="2">
        <v>0</v>
      </c>
      <c r="G407" t="s">
        <v>26</v>
      </c>
      <c r="H407" t="s">
        <v>17</v>
      </c>
      <c r="I407" t="s">
        <v>18</v>
      </c>
      <c r="J407" s="3">
        <v>45400</v>
      </c>
      <c r="K407" s="4">
        <f>ClientiBanca[[#This Row],[Prestito]]+ClientiBanca[[#This Row],[Mutuo]]</f>
        <v>3800</v>
      </c>
      <c r="L407" t="str">
        <f>IF(ClientiBanca[[#This Row],[Reddito annuo]]&gt;=70000,"si","no")</f>
        <v>no</v>
      </c>
    </row>
    <row r="408" spans="1:12">
      <c r="A408">
        <v>100407</v>
      </c>
      <c r="B408">
        <v>22</v>
      </c>
      <c r="C408" s="2">
        <v>98100</v>
      </c>
      <c r="D408" t="s">
        <v>21</v>
      </c>
      <c r="E408" s="2">
        <v>0</v>
      </c>
      <c r="F408" s="2">
        <v>0</v>
      </c>
      <c r="G408" t="s">
        <v>16</v>
      </c>
      <c r="H408" t="s">
        <v>20</v>
      </c>
      <c r="I408" t="s">
        <v>18</v>
      </c>
      <c r="J408" s="3">
        <v>45917</v>
      </c>
      <c r="K408" s="4">
        <f>ClientiBanca[[#This Row],[Prestito]]+ClientiBanca[[#This Row],[Mutuo]]</f>
        <v>0</v>
      </c>
      <c r="L408" t="str">
        <f>IF(ClientiBanca[[#This Row],[Reddito annuo]]&gt;=70000,"si","no")</f>
        <v>si</v>
      </c>
    </row>
    <row r="409" spans="1:12">
      <c r="A409">
        <v>100408</v>
      </c>
      <c r="B409">
        <v>32</v>
      </c>
      <c r="C409" s="2">
        <v>40500</v>
      </c>
      <c r="D409" t="s">
        <v>22</v>
      </c>
      <c r="E409" s="2">
        <v>31300</v>
      </c>
      <c r="F409" s="2">
        <v>0</v>
      </c>
      <c r="G409" t="s">
        <v>19</v>
      </c>
      <c r="H409" t="s">
        <v>20</v>
      </c>
      <c r="I409" t="s">
        <v>18</v>
      </c>
      <c r="J409" s="3">
        <v>46240</v>
      </c>
      <c r="K409" s="4">
        <f>ClientiBanca[[#This Row],[Prestito]]+ClientiBanca[[#This Row],[Mutuo]]</f>
        <v>31300</v>
      </c>
      <c r="L409" t="str">
        <f>IF(ClientiBanca[[#This Row],[Reddito annuo]]&gt;=70000,"si","no")</f>
        <v>no</v>
      </c>
    </row>
    <row r="410" spans="1:12">
      <c r="A410">
        <v>100409</v>
      </c>
      <c r="B410">
        <v>60</v>
      </c>
      <c r="C410" s="2">
        <v>90000</v>
      </c>
      <c r="D410" t="s">
        <v>12</v>
      </c>
      <c r="E410" s="2">
        <v>0</v>
      </c>
      <c r="F410" s="2">
        <v>0</v>
      </c>
      <c r="G410" t="s">
        <v>24</v>
      </c>
      <c r="H410" t="s">
        <v>25</v>
      </c>
      <c r="I410" t="s">
        <v>18</v>
      </c>
      <c r="J410" s="3">
        <v>45296</v>
      </c>
      <c r="K410" s="4">
        <f>ClientiBanca[[#This Row],[Prestito]]+ClientiBanca[[#This Row],[Mutuo]]</f>
        <v>0</v>
      </c>
      <c r="L410" t="str">
        <f>IF(ClientiBanca[[#This Row],[Reddito annuo]]&gt;=70000,"si","no")</f>
        <v>si</v>
      </c>
    </row>
    <row r="411" spans="1:12">
      <c r="A411">
        <v>100410</v>
      </c>
      <c r="B411">
        <v>53</v>
      </c>
      <c r="C411" s="2">
        <v>79000</v>
      </c>
      <c r="D411" t="s">
        <v>12</v>
      </c>
      <c r="E411" s="2">
        <v>38700</v>
      </c>
      <c r="F411" s="2">
        <v>0</v>
      </c>
      <c r="G411" t="s">
        <v>24</v>
      </c>
      <c r="H411" t="s">
        <v>17</v>
      </c>
      <c r="I411" t="s">
        <v>18</v>
      </c>
      <c r="J411" s="3">
        <v>46126</v>
      </c>
      <c r="K411" s="4">
        <f>ClientiBanca[[#This Row],[Prestito]]+ClientiBanca[[#This Row],[Mutuo]]</f>
        <v>38700</v>
      </c>
      <c r="L411" t="str">
        <f>IF(ClientiBanca[[#This Row],[Reddito annuo]]&gt;=70000,"si","no")</f>
        <v>si</v>
      </c>
    </row>
    <row r="412" spans="1:12">
      <c r="A412">
        <v>100411</v>
      </c>
      <c r="B412">
        <v>28</v>
      </c>
      <c r="C412" s="2">
        <v>34700</v>
      </c>
      <c r="D412" t="s">
        <v>12</v>
      </c>
      <c r="E412" s="2">
        <v>24500</v>
      </c>
      <c r="F412" s="2">
        <v>0</v>
      </c>
      <c r="G412" t="s">
        <v>16</v>
      </c>
      <c r="H412" t="s">
        <v>25</v>
      </c>
      <c r="I412" t="s">
        <v>18</v>
      </c>
      <c r="J412" s="3">
        <v>46072</v>
      </c>
      <c r="K412" s="4">
        <f>ClientiBanca[[#This Row],[Prestito]]+ClientiBanca[[#This Row],[Mutuo]]</f>
        <v>24500</v>
      </c>
      <c r="L412" t="str">
        <f>IF(ClientiBanca[[#This Row],[Reddito annuo]]&gt;=70000,"si","no")</f>
        <v>no</v>
      </c>
    </row>
    <row r="413" spans="1:12">
      <c r="A413">
        <v>100412</v>
      </c>
      <c r="B413">
        <v>35</v>
      </c>
      <c r="C413" s="2">
        <v>45400</v>
      </c>
      <c r="D413" t="s">
        <v>22</v>
      </c>
      <c r="E413" s="2">
        <v>0</v>
      </c>
      <c r="F413" s="2">
        <v>0</v>
      </c>
      <c r="G413" t="s">
        <v>24</v>
      </c>
      <c r="H413" t="s">
        <v>20</v>
      </c>
      <c r="I413" t="s">
        <v>18</v>
      </c>
      <c r="J413" s="3">
        <v>45908</v>
      </c>
      <c r="K413" s="4">
        <f>ClientiBanca[[#This Row],[Prestito]]+ClientiBanca[[#This Row],[Mutuo]]</f>
        <v>0</v>
      </c>
      <c r="L413" t="str">
        <f>IF(ClientiBanca[[#This Row],[Reddito annuo]]&gt;=70000,"si","no")</f>
        <v>no</v>
      </c>
    </row>
    <row r="414" spans="1:12">
      <c r="A414">
        <v>100413</v>
      </c>
      <c r="B414">
        <v>64</v>
      </c>
      <c r="C414" s="2">
        <v>96500</v>
      </c>
      <c r="D414" t="s">
        <v>12</v>
      </c>
      <c r="E414" s="2">
        <v>0</v>
      </c>
      <c r="F414" s="2">
        <v>0</v>
      </c>
      <c r="G414" t="s">
        <v>19</v>
      </c>
      <c r="H414" t="s">
        <v>17</v>
      </c>
      <c r="I414" t="s">
        <v>18</v>
      </c>
      <c r="J414" s="3">
        <v>46249</v>
      </c>
      <c r="K414" s="4">
        <f>ClientiBanca[[#This Row],[Prestito]]+ClientiBanca[[#This Row],[Mutuo]]</f>
        <v>0</v>
      </c>
      <c r="L414" t="str">
        <f>IF(ClientiBanca[[#This Row],[Reddito annuo]]&gt;=70000,"si","no")</f>
        <v>si</v>
      </c>
    </row>
    <row r="415" spans="1:12">
      <c r="A415">
        <v>100414</v>
      </c>
      <c r="B415">
        <v>55</v>
      </c>
      <c r="C415" s="2">
        <v>69800</v>
      </c>
      <c r="D415" t="s">
        <v>21</v>
      </c>
      <c r="E415" s="2">
        <v>23000</v>
      </c>
      <c r="F415" s="2">
        <v>0</v>
      </c>
      <c r="G415" t="s">
        <v>24</v>
      </c>
      <c r="H415" t="s">
        <v>25</v>
      </c>
      <c r="I415" t="s">
        <v>18</v>
      </c>
      <c r="J415" s="3">
        <v>45474</v>
      </c>
      <c r="K415" s="4">
        <f>ClientiBanca[[#This Row],[Prestito]]+ClientiBanca[[#This Row],[Mutuo]]</f>
        <v>23000</v>
      </c>
      <c r="L415" t="str">
        <f>IF(ClientiBanca[[#This Row],[Reddito annuo]]&gt;=70000,"si","no")</f>
        <v>no</v>
      </c>
    </row>
    <row r="416" spans="1:12">
      <c r="A416">
        <v>100415</v>
      </c>
      <c r="B416">
        <v>52</v>
      </c>
      <c r="C416" s="2">
        <v>62800</v>
      </c>
      <c r="D416" t="s">
        <v>12</v>
      </c>
      <c r="E416" s="2">
        <v>51100</v>
      </c>
      <c r="F416" s="2">
        <v>0</v>
      </c>
      <c r="G416" t="s">
        <v>16</v>
      </c>
      <c r="H416" t="s">
        <v>17</v>
      </c>
      <c r="I416" t="s">
        <v>18</v>
      </c>
      <c r="J416" s="3">
        <v>45838</v>
      </c>
      <c r="K416" s="4">
        <f>ClientiBanca[[#This Row],[Prestito]]+ClientiBanca[[#This Row],[Mutuo]]</f>
        <v>51100</v>
      </c>
      <c r="L416" t="str">
        <f>IF(ClientiBanca[[#This Row],[Reddito annuo]]&gt;=70000,"si","no")</f>
        <v>no</v>
      </c>
    </row>
    <row r="417" spans="1:12">
      <c r="A417">
        <v>100416</v>
      </c>
      <c r="B417">
        <v>38</v>
      </c>
      <c r="C417" s="2">
        <v>95200</v>
      </c>
      <c r="D417" t="s">
        <v>21</v>
      </c>
      <c r="E417" s="2">
        <v>14200</v>
      </c>
      <c r="F417" s="2">
        <v>0</v>
      </c>
      <c r="G417" t="s">
        <v>27</v>
      </c>
      <c r="H417" t="s">
        <v>17</v>
      </c>
      <c r="I417" t="s">
        <v>18</v>
      </c>
      <c r="J417" s="3">
        <v>46060</v>
      </c>
      <c r="K417" s="4">
        <f>ClientiBanca[[#This Row],[Prestito]]+ClientiBanca[[#This Row],[Mutuo]]</f>
        <v>14200</v>
      </c>
      <c r="L417" t="str">
        <f>IF(ClientiBanca[[#This Row],[Reddito annuo]]&gt;=70000,"si","no")</f>
        <v>si</v>
      </c>
    </row>
    <row r="418" spans="1:12">
      <c r="A418">
        <v>100417</v>
      </c>
      <c r="B418">
        <v>70</v>
      </c>
      <c r="C418" s="2">
        <v>38800</v>
      </c>
      <c r="D418" t="s">
        <v>21</v>
      </c>
      <c r="E418" s="2">
        <v>48500</v>
      </c>
      <c r="F418" s="2">
        <v>0</v>
      </c>
      <c r="G418" t="s">
        <v>26</v>
      </c>
      <c r="H418" t="s">
        <v>17</v>
      </c>
      <c r="I418" t="s">
        <v>18</v>
      </c>
      <c r="J418" s="3">
        <v>45659</v>
      </c>
      <c r="K418" s="4">
        <f>ClientiBanca[[#This Row],[Prestito]]+ClientiBanca[[#This Row],[Mutuo]]</f>
        <v>48500</v>
      </c>
      <c r="L418" t="str">
        <f>IF(ClientiBanca[[#This Row],[Reddito annuo]]&gt;=70000,"si","no")</f>
        <v>no</v>
      </c>
    </row>
    <row r="419" spans="1:12">
      <c r="A419">
        <v>100418</v>
      </c>
      <c r="B419">
        <v>72</v>
      </c>
      <c r="C419" s="2">
        <v>56500</v>
      </c>
      <c r="D419" t="s">
        <v>12</v>
      </c>
      <c r="E419" s="2">
        <v>37300</v>
      </c>
      <c r="F419" s="2">
        <v>0</v>
      </c>
      <c r="G419" t="s">
        <v>16</v>
      </c>
      <c r="H419" t="s">
        <v>20</v>
      </c>
      <c r="I419" t="s">
        <v>18</v>
      </c>
      <c r="J419" s="3">
        <v>46109</v>
      </c>
      <c r="K419" s="4">
        <f>ClientiBanca[[#This Row],[Prestito]]+ClientiBanca[[#This Row],[Mutuo]]</f>
        <v>37300</v>
      </c>
      <c r="L419" t="str">
        <f>IF(ClientiBanca[[#This Row],[Reddito annuo]]&gt;=70000,"si","no")</f>
        <v>no</v>
      </c>
    </row>
    <row r="420" spans="1:12">
      <c r="A420">
        <v>100419</v>
      </c>
      <c r="B420">
        <v>64</v>
      </c>
      <c r="C420" s="2">
        <v>46200</v>
      </c>
      <c r="D420" t="s">
        <v>12</v>
      </c>
      <c r="E420" s="2">
        <v>0</v>
      </c>
      <c r="F420" s="2">
        <v>0</v>
      </c>
      <c r="G420" t="s">
        <v>19</v>
      </c>
      <c r="H420" t="s">
        <v>25</v>
      </c>
      <c r="I420" t="s">
        <v>18</v>
      </c>
      <c r="J420" s="3">
        <v>45347</v>
      </c>
      <c r="K420" s="4">
        <f>ClientiBanca[[#This Row],[Prestito]]+ClientiBanca[[#This Row],[Mutuo]]</f>
        <v>0</v>
      </c>
      <c r="L420" t="str">
        <f>IF(ClientiBanca[[#This Row],[Reddito annuo]]&gt;=70000,"si","no")</f>
        <v>no</v>
      </c>
    </row>
    <row r="421" spans="1:12">
      <c r="A421">
        <v>100420</v>
      </c>
      <c r="B421">
        <v>20</v>
      </c>
      <c r="C421" s="2">
        <v>79700</v>
      </c>
      <c r="D421" t="s">
        <v>21</v>
      </c>
      <c r="E421" s="2">
        <v>0</v>
      </c>
      <c r="F421" s="2">
        <v>0</v>
      </c>
      <c r="G421" t="s">
        <v>28</v>
      </c>
      <c r="H421" t="s">
        <v>14</v>
      </c>
      <c r="I421" t="s">
        <v>18</v>
      </c>
      <c r="J421" s="3">
        <v>46225</v>
      </c>
      <c r="K421" s="4">
        <f>ClientiBanca[[#This Row],[Prestito]]+ClientiBanca[[#This Row],[Mutuo]]</f>
        <v>0</v>
      </c>
      <c r="L421" t="str">
        <f>IF(ClientiBanca[[#This Row],[Reddito annuo]]&gt;=70000,"si","no")</f>
        <v>si</v>
      </c>
    </row>
    <row r="422" spans="1:12">
      <c r="A422">
        <v>100421</v>
      </c>
      <c r="B422">
        <v>60</v>
      </c>
      <c r="C422" s="2">
        <v>76000</v>
      </c>
      <c r="D422" t="s">
        <v>12</v>
      </c>
      <c r="E422" s="2">
        <v>0</v>
      </c>
      <c r="F422" s="2">
        <v>0</v>
      </c>
      <c r="G422" t="s">
        <v>23</v>
      </c>
      <c r="H422" t="s">
        <v>17</v>
      </c>
      <c r="I422" t="s">
        <v>18</v>
      </c>
      <c r="J422" s="3">
        <v>45490</v>
      </c>
      <c r="K422" s="4">
        <f>ClientiBanca[[#This Row],[Prestito]]+ClientiBanca[[#This Row],[Mutuo]]</f>
        <v>0</v>
      </c>
      <c r="L422" t="str">
        <f>IF(ClientiBanca[[#This Row],[Reddito annuo]]&gt;=70000,"si","no")</f>
        <v>si</v>
      </c>
    </row>
    <row r="423" spans="1:12">
      <c r="A423">
        <v>100422</v>
      </c>
      <c r="B423">
        <v>38</v>
      </c>
      <c r="C423" s="2">
        <v>56300</v>
      </c>
      <c r="D423" t="s">
        <v>22</v>
      </c>
      <c r="E423" s="2">
        <v>70400</v>
      </c>
      <c r="F423" s="2">
        <v>0</v>
      </c>
      <c r="G423" t="s">
        <v>13</v>
      </c>
      <c r="H423" t="s">
        <v>17</v>
      </c>
      <c r="I423" t="s">
        <v>18</v>
      </c>
      <c r="J423" s="3">
        <v>45861</v>
      </c>
      <c r="K423" s="4">
        <f>ClientiBanca[[#This Row],[Prestito]]+ClientiBanca[[#This Row],[Mutuo]]</f>
        <v>70400</v>
      </c>
      <c r="L423" t="str">
        <f>IF(ClientiBanca[[#This Row],[Reddito annuo]]&gt;=70000,"si","no")</f>
        <v>no</v>
      </c>
    </row>
    <row r="424" spans="1:12">
      <c r="A424">
        <v>100423</v>
      </c>
      <c r="B424">
        <v>36</v>
      </c>
      <c r="C424" s="2">
        <v>36700</v>
      </c>
      <c r="D424" t="s">
        <v>12</v>
      </c>
      <c r="E424" s="2">
        <v>24900</v>
      </c>
      <c r="F424" s="2">
        <v>0</v>
      </c>
      <c r="G424" t="s">
        <v>24</v>
      </c>
      <c r="H424" t="s">
        <v>20</v>
      </c>
      <c r="I424" t="s">
        <v>18</v>
      </c>
      <c r="J424" s="3">
        <v>45903</v>
      </c>
      <c r="K424" s="4">
        <f>ClientiBanca[[#This Row],[Prestito]]+ClientiBanca[[#This Row],[Mutuo]]</f>
        <v>24900</v>
      </c>
      <c r="L424" t="str">
        <f>IF(ClientiBanca[[#This Row],[Reddito annuo]]&gt;=70000,"si","no")</f>
        <v>no</v>
      </c>
    </row>
    <row r="425" spans="1:12">
      <c r="A425">
        <v>100424</v>
      </c>
      <c r="B425">
        <v>23</v>
      </c>
      <c r="C425" s="2">
        <v>82800</v>
      </c>
      <c r="D425" t="s">
        <v>12</v>
      </c>
      <c r="E425" s="2">
        <v>0</v>
      </c>
      <c r="F425" s="2">
        <v>0</v>
      </c>
      <c r="G425" t="s">
        <v>19</v>
      </c>
      <c r="H425" t="s">
        <v>20</v>
      </c>
      <c r="I425" t="s">
        <v>18</v>
      </c>
      <c r="J425" s="3">
        <v>46016</v>
      </c>
      <c r="K425" s="4">
        <f>ClientiBanca[[#This Row],[Prestito]]+ClientiBanca[[#This Row],[Mutuo]]</f>
        <v>0</v>
      </c>
      <c r="L425" t="str">
        <f>IF(ClientiBanca[[#This Row],[Reddito annuo]]&gt;=70000,"si","no")</f>
        <v>si</v>
      </c>
    </row>
    <row r="426" spans="1:12">
      <c r="A426">
        <v>100425</v>
      </c>
      <c r="B426">
        <v>40</v>
      </c>
      <c r="C426" s="2">
        <v>61600</v>
      </c>
      <c r="D426" t="s">
        <v>22</v>
      </c>
      <c r="E426" s="2">
        <v>53200</v>
      </c>
      <c r="F426" s="2">
        <v>217000</v>
      </c>
      <c r="G426" t="s">
        <v>16</v>
      </c>
      <c r="H426" t="s">
        <v>20</v>
      </c>
      <c r="I426" t="s">
        <v>18</v>
      </c>
      <c r="J426" s="3">
        <v>45510</v>
      </c>
      <c r="K426" s="4">
        <f>ClientiBanca[[#This Row],[Prestito]]+ClientiBanca[[#This Row],[Mutuo]]</f>
        <v>270200</v>
      </c>
      <c r="L426" t="str">
        <f>IF(ClientiBanca[[#This Row],[Reddito annuo]]&gt;=70000,"si","no")</f>
        <v>no</v>
      </c>
    </row>
    <row r="427" spans="1:12">
      <c r="A427">
        <v>100426</v>
      </c>
      <c r="B427">
        <v>62</v>
      </c>
      <c r="C427" s="2">
        <v>48900</v>
      </c>
      <c r="D427" t="s">
        <v>21</v>
      </c>
      <c r="E427" s="2">
        <v>50400</v>
      </c>
      <c r="F427" s="2">
        <v>0</v>
      </c>
      <c r="G427" t="s">
        <v>27</v>
      </c>
      <c r="H427" t="s">
        <v>20</v>
      </c>
      <c r="I427" t="s">
        <v>18</v>
      </c>
      <c r="J427" s="3">
        <v>45538</v>
      </c>
      <c r="K427" s="4">
        <f>ClientiBanca[[#This Row],[Prestito]]+ClientiBanca[[#This Row],[Mutuo]]</f>
        <v>50400</v>
      </c>
      <c r="L427" t="str">
        <f>IF(ClientiBanca[[#This Row],[Reddito annuo]]&gt;=70000,"si","no")</f>
        <v>no</v>
      </c>
    </row>
    <row r="428" spans="1:12">
      <c r="A428">
        <v>100427</v>
      </c>
      <c r="B428">
        <v>61</v>
      </c>
      <c r="C428" s="2">
        <v>68300</v>
      </c>
      <c r="D428" t="s">
        <v>12</v>
      </c>
      <c r="E428" s="2">
        <v>0</v>
      </c>
      <c r="F428" s="2">
        <v>0</v>
      </c>
      <c r="G428" t="s">
        <v>19</v>
      </c>
      <c r="H428" t="s">
        <v>17</v>
      </c>
      <c r="I428" t="s">
        <v>18</v>
      </c>
      <c r="J428" s="3">
        <v>46107</v>
      </c>
      <c r="K428" s="4">
        <f>ClientiBanca[[#This Row],[Prestito]]+ClientiBanca[[#This Row],[Mutuo]]</f>
        <v>0</v>
      </c>
      <c r="L428" t="str">
        <f>IF(ClientiBanca[[#This Row],[Reddito annuo]]&gt;=70000,"si","no")</f>
        <v>no</v>
      </c>
    </row>
    <row r="429" spans="1:12">
      <c r="A429">
        <v>100428</v>
      </c>
      <c r="B429">
        <v>27</v>
      </c>
      <c r="C429" s="2">
        <v>52200</v>
      </c>
      <c r="D429" t="s">
        <v>12</v>
      </c>
      <c r="E429" s="2">
        <v>65200</v>
      </c>
      <c r="F429" s="2">
        <v>0</v>
      </c>
      <c r="G429" t="s">
        <v>19</v>
      </c>
      <c r="H429" t="s">
        <v>17</v>
      </c>
      <c r="I429" t="s">
        <v>18</v>
      </c>
      <c r="J429" s="3">
        <v>45790</v>
      </c>
      <c r="K429" s="4">
        <f>ClientiBanca[[#This Row],[Prestito]]+ClientiBanca[[#This Row],[Mutuo]]</f>
        <v>65200</v>
      </c>
      <c r="L429" t="str">
        <f>IF(ClientiBanca[[#This Row],[Reddito annuo]]&gt;=70000,"si","no")</f>
        <v>no</v>
      </c>
    </row>
    <row r="430" spans="1:12">
      <c r="A430">
        <v>100429</v>
      </c>
      <c r="B430">
        <v>22</v>
      </c>
      <c r="C430" s="2">
        <v>46700</v>
      </c>
      <c r="D430" t="s">
        <v>12</v>
      </c>
      <c r="E430" s="2">
        <v>12800</v>
      </c>
      <c r="F430" s="2">
        <v>369000</v>
      </c>
      <c r="G430" t="s">
        <v>27</v>
      </c>
      <c r="H430" t="s">
        <v>17</v>
      </c>
      <c r="I430" t="s">
        <v>18</v>
      </c>
      <c r="J430" s="3">
        <v>45936</v>
      </c>
      <c r="K430" s="4">
        <f>ClientiBanca[[#This Row],[Prestito]]+ClientiBanca[[#This Row],[Mutuo]]</f>
        <v>381800</v>
      </c>
      <c r="L430" t="str">
        <f>IF(ClientiBanca[[#This Row],[Reddito annuo]]&gt;=70000,"si","no")</f>
        <v>no</v>
      </c>
    </row>
    <row r="431" spans="1:12">
      <c r="A431">
        <v>100430</v>
      </c>
      <c r="B431">
        <v>69</v>
      </c>
      <c r="C431" s="2">
        <v>41900</v>
      </c>
      <c r="D431" t="s">
        <v>12</v>
      </c>
      <c r="E431" s="2">
        <v>0</v>
      </c>
      <c r="F431" s="2">
        <v>0</v>
      </c>
      <c r="G431" t="s">
        <v>16</v>
      </c>
      <c r="H431" t="s">
        <v>14</v>
      </c>
      <c r="I431" t="s">
        <v>18</v>
      </c>
      <c r="J431" s="3">
        <v>46254</v>
      </c>
      <c r="K431" s="4">
        <f>ClientiBanca[[#This Row],[Prestito]]+ClientiBanca[[#This Row],[Mutuo]]</f>
        <v>0</v>
      </c>
      <c r="L431" t="str">
        <f>IF(ClientiBanca[[#This Row],[Reddito annuo]]&gt;=70000,"si","no")</f>
        <v>no</v>
      </c>
    </row>
    <row r="432" spans="1:12">
      <c r="A432">
        <v>100431</v>
      </c>
      <c r="B432">
        <v>24</v>
      </c>
      <c r="C432" s="2">
        <v>80100</v>
      </c>
      <c r="D432" t="s">
        <v>21</v>
      </c>
      <c r="E432" s="2">
        <v>24900</v>
      </c>
      <c r="F432" s="2">
        <v>106000</v>
      </c>
      <c r="G432" t="s">
        <v>26</v>
      </c>
      <c r="H432" t="s">
        <v>17</v>
      </c>
      <c r="I432" t="s">
        <v>18</v>
      </c>
      <c r="J432" s="3">
        <v>45525</v>
      </c>
      <c r="K432" s="4">
        <f>ClientiBanca[[#This Row],[Prestito]]+ClientiBanca[[#This Row],[Mutuo]]</f>
        <v>130900</v>
      </c>
      <c r="L432" t="str">
        <f>IF(ClientiBanca[[#This Row],[Reddito annuo]]&gt;=70000,"si","no")</f>
        <v>si</v>
      </c>
    </row>
    <row r="433" spans="1:12">
      <c r="A433">
        <v>100432</v>
      </c>
      <c r="B433">
        <v>36</v>
      </c>
      <c r="C433" s="2">
        <v>53600</v>
      </c>
      <c r="D433" t="s">
        <v>21</v>
      </c>
      <c r="E433" s="2">
        <v>24200</v>
      </c>
      <c r="F433" s="2">
        <v>0</v>
      </c>
      <c r="G433" t="s">
        <v>13</v>
      </c>
      <c r="H433" t="s">
        <v>17</v>
      </c>
      <c r="I433" t="s">
        <v>18</v>
      </c>
      <c r="J433" s="3">
        <v>45925</v>
      </c>
      <c r="K433" s="4">
        <f>ClientiBanca[[#This Row],[Prestito]]+ClientiBanca[[#This Row],[Mutuo]]</f>
        <v>24200</v>
      </c>
      <c r="L433" t="str">
        <f>IF(ClientiBanca[[#This Row],[Reddito annuo]]&gt;=70000,"si","no")</f>
        <v>no</v>
      </c>
    </row>
    <row r="434" spans="1:12">
      <c r="A434">
        <v>100433</v>
      </c>
      <c r="B434">
        <v>24</v>
      </c>
      <c r="C434" s="2">
        <v>81000</v>
      </c>
      <c r="D434" t="s">
        <v>12</v>
      </c>
      <c r="E434" s="2">
        <v>12100</v>
      </c>
      <c r="F434" s="2">
        <v>0</v>
      </c>
      <c r="G434" t="s">
        <v>13</v>
      </c>
      <c r="H434" t="s">
        <v>20</v>
      </c>
      <c r="I434" t="s">
        <v>18</v>
      </c>
      <c r="J434" s="3">
        <v>45913</v>
      </c>
      <c r="K434" s="4">
        <f>ClientiBanca[[#This Row],[Prestito]]+ClientiBanca[[#This Row],[Mutuo]]</f>
        <v>12100</v>
      </c>
      <c r="L434" t="str">
        <f>IF(ClientiBanca[[#This Row],[Reddito annuo]]&gt;=70000,"si","no")</f>
        <v>si</v>
      </c>
    </row>
    <row r="435" spans="1:12">
      <c r="A435">
        <v>100434</v>
      </c>
      <c r="B435">
        <v>25</v>
      </c>
      <c r="C435" s="2">
        <v>45800</v>
      </c>
      <c r="D435" t="s">
        <v>22</v>
      </c>
      <c r="E435" s="2">
        <v>56400</v>
      </c>
      <c r="F435" s="2">
        <v>139000</v>
      </c>
      <c r="G435" t="s">
        <v>23</v>
      </c>
      <c r="H435" t="s">
        <v>20</v>
      </c>
      <c r="I435" t="s">
        <v>18</v>
      </c>
      <c r="J435" s="3">
        <v>46108</v>
      </c>
      <c r="K435" s="4">
        <f>ClientiBanca[[#This Row],[Prestito]]+ClientiBanca[[#This Row],[Mutuo]]</f>
        <v>195400</v>
      </c>
      <c r="L435" t="str">
        <f>IF(ClientiBanca[[#This Row],[Reddito annuo]]&gt;=70000,"si","no")</f>
        <v>no</v>
      </c>
    </row>
    <row r="436" spans="1:12">
      <c r="A436">
        <v>100435</v>
      </c>
      <c r="B436">
        <v>74</v>
      </c>
      <c r="C436" s="2">
        <v>63100</v>
      </c>
      <c r="D436" t="s">
        <v>22</v>
      </c>
      <c r="E436" s="2">
        <v>44800</v>
      </c>
      <c r="F436" s="2">
        <v>0</v>
      </c>
      <c r="G436" t="s">
        <v>19</v>
      </c>
      <c r="H436" t="s">
        <v>25</v>
      </c>
      <c r="I436" t="s">
        <v>15</v>
      </c>
      <c r="J436" s="3">
        <v>46187</v>
      </c>
      <c r="K436" s="4">
        <f>ClientiBanca[[#This Row],[Prestito]]+ClientiBanca[[#This Row],[Mutuo]]</f>
        <v>44800</v>
      </c>
      <c r="L436" t="str">
        <f>IF(ClientiBanca[[#This Row],[Reddito annuo]]&gt;=70000,"si","no")</f>
        <v>no</v>
      </c>
    </row>
    <row r="437" spans="1:12">
      <c r="A437">
        <v>100436</v>
      </c>
      <c r="B437">
        <v>55</v>
      </c>
      <c r="C437" s="2">
        <v>37500</v>
      </c>
      <c r="D437" t="s">
        <v>21</v>
      </c>
      <c r="E437" s="2">
        <v>28000</v>
      </c>
      <c r="F437" s="2">
        <v>0</v>
      </c>
      <c r="G437" t="s">
        <v>13</v>
      </c>
      <c r="H437" t="s">
        <v>17</v>
      </c>
      <c r="I437" t="s">
        <v>18</v>
      </c>
      <c r="J437" s="3">
        <v>46217</v>
      </c>
      <c r="K437" s="4">
        <f>ClientiBanca[[#This Row],[Prestito]]+ClientiBanca[[#This Row],[Mutuo]]</f>
        <v>28000</v>
      </c>
      <c r="L437" t="str">
        <f>IF(ClientiBanca[[#This Row],[Reddito annuo]]&gt;=70000,"si","no")</f>
        <v>no</v>
      </c>
    </row>
    <row r="438" spans="1:12">
      <c r="A438">
        <v>100437</v>
      </c>
      <c r="B438">
        <v>66</v>
      </c>
      <c r="C438" s="2">
        <v>49600</v>
      </c>
      <c r="D438" t="s">
        <v>21</v>
      </c>
      <c r="E438" s="2">
        <v>34400</v>
      </c>
      <c r="F438" s="2">
        <v>154000</v>
      </c>
      <c r="G438" t="s">
        <v>26</v>
      </c>
      <c r="H438" t="s">
        <v>20</v>
      </c>
      <c r="I438" t="s">
        <v>18</v>
      </c>
      <c r="J438" s="3">
        <v>46110</v>
      </c>
      <c r="K438" s="4">
        <f>ClientiBanca[[#This Row],[Prestito]]+ClientiBanca[[#This Row],[Mutuo]]</f>
        <v>188400</v>
      </c>
      <c r="L438" t="str">
        <f>IF(ClientiBanca[[#This Row],[Reddito annuo]]&gt;=70000,"si","no")</f>
        <v>no</v>
      </c>
    </row>
    <row r="439" spans="1:12">
      <c r="A439">
        <v>100438</v>
      </c>
      <c r="B439">
        <v>56</v>
      </c>
      <c r="C439" s="2">
        <v>91800</v>
      </c>
      <c r="D439" t="s">
        <v>22</v>
      </c>
      <c r="E439" s="2">
        <v>0</v>
      </c>
      <c r="F439" s="2">
        <v>0</v>
      </c>
      <c r="G439" t="s">
        <v>28</v>
      </c>
      <c r="H439" t="s">
        <v>17</v>
      </c>
      <c r="I439" t="s">
        <v>18</v>
      </c>
      <c r="J439" s="3">
        <v>45366</v>
      </c>
      <c r="K439" s="4">
        <f>ClientiBanca[[#This Row],[Prestito]]+ClientiBanca[[#This Row],[Mutuo]]</f>
        <v>0</v>
      </c>
      <c r="L439" t="str">
        <f>IF(ClientiBanca[[#This Row],[Reddito annuo]]&gt;=70000,"si","no")</f>
        <v>si</v>
      </c>
    </row>
    <row r="440" spans="1:12">
      <c r="A440">
        <v>100439</v>
      </c>
      <c r="B440">
        <v>38</v>
      </c>
      <c r="C440" s="2">
        <v>73100</v>
      </c>
      <c r="D440" t="s">
        <v>21</v>
      </c>
      <c r="E440" s="2">
        <v>38500</v>
      </c>
      <c r="F440" s="2">
        <v>0</v>
      </c>
      <c r="G440" t="s">
        <v>19</v>
      </c>
      <c r="H440" t="s">
        <v>20</v>
      </c>
      <c r="I440" t="s">
        <v>18</v>
      </c>
      <c r="J440" s="3">
        <v>45394</v>
      </c>
      <c r="K440" s="4">
        <f>ClientiBanca[[#This Row],[Prestito]]+ClientiBanca[[#This Row],[Mutuo]]</f>
        <v>38500</v>
      </c>
      <c r="L440" t="str">
        <f>IF(ClientiBanca[[#This Row],[Reddito annuo]]&gt;=70000,"si","no")</f>
        <v>si</v>
      </c>
    </row>
    <row r="441" spans="1:12">
      <c r="A441">
        <v>100440</v>
      </c>
      <c r="B441">
        <v>38</v>
      </c>
      <c r="C441" s="2">
        <v>68800</v>
      </c>
      <c r="D441" t="s">
        <v>22</v>
      </c>
      <c r="E441" s="2">
        <v>31000</v>
      </c>
      <c r="F441" s="2">
        <v>0</v>
      </c>
      <c r="G441" t="s">
        <v>26</v>
      </c>
      <c r="H441" t="s">
        <v>17</v>
      </c>
      <c r="I441" t="s">
        <v>18</v>
      </c>
      <c r="J441" s="3">
        <v>45872</v>
      </c>
      <c r="K441" s="4">
        <f>ClientiBanca[[#This Row],[Prestito]]+ClientiBanca[[#This Row],[Mutuo]]</f>
        <v>31000</v>
      </c>
      <c r="L441" t="str">
        <f>IF(ClientiBanca[[#This Row],[Reddito annuo]]&gt;=70000,"si","no")</f>
        <v>no</v>
      </c>
    </row>
    <row r="442" spans="1:12">
      <c r="A442">
        <v>100441</v>
      </c>
      <c r="B442">
        <v>43</v>
      </c>
      <c r="C442" s="2">
        <v>86500</v>
      </c>
      <c r="D442" t="s">
        <v>22</v>
      </c>
      <c r="E442" s="2">
        <v>24000</v>
      </c>
      <c r="F442" s="2">
        <v>0</v>
      </c>
      <c r="G442" t="s">
        <v>16</v>
      </c>
      <c r="H442" t="s">
        <v>20</v>
      </c>
      <c r="I442" t="s">
        <v>18</v>
      </c>
      <c r="J442" s="3">
        <v>45987</v>
      </c>
      <c r="K442" s="4">
        <f>ClientiBanca[[#This Row],[Prestito]]+ClientiBanca[[#This Row],[Mutuo]]</f>
        <v>24000</v>
      </c>
      <c r="L442" t="str">
        <f>IF(ClientiBanca[[#This Row],[Reddito annuo]]&gt;=70000,"si","no")</f>
        <v>si</v>
      </c>
    </row>
    <row r="443" spans="1:12">
      <c r="A443">
        <v>100442</v>
      </c>
      <c r="B443">
        <v>66</v>
      </c>
      <c r="C443" s="2">
        <v>48800</v>
      </c>
      <c r="D443" t="s">
        <v>21</v>
      </c>
      <c r="E443" s="2">
        <v>52200</v>
      </c>
      <c r="F443" s="2">
        <v>0</v>
      </c>
      <c r="G443" t="s">
        <v>13</v>
      </c>
      <c r="H443" t="s">
        <v>20</v>
      </c>
      <c r="I443" t="s">
        <v>18</v>
      </c>
      <c r="J443" s="3">
        <v>46153</v>
      </c>
      <c r="K443" s="4">
        <f>ClientiBanca[[#This Row],[Prestito]]+ClientiBanca[[#This Row],[Mutuo]]</f>
        <v>52200</v>
      </c>
      <c r="L443" t="str">
        <f>IF(ClientiBanca[[#This Row],[Reddito annuo]]&gt;=70000,"si","no")</f>
        <v>no</v>
      </c>
    </row>
    <row r="444" spans="1:12">
      <c r="A444">
        <v>100443</v>
      </c>
      <c r="B444">
        <v>37</v>
      </c>
      <c r="C444" s="2">
        <v>92700</v>
      </c>
      <c r="D444" t="s">
        <v>21</v>
      </c>
      <c r="E444" s="2">
        <v>21700</v>
      </c>
      <c r="F444" s="2">
        <v>0</v>
      </c>
      <c r="G444" t="s">
        <v>13</v>
      </c>
      <c r="H444" t="s">
        <v>17</v>
      </c>
      <c r="I444" t="s">
        <v>18</v>
      </c>
      <c r="J444" s="3">
        <v>46161</v>
      </c>
      <c r="K444" s="4">
        <f>ClientiBanca[[#This Row],[Prestito]]+ClientiBanca[[#This Row],[Mutuo]]</f>
        <v>21700</v>
      </c>
      <c r="L444" t="str">
        <f>IF(ClientiBanca[[#This Row],[Reddito annuo]]&gt;=70000,"si","no")</f>
        <v>si</v>
      </c>
    </row>
    <row r="445" spans="1:12">
      <c r="A445">
        <v>100444</v>
      </c>
      <c r="B445">
        <v>52</v>
      </c>
      <c r="C445" s="2">
        <v>69700</v>
      </c>
      <c r="D445" t="s">
        <v>12</v>
      </c>
      <c r="E445" s="2">
        <v>51800</v>
      </c>
      <c r="F445" s="2">
        <v>98000</v>
      </c>
      <c r="G445" t="s">
        <v>26</v>
      </c>
      <c r="H445" t="s">
        <v>17</v>
      </c>
      <c r="I445" t="s">
        <v>18</v>
      </c>
      <c r="J445" s="3">
        <v>45775</v>
      </c>
      <c r="K445" s="4">
        <f>ClientiBanca[[#This Row],[Prestito]]+ClientiBanca[[#This Row],[Mutuo]]</f>
        <v>149800</v>
      </c>
      <c r="L445" t="str">
        <f>IF(ClientiBanca[[#This Row],[Reddito annuo]]&gt;=70000,"si","no")</f>
        <v>no</v>
      </c>
    </row>
    <row r="446" spans="1:12">
      <c r="A446">
        <v>100445</v>
      </c>
      <c r="B446">
        <v>61</v>
      </c>
      <c r="C446" s="2">
        <v>82900</v>
      </c>
      <c r="D446" t="s">
        <v>21</v>
      </c>
      <c r="E446" s="2">
        <v>52000</v>
      </c>
      <c r="F446" s="2">
        <v>0</v>
      </c>
      <c r="G446" t="s">
        <v>26</v>
      </c>
      <c r="H446" t="s">
        <v>20</v>
      </c>
      <c r="I446" t="s">
        <v>18</v>
      </c>
      <c r="J446" s="3">
        <v>45384</v>
      </c>
      <c r="K446" s="4">
        <f>ClientiBanca[[#This Row],[Prestito]]+ClientiBanca[[#This Row],[Mutuo]]</f>
        <v>52000</v>
      </c>
      <c r="L446" t="str">
        <f>IF(ClientiBanca[[#This Row],[Reddito annuo]]&gt;=70000,"si","no")</f>
        <v>si</v>
      </c>
    </row>
    <row r="447" spans="1:12">
      <c r="A447">
        <v>100446</v>
      </c>
      <c r="B447">
        <v>45</v>
      </c>
      <c r="C447" s="2">
        <v>50800</v>
      </c>
      <c r="D447" t="s">
        <v>21</v>
      </c>
      <c r="E447" s="2">
        <v>63500</v>
      </c>
      <c r="F447" s="2">
        <v>0</v>
      </c>
      <c r="G447" t="s">
        <v>24</v>
      </c>
      <c r="H447" t="s">
        <v>14</v>
      </c>
      <c r="I447" t="s">
        <v>18</v>
      </c>
      <c r="J447" s="3">
        <v>45455</v>
      </c>
      <c r="K447" s="4">
        <f>ClientiBanca[[#This Row],[Prestito]]+ClientiBanca[[#This Row],[Mutuo]]</f>
        <v>63500</v>
      </c>
      <c r="L447" t="str">
        <f>IF(ClientiBanca[[#This Row],[Reddito annuo]]&gt;=70000,"si","no")</f>
        <v>no</v>
      </c>
    </row>
    <row r="448" spans="1:12">
      <c r="A448">
        <v>100447</v>
      </c>
      <c r="B448">
        <v>31</v>
      </c>
      <c r="C448" s="2">
        <v>64600</v>
      </c>
      <c r="D448" t="s">
        <v>12</v>
      </c>
      <c r="E448" s="2">
        <v>0</v>
      </c>
      <c r="F448" s="2">
        <v>265000</v>
      </c>
      <c r="G448" t="s">
        <v>19</v>
      </c>
      <c r="H448" t="s">
        <v>20</v>
      </c>
      <c r="I448" t="s">
        <v>18</v>
      </c>
      <c r="J448" s="3">
        <v>46071</v>
      </c>
      <c r="K448" s="4">
        <f>ClientiBanca[[#This Row],[Prestito]]+ClientiBanca[[#This Row],[Mutuo]]</f>
        <v>265000</v>
      </c>
      <c r="L448" t="str">
        <f>IF(ClientiBanca[[#This Row],[Reddito annuo]]&gt;=70000,"si","no")</f>
        <v>no</v>
      </c>
    </row>
    <row r="449" spans="1:12">
      <c r="A449">
        <v>100448</v>
      </c>
      <c r="B449">
        <v>51</v>
      </c>
      <c r="C449" s="2">
        <v>43000</v>
      </c>
      <c r="D449" t="s">
        <v>21</v>
      </c>
      <c r="E449" s="2">
        <v>44200</v>
      </c>
      <c r="F449" s="2">
        <v>0</v>
      </c>
      <c r="G449" t="s">
        <v>19</v>
      </c>
      <c r="H449" t="s">
        <v>17</v>
      </c>
      <c r="I449" t="s">
        <v>18</v>
      </c>
      <c r="J449" s="3">
        <v>46194</v>
      </c>
      <c r="K449" s="4">
        <f>ClientiBanca[[#This Row],[Prestito]]+ClientiBanca[[#This Row],[Mutuo]]</f>
        <v>44200</v>
      </c>
      <c r="L449" t="str">
        <f>IF(ClientiBanca[[#This Row],[Reddito annuo]]&gt;=70000,"si","no")</f>
        <v>no</v>
      </c>
    </row>
    <row r="450" spans="1:12">
      <c r="A450">
        <v>100449</v>
      </c>
      <c r="B450">
        <v>22</v>
      </c>
      <c r="C450" s="2">
        <v>28400</v>
      </c>
      <c r="D450" t="s">
        <v>12</v>
      </c>
      <c r="E450" s="2">
        <v>35500</v>
      </c>
      <c r="F450" s="2">
        <v>0</v>
      </c>
      <c r="G450" t="s">
        <v>26</v>
      </c>
      <c r="H450" t="s">
        <v>14</v>
      </c>
      <c r="I450" t="s">
        <v>18</v>
      </c>
      <c r="J450" s="3">
        <v>45849</v>
      </c>
      <c r="K450" s="4">
        <f>ClientiBanca[[#This Row],[Prestito]]+ClientiBanca[[#This Row],[Mutuo]]</f>
        <v>35500</v>
      </c>
      <c r="L450" t="str">
        <f>IF(ClientiBanca[[#This Row],[Reddito annuo]]&gt;=70000,"si","no")</f>
        <v>no</v>
      </c>
    </row>
    <row r="451" spans="1:12">
      <c r="A451">
        <v>100450</v>
      </c>
      <c r="B451">
        <v>56</v>
      </c>
      <c r="C451" s="2">
        <v>39600</v>
      </c>
      <c r="D451" t="s">
        <v>12</v>
      </c>
      <c r="E451" s="2">
        <v>43100</v>
      </c>
      <c r="F451" s="2">
        <v>0</v>
      </c>
      <c r="G451" t="s">
        <v>26</v>
      </c>
      <c r="H451" t="s">
        <v>17</v>
      </c>
      <c r="I451" t="s">
        <v>18</v>
      </c>
      <c r="J451" s="3">
        <v>45820</v>
      </c>
      <c r="K451" s="4">
        <f>ClientiBanca[[#This Row],[Prestito]]+ClientiBanca[[#This Row],[Mutuo]]</f>
        <v>43100</v>
      </c>
      <c r="L451" t="str">
        <f>IF(ClientiBanca[[#This Row],[Reddito annuo]]&gt;=70000,"si","no")</f>
        <v>no</v>
      </c>
    </row>
    <row r="452" spans="1:12">
      <c r="A452">
        <v>100451</v>
      </c>
      <c r="B452">
        <v>45</v>
      </c>
      <c r="C452" s="2">
        <v>50100</v>
      </c>
      <c r="D452" t="s">
        <v>22</v>
      </c>
      <c r="E452" s="2">
        <v>32700</v>
      </c>
      <c r="F452" s="2">
        <v>0</v>
      </c>
      <c r="G452" t="s">
        <v>24</v>
      </c>
      <c r="H452" t="s">
        <v>17</v>
      </c>
      <c r="I452" t="s">
        <v>18</v>
      </c>
      <c r="J452" s="3">
        <v>45818</v>
      </c>
      <c r="K452" s="4">
        <f>ClientiBanca[[#This Row],[Prestito]]+ClientiBanca[[#This Row],[Mutuo]]</f>
        <v>32700</v>
      </c>
      <c r="L452" t="str">
        <f>IF(ClientiBanca[[#This Row],[Reddito annuo]]&gt;=70000,"si","no")</f>
        <v>no</v>
      </c>
    </row>
    <row r="453" spans="1:12">
      <c r="A453">
        <v>100452</v>
      </c>
      <c r="B453">
        <v>61</v>
      </c>
      <c r="C453" s="2">
        <v>45800</v>
      </c>
      <c r="D453" t="s">
        <v>21</v>
      </c>
      <c r="E453" s="2">
        <v>39800</v>
      </c>
      <c r="F453" s="2">
        <v>0</v>
      </c>
      <c r="G453" t="s">
        <v>23</v>
      </c>
      <c r="H453" t="s">
        <v>17</v>
      </c>
      <c r="I453" t="s">
        <v>18</v>
      </c>
      <c r="J453" s="3">
        <v>45408</v>
      </c>
      <c r="K453" s="4">
        <f>ClientiBanca[[#This Row],[Prestito]]+ClientiBanca[[#This Row],[Mutuo]]</f>
        <v>39800</v>
      </c>
      <c r="L453" t="str">
        <f>IF(ClientiBanca[[#This Row],[Reddito annuo]]&gt;=70000,"si","no")</f>
        <v>no</v>
      </c>
    </row>
    <row r="454" spans="1:12">
      <c r="A454">
        <v>100453</v>
      </c>
      <c r="B454">
        <v>50</v>
      </c>
      <c r="C454" s="2">
        <v>73400</v>
      </c>
      <c r="D454" t="s">
        <v>21</v>
      </c>
      <c r="E454" s="2">
        <v>42700</v>
      </c>
      <c r="F454" s="2">
        <v>0</v>
      </c>
      <c r="G454" t="s">
        <v>23</v>
      </c>
      <c r="H454" t="s">
        <v>20</v>
      </c>
      <c r="I454" t="s">
        <v>18</v>
      </c>
      <c r="J454" s="3">
        <v>45456</v>
      </c>
      <c r="K454" s="4">
        <f>ClientiBanca[[#This Row],[Prestito]]+ClientiBanca[[#This Row],[Mutuo]]</f>
        <v>42700</v>
      </c>
      <c r="L454" t="str">
        <f>IF(ClientiBanca[[#This Row],[Reddito annuo]]&gt;=70000,"si","no")</f>
        <v>si</v>
      </c>
    </row>
    <row r="455" spans="1:12">
      <c r="A455">
        <v>100454</v>
      </c>
      <c r="B455">
        <v>28</v>
      </c>
      <c r="C455" s="2">
        <v>69600</v>
      </c>
      <c r="D455" t="s">
        <v>21</v>
      </c>
      <c r="E455" s="2">
        <v>10900</v>
      </c>
      <c r="F455" s="2">
        <v>144000</v>
      </c>
      <c r="G455" t="s">
        <v>16</v>
      </c>
      <c r="H455" t="s">
        <v>17</v>
      </c>
      <c r="I455" t="s">
        <v>18</v>
      </c>
      <c r="J455" s="3">
        <v>45311</v>
      </c>
      <c r="K455" s="4">
        <f>ClientiBanca[[#This Row],[Prestito]]+ClientiBanca[[#This Row],[Mutuo]]</f>
        <v>154900</v>
      </c>
      <c r="L455" t="str">
        <f>IF(ClientiBanca[[#This Row],[Reddito annuo]]&gt;=70000,"si","no")</f>
        <v>no</v>
      </c>
    </row>
    <row r="456" spans="1:12">
      <c r="A456">
        <v>100455</v>
      </c>
      <c r="B456">
        <v>66</v>
      </c>
      <c r="C456" s="2">
        <v>78200</v>
      </c>
      <c r="D456" t="s">
        <v>22</v>
      </c>
      <c r="E456" s="2">
        <v>0</v>
      </c>
      <c r="F456" s="2">
        <v>232000</v>
      </c>
      <c r="G456" t="s">
        <v>28</v>
      </c>
      <c r="H456" t="s">
        <v>14</v>
      </c>
      <c r="I456" t="s">
        <v>18</v>
      </c>
      <c r="J456" s="3">
        <v>45466</v>
      </c>
      <c r="K456" s="4">
        <f>ClientiBanca[[#This Row],[Prestito]]+ClientiBanca[[#This Row],[Mutuo]]</f>
        <v>232000</v>
      </c>
      <c r="L456" t="str">
        <f>IF(ClientiBanca[[#This Row],[Reddito annuo]]&gt;=70000,"si","no")</f>
        <v>si</v>
      </c>
    </row>
    <row r="457" spans="1:12">
      <c r="A457">
        <v>100456</v>
      </c>
      <c r="B457">
        <v>34</v>
      </c>
      <c r="C457" s="2">
        <v>89100</v>
      </c>
      <c r="D457" t="s">
        <v>12</v>
      </c>
      <c r="E457" s="2">
        <v>0</v>
      </c>
      <c r="F457" s="2">
        <v>0</v>
      </c>
      <c r="G457" t="s">
        <v>24</v>
      </c>
      <c r="H457" t="s">
        <v>17</v>
      </c>
      <c r="I457" t="s">
        <v>18</v>
      </c>
      <c r="J457" s="3">
        <v>45815</v>
      </c>
      <c r="K457" s="4">
        <f>ClientiBanca[[#This Row],[Prestito]]+ClientiBanca[[#This Row],[Mutuo]]</f>
        <v>0</v>
      </c>
      <c r="L457" t="str">
        <f>IF(ClientiBanca[[#This Row],[Reddito annuo]]&gt;=70000,"si","no")</f>
        <v>si</v>
      </c>
    </row>
    <row r="458" spans="1:12">
      <c r="A458">
        <v>100457</v>
      </c>
      <c r="B458">
        <v>36</v>
      </c>
      <c r="C458" s="2">
        <v>39200</v>
      </c>
      <c r="D458" t="s">
        <v>12</v>
      </c>
      <c r="E458" s="2">
        <v>0</v>
      </c>
      <c r="F458" s="2">
        <v>0</v>
      </c>
      <c r="G458" t="s">
        <v>13</v>
      </c>
      <c r="H458" t="s">
        <v>17</v>
      </c>
      <c r="I458" t="s">
        <v>18</v>
      </c>
      <c r="J458" s="3">
        <v>45686</v>
      </c>
      <c r="K458" s="4">
        <f>ClientiBanca[[#This Row],[Prestito]]+ClientiBanca[[#This Row],[Mutuo]]</f>
        <v>0</v>
      </c>
      <c r="L458" t="str">
        <f>IF(ClientiBanca[[#This Row],[Reddito annuo]]&gt;=70000,"si","no")</f>
        <v>no</v>
      </c>
    </row>
    <row r="459" spans="1:12">
      <c r="A459">
        <v>100458</v>
      </c>
      <c r="B459">
        <v>28</v>
      </c>
      <c r="C459" s="2">
        <v>35100</v>
      </c>
      <c r="D459" t="s">
        <v>21</v>
      </c>
      <c r="E459" s="2">
        <v>0</v>
      </c>
      <c r="F459" s="2">
        <v>0</v>
      </c>
      <c r="G459" t="s">
        <v>16</v>
      </c>
      <c r="H459" t="s">
        <v>14</v>
      </c>
      <c r="I459" t="s">
        <v>18</v>
      </c>
      <c r="J459" s="3">
        <v>45912</v>
      </c>
      <c r="K459" s="4">
        <f>ClientiBanca[[#This Row],[Prestito]]+ClientiBanca[[#This Row],[Mutuo]]</f>
        <v>0</v>
      </c>
      <c r="L459" t="str">
        <f>IF(ClientiBanca[[#This Row],[Reddito annuo]]&gt;=70000,"si","no")</f>
        <v>no</v>
      </c>
    </row>
    <row r="460" spans="1:12">
      <c r="A460">
        <v>100459</v>
      </c>
      <c r="B460">
        <v>26</v>
      </c>
      <c r="C460" s="2">
        <v>39800</v>
      </c>
      <c r="D460" t="s">
        <v>22</v>
      </c>
      <c r="E460" s="2">
        <v>49800</v>
      </c>
      <c r="F460" s="2">
        <v>0</v>
      </c>
      <c r="G460" t="s">
        <v>13</v>
      </c>
      <c r="H460" t="s">
        <v>20</v>
      </c>
      <c r="I460" t="s">
        <v>18</v>
      </c>
      <c r="J460" s="3">
        <v>46215</v>
      </c>
      <c r="K460" s="4">
        <f>ClientiBanca[[#This Row],[Prestito]]+ClientiBanca[[#This Row],[Mutuo]]</f>
        <v>49800</v>
      </c>
      <c r="L460" t="str">
        <f>IF(ClientiBanca[[#This Row],[Reddito annuo]]&gt;=70000,"si","no")</f>
        <v>no</v>
      </c>
    </row>
    <row r="461" spans="1:12">
      <c r="A461">
        <v>100460</v>
      </c>
      <c r="B461">
        <v>58</v>
      </c>
      <c r="C461" s="2">
        <v>62600</v>
      </c>
      <c r="D461" t="s">
        <v>21</v>
      </c>
      <c r="E461" s="2">
        <v>0</v>
      </c>
      <c r="F461" s="2">
        <v>0</v>
      </c>
      <c r="G461" t="s">
        <v>16</v>
      </c>
      <c r="H461" t="s">
        <v>17</v>
      </c>
      <c r="I461" t="s">
        <v>18</v>
      </c>
      <c r="J461" s="3">
        <v>45671</v>
      </c>
      <c r="K461" s="4">
        <f>ClientiBanca[[#This Row],[Prestito]]+ClientiBanca[[#This Row],[Mutuo]]</f>
        <v>0</v>
      </c>
      <c r="L461" t="str">
        <f>IF(ClientiBanca[[#This Row],[Reddito annuo]]&gt;=70000,"si","no")</f>
        <v>no</v>
      </c>
    </row>
    <row r="462" spans="1:12">
      <c r="A462">
        <v>100461</v>
      </c>
      <c r="B462">
        <v>75</v>
      </c>
      <c r="C462" s="2">
        <v>28800</v>
      </c>
      <c r="D462" t="s">
        <v>12</v>
      </c>
      <c r="E462" s="2">
        <v>36000</v>
      </c>
      <c r="F462" s="2">
        <v>0</v>
      </c>
      <c r="G462" t="s">
        <v>16</v>
      </c>
      <c r="H462" t="s">
        <v>17</v>
      </c>
      <c r="I462" t="s">
        <v>18</v>
      </c>
      <c r="J462" s="3">
        <v>46221</v>
      </c>
      <c r="K462" s="4">
        <f>ClientiBanca[[#This Row],[Prestito]]+ClientiBanca[[#This Row],[Mutuo]]</f>
        <v>36000</v>
      </c>
      <c r="L462" t="str">
        <f>IF(ClientiBanca[[#This Row],[Reddito annuo]]&gt;=70000,"si","no")</f>
        <v>no</v>
      </c>
    </row>
    <row r="463" spans="1:12">
      <c r="A463">
        <v>100462</v>
      </c>
      <c r="B463">
        <v>68</v>
      </c>
      <c r="C463" s="2">
        <v>89900</v>
      </c>
      <c r="D463" t="s">
        <v>12</v>
      </c>
      <c r="E463" s="2">
        <v>21300</v>
      </c>
      <c r="F463" s="2">
        <v>0</v>
      </c>
      <c r="G463" t="s">
        <v>13</v>
      </c>
      <c r="H463" t="s">
        <v>20</v>
      </c>
      <c r="I463" t="s">
        <v>18</v>
      </c>
      <c r="J463" s="3">
        <v>45710</v>
      </c>
      <c r="K463" s="4">
        <f>ClientiBanca[[#This Row],[Prestito]]+ClientiBanca[[#This Row],[Mutuo]]</f>
        <v>21300</v>
      </c>
      <c r="L463" t="str">
        <f>IF(ClientiBanca[[#This Row],[Reddito annuo]]&gt;=70000,"si","no")</f>
        <v>si</v>
      </c>
    </row>
    <row r="464" spans="1:12">
      <c r="A464">
        <v>100463</v>
      </c>
      <c r="B464">
        <v>36</v>
      </c>
      <c r="C464" s="2">
        <v>40500</v>
      </c>
      <c r="D464" t="s">
        <v>12</v>
      </c>
      <c r="E464" s="2">
        <v>0</v>
      </c>
      <c r="F464" s="2">
        <v>0</v>
      </c>
      <c r="G464" t="s">
        <v>13</v>
      </c>
      <c r="H464" t="s">
        <v>17</v>
      </c>
      <c r="I464" t="s">
        <v>18</v>
      </c>
      <c r="J464" s="3">
        <v>45676</v>
      </c>
      <c r="K464" s="4">
        <f>ClientiBanca[[#This Row],[Prestito]]+ClientiBanca[[#This Row],[Mutuo]]</f>
        <v>0</v>
      </c>
      <c r="L464" t="str">
        <f>IF(ClientiBanca[[#This Row],[Reddito annuo]]&gt;=70000,"si","no")</f>
        <v>no</v>
      </c>
    </row>
    <row r="465" spans="1:12">
      <c r="A465">
        <v>100464</v>
      </c>
      <c r="B465">
        <v>61</v>
      </c>
      <c r="C465" s="2">
        <v>41500</v>
      </c>
      <c r="D465" t="s">
        <v>12</v>
      </c>
      <c r="E465" s="2">
        <v>14300</v>
      </c>
      <c r="F465" s="2">
        <v>0</v>
      </c>
      <c r="G465" t="s">
        <v>26</v>
      </c>
      <c r="H465" t="s">
        <v>17</v>
      </c>
      <c r="I465" t="s">
        <v>18</v>
      </c>
      <c r="J465" s="3">
        <v>45870</v>
      </c>
      <c r="K465" s="4">
        <f>ClientiBanca[[#This Row],[Prestito]]+ClientiBanca[[#This Row],[Mutuo]]</f>
        <v>14300</v>
      </c>
      <c r="L465" t="str">
        <f>IF(ClientiBanca[[#This Row],[Reddito annuo]]&gt;=70000,"si","no")</f>
        <v>no</v>
      </c>
    </row>
    <row r="466" spans="1:12">
      <c r="A466">
        <v>100465</v>
      </c>
      <c r="B466">
        <v>43</v>
      </c>
      <c r="C466" s="2">
        <v>68200</v>
      </c>
      <c r="D466" t="s">
        <v>22</v>
      </c>
      <c r="E466" s="2">
        <v>19000</v>
      </c>
      <c r="F466" s="2">
        <v>0</v>
      </c>
      <c r="G466" t="s">
        <v>28</v>
      </c>
      <c r="H466" t="s">
        <v>20</v>
      </c>
      <c r="I466" t="s">
        <v>18</v>
      </c>
      <c r="J466" s="3">
        <v>45787</v>
      </c>
      <c r="K466" s="4">
        <f>ClientiBanca[[#This Row],[Prestito]]+ClientiBanca[[#This Row],[Mutuo]]</f>
        <v>19000</v>
      </c>
      <c r="L466" t="str">
        <f>IF(ClientiBanca[[#This Row],[Reddito annuo]]&gt;=70000,"si","no")</f>
        <v>no</v>
      </c>
    </row>
    <row r="467" spans="1:12">
      <c r="A467">
        <v>100466</v>
      </c>
      <c r="B467">
        <v>36</v>
      </c>
      <c r="C467" s="2">
        <v>119400</v>
      </c>
      <c r="D467" t="s">
        <v>12</v>
      </c>
      <c r="E467" s="2">
        <v>0</v>
      </c>
      <c r="F467" s="2">
        <v>0</v>
      </c>
      <c r="G467" t="s">
        <v>24</v>
      </c>
      <c r="H467" t="s">
        <v>14</v>
      </c>
      <c r="I467" t="s">
        <v>18</v>
      </c>
      <c r="J467" s="3">
        <v>45967</v>
      </c>
      <c r="K467" s="4">
        <f>ClientiBanca[[#This Row],[Prestito]]+ClientiBanca[[#This Row],[Mutuo]]</f>
        <v>0</v>
      </c>
      <c r="L467" t="str">
        <f>IF(ClientiBanca[[#This Row],[Reddito annuo]]&gt;=70000,"si","no")</f>
        <v>si</v>
      </c>
    </row>
    <row r="468" spans="1:12">
      <c r="A468">
        <v>100467</v>
      </c>
      <c r="B468">
        <v>27</v>
      </c>
      <c r="C468" s="2">
        <v>80100</v>
      </c>
      <c r="D468" t="s">
        <v>21</v>
      </c>
      <c r="E468" s="2">
        <v>17100</v>
      </c>
      <c r="F468" s="2">
        <v>188000</v>
      </c>
      <c r="G468" t="s">
        <v>19</v>
      </c>
      <c r="H468" t="s">
        <v>17</v>
      </c>
      <c r="I468" t="s">
        <v>18</v>
      </c>
      <c r="J468" s="3">
        <v>45992</v>
      </c>
      <c r="K468" s="4">
        <f>ClientiBanca[[#This Row],[Prestito]]+ClientiBanca[[#This Row],[Mutuo]]</f>
        <v>205100</v>
      </c>
      <c r="L468" t="str">
        <f>IF(ClientiBanca[[#This Row],[Reddito annuo]]&gt;=70000,"si","no")</f>
        <v>si</v>
      </c>
    </row>
    <row r="469" spans="1:12">
      <c r="A469">
        <v>100468</v>
      </c>
      <c r="B469">
        <v>65</v>
      </c>
      <c r="C469" s="2">
        <v>29800</v>
      </c>
      <c r="D469" t="s">
        <v>21</v>
      </c>
      <c r="E469" s="2">
        <v>37200</v>
      </c>
      <c r="F469" s="2">
        <v>0</v>
      </c>
      <c r="G469" t="s">
        <v>28</v>
      </c>
      <c r="H469" t="s">
        <v>25</v>
      </c>
      <c r="I469" t="s">
        <v>18</v>
      </c>
      <c r="J469" s="3">
        <v>45357</v>
      </c>
      <c r="K469" s="4">
        <f>ClientiBanca[[#This Row],[Prestito]]+ClientiBanca[[#This Row],[Mutuo]]</f>
        <v>37200</v>
      </c>
      <c r="L469" t="str">
        <f>IF(ClientiBanca[[#This Row],[Reddito annuo]]&gt;=70000,"si","no")</f>
        <v>no</v>
      </c>
    </row>
    <row r="470" spans="1:12">
      <c r="A470">
        <v>100469</v>
      </c>
      <c r="B470">
        <v>36</v>
      </c>
      <c r="C470" s="2">
        <v>42400</v>
      </c>
      <c r="D470" t="s">
        <v>21</v>
      </c>
      <c r="E470" s="2">
        <v>27500</v>
      </c>
      <c r="F470" s="2">
        <v>0</v>
      </c>
      <c r="G470" t="s">
        <v>26</v>
      </c>
      <c r="H470" t="s">
        <v>14</v>
      </c>
      <c r="I470" t="s">
        <v>18</v>
      </c>
      <c r="J470" s="3">
        <v>46260</v>
      </c>
      <c r="K470" s="4">
        <f>ClientiBanca[[#This Row],[Prestito]]+ClientiBanca[[#This Row],[Mutuo]]</f>
        <v>27500</v>
      </c>
      <c r="L470" t="str">
        <f>IF(ClientiBanca[[#This Row],[Reddito annuo]]&gt;=70000,"si","no")</f>
        <v>no</v>
      </c>
    </row>
    <row r="471" spans="1:12">
      <c r="A471">
        <v>100470</v>
      </c>
      <c r="B471">
        <v>69</v>
      </c>
      <c r="C471" s="2">
        <v>87900</v>
      </c>
      <c r="D471" t="s">
        <v>12</v>
      </c>
      <c r="E471" s="2">
        <v>18900</v>
      </c>
      <c r="F471" s="2">
        <v>0</v>
      </c>
      <c r="G471" t="s">
        <v>26</v>
      </c>
      <c r="H471" t="s">
        <v>20</v>
      </c>
      <c r="I471" t="s">
        <v>18</v>
      </c>
      <c r="J471" s="3">
        <v>45814</v>
      </c>
      <c r="K471" s="4">
        <f>ClientiBanca[[#This Row],[Prestito]]+ClientiBanca[[#This Row],[Mutuo]]</f>
        <v>18900</v>
      </c>
      <c r="L471" t="str">
        <f>IF(ClientiBanca[[#This Row],[Reddito annuo]]&gt;=70000,"si","no")</f>
        <v>si</v>
      </c>
    </row>
    <row r="472" spans="1:12">
      <c r="A472">
        <v>100471</v>
      </c>
      <c r="B472">
        <v>53</v>
      </c>
      <c r="C472" s="2">
        <v>75500</v>
      </c>
      <c r="D472" t="s">
        <v>12</v>
      </c>
      <c r="E472" s="2">
        <v>26300</v>
      </c>
      <c r="F472" s="2">
        <v>0</v>
      </c>
      <c r="G472" t="s">
        <v>24</v>
      </c>
      <c r="H472" t="s">
        <v>20</v>
      </c>
      <c r="I472" t="s">
        <v>18</v>
      </c>
      <c r="J472" s="3">
        <v>45701</v>
      </c>
      <c r="K472" s="4">
        <f>ClientiBanca[[#This Row],[Prestito]]+ClientiBanca[[#This Row],[Mutuo]]</f>
        <v>26300</v>
      </c>
      <c r="L472" t="str">
        <f>IF(ClientiBanca[[#This Row],[Reddito annuo]]&gt;=70000,"si","no")</f>
        <v>si</v>
      </c>
    </row>
    <row r="473" spans="1:12">
      <c r="A473">
        <v>100472</v>
      </c>
      <c r="B473">
        <v>42</v>
      </c>
      <c r="C473" s="2">
        <v>72900</v>
      </c>
      <c r="D473" t="s">
        <v>21</v>
      </c>
      <c r="E473" s="2">
        <v>6700</v>
      </c>
      <c r="F473" s="2">
        <v>0</v>
      </c>
      <c r="G473" t="s">
        <v>13</v>
      </c>
      <c r="H473" t="s">
        <v>17</v>
      </c>
      <c r="I473" t="s">
        <v>18</v>
      </c>
      <c r="J473" s="3">
        <v>45864</v>
      </c>
      <c r="K473" s="4">
        <f>ClientiBanca[[#This Row],[Prestito]]+ClientiBanca[[#This Row],[Mutuo]]</f>
        <v>6700</v>
      </c>
      <c r="L473" t="str">
        <f>IF(ClientiBanca[[#This Row],[Reddito annuo]]&gt;=70000,"si","no")</f>
        <v>si</v>
      </c>
    </row>
    <row r="474" spans="1:12">
      <c r="A474">
        <v>100473</v>
      </c>
      <c r="B474">
        <v>57</v>
      </c>
      <c r="C474" s="2">
        <v>49800</v>
      </c>
      <c r="D474" t="s">
        <v>22</v>
      </c>
      <c r="E474" s="2">
        <v>40100</v>
      </c>
      <c r="F474" s="2">
        <v>340000</v>
      </c>
      <c r="G474" t="s">
        <v>27</v>
      </c>
      <c r="H474" t="s">
        <v>20</v>
      </c>
      <c r="I474" t="s">
        <v>18</v>
      </c>
      <c r="J474" s="3">
        <v>45401</v>
      </c>
      <c r="K474" s="4">
        <f>ClientiBanca[[#This Row],[Prestito]]+ClientiBanca[[#This Row],[Mutuo]]</f>
        <v>380100</v>
      </c>
      <c r="L474" t="str">
        <f>IF(ClientiBanca[[#This Row],[Reddito annuo]]&gt;=70000,"si","no")</f>
        <v>no</v>
      </c>
    </row>
    <row r="475" spans="1:12">
      <c r="A475">
        <v>100474</v>
      </c>
      <c r="B475">
        <v>55</v>
      </c>
      <c r="C475" s="2">
        <v>31900</v>
      </c>
      <c r="D475" t="s">
        <v>21</v>
      </c>
      <c r="E475" s="2">
        <v>0</v>
      </c>
      <c r="F475" s="2">
        <v>0</v>
      </c>
      <c r="G475" t="s">
        <v>26</v>
      </c>
      <c r="H475" t="s">
        <v>25</v>
      </c>
      <c r="I475" t="s">
        <v>18</v>
      </c>
      <c r="J475" s="3">
        <v>46124</v>
      </c>
      <c r="K475" s="4">
        <f>ClientiBanca[[#This Row],[Prestito]]+ClientiBanca[[#This Row],[Mutuo]]</f>
        <v>0</v>
      </c>
      <c r="L475" t="str">
        <f>IF(ClientiBanca[[#This Row],[Reddito annuo]]&gt;=70000,"si","no")</f>
        <v>no</v>
      </c>
    </row>
    <row r="476" spans="1:12">
      <c r="A476">
        <v>100475</v>
      </c>
      <c r="B476">
        <v>70</v>
      </c>
      <c r="C476" s="2">
        <v>65300</v>
      </c>
      <c r="D476" t="s">
        <v>12</v>
      </c>
      <c r="E476" s="2">
        <v>0</v>
      </c>
      <c r="F476" s="2">
        <v>0</v>
      </c>
      <c r="G476" t="s">
        <v>23</v>
      </c>
      <c r="H476" t="s">
        <v>14</v>
      </c>
      <c r="I476" t="s">
        <v>18</v>
      </c>
      <c r="J476" s="3">
        <v>46086</v>
      </c>
      <c r="K476" s="4">
        <f>ClientiBanca[[#This Row],[Prestito]]+ClientiBanca[[#This Row],[Mutuo]]</f>
        <v>0</v>
      </c>
      <c r="L476" t="str">
        <f>IF(ClientiBanca[[#This Row],[Reddito annuo]]&gt;=70000,"si","no")</f>
        <v>no</v>
      </c>
    </row>
    <row r="477" spans="1:12">
      <c r="A477">
        <v>100476</v>
      </c>
      <c r="B477">
        <v>49</v>
      </c>
      <c r="C477" s="2">
        <v>74000</v>
      </c>
      <c r="D477" t="s">
        <v>22</v>
      </c>
      <c r="E477" s="2">
        <v>0</v>
      </c>
      <c r="F477" s="2">
        <v>0</v>
      </c>
      <c r="G477" t="s">
        <v>26</v>
      </c>
      <c r="H477" t="s">
        <v>20</v>
      </c>
      <c r="I477" t="s">
        <v>18</v>
      </c>
      <c r="J477" s="3">
        <v>45940</v>
      </c>
      <c r="K477" s="4">
        <f>ClientiBanca[[#This Row],[Prestito]]+ClientiBanca[[#This Row],[Mutuo]]</f>
        <v>0</v>
      </c>
      <c r="L477" t="str">
        <f>IF(ClientiBanca[[#This Row],[Reddito annuo]]&gt;=70000,"si","no")</f>
        <v>si</v>
      </c>
    </row>
    <row r="478" spans="1:12">
      <c r="A478">
        <v>100477</v>
      </c>
      <c r="B478">
        <v>70</v>
      </c>
      <c r="C478" s="2">
        <v>122400</v>
      </c>
      <c r="D478" t="s">
        <v>12</v>
      </c>
      <c r="E478" s="2">
        <v>24200</v>
      </c>
      <c r="F478" s="2">
        <v>0</v>
      </c>
      <c r="G478" t="s">
        <v>27</v>
      </c>
      <c r="H478" t="s">
        <v>17</v>
      </c>
      <c r="I478" t="s">
        <v>18</v>
      </c>
      <c r="J478" s="3">
        <v>45586</v>
      </c>
      <c r="K478" s="4">
        <f>ClientiBanca[[#This Row],[Prestito]]+ClientiBanca[[#This Row],[Mutuo]]</f>
        <v>24200</v>
      </c>
      <c r="L478" t="str">
        <f>IF(ClientiBanca[[#This Row],[Reddito annuo]]&gt;=70000,"si","no")</f>
        <v>si</v>
      </c>
    </row>
    <row r="479" spans="1:12">
      <c r="A479">
        <v>100478</v>
      </c>
      <c r="B479">
        <v>25</v>
      </c>
      <c r="C479" s="2">
        <v>53000</v>
      </c>
      <c r="D479" t="s">
        <v>12</v>
      </c>
      <c r="E479" s="2">
        <v>36900</v>
      </c>
      <c r="F479" s="2">
        <v>172000</v>
      </c>
      <c r="G479" t="s">
        <v>23</v>
      </c>
      <c r="H479" t="s">
        <v>14</v>
      </c>
      <c r="I479" t="s">
        <v>18</v>
      </c>
      <c r="J479" s="3">
        <v>46261</v>
      </c>
      <c r="K479" s="4">
        <f>ClientiBanca[[#This Row],[Prestito]]+ClientiBanca[[#This Row],[Mutuo]]</f>
        <v>208900</v>
      </c>
      <c r="L479" t="str">
        <f>IF(ClientiBanca[[#This Row],[Reddito annuo]]&gt;=70000,"si","no")</f>
        <v>no</v>
      </c>
    </row>
    <row r="480" spans="1:12">
      <c r="A480">
        <v>100479</v>
      </c>
      <c r="B480">
        <v>67</v>
      </c>
      <c r="C480" s="2">
        <v>74100</v>
      </c>
      <c r="D480" t="s">
        <v>22</v>
      </c>
      <c r="E480" s="2">
        <v>18800</v>
      </c>
      <c r="F480" s="2">
        <v>0</v>
      </c>
      <c r="G480" t="s">
        <v>26</v>
      </c>
      <c r="H480" t="s">
        <v>20</v>
      </c>
      <c r="I480" t="s">
        <v>18</v>
      </c>
      <c r="J480" s="3">
        <v>45547</v>
      </c>
      <c r="K480" s="4">
        <f>ClientiBanca[[#This Row],[Prestito]]+ClientiBanca[[#This Row],[Mutuo]]</f>
        <v>18800</v>
      </c>
      <c r="L480" t="str">
        <f>IF(ClientiBanca[[#This Row],[Reddito annuo]]&gt;=70000,"si","no")</f>
        <v>si</v>
      </c>
    </row>
    <row r="481" spans="1:12">
      <c r="A481">
        <v>100480</v>
      </c>
      <c r="B481">
        <v>73</v>
      </c>
      <c r="C481" s="2">
        <v>68700</v>
      </c>
      <c r="D481" t="s">
        <v>21</v>
      </c>
      <c r="E481" s="2">
        <v>67500</v>
      </c>
      <c r="F481" s="2">
        <v>0</v>
      </c>
      <c r="G481" t="s">
        <v>28</v>
      </c>
      <c r="H481" t="s">
        <v>17</v>
      </c>
      <c r="I481" t="s">
        <v>18</v>
      </c>
      <c r="J481" s="3">
        <v>45846</v>
      </c>
      <c r="K481" s="4">
        <f>ClientiBanca[[#This Row],[Prestito]]+ClientiBanca[[#This Row],[Mutuo]]</f>
        <v>67500</v>
      </c>
      <c r="L481" t="str">
        <f>IF(ClientiBanca[[#This Row],[Reddito annuo]]&gt;=70000,"si","no")</f>
        <v>no</v>
      </c>
    </row>
    <row r="482" spans="1:12">
      <c r="A482">
        <v>100481</v>
      </c>
      <c r="B482">
        <v>22</v>
      </c>
      <c r="C482" s="2">
        <v>91300</v>
      </c>
      <c r="D482" t="s">
        <v>21</v>
      </c>
      <c r="E482" s="2">
        <v>64600</v>
      </c>
      <c r="F482" s="2">
        <v>0</v>
      </c>
      <c r="G482" t="s">
        <v>26</v>
      </c>
      <c r="H482" t="s">
        <v>20</v>
      </c>
      <c r="I482" t="s">
        <v>18</v>
      </c>
      <c r="J482" s="3">
        <v>46229</v>
      </c>
      <c r="K482" s="4">
        <f>ClientiBanca[[#This Row],[Prestito]]+ClientiBanca[[#This Row],[Mutuo]]</f>
        <v>64600</v>
      </c>
      <c r="L482" t="str">
        <f>IF(ClientiBanca[[#This Row],[Reddito annuo]]&gt;=70000,"si","no")</f>
        <v>si</v>
      </c>
    </row>
    <row r="483" spans="1:12">
      <c r="A483">
        <v>100482</v>
      </c>
      <c r="B483">
        <v>52</v>
      </c>
      <c r="C483" s="2">
        <v>45800</v>
      </c>
      <c r="D483" t="s">
        <v>21</v>
      </c>
      <c r="E483" s="2">
        <v>10700</v>
      </c>
      <c r="F483" s="2">
        <v>0</v>
      </c>
      <c r="G483" t="s">
        <v>28</v>
      </c>
      <c r="H483" t="s">
        <v>14</v>
      </c>
      <c r="I483" t="s">
        <v>15</v>
      </c>
      <c r="J483" s="3">
        <v>45647</v>
      </c>
      <c r="K483" s="4">
        <f>ClientiBanca[[#This Row],[Prestito]]+ClientiBanca[[#This Row],[Mutuo]]</f>
        <v>10700</v>
      </c>
      <c r="L483" t="str">
        <f>IF(ClientiBanca[[#This Row],[Reddito annuo]]&gt;=70000,"si","no")</f>
        <v>no</v>
      </c>
    </row>
    <row r="484" spans="1:12">
      <c r="A484">
        <v>100483</v>
      </c>
      <c r="B484">
        <v>45</v>
      </c>
      <c r="C484" s="2">
        <v>92900</v>
      </c>
      <c r="D484" t="s">
        <v>12</v>
      </c>
      <c r="E484" s="2">
        <v>15000</v>
      </c>
      <c r="F484" s="2">
        <v>0</v>
      </c>
      <c r="G484" t="s">
        <v>19</v>
      </c>
      <c r="H484" t="s">
        <v>17</v>
      </c>
      <c r="I484" t="s">
        <v>15</v>
      </c>
      <c r="J484" s="3">
        <v>45507</v>
      </c>
      <c r="K484" s="4">
        <f>ClientiBanca[[#This Row],[Prestito]]+ClientiBanca[[#This Row],[Mutuo]]</f>
        <v>15000</v>
      </c>
      <c r="L484" t="str">
        <f>IF(ClientiBanca[[#This Row],[Reddito annuo]]&gt;=70000,"si","no")</f>
        <v>si</v>
      </c>
    </row>
    <row r="485" spans="1:12">
      <c r="A485">
        <v>100484</v>
      </c>
      <c r="B485">
        <v>44</v>
      </c>
      <c r="C485" s="2">
        <v>65700</v>
      </c>
      <c r="D485" t="s">
        <v>21</v>
      </c>
      <c r="E485" s="2">
        <v>21500</v>
      </c>
      <c r="F485" s="2">
        <v>0</v>
      </c>
      <c r="G485" t="s">
        <v>23</v>
      </c>
      <c r="H485" t="s">
        <v>20</v>
      </c>
      <c r="I485" t="s">
        <v>18</v>
      </c>
      <c r="J485" s="3">
        <v>45643</v>
      </c>
      <c r="K485" s="4">
        <f>ClientiBanca[[#This Row],[Prestito]]+ClientiBanca[[#This Row],[Mutuo]]</f>
        <v>21500</v>
      </c>
      <c r="L485" t="str">
        <f>IF(ClientiBanca[[#This Row],[Reddito annuo]]&gt;=70000,"si","no")</f>
        <v>no</v>
      </c>
    </row>
    <row r="486" spans="1:12">
      <c r="A486">
        <v>100485</v>
      </c>
      <c r="B486">
        <v>43</v>
      </c>
      <c r="C486" s="2">
        <v>40200</v>
      </c>
      <c r="D486" t="s">
        <v>21</v>
      </c>
      <c r="E486" s="2">
        <v>50200</v>
      </c>
      <c r="F486" s="2">
        <v>0</v>
      </c>
      <c r="G486" t="s">
        <v>16</v>
      </c>
      <c r="H486" t="s">
        <v>17</v>
      </c>
      <c r="I486" t="s">
        <v>18</v>
      </c>
      <c r="J486" s="3">
        <v>45426</v>
      </c>
      <c r="K486" s="4">
        <f>ClientiBanca[[#This Row],[Prestito]]+ClientiBanca[[#This Row],[Mutuo]]</f>
        <v>50200</v>
      </c>
      <c r="L486" t="str">
        <f>IF(ClientiBanca[[#This Row],[Reddito annuo]]&gt;=70000,"si","no")</f>
        <v>no</v>
      </c>
    </row>
    <row r="487" spans="1:12">
      <c r="A487">
        <v>100486</v>
      </c>
      <c r="B487">
        <v>56</v>
      </c>
      <c r="C487" s="2">
        <v>74400</v>
      </c>
      <c r="D487" t="s">
        <v>12</v>
      </c>
      <c r="E487" s="2">
        <v>0</v>
      </c>
      <c r="F487" s="2">
        <v>0</v>
      </c>
      <c r="G487" t="s">
        <v>16</v>
      </c>
      <c r="H487" t="s">
        <v>14</v>
      </c>
      <c r="I487" t="s">
        <v>18</v>
      </c>
      <c r="J487" s="3">
        <v>45492</v>
      </c>
      <c r="K487" s="4">
        <f>ClientiBanca[[#This Row],[Prestito]]+ClientiBanca[[#This Row],[Mutuo]]</f>
        <v>0</v>
      </c>
      <c r="L487" t="str">
        <f>IF(ClientiBanca[[#This Row],[Reddito annuo]]&gt;=70000,"si","no")</f>
        <v>si</v>
      </c>
    </row>
    <row r="488" spans="1:12">
      <c r="A488">
        <v>100487</v>
      </c>
      <c r="B488">
        <v>29</v>
      </c>
      <c r="C488" s="2">
        <v>85600</v>
      </c>
      <c r="D488" t="s">
        <v>12</v>
      </c>
      <c r="E488" s="2">
        <v>5700</v>
      </c>
      <c r="F488" s="2">
        <v>0</v>
      </c>
      <c r="G488" t="s">
        <v>24</v>
      </c>
      <c r="H488" t="s">
        <v>25</v>
      </c>
      <c r="I488" t="s">
        <v>18</v>
      </c>
      <c r="J488" s="3">
        <v>45821</v>
      </c>
      <c r="K488" s="4">
        <f>ClientiBanca[[#This Row],[Prestito]]+ClientiBanca[[#This Row],[Mutuo]]</f>
        <v>5700</v>
      </c>
      <c r="L488" t="str">
        <f>IF(ClientiBanca[[#This Row],[Reddito annuo]]&gt;=70000,"si","no")</f>
        <v>si</v>
      </c>
    </row>
    <row r="489" spans="1:12">
      <c r="A489">
        <v>100488</v>
      </c>
      <c r="B489">
        <v>54</v>
      </c>
      <c r="C489" s="2">
        <v>77500</v>
      </c>
      <c r="D489" t="s">
        <v>12</v>
      </c>
      <c r="E489" s="2">
        <v>37300</v>
      </c>
      <c r="F489" s="2">
        <v>0</v>
      </c>
      <c r="G489" t="s">
        <v>16</v>
      </c>
      <c r="H489" t="s">
        <v>20</v>
      </c>
      <c r="I489" t="s">
        <v>18</v>
      </c>
      <c r="J489" s="3">
        <v>45512</v>
      </c>
      <c r="K489" s="4">
        <f>ClientiBanca[[#This Row],[Prestito]]+ClientiBanca[[#This Row],[Mutuo]]</f>
        <v>37300</v>
      </c>
      <c r="L489" t="str">
        <f>IF(ClientiBanca[[#This Row],[Reddito annuo]]&gt;=70000,"si","no")</f>
        <v>si</v>
      </c>
    </row>
    <row r="490" spans="1:12">
      <c r="A490">
        <v>100489</v>
      </c>
      <c r="B490">
        <v>72</v>
      </c>
      <c r="C490" s="2">
        <v>44300</v>
      </c>
      <c r="D490" t="s">
        <v>22</v>
      </c>
      <c r="E490" s="2">
        <v>49800</v>
      </c>
      <c r="F490" s="2">
        <v>0</v>
      </c>
      <c r="G490" t="s">
        <v>19</v>
      </c>
      <c r="H490" t="s">
        <v>14</v>
      </c>
      <c r="I490" t="s">
        <v>18</v>
      </c>
      <c r="J490" s="3">
        <v>45555</v>
      </c>
      <c r="K490" s="4">
        <f>ClientiBanca[[#This Row],[Prestito]]+ClientiBanca[[#This Row],[Mutuo]]</f>
        <v>49800</v>
      </c>
      <c r="L490" t="str">
        <f>IF(ClientiBanca[[#This Row],[Reddito annuo]]&gt;=70000,"si","no")</f>
        <v>no</v>
      </c>
    </row>
    <row r="491" spans="1:12">
      <c r="A491">
        <v>100490</v>
      </c>
      <c r="B491">
        <v>42</v>
      </c>
      <c r="C491" s="2">
        <v>25300</v>
      </c>
      <c r="D491" t="s">
        <v>21</v>
      </c>
      <c r="E491" s="2">
        <v>0</v>
      </c>
      <c r="F491" s="2">
        <v>0</v>
      </c>
      <c r="G491" t="s">
        <v>23</v>
      </c>
      <c r="H491" t="s">
        <v>14</v>
      </c>
      <c r="I491" t="s">
        <v>18</v>
      </c>
      <c r="J491" s="3">
        <v>45957</v>
      </c>
      <c r="K491" s="4">
        <f>ClientiBanca[[#This Row],[Prestito]]+ClientiBanca[[#This Row],[Mutuo]]</f>
        <v>0</v>
      </c>
      <c r="L491" t="str">
        <f>IF(ClientiBanca[[#This Row],[Reddito annuo]]&gt;=70000,"si","no")</f>
        <v>no</v>
      </c>
    </row>
    <row r="492" spans="1:12">
      <c r="A492">
        <v>100491</v>
      </c>
      <c r="B492">
        <v>61</v>
      </c>
      <c r="C492" s="2">
        <v>62600</v>
      </c>
      <c r="D492" t="s">
        <v>22</v>
      </c>
      <c r="E492" s="2">
        <v>24600</v>
      </c>
      <c r="F492" s="2">
        <v>0</v>
      </c>
      <c r="G492" t="s">
        <v>28</v>
      </c>
      <c r="H492" t="s">
        <v>14</v>
      </c>
      <c r="I492" t="s">
        <v>18</v>
      </c>
      <c r="J492" s="3">
        <v>45585</v>
      </c>
      <c r="K492" s="4">
        <f>ClientiBanca[[#This Row],[Prestito]]+ClientiBanca[[#This Row],[Mutuo]]</f>
        <v>24600</v>
      </c>
      <c r="L492" t="str">
        <f>IF(ClientiBanca[[#This Row],[Reddito annuo]]&gt;=70000,"si","no")</f>
        <v>no</v>
      </c>
    </row>
    <row r="493" spans="1:12">
      <c r="A493">
        <v>100492</v>
      </c>
      <c r="B493">
        <v>49</v>
      </c>
      <c r="C493" s="2">
        <v>69800</v>
      </c>
      <c r="D493" t="s">
        <v>21</v>
      </c>
      <c r="E493" s="2">
        <v>55100</v>
      </c>
      <c r="F493" s="2">
        <v>0</v>
      </c>
      <c r="G493" t="s">
        <v>16</v>
      </c>
      <c r="H493" t="s">
        <v>14</v>
      </c>
      <c r="I493" t="s">
        <v>15</v>
      </c>
      <c r="J493" s="3">
        <v>45457</v>
      </c>
      <c r="K493" s="4">
        <f>ClientiBanca[[#This Row],[Prestito]]+ClientiBanca[[#This Row],[Mutuo]]</f>
        <v>55100</v>
      </c>
      <c r="L493" t="str">
        <f>IF(ClientiBanca[[#This Row],[Reddito annuo]]&gt;=70000,"si","no")</f>
        <v>no</v>
      </c>
    </row>
    <row r="494" spans="1:12">
      <c r="A494">
        <v>100493</v>
      </c>
      <c r="B494">
        <v>41</v>
      </c>
      <c r="C494" s="2">
        <v>42800</v>
      </c>
      <c r="D494" t="s">
        <v>21</v>
      </c>
      <c r="E494" s="2">
        <v>21900</v>
      </c>
      <c r="F494" s="2">
        <v>0</v>
      </c>
      <c r="G494" t="s">
        <v>26</v>
      </c>
      <c r="H494" t="s">
        <v>25</v>
      </c>
      <c r="I494" t="s">
        <v>18</v>
      </c>
      <c r="J494" s="3">
        <v>46253</v>
      </c>
      <c r="K494" s="4">
        <f>ClientiBanca[[#This Row],[Prestito]]+ClientiBanca[[#This Row],[Mutuo]]</f>
        <v>21900</v>
      </c>
      <c r="L494" t="str">
        <f>IF(ClientiBanca[[#This Row],[Reddito annuo]]&gt;=70000,"si","no")</f>
        <v>no</v>
      </c>
    </row>
    <row r="495" spans="1:12">
      <c r="A495">
        <v>100494</v>
      </c>
      <c r="B495">
        <v>43</v>
      </c>
      <c r="C495" s="2">
        <v>80200</v>
      </c>
      <c r="D495" t="s">
        <v>12</v>
      </c>
      <c r="E495" s="2">
        <v>17300</v>
      </c>
      <c r="F495" s="2">
        <v>0</v>
      </c>
      <c r="G495" t="s">
        <v>24</v>
      </c>
      <c r="H495" t="s">
        <v>17</v>
      </c>
      <c r="I495" t="s">
        <v>18</v>
      </c>
      <c r="J495" s="3">
        <v>46255</v>
      </c>
      <c r="K495" s="4">
        <f>ClientiBanca[[#This Row],[Prestito]]+ClientiBanca[[#This Row],[Mutuo]]</f>
        <v>17300</v>
      </c>
      <c r="L495" t="str">
        <f>IF(ClientiBanca[[#This Row],[Reddito annuo]]&gt;=70000,"si","no")</f>
        <v>si</v>
      </c>
    </row>
    <row r="496" spans="1:12">
      <c r="A496">
        <v>100495</v>
      </c>
      <c r="B496">
        <v>67</v>
      </c>
      <c r="C496" s="2">
        <v>75700</v>
      </c>
      <c r="D496" t="s">
        <v>21</v>
      </c>
      <c r="E496" s="2">
        <v>14000</v>
      </c>
      <c r="F496" s="2">
        <v>316000</v>
      </c>
      <c r="G496" t="s">
        <v>27</v>
      </c>
      <c r="H496" t="s">
        <v>20</v>
      </c>
      <c r="I496" t="s">
        <v>18</v>
      </c>
      <c r="J496" s="3">
        <v>46075</v>
      </c>
      <c r="K496" s="4">
        <f>ClientiBanca[[#This Row],[Prestito]]+ClientiBanca[[#This Row],[Mutuo]]</f>
        <v>330000</v>
      </c>
      <c r="L496" t="str">
        <f>IF(ClientiBanca[[#This Row],[Reddito annuo]]&gt;=70000,"si","no")</f>
        <v>si</v>
      </c>
    </row>
    <row r="497" spans="1:12">
      <c r="A497">
        <v>100496</v>
      </c>
      <c r="B497">
        <v>25</v>
      </c>
      <c r="C497" s="2">
        <v>34700</v>
      </c>
      <c r="D497" t="s">
        <v>12</v>
      </c>
      <c r="E497" s="2">
        <v>43400</v>
      </c>
      <c r="F497" s="2">
        <v>0</v>
      </c>
      <c r="G497" t="s">
        <v>23</v>
      </c>
      <c r="H497" t="s">
        <v>17</v>
      </c>
      <c r="I497" t="s">
        <v>18</v>
      </c>
      <c r="J497" s="3">
        <v>45933</v>
      </c>
      <c r="K497" s="4">
        <f>ClientiBanca[[#This Row],[Prestito]]+ClientiBanca[[#This Row],[Mutuo]]</f>
        <v>43400</v>
      </c>
      <c r="L497" t="str">
        <f>IF(ClientiBanca[[#This Row],[Reddito annuo]]&gt;=70000,"si","no")</f>
        <v>no</v>
      </c>
    </row>
    <row r="498" spans="1:12">
      <c r="A498">
        <v>100497</v>
      </c>
      <c r="B498">
        <v>28</v>
      </c>
      <c r="C498" s="2">
        <v>36800</v>
      </c>
      <c r="D498" t="s">
        <v>22</v>
      </c>
      <c r="E498" s="2">
        <v>43800</v>
      </c>
      <c r="F498" s="2">
        <v>0</v>
      </c>
      <c r="G498" t="s">
        <v>19</v>
      </c>
      <c r="H498" t="s">
        <v>14</v>
      </c>
      <c r="I498" t="s">
        <v>18</v>
      </c>
      <c r="J498" s="3">
        <v>46183</v>
      </c>
      <c r="K498" s="4">
        <f>ClientiBanca[[#This Row],[Prestito]]+ClientiBanca[[#This Row],[Mutuo]]</f>
        <v>43800</v>
      </c>
      <c r="L498" t="str">
        <f>IF(ClientiBanca[[#This Row],[Reddito annuo]]&gt;=70000,"si","no")</f>
        <v>no</v>
      </c>
    </row>
    <row r="499" spans="1:12">
      <c r="A499">
        <v>100498</v>
      </c>
      <c r="B499">
        <v>54</v>
      </c>
      <c r="C499" s="2">
        <v>104700</v>
      </c>
      <c r="D499" t="s">
        <v>12</v>
      </c>
      <c r="E499" s="2">
        <v>71900</v>
      </c>
      <c r="F499" s="2">
        <v>0</v>
      </c>
      <c r="G499" t="s">
        <v>28</v>
      </c>
      <c r="H499" t="s">
        <v>17</v>
      </c>
      <c r="I499" t="s">
        <v>18</v>
      </c>
      <c r="J499" s="3">
        <v>45869</v>
      </c>
      <c r="K499" s="4">
        <f>ClientiBanca[[#This Row],[Prestito]]+ClientiBanca[[#This Row],[Mutuo]]</f>
        <v>71900</v>
      </c>
      <c r="L499" t="str">
        <f>IF(ClientiBanca[[#This Row],[Reddito annuo]]&gt;=70000,"si","no")</f>
        <v>si</v>
      </c>
    </row>
    <row r="500" spans="1:12">
      <c r="A500">
        <v>100499</v>
      </c>
      <c r="B500">
        <v>47</v>
      </c>
      <c r="C500" s="2">
        <v>61500</v>
      </c>
      <c r="D500" t="s">
        <v>12</v>
      </c>
      <c r="E500" s="2">
        <v>25700</v>
      </c>
      <c r="F500" s="2">
        <v>0</v>
      </c>
      <c r="G500" t="s">
        <v>13</v>
      </c>
      <c r="H500" t="s">
        <v>17</v>
      </c>
      <c r="I500" t="s">
        <v>18</v>
      </c>
      <c r="J500" s="3">
        <v>45558</v>
      </c>
      <c r="K500" s="4">
        <f>ClientiBanca[[#This Row],[Prestito]]+ClientiBanca[[#This Row],[Mutuo]]</f>
        <v>25700</v>
      </c>
      <c r="L500" t="str">
        <f>IF(ClientiBanca[[#This Row],[Reddito annuo]]&gt;=70000,"si","no")</f>
        <v>no</v>
      </c>
    </row>
    <row r="501" spans="1:12">
      <c r="A501">
        <v>100500</v>
      </c>
      <c r="B501">
        <v>29</v>
      </c>
      <c r="C501" s="2">
        <v>47200</v>
      </c>
      <c r="D501" t="s">
        <v>21</v>
      </c>
      <c r="E501" s="2">
        <v>0</v>
      </c>
      <c r="F501" s="2">
        <v>0</v>
      </c>
      <c r="G501" t="s">
        <v>19</v>
      </c>
      <c r="H501" t="s">
        <v>20</v>
      </c>
      <c r="I501" t="s">
        <v>18</v>
      </c>
      <c r="J501" s="3">
        <v>45839</v>
      </c>
      <c r="K501" s="4">
        <f>ClientiBanca[[#This Row],[Prestito]]+ClientiBanca[[#This Row],[Mutuo]]</f>
        <v>0</v>
      </c>
      <c r="L501" t="str">
        <f>IF(ClientiBanca[[#This Row],[Reddito annuo]]&gt;=70000,"si","no")</f>
        <v>no</v>
      </c>
    </row>
    <row r="502" spans="1:12">
      <c r="A502">
        <v>100501</v>
      </c>
      <c r="B502">
        <v>20</v>
      </c>
      <c r="C502" s="2">
        <v>74500</v>
      </c>
      <c r="D502" t="s">
        <v>21</v>
      </c>
      <c r="E502" s="2">
        <v>0</v>
      </c>
      <c r="F502" s="2">
        <v>0</v>
      </c>
      <c r="G502" t="s">
        <v>16</v>
      </c>
      <c r="H502" t="s">
        <v>14</v>
      </c>
      <c r="I502" t="s">
        <v>18</v>
      </c>
      <c r="J502" s="3">
        <v>45903</v>
      </c>
      <c r="K502" s="4">
        <f>ClientiBanca[[#This Row],[Prestito]]+ClientiBanca[[#This Row],[Mutuo]]</f>
        <v>0</v>
      </c>
      <c r="L502" t="str">
        <f>IF(ClientiBanca[[#This Row],[Reddito annuo]]&gt;=70000,"si","no")</f>
        <v>si</v>
      </c>
    </row>
    <row r="503" spans="1:12">
      <c r="A503">
        <v>100502</v>
      </c>
      <c r="B503">
        <v>34</v>
      </c>
      <c r="C503" s="2">
        <v>85200</v>
      </c>
      <c r="D503" t="s">
        <v>12</v>
      </c>
      <c r="E503" s="2">
        <v>62700</v>
      </c>
      <c r="F503" s="2">
        <v>0</v>
      </c>
      <c r="G503" t="s">
        <v>23</v>
      </c>
      <c r="H503" t="s">
        <v>20</v>
      </c>
      <c r="I503" t="s">
        <v>18</v>
      </c>
      <c r="J503" s="3">
        <v>45691</v>
      </c>
      <c r="K503" s="4">
        <f>ClientiBanca[[#This Row],[Prestito]]+ClientiBanca[[#This Row],[Mutuo]]</f>
        <v>62700</v>
      </c>
      <c r="L503" t="str">
        <f>IF(ClientiBanca[[#This Row],[Reddito annuo]]&gt;=70000,"si","no")</f>
        <v>si</v>
      </c>
    </row>
    <row r="504" spans="1:12">
      <c r="A504">
        <v>100503</v>
      </c>
      <c r="B504">
        <v>73</v>
      </c>
      <c r="C504" s="2">
        <v>51700</v>
      </c>
      <c r="D504" t="s">
        <v>21</v>
      </c>
      <c r="E504" s="2">
        <v>20600</v>
      </c>
      <c r="F504" s="2">
        <v>0</v>
      </c>
      <c r="G504" t="s">
        <v>26</v>
      </c>
      <c r="H504" t="s">
        <v>20</v>
      </c>
      <c r="I504" t="s">
        <v>18</v>
      </c>
      <c r="J504" s="3">
        <v>46120</v>
      </c>
      <c r="K504" s="4">
        <f>ClientiBanca[[#This Row],[Prestito]]+ClientiBanca[[#This Row],[Mutuo]]</f>
        <v>20600</v>
      </c>
      <c r="L504" t="str">
        <f>IF(ClientiBanca[[#This Row],[Reddito annuo]]&gt;=70000,"si","no")</f>
        <v>no</v>
      </c>
    </row>
    <row r="505" spans="1:12">
      <c r="A505">
        <v>100504</v>
      </c>
      <c r="B505">
        <v>37</v>
      </c>
      <c r="C505" s="2">
        <v>53900</v>
      </c>
      <c r="D505" t="s">
        <v>22</v>
      </c>
      <c r="E505" s="2">
        <v>22900</v>
      </c>
      <c r="F505" s="2">
        <v>0</v>
      </c>
      <c r="G505" t="s">
        <v>28</v>
      </c>
      <c r="H505" t="s">
        <v>20</v>
      </c>
      <c r="I505" t="s">
        <v>18</v>
      </c>
      <c r="J505" s="3">
        <v>45484</v>
      </c>
      <c r="K505" s="4">
        <f>ClientiBanca[[#This Row],[Prestito]]+ClientiBanca[[#This Row],[Mutuo]]</f>
        <v>22900</v>
      </c>
      <c r="L505" t="str">
        <f>IF(ClientiBanca[[#This Row],[Reddito annuo]]&gt;=70000,"si","no")</f>
        <v>no</v>
      </c>
    </row>
    <row r="506" spans="1:12">
      <c r="A506">
        <v>100505</v>
      </c>
      <c r="B506">
        <v>40</v>
      </c>
      <c r="C506" s="2">
        <v>25200</v>
      </c>
      <c r="D506" t="s">
        <v>21</v>
      </c>
      <c r="E506" s="2">
        <v>18200</v>
      </c>
      <c r="F506" s="2">
        <v>163000</v>
      </c>
      <c r="G506" t="s">
        <v>28</v>
      </c>
      <c r="H506" t="s">
        <v>14</v>
      </c>
      <c r="I506" t="s">
        <v>18</v>
      </c>
      <c r="J506" s="3">
        <v>45446</v>
      </c>
      <c r="K506" s="4">
        <f>ClientiBanca[[#This Row],[Prestito]]+ClientiBanca[[#This Row],[Mutuo]]</f>
        <v>181200</v>
      </c>
      <c r="L506" t="str">
        <f>IF(ClientiBanca[[#This Row],[Reddito annuo]]&gt;=70000,"si","no")</f>
        <v>no</v>
      </c>
    </row>
    <row r="507" spans="1:12">
      <c r="A507">
        <v>100506</v>
      </c>
      <c r="B507">
        <v>20</v>
      </c>
      <c r="C507" s="2">
        <v>59400</v>
      </c>
      <c r="D507" t="s">
        <v>21</v>
      </c>
      <c r="E507" s="2">
        <v>54400</v>
      </c>
      <c r="F507" s="2">
        <v>0</v>
      </c>
      <c r="G507" t="s">
        <v>28</v>
      </c>
      <c r="H507" t="s">
        <v>17</v>
      </c>
      <c r="I507" t="s">
        <v>15</v>
      </c>
      <c r="J507" s="3">
        <v>45374</v>
      </c>
      <c r="K507" s="4">
        <f>ClientiBanca[[#This Row],[Prestito]]+ClientiBanca[[#This Row],[Mutuo]]</f>
        <v>54400</v>
      </c>
      <c r="L507" t="str">
        <f>IF(ClientiBanca[[#This Row],[Reddito annuo]]&gt;=70000,"si","no")</f>
        <v>no</v>
      </c>
    </row>
    <row r="508" spans="1:12">
      <c r="A508">
        <v>100507</v>
      </c>
      <c r="B508">
        <v>73</v>
      </c>
      <c r="C508" s="2">
        <v>80400</v>
      </c>
      <c r="D508" t="s">
        <v>21</v>
      </c>
      <c r="E508" s="2">
        <v>28000</v>
      </c>
      <c r="F508" s="2">
        <v>0</v>
      </c>
      <c r="G508" t="s">
        <v>24</v>
      </c>
      <c r="H508" t="s">
        <v>20</v>
      </c>
      <c r="I508" t="s">
        <v>18</v>
      </c>
      <c r="J508" s="3">
        <v>46128</v>
      </c>
      <c r="K508" s="4">
        <f>ClientiBanca[[#This Row],[Prestito]]+ClientiBanca[[#This Row],[Mutuo]]</f>
        <v>28000</v>
      </c>
      <c r="L508" t="str">
        <f>IF(ClientiBanca[[#This Row],[Reddito annuo]]&gt;=70000,"si","no")</f>
        <v>si</v>
      </c>
    </row>
    <row r="509" spans="1:12">
      <c r="A509">
        <v>100508</v>
      </c>
      <c r="B509">
        <v>44</v>
      </c>
      <c r="C509" s="2">
        <v>88900</v>
      </c>
      <c r="D509" t="s">
        <v>21</v>
      </c>
      <c r="E509" s="2">
        <v>0</v>
      </c>
      <c r="F509" s="2">
        <v>277000</v>
      </c>
      <c r="G509" t="s">
        <v>28</v>
      </c>
      <c r="H509" t="s">
        <v>20</v>
      </c>
      <c r="I509" t="s">
        <v>18</v>
      </c>
      <c r="J509" s="3">
        <v>45326</v>
      </c>
      <c r="K509" s="4">
        <f>ClientiBanca[[#This Row],[Prestito]]+ClientiBanca[[#This Row],[Mutuo]]</f>
        <v>277000</v>
      </c>
      <c r="L509" t="str">
        <f>IF(ClientiBanca[[#This Row],[Reddito annuo]]&gt;=70000,"si","no")</f>
        <v>si</v>
      </c>
    </row>
    <row r="510" spans="1:12">
      <c r="A510">
        <v>100509</v>
      </c>
      <c r="B510">
        <v>32</v>
      </c>
      <c r="C510" s="2">
        <v>57100</v>
      </c>
      <c r="D510" t="s">
        <v>12</v>
      </c>
      <c r="E510" s="2">
        <v>71400</v>
      </c>
      <c r="F510" s="2">
        <v>0</v>
      </c>
      <c r="G510" t="s">
        <v>26</v>
      </c>
      <c r="H510" t="s">
        <v>14</v>
      </c>
      <c r="I510" t="s">
        <v>18</v>
      </c>
      <c r="J510" s="3">
        <v>46037</v>
      </c>
      <c r="K510" s="4">
        <f>ClientiBanca[[#This Row],[Prestito]]+ClientiBanca[[#This Row],[Mutuo]]</f>
        <v>71400</v>
      </c>
      <c r="L510" t="str">
        <f>IF(ClientiBanca[[#This Row],[Reddito annuo]]&gt;=70000,"si","no")</f>
        <v>no</v>
      </c>
    </row>
    <row r="511" spans="1:12">
      <c r="A511">
        <v>100510</v>
      </c>
      <c r="B511">
        <v>22</v>
      </c>
      <c r="C511" s="2">
        <v>79800</v>
      </c>
      <c r="D511" t="s">
        <v>12</v>
      </c>
      <c r="E511" s="2">
        <v>32700</v>
      </c>
      <c r="F511" s="2">
        <v>0</v>
      </c>
      <c r="G511" t="s">
        <v>19</v>
      </c>
      <c r="H511" t="s">
        <v>14</v>
      </c>
      <c r="I511" t="s">
        <v>18</v>
      </c>
      <c r="J511" s="3">
        <v>45515</v>
      </c>
      <c r="K511" s="4">
        <f>ClientiBanca[[#This Row],[Prestito]]+ClientiBanca[[#This Row],[Mutuo]]</f>
        <v>32700</v>
      </c>
      <c r="L511" t="str">
        <f>IF(ClientiBanca[[#This Row],[Reddito annuo]]&gt;=70000,"si","no")</f>
        <v>si</v>
      </c>
    </row>
    <row r="512" spans="1:12">
      <c r="A512">
        <v>100511</v>
      </c>
      <c r="B512">
        <v>27</v>
      </c>
      <c r="C512" s="2">
        <v>43200</v>
      </c>
      <c r="D512" t="s">
        <v>21</v>
      </c>
      <c r="E512" s="2">
        <v>53900</v>
      </c>
      <c r="F512" s="2">
        <v>0</v>
      </c>
      <c r="G512" t="s">
        <v>16</v>
      </c>
      <c r="H512" t="s">
        <v>14</v>
      </c>
      <c r="I512" t="s">
        <v>15</v>
      </c>
      <c r="J512" s="3">
        <v>45335</v>
      </c>
      <c r="K512" s="4">
        <f>ClientiBanca[[#This Row],[Prestito]]+ClientiBanca[[#This Row],[Mutuo]]</f>
        <v>53900</v>
      </c>
      <c r="L512" t="str">
        <f>IF(ClientiBanca[[#This Row],[Reddito annuo]]&gt;=70000,"si","no")</f>
        <v>no</v>
      </c>
    </row>
    <row r="513" spans="1:12">
      <c r="A513">
        <v>100512</v>
      </c>
      <c r="B513">
        <v>57</v>
      </c>
      <c r="C513" s="2">
        <v>83800</v>
      </c>
      <c r="D513" t="s">
        <v>21</v>
      </c>
      <c r="E513" s="2">
        <v>26900</v>
      </c>
      <c r="F513" s="2">
        <v>139000</v>
      </c>
      <c r="G513" t="s">
        <v>13</v>
      </c>
      <c r="H513" t="s">
        <v>17</v>
      </c>
      <c r="I513" t="s">
        <v>18</v>
      </c>
      <c r="J513" s="3">
        <v>46069</v>
      </c>
      <c r="K513" s="4">
        <f>ClientiBanca[[#This Row],[Prestito]]+ClientiBanca[[#This Row],[Mutuo]]</f>
        <v>165900</v>
      </c>
      <c r="L513" t="str">
        <f>IF(ClientiBanca[[#This Row],[Reddito annuo]]&gt;=70000,"si","no")</f>
        <v>si</v>
      </c>
    </row>
    <row r="514" spans="1:12">
      <c r="A514">
        <v>100513</v>
      </c>
      <c r="B514">
        <v>60</v>
      </c>
      <c r="C514" s="2">
        <v>30700</v>
      </c>
      <c r="D514" t="s">
        <v>21</v>
      </c>
      <c r="E514" s="2">
        <v>35800</v>
      </c>
      <c r="F514" s="2">
        <v>205000</v>
      </c>
      <c r="G514" t="s">
        <v>19</v>
      </c>
      <c r="H514" t="s">
        <v>25</v>
      </c>
      <c r="I514" t="s">
        <v>18</v>
      </c>
      <c r="J514" s="3">
        <v>46066</v>
      </c>
      <c r="K514" s="4">
        <f>ClientiBanca[[#This Row],[Prestito]]+ClientiBanca[[#This Row],[Mutuo]]</f>
        <v>240800</v>
      </c>
      <c r="L514" t="str">
        <f>IF(ClientiBanca[[#This Row],[Reddito annuo]]&gt;=70000,"si","no")</f>
        <v>no</v>
      </c>
    </row>
    <row r="515" spans="1:12">
      <c r="A515">
        <v>100514</v>
      </c>
      <c r="B515">
        <v>42</v>
      </c>
      <c r="C515" s="2">
        <v>86200</v>
      </c>
      <c r="D515" t="s">
        <v>21</v>
      </c>
      <c r="E515" s="2">
        <v>45600</v>
      </c>
      <c r="F515" s="2">
        <v>0</v>
      </c>
      <c r="G515" t="s">
        <v>24</v>
      </c>
      <c r="H515" t="s">
        <v>20</v>
      </c>
      <c r="I515" t="s">
        <v>18</v>
      </c>
      <c r="J515" s="3">
        <v>46015</v>
      </c>
      <c r="K515" s="4">
        <f>ClientiBanca[[#This Row],[Prestito]]+ClientiBanca[[#This Row],[Mutuo]]</f>
        <v>45600</v>
      </c>
      <c r="L515" t="str">
        <f>IF(ClientiBanca[[#This Row],[Reddito annuo]]&gt;=70000,"si","no")</f>
        <v>si</v>
      </c>
    </row>
    <row r="516" spans="1:12">
      <c r="A516">
        <v>100515</v>
      </c>
      <c r="B516">
        <v>48</v>
      </c>
      <c r="C516" s="2">
        <v>64100</v>
      </c>
      <c r="D516" t="s">
        <v>12</v>
      </c>
      <c r="E516" s="2">
        <v>37600</v>
      </c>
      <c r="F516" s="2">
        <v>0</v>
      </c>
      <c r="G516" t="s">
        <v>19</v>
      </c>
      <c r="H516" t="s">
        <v>14</v>
      </c>
      <c r="I516" t="s">
        <v>18</v>
      </c>
      <c r="J516" s="3">
        <v>46143</v>
      </c>
      <c r="K516" s="4">
        <f>ClientiBanca[[#This Row],[Prestito]]+ClientiBanca[[#This Row],[Mutuo]]</f>
        <v>37600</v>
      </c>
      <c r="L516" t="str">
        <f>IF(ClientiBanca[[#This Row],[Reddito annuo]]&gt;=70000,"si","no")</f>
        <v>no</v>
      </c>
    </row>
    <row r="517" spans="1:12">
      <c r="A517">
        <v>100516</v>
      </c>
      <c r="B517">
        <v>58</v>
      </c>
      <c r="C517" s="2">
        <v>101000</v>
      </c>
      <c r="D517" t="s">
        <v>12</v>
      </c>
      <c r="E517" s="2">
        <v>16800</v>
      </c>
      <c r="F517" s="2">
        <v>0</v>
      </c>
      <c r="G517" t="s">
        <v>26</v>
      </c>
      <c r="H517" t="s">
        <v>17</v>
      </c>
      <c r="I517" t="s">
        <v>18</v>
      </c>
      <c r="J517" s="3">
        <v>46086</v>
      </c>
      <c r="K517" s="4">
        <f>ClientiBanca[[#This Row],[Prestito]]+ClientiBanca[[#This Row],[Mutuo]]</f>
        <v>16800</v>
      </c>
      <c r="L517" t="str">
        <f>IF(ClientiBanca[[#This Row],[Reddito annuo]]&gt;=70000,"si","no")</f>
        <v>si</v>
      </c>
    </row>
    <row r="518" spans="1:12">
      <c r="A518">
        <v>100517</v>
      </c>
      <c r="B518">
        <v>60</v>
      </c>
      <c r="C518" s="2">
        <v>60200</v>
      </c>
      <c r="D518" t="s">
        <v>12</v>
      </c>
      <c r="E518" s="2">
        <v>0</v>
      </c>
      <c r="F518" s="2">
        <v>0</v>
      </c>
      <c r="G518" t="s">
        <v>19</v>
      </c>
      <c r="H518" t="s">
        <v>14</v>
      </c>
      <c r="I518" t="s">
        <v>18</v>
      </c>
      <c r="J518" s="3">
        <v>45536</v>
      </c>
      <c r="K518" s="4">
        <f>ClientiBanca[[#This Row],[Prestito]]+ClientiBanca[[#This Row],[Mutuo]]</f>
        <v>0</v>
      </c>
      <c r="L518" t="str">
        <f>IF(ClientiBanca[[#This Row],[Reddito annuo]]&gt;=70000,"si","no")</f>
        <v>no</v>
      </c>
    </row>
    <row r="519" spans="1:12">
      <c r="A519">
        <v>100518</v>
      </c>
      <c r="B519">
        <v>40</v>
      </c>
      <c r="C519" s="2">
        <v>77600</v>
      </c>
      <c r="D519" t="s">
        <v>12</v>
      </c>
      <c r="E519" s="2">
        <v>27700</v>
      </c>
      <c r="F519" s="2">
        <v>0</v>
      </c>
      <c r="G519" t="s">
        <v>28</v>
      </c>
      <c r="H519" t="s">
        <v>17</v>
      </c>
      <c r="I519" t="s">
        <v>18</v>
      </c>
      <c r="J519" s="3">
        <v>45581</v>
      </c>
      <c r="K519" s="4">
        <f>ClientiBanca[[#This Row],[Prestito]]+ClientiBanca[[#This Row],[Mutuo]]</f>
        <v>27700</v>
      </c>
      <c r="L519" t="str">
        <f>IF(ClientiBanca[[#This Row],[Reddito annuo]]&gt;=70000,"si","no")</f>
        <v>si</v>
      </c>
    </row>
    <row r="520" spans="1:12">
      <c r="A520">
        <v>100519</v>
      </c>
      <c r="B520">
        <v>40</v>
      </c>
      <c r="C520" s="2">
        <v>53700</v>
      </c>
      <c r="D520" t="s">
        <v>21</v>
      </c>
      <c r="E520" s="2">
        <v>43500</v>
      </c>
      <c r="F520" s="2">
        <v>345000</v>
      </c>
      <c r="G520" t="s">
        <v>24</v>
      </c>
      <c r="H520" t="s">
        <v>14</v>
      </c>
      <c r="I520" t="s">
        <v>18</v>
      </c>
      <c r="J520" s="3">
        <v>45789</v>
      </c>
      <c r="K520" s="4">
        <f>ClientiBanca[[#This Row],[Prestito]]+ClientiBanca[[#This Row],[Mutuo]]</f>
        <v>388500</v>
      </c>
      <c r="L520" t="str">
        <f>IF(ClientiBanca[[#This Row],[Reddito annuo]]&gt;=70000,"si","no")</f>
        <v>no</v>
      </c>
    </row>
    <row r="521" spans="1:12">
      <c r="A521">
        <v>100520</v>
      </c>
      <c r="B521">
        <v>32</v>
      </c>
      <c r="C521" s="2">
        <v>34300</v>
      </c>
      <c r="D521" t="s">
        <v>12</v>
      </c>
      <c r="E521" s="2">
        <v>0</v>
      </c>
      <c r="F521" s="2">
        <v>0</v>
      </c>
      <c r="G521" t="s">
        <v>26</v>
      </c>
      <c r="H521" t="s">
        <v>20</v>
      </c>
      <c r="I521" t="s">
        <v>18</v>
      </c>
      <c r="J521" s="3">
        <v>45518</v>
      </c>
      <c r="K521" s="4">
        <f>ClientiBanca[[#This Row],[Prestito]]+ClientiBanca[[#This Row],[Mutuo]]</f>
        <v>0</v>
      </c>
      <c r="L521" t="str">
        <f>IF(ClientiBanca[[#This Row],[Reddito annuo]]&gt;=70000,"si","no")</f>
        <v>no</v>
      </c>
    </row>
    <row r="522" spans="1:12">
      <c r="A522">
        <v>100521</v>
      </c>
      <c r="B522">
        <v>58</v>
      </c>
      <c r="C522" s="2">
        <v>77300</v>
      </c>
      <c r="D522" t="s">
        <v>21</v>
      </c>
      <c r="E522" s="2">
        <v>0</v>
      </c>
      <c r="F522" s="2">
        <v>0</v>
      </c>
      <c r="G522" t="s">
        <v>13</v>
      </c>
      <c r="H522" t="s">
        <v>20</v>
      </c>
      <c r="I522" t="s">
        <v>18</v>
      </c>
      <c r="J522" s="3">
        <v>45946</v>
      </c>
      <c r="K522" s="4">
        <f>ClientiBanca[[#This Row],[Prestito]]+ClientiBanca[[#This Row],[Mutuo]]</f>
        <v>0</v>
      </c>
      <c r="L522" t="str">
        <f>IF(ClientiBanca[[#This Row],[Reddito annuo]]&gt;=70000,"si","no")</f>
        <v>si</v>
      </c>
    </row>
    <row r="523" spans="1:12">
      <c r="A523">
        <v>100522</v>
      </c>
      <c r="B523">
        <v>23</v>
      </c>
      <c r="C523" s="2">
        <v>50600</v>
      </c>
      <c r="D523" t="s">
        <v>12</v>
      </c>
      <c r="E523" s="2">
        <v>0</v>
      </c>
      <c r="F523" s="2">
        <v>0</v>
      </c>
      <c r="G523" t="s">
        <v>27</v>
      </c>
      <c r="H523" t="s">
        <v>14</v>
      </c>
      <c r="I523" t="s">
        <v>18</v>
      </c>
      <c r="J523" s="3">
        <v>45564</v>
      </c>
      <c r="K523" s="4">
        <f>ClientiBanca[[#This Row],[Prestito]]+ClientiBanca[[#This Row],[Mutuo]]</f>
        <v>0</v>
      </c>
      <c r="L523" t="str">
        <f>IF(ClientiBanca[[#This Row],[Reddito annuo]]&gt;=70000,"si","no")</f>
        <v>no</v>
      </c>
    </row>
    <row r="524" spans="1:12">
      <c r="A524">
        <v>100523</v>
      </c>
      <c r="B524">
        <v>53</v>
      </c>
      <c r="C524" s="2">
        <v>28500</v>
      </c>
      <c r="D524" t="s">
        <v>21</v>
      </c>
      <c r="E524" s="2">
        <v>35600</v>
      </c>
      <c r="F524" s="2">
        <v>0</v>
      </c>
      <c r="G524" t="s">
        <v>13</v>
      </c>
      <c r="H524" t="s">
        <v>20</v>
      </c>
      <c r="I524" t="s">
        <v>18</v>
      </c>
      <c r="J524" s="3">
        <v>45686</v>
      </c>
      <c r="K524" s="4">
        <f>ClientiBanca[[#This Row],[Prestito]]+ClientiBanca[[#This Row],[Mutuo]]</f>
        <v>35600</v>
      </c>
      <c r="L524" t="str">
        <f>IF(ClientiBanca[[#This Row],[Reddito annuo]]&gt;=70000,"si","no")</f>
        <v>no</v>
      </c>
    </row>
    <row r="525" spans="1:12">
      <c r="A525">
        <v>100524</v>
      </c>
      <c r="B525">
        <v>32</v>
      </c>
      <c r="C525" s="2">
        <v>40800</v>
      </c>
      <c r="D525" t="s">
        <v>12</v>
      </c>
      <c r="E525" s="2">
        <v>51000</v>
      </c>
      <c r="F525" s="2">
        <v>0</v>
      </c>
      <c r="G525" t="s">
        <v>16</v>
      </c>
      <c r="H525" t="s">
        <v>14</v>
      </c>
      <c r="I525" t="s">
        <v>18</v>
      </c>
      <c r="J525" s="3">
        <v>45882</v>
      </c>
      <c r="K525" s="4">
        <f>ClientiBanca[[#This Row],[Prestito]]+ClientiBanca[[#This Row],[Mutuo]]</f>
        <v>51000</v>
      </c>
      <c r="L525" t="str">
        <f>IF(ClientiBanca[[#This Row],[Reddito annuo]]&gt;=70000,"si","no")</f>
        <v>no</v>
      </c>
    </row>
    <row r="526" spans="1:12">
      <c r="A526">
        <v>100525</v>
      </c>
      <c r="B526">
        <v>42</v>
      </c>
      <c r="C526" s="2">
        <v>73400</v>
      </c>
      <c r="D526" t="s">
        <v>12</v>
      </c>
      <c r="E526" s="2">
        <v>14100</v>
      </c>
      <c r="F526" s="2">
        <v>0</v>
      </c>
      <c r="G526" t="s">
        <v>16</v>
      </c>
      <c r="H526" t="s">
        <v>17</v>
      </c>
      <c r="I526" t="s">
        <v>18</v>
      </c>
      <c r="J526" s="3">
        <v>45838</v>
      </c>
      <c r="K526" s="4">
        <f>ClientiBanca[[#This Row],[Prestito]]+ClientiBanca[[#This Row],[Mutuo]]</f>
        <v>14100</v>
      </c>
      <c r="L526" t="str">
        <f>IF(ClientiBanca[[#This Row],[Reddito annuo]]&gt;=70000,"si","no")</f>
        <v>si</v>
      </c>
    </row>
    <row r="527" spans="1:12">
      <c r="A527">
        <v>100526</v>
      </c>
      <c r="B527">
        <v>58</v>
      </c>
      <c r="C527" s="2">
        <v>55900</v>
      </c>
      <c r="D527" t="s">
        <v>21</v>
      </c>
      <c r="E527" s="2">
        <v>69900</v>
      </c>
      <c r="F527" s="2">
        <v>0</v>
      </c>
      <c r="G527" t="s">
        <v>19</v>
      </c>
      <c r="H527" t="s">
        <v>17</v>
      </c>
      <c r="I527" t="s">
        <v>18</v>
      </c>
      <c r="J527" s="3">
        <v>46137</v>
      </c>
      <c r="K527" s="4">
        <f>ClientiBanca[[#This Row],[Prestito]]+ClientiBanca[[#This Row],[Mutuo]]</f>
        <v>69900</v>
      </c>
      <c r="L527" t="str">
        <f>IF(ClientiBanca[[#This Row],[Reddito annuo]]&gt;=70000,"si","no")</f>
        <v>no</v>
      </c>
    </row>
    <row r="528" spans="1:12">
      <c r="A528">
        <v>100527</v>
      </c>
      <c r="B528">
        <v>66</v>
      </c>
      <c r="C528" s="2">
        <v>48300</v>
      </c>
      <c r="D528" t="s">
        <v>21</v>
      </c>
      <c r="E528" s="2">
        <v>27100</v>
      </c>
      <c r="F528" s="2">
        <v>0</v>
      </c>
      <c r="G528" t="s">
        <v>26</v>
      </c>
      <c r="H528" t="s">
        <v>17</v>
      </c>
      <c r="I528" t="s">
        <v>18</v>
      </c>
      <c r="J528" s="3">
        <v>45698</v>
      </c>
      <c r="K528" s="4">
        <f>ClientiBanca[[#This Row],[Prestito]]+ClientiBanca[[#This Row],[Mutuo]]</f>
        <v>27100</v>
      </c>
      <c r="L528" t="str">
        <f>IF(ClientiBanca[[#This Row],[Reddito annuo]]&gt;=70000,"si","no")</f>
        <v>no</v>
      </c>
    </row>
    <row r="529" spans="1:12">
      <c r="A529">
        <v>100528</v>
      </c>
      <c r="B529">
        <v>20</v>
      </c>
      <c r="C529" s="2">
        <v>78100</v>
      </c>
      <c r="D529" t="s">
        <v>22</v>
      </c>
      <c r="E529" s="2">
        <v>34700</v>
      </c>
      <c r="F529" s="2">
        <v>0</v>
      </c>
      <c r="G529" t="s">
        <v>26</v>
      </c>
      <c r="H529" t="s">
        <v>20</v>
      </c>
      <c r="I529" t="s">
        <v>18</v>
      </c>
      <c r="J529" s="3">
        <v>45511</v>
      </c>
      <c r="K529" s="4">
        <f>ClientiBanca[[#This Row],[Prestito]]+ClientiBanca[[#This Row],[Mutuo]]</f>
        <v>34700</v>
      </c>
      <c r="L529" t="str">
        <f>IF(ClientiBanca[[#This Row],[Reddito annuo]]&gt;=70000,"si","no")</f>
        <v>si</v>
      </c>
    </row>
    <row r="530" spans="1:12">
      <c r="A530">
        <v>100529</v>
      </c>
      <c r="B530">
        <v>74</v>
      </c>
      <c r="C530" s="2">
        <v>47800</v>
      </c>
      <c r="D530" t="s">
        <v>12</v>
      </c>
      <c r="E530" s="2">
        <v>0</v>
      </c>
      <c r="F530" s="2">
        <v>0</v>
      </c>
      <c r="G530" t="s">
        <v>24</v>
      </c>
      <c r="H530" t="s">
        <v>20</v>
      </c>
      <c r="I530" t="s">
        <v>18</v>
      </c>
      <c r="J530" s="3">
        <v>45763</v>
      </c>
      <c r="K530" s="4">
        <f>ClientiBanca[[#This Row],[Prestito]]+ClientiBanca[[#This Row],[Mutuo]]</f>
        <v>0</v>
      </c>
      <c r="L530" t="str">
        <f>IF(ClientiBanca[[#This Row],[Reddito annuo]]&gt;=70000,"si","no")</f>
        <v>no</v>
      </c>
    </row>
    <row r="531" spans="1:12">
      <c r="A531">
        <v>100530</v>
      </c>
      <c r="B531">
        <v>42</v>
      </c>
      <c r="C531" s="2">
        <v>38500</v>
      </c>
      <c r="D531" t="s">
        <v>21</v>
      </c>
      <c r="E531" s="2">
        <v>0</v>
      </c>
      <c r="F531" s="2">
        <v>0</v>
      </c>
      <c r="G531" t="s">
        <v>26</v>
      </c>
      <c r="H531" t="s">
        <v>14</v>
      </c>
      <c r="I531" t="s">
        <v>18</v>
      </c>
      <c r="J531" s="3">
        <v>45386</v>
      </c>
      <c r="K531" s="4">
        <f>ClientiBanca[[#This Row],[Prestito]]+ClientiBanca[[#This Row],[Mutuo]]</f>
        <v>0</v>
      </c>
      <c r="L531" t="str">
        <f>IF(ClientiBanca[[#This Row],[Reddito annuo]]&gt;=70000,"si","no")</f>
        <v>no</v>
      </c>
    </row>
    <row r="532" spans="1:12">
      <c r="A532">
        <v>100531</v>
      </c>
      <c r="B532">
        <v>56</v>
      </c>
      <c r="C532" s="2">
        <v>53100</v>
      </c>
      <c r="D532" t="s">
        <v>22</v>
      </c>
      <c r="E532" s="2">
        <v>0</v>
      </c>
      <c r="F532" s="2">
        <v>0</v>
      </c>
      <c r="G532" t="s">
        <v>28</v>
      </c>
      <c r="H532" t="s">
        <v>20</v>
      </c>
      <c r="I532" t="s">
        <v>18</v>
      </c>
      <c r="J532" s="3">
        <v>46137</v>
      </c>
      <c r="K532" s="4">
        <f>ClientiBanca[[#This Row],[Prestito]]+ClientiBanca[[#This Row],[Mutuo]]</f>
        <v>0</v>
      </c>
      <c r="L532" t="str">
        <f>IF(ClientiBanca[[#This Row],[Reddito annuo]]&gt;=70000,"si","no")</f>
        <v>no</v>
      </c>
    </row>
    <row r="533" spans="1:12">
      <c r="A533">
        <v>100532</v>
      </c>
      <c r="B533">
        <v>64</v>
      </c>
      <c r="C533" s="2">
        <v>75900</v>
      </c>
      <c r="D533" t="s">
        <v>12</v>
      </c>
      <c r="E533" s="2">
        <v>42400</v>
      </c>
      <c r="F533" s="2">
        <v>289000</v>
      </c>
      <c r="G533" t="s">
        <v>16</v>
      </c>
      <c r="H533" t="s">
        <v>20</v>
      </c>
      <c r="I533" t="s">
        <v>18</v>
      </c>
      <c r="J533" s="3">
        <v>46081</v>
      </c>
      <c r="K533" s="4">
        <f>ClientiBanca[[#This Row],[Prestito]]+ClientiBanca[[#This Row],[Mutuo]]</f>
        <v>331400</v>
      </c>
      <c r="L533" t="str">
        <f>IF(ClientiBanca[[#This Row],[Reddito annuo]]&gt;=70000,"si","no")</f>
        <v>si</v>
      </c>
    </row>
    <row r="534" spans="1:12">
      <c r="A534">
        <v>100533</v>
      </c>
      <c r="B534">
        <v>41</v>
      </c>
      <c r="C534" s="2">
        <v>49800</v>
      </c>
      <c r="D534" t="s">
        <v>12</v>
      </c>
      <c r="E534" s="2">
        <v>61100</v>
      </c>
      <c r="F534" s="2">
        <v>0</v>
      </c>
      <c r="G534" t="s">
        <v>23</v>
      </c>
      <c r="H534" t="s">
        <v>14</v>
      </c>
      <c r="I534" t="s">
        <v>18</v>
      </c>
      <c r="J534" s="3">
        <v>46242</v>
      </c>
      <c r="K534" s="4">
        <f>ClientiBanca[[#This Row],[Prestito]]+ClientiBanca[[#This Row],[Mutuo]]</f>
        <v>61100</v>
      </c>
      <c r="L534" t="str">
        <f>IF(ClientiBanca[[#This Row],[Reddito annuo]]&gt;=70000,"si","no")</f>
        <v>no</v>
      </c>
    </row>
    <row r="535" spans="1:12">
      <c r="A535">
        <v>100534</v>
      </c>
      <c r="B535">
        <v>20</v>
      </c>
      <c r="C535" s="2">
        <v>69900</v>
      </c>
      <c r="D535" t="s">
        <v>12</v>
      </c>
      <c r="E535" s="2">
        <v>35100</v>
      </c>
      <c r="F535" s="2">
        <v>0</v>
      </c>
      <c r="G535" t="s">
        <v>24</v>
      </c>
      <c r="H535" t="s">
        <v>17</v>
      </c>
      <c r="I535" t="s">
        <v>18</v>
      </c>
      <c r="J535" s="3">
        <v>45448</v>
      </c>
      <c r="K535" s="4">
        <f>ClientiBanca[[#This Row],[Prestito]]+ClientiBanca[[#This Row],[Mutuo]]</f>
        <v>35100</v>
      </c>
      <c r="L535" t="str">
        <f>IF(ClientiBanca[[#This Row],[Reddito annuo]]&gt;=70000,"si","no")</f>
        <v>no</v>
      </c>
    </row>
    <row r="536" spans="1:12">
      <c r="A536">
        <v>100535</v>
      </c>
      <c r="B536">
        <v>23</v>
      </c>
      <c r="C536" s="2">
        <v>73300</v>
      </c>
      <c r="D536" t="s">
        <v>22</v>
      </c>
      <c r="E536" s="2">
        <v>0</v>
      </c>
      <c r="F536" s="2">
        <v>0</v>
      </c>
      <c r="G536" t="s">
        <v>13</v>
      </c>
      <c r="H536" t="s">
        <v>20</v>
      </c>
      <c r="I536" t="s">
        <v>18</v>
      </c>
      <c r="J536" s="3">
        <v>45588</v>
      </c>
      <c r="K536" s="4">
        <f>ClientiBanca[[#This Row],[Prestito]]+ClientiBanca[[#This Row],[Mutuo]]</f>
        <v>0</v>
      </c>
      <c r="L536" t="str">
        <f>IF(ClientiBanca[[#This Row],[Reddito annuo]]&gt;=70000,"si","no")</f>
        <v>si</v>
      </c>
    </row>
    <row r="537" spans="1:12">
      <c r="A537">
        <v>100536</v>
      </c>
      <c r="B537">
        <v>70</v>
      </c>
      <c r="C537" s="2">
        <v>52700</v>
      </c>
      <c r="D537" t="s">
        <v>21</v>
      </c>
      <c r="E537" s="2">
        <v>37900</v>
      </c>
      <c r="F537" s="2">
        <v>187000</v>
      </c>
      <c r="G537" t="s">
        <v>13</v>
      </c>
      <c r="H537" t="s">
        <v>17</v>
      </c>
      <c r="I537" t="s">
        <v>18</v>
      </c>
      <c r="J537" s="3">
        <v>46006</v>
      </c>
      <c r="K537" s="4">
        <f>ClientiBanca[[#This Row],[Prestito]]+ClientiBanca[[#This Row],[Mutuo]]</f>
        <v>224900</v>
      </c>
      <c r="L537" t="str">
        <f>IF(ClientiBanca[[#This Row],[Reddito annuo]]&gt;=70000,"si","no")</f>
        <v>no</v>
      </c>
    </row>
    <row r="538" spans="1:12">
      <c r="A538">
        <v>100537</v>
      </c>
      <c r="B538">
        <v>28</v>
      </c>
      <c r="C538" s="2">
        <v>81600</v>
      </c>
      <c r="D538" t="s">
        <v>21</v>
      </c>
      <c r="E538" s="2">
        <v>28100</v>
      </c>
      <c r="F538" s="2">
        <v>0</v>
      </c>
      <c r="G538" t="s">
        <v>23</v>
      </c>
      <c r="H538" t="s">
        <v>20</v>
      </c>
      <c r="I538" t="s">
        <v>18</v>
      </c>
      <c r="J538" s="3">
        <v>45732</v>
      </c>
      <c r="K538" s="4">
        <f>ClientiBanca[[#This Row],[Prestito]]+ClientiBanca[[#This Row],[Mutuo]]</f>
        <v>28100</v>
      </c>
      <c r="L538" t="str">
        <f>IF(ClientiBanca[[#This Row],[Reddito annuo]]&gt;=70000,"si","no")</f>
        <v>si</v>
      </c>
    </row>
    <row r="539" spans="1:12">
      <c r="A539">
        <v>100538</v>
      </c>
      <c r="B539">
        <v>40</v>
      </c>
      <c r="C539" s="2">
        <v>74300</v>
      </c>
      <c r="D539" t="s">
        <v>12</v>
      </c>
      <c r="E539" s="2">
        <v>29000</v>
      </c>
      <c r="F539" s="2">
        <v>0</v>
      </c>
      <c r="G539" t="s">
        <v>23</v>
      </c>
      <c r="H539" t="s">
        <v>17</v>
      </c>
      <c r="I539" t="s">
        <v>18</v>
      </c>
      <c r="J539" s="3">
        <v>45316</v>
      </c>
      <c r="K539" s="4">
        <f>ClientiBanca[[#This Row],[Prestito]]+ClientiBanca[[#This Row],[Mutuo]]</f>
        <v>29000</v>
      </c>
      <c r="L539" t="str">
        <f>IF(ClientiBanca[[#This Row],[Reddito annuo]]&gt;=70000,"si","no")</f>
        <v>si</v>
      </c>
    </row>
    <row r="540" spans="1:12">
      <c r="A540">
        <v>100539</v>
      </c>
      <c r="B540">
        <v>69</v>
      </c>
      <c r="C540" s="2">
        <v>47200</v>
      </c>
      <c r="D540" t="s">
        <v>22</v>
      </c>
      <c r="E540" s="2">
        <v>59000</v>
      </c>
      <c r="F540" s="2">
        <v>0</v>
      </c>
      <c r="G540" t="s">
        <v>24</v>
      </c>
      <c r="H540" t="s">
        <v>17</v>
      </c>
      <c r="I540" t="s">
        <v>18</v>
      </c>
      <c r="J540" s="3">
        <v>45531</v>
      </c>
      <c r="K540" s="4">
        <f>ClientiBanca[[#This Row],[Prestito]]+ClientiBanca[[#This Row],[Mutuo]]</f>
        <v>59000</v>
      </c>
      <c r="L540" t="str">
        <f>IF(ClientiBanca[[#This Row],[Reddito annuo]]&gt;=70000,"si","no")</f>
        <v>no</v>
      </c>
    </row>
    <row r="541" spans="1:12">
      <c r="A541">
        <v>100540</v>
      </c>
      <c r="B541">
        <v>32</v>
      </c>
      <c r="C541" s="2">
        <v>74300</v>
      </c>
      <c r="D541" t="s">
        <v>21</v>
      </c>
      <c r="E541" s="2">
        <v>0</v>
      </c>
      <c r="F541" s="2">
        <v>267000</v>
      </c>
      <c r="G541" t="s">
        <v>23</v>
      </c>
      <c r="H541" t="s">
        <v>25</v>
      </c>
      <c r="I541" t="s">
        <v>18</v>
      </c>
      <c r="J541" s="3">
        <v>46240</v>
      </c>
      <c r="K541" s="4">
        <f>ClientiBanca[[#This Row],[Prestito]]+ClientiBanca[[#This Row],[Mutuo]]</f>
        <v>267000</v>
      </c>
      <c r="L541" t="str">
        <f>IF(ClientiBanca[[#This Row],[Reddito annuo]]&gt;=70000,"si","no")</f>
        <v>si</v>
      </c>
    </row>
    <row r="542" spans="1:12">
      <c r="A542">
        <v>100541</v>
      </c>
      <c r="B542">
        <v>29</v>
      </c>
      <c r="C542" s="2">
        <v>94000</v>
      </c>
      <c r="D542" t="s">
        <v>22</v>
      </c>
      <c r="E542" s="2">
        <v>46000</v>
      </c>
      <c r="F542" s="2">
        <v>198000</v>
      </c>
      <c r="G542" t="s">
        <v>27</v>
      </c>
      <c r="H542" t="s">
        <v>20</v>
      </c>
      <c r="I542" t="s">
        <v>18</v>
      </c>
      <c r="J542" s="3">
        <v>45508</v>
      </c>
      <c r="K542" s="4">
        <f>ClientiBanca[[#This Row],[Prestito]]+ClientiBanca[[#This Row],[Mutuo]]</f>
        <v>244000</v>
      </c>
      <c r="L542" t="str">
        <f>IF(ClientiBanca[[#This Row],[Reddito annuo]]&gt;=70000,"si","no")</f>
        <v>si</v>
      </c>
    </row>
    <row r="543" spans="1:12">
      <c r="A543">
        <v>100542</v>
      </c>
      <c r="B543">
        <v>33</v>
      </c>
      <c r="C543" s="2">
        <v>63100</v>
      </c>
      <c r="D543" t="s">
        <v>12</v>
      </c>
      <c r="E543" s="2">
        <v>41100</v>
      </c>
      <c r="F543" s="2">
        <v>0</v>
      </c>
      <c r="G543" t="s">
        <v>27</v>
      </c>
      <c r="H543" t="s">
        <v>17</v>
      </c>
      <c r="I543" t="s">
        <v>18</v>
      </c>
      <c r="J543" s="3">
        <v>45831</v>
      </c>
      <c r="K543" s="4">
        <f>ClientiBanca[[#This Row],[Prestito]]+ClientiBanca[[#This Row],[Mutuo]]</f>
        <v>41100</v>
      </c>
      <c r="L543" t="str">
        <f>IF(ClientiBanca[[#This Row],[Reddito annuo]]&gt;=70000,"si","no")</f>
        <v>no</v>
      </c>
    </row>
    <row r="544" spans="1:12">
      <c r="A544">
        <v>100543</v>
      </c>
      <c r="B544">
        <v>22</v>
      </c>
      <c r="C544" s="2">
        <v>44300</v>
      </c>
      <c r="D544" t="s">
        <v>21</v>
      </c>
      <c r="E544" s="2">
        <v>46200</v>
      </c>
      <c r="F544" s="2">
        <v>0</v>
      </c>
      <c r="G544" t="s">
        <v>28</v>
      </c>
      <c r="H544" t="s">
        <v>14</v>
      </c>
      <c r="I544" t="s">
        <v>15</v>
      </c>
      <c r="J544" s="3">
        <v>45689</v>
      </c>
      <c r="K544" s="4">
        <f>ClientiBanca[[#This Row],[Prestito]]+ClientiBanca[[#This Row],[Mutuo]]</f>
        <v>46200</v>
      </c>
      <c r="L544" t="str">
        <f>IF(ClientiBanca[[#This Row],[Reddito annuo]]&gt;=70000,"si","no")</f>
        <v>no</v>
      </c>
    </row>
    <row r="545" spans="1:12">
      <c r="A545">
        <v>100544</v>
      </c>
      <c r="B545">
        <v>62</v>
      </c>
      <c r="C545" s="2">
        <v>45300</v>
      </c>
      <c r="D545" t="s">
        <v>22</v>
      </c>
      <c r="E545" s="2">
        <v>56600</v>
      </c>
      <c r="F545" s="2">
        <v>311000</v>
      </c>
      <c r="G545" t="s">
        <v>16</v>
      </c>
      <c r="H545" t="s">
        <v>20</v>
      </c>
      <c r="I545" t="s">
        <v>18</v>
      </c>
      <c r="J545" s="3">
        <v>46018</v>
      </c>
      <c r="K545" s="4">
        <f>ClientiBanca[[#This Row],[Prestito]]+ClientiBanca[[#This Row],[Mutuo]]</f>
        <v>367600</v>
      </c>
      <c r="L545" t="str">
        <f>IF(ClientiBanca[[#This Row],[Reddito annuo]]&gt;=70000,"si","no")</f>
        <v>no</v>
      </c>
    </row>
    <row r="546" spans="1:12">
      <c r="A546">
        <v>100545</v>
      </c>
      <c r="B546">
        <v>26</v>
      </c>
      <c r="C546" s="2">
        <v>99200</v>
      </c>
      <c r="D546" t="s">
        <v>21</v>
      </c>
      <c r="E546" s="2">
        <v>13100</v>
      </c>
      <c r="F546" s="2">
        <v>365000</v>
      </c>
      <c r="G546" t="s">
        <v>27</v>
      </c>
      <c r="H546" t="s">
        <v>20</v>
      </c>
      <c r="I546" t="s">
        <v>18</v>
      </c>
      <c r="J546" s="3">
        <v>45604</v>
      </c>
      <c r="K546" s="4">
        <f>ClientiBanca[[#This Row],[Prestito]]+ClientiBanca[[#This Row],[Mutuo]]</f>
        <v>378100</v>
      </c>
      <c r="L546" t="str">
        <f>IF(ClientiBanca[[#This Row],[Reddito annuo]]&gt;=70000,"si","no")</f>
        <v>si</v>
      </c>
    </row>
    <row r="547" spans="1:12">
      <c r="A547">
        <v>100546</v>
      </c>
      <c r="B547">
        <v>41</v>
      </c>
      <c r="C547" s="2">
        <v>59100</v>
      </c>
      <c r="D547" t="s">
        <v>12</v>
      </c>
      <c r="E547" s="2">
        <v>45300</v>
      </c>
      <c r="F547" s="2">
        <v>0</v>
      </c>
      <c r="G547" t="s">
        <v>26</v>
      </c>
      <c r="H547" t="s">
        <v>20</v>
      </c>
      <c r="I547" t="s">
        <v>18</v>
      </c>
      <c r="J547" s="3">
        <v>45805</v>
      </c>
      <c r="K547" s="4">
        <f>ClientiBanca[[#This Row],[Prestito]]+ClientiBanca[[#This Row],[Mutuo]]</f>
        <v>45300</v>
      </c>
      <c r="L547" t="str">
        <f>IF(ClientiBanca[[#This Row],[Reddito annuo]]&gt;=70000,"si","no")</f>
        <v>no</v>
      </c>
    </row>
    <row r="548" spans="1:12">
      <c r="A548">
        <v>100547</v>
      </c>
      <c r="B548">
        <v>37</v>
      </c>
      <c r="C548" s="2">
        <v>86900</v>
      </c>
      <c r="D548" t="s">
        <v>12</v>
      </c>
      <c r="E548" s="2">
        <v>0</v>
      </c>
      <c r="F548" s="2">
        <v>0</v>
      </c>
      <c r="G548" t="s">
        <v>27</v>
      </c>
      <c r="H548" t="s">
        <v>14</v>
      </c>
      <c r="I548" t="s">
        <v>18</v>
      </c>
      <c r="J548" s="3">
        <v>46263</v>
      </c>
      <c r="K548" s="4">
        <f>ClientiBanca[[#This Row],[Prestito]]+ClientiBanca[[#This Row],[Mutuo]]</f>
        <v>0</v>
      </c>
      <c r="L548" t="str">
        <f>IF(ClientiBanca[[#This Row],[Reddito annuo]]&gt;=70000,"si","no")</f>
        <v>si</v>
      </c>
    </row>
    <row r="549" spans="1:12">
      <c r="A549">
        <v>100548</v>
      </c>
      <c r="B549">
        <v>37</v>
      </c>
      <c r="C549" s="2">
        <v>42600</v>
      </c>
      <c r="D549" t="s">
        <v>21</v>
      </c>
      <c r="E549" s="2">
        <v>15900</v>
      </c>
      <c r="F549" s="2">
        <v>0</v>
      </c>
      <c r="G549" t="s">
        <v>23</v>
      </c>
      <c r="H549" t="s">
        <v>17</v>
      </c>
      <c r="I549" t="s">
        <v>18</v>
      </c>
      <c r="J549" s="3">
        <v>45728</v>
      </c>
      <c r="K549" s="4">
        <f>ClientiBanca[[#This Row],[Prestito]]+ClientiBanca[[#This Row],[Mutuo]]</f>
        <v>15900</v>
      </c>
      <c r="L549" t="str">
        <f>IF(ClientiBanca[[#This Row],[Reddito annuo]]&gt;=70000,"si","no")</f>
        <v>no</v>
      </c>
    </row>
    <row r="550" spans="1:12">
      <c r="A550">
        <v>100549</v>
      </c>
      <c r="B550">
        <v>39</v>
      </c>
      <c r="C550" s="2">
        <v>100200</v>
      </c>
      <c r="D550" t="s">
        <v>21</v>
      </c>
      <c r="E550" s="2">
        <v>19100</v>
      </c>
      <c r="F550" s="2">
        <v>217000</v>
      </c>
      <c r="G550" t="s">
        <v>23</v>
      </c>
      <c r="H550" t="s">
        <v>14</v>
      </c>
      <c r="I550" t="s">
        <v>18</v>
      </c>
      <c r="J550" s="3">
        <v>46014</v>
      </c>
      <c r="K550" s="4">
        <f>ClientiBanca[[#This Row],[Prestito]]+ClientiBanca[[#This Row],[Mutuo]]</f>
        <v>236100</v>
      </c>
      <c r="L550" t="str">
        <f>IF(ClientiBanca[[#This Row],[Reddito annuo]]&gt;=70000,"si","no")</f>
        <v>si</v>
      </c>
    </row>
    <row r="551" spans="1:12">
      <c r="A551">
        <v>100550</v>
      </c>
      <c r="B551">
        <v>53</v>
      </c>
      <c r="C551" s="2">
        <v>100100</v>
      </c>
      <c r="D551" t="s">
        <v>21</v>
      </c>
      <c r="E551" s="2">
        <v>0</v>
      </c>
      <c r="F551" s="2">
        <v>0</v>
      </c>
      <c r="G551" t="s">
        <v>24</v>
      </c>
      <c r="H551" t="s">
        <v>20</v>
      </c>
      <c r="I551" t="s">
        <v>18</v>
      </c>
      <c r="J551" s="3">
        <v>45862</v>
      </c>
      <c r="K551" s="4">
        <f>ClientiBanca[[#This Row],[Prestito]]+ClientiBanca[[#This Row],[Mutuo]]</f>
        <v>0</v>
      </c>
      <c r="L551" t="str">
        <f>IF(ClientiBanca[[#This Row],[Reddito annuo]]&gt;=70000,"si","no")</f>
        <v>si</v>
      </c>
    </row>
    <row r="552" spans="1:12">
      <c r="A552">
        <v>100551</v>
      </c>
      <c r="B552">
        <v>54</v>
      </c>
      <c r="C552" s="2">
        <v>107500</v>
      </c>
      <c r="D552" t="s">
        <v>21</v>
      </c>
      <c r="E552" s="2">
        <v>62400</v>
      </c>
      <c r="F552" s="2">
        <v>0</v>
      </c>
      <c r="G552" t="s">
        <v>19</v>
      </c>
      <c r="H552" t="s">
        <v>14</v>
      </c>
      <c r="I552" t="s">
        <v>18</v>
      </c>
      <c r="J552" s="3">
        <v>45713</v>
      </c>
      <c r="K552" s="4">
        <f>ClientiBanca[[#This Row],[Prestito]]+ClientiBanca[[#This Row],[Mutuo]]</f>
        <v>62400</v>
      </c>
      <c r="L552" t="str">
        <f>IF(ClientiBanca[[#This Row],[Reddito annuo]]&gt;=70000,"si","no")</f>
        <v>si</v>
      </c>
    </row>
    <row r="553" spans="1:12">
      <c r="A553">
        <v>100552</v>
      </c>
      <c r="B553">
        <v>39</v>
      </c>
      <c r="C553" s="2">
        <v>55900</v>
      </c>
      <c r="D553" t="s">
        <v>22</v>
      </c>
      <c r="E553" s="2">
        <v>0</v>
      </c>
      <c r="F553" s="2">
        <v>0</v>
      </c>
      <c r="G553" t="s">
        <v>26</v>
      </c>
      <c r="H553" t="s">
        <v>20</v>
      </c>
      <c r="I553" t="s">
        <v>18</v>
      </c>
      <c r="J553" s="3">
        <v>45484</v>
      </c>
      <c r="K553" s="4">
        <f>ClientiBanca[[#This Row],[Prestito]]+ClientiBanca[[#This Row],[Mutuo]]</f>
        <v>0</v>
      </c>
      <c r="L553" t="str">
        <f>IF(ClientiBanca[[#This Row],[Reddito annuo]]&gt;=70000,"si","no")</f>
        <v>no</v>
      </c>
    </row>
    <row r="554" spans="1:12">
      <c r="A554">
        <v>100553</v>
      </c>
      <c r="B554">
        <v>26</v>
      </c>
      <c r="C554" s="2">
        <v>36800</v>
      </c>
      <c r="D554" t="s">
        <v>21</v>
      </c>
      <c r="E554" s="2">
        <v>0</v>
      </c>
      <c r="F554" s="2">
        <v>0</v>
      </c>
      <c r="G554" t="s">
        <v>23</v>
      </c>
      <c r="H554" t="s">
        <v>14</v>
      </c>
      <c r="I554" t="s">
        <v>18</v>
      </c>
      <c r="J554" s="3">
        <v>45528</v>
      </c>
      <c r="K554" s="4">
        <f>ClientiBanca[[#This Row],[Prestito]]+ClientiBanca[[#This Row],[Mutuo]]</f>
        <v>0</v>
      </c>
      <c r="L554" t="str">
        <f>IF(ClientiBanca[[#This Row],[Reddito annuo]]&gt;=70000,"si","no")</f>
        <v>no</v>
      </c>
    </row>
    <row r="555" spans="1:12">
      <c r="A555">
        <v>100554</v>
      </c>
      <c r="B555">
        <v>63</v>
      </c>
      <c r="C555" s="2">
        <v>26400</v>
      </c>
      <c r="D555" t="s">
        <v>21</v>
      </c>
      <c r="E555" s="2">
        <v>0</v>
      </c>
      <c r="F555" s="2">
        <v>0</v>
      </c>
      <c r="G555" t="s">
        <v>28</v>
      </c>
      <c r="H555" t="s">
        <v>14</v>
      </c>
      <c r="I555" t="s">
        <v>18</v>
      </c>
      <c r="J555" s="3">
        <v>45674</v>
      </c>
      <c r="K555" s="4">
        <f>ClientiBanca[[#This Row],[Prestito]]+ClientiBanca[[#This Row],[Mutuo]]</f>
        <v>0</v>
      </c>
      <c r="L555" t="str">
        <f>IF(ClientiBanca[[#This Row],[Reddito annuo]]&gt;=70000,"si","no")</f>
        <v>no</v>
      </c>
    </row>
    <row r="556" spans="1:12">
      <c r="A556">
        <v>100555</v>
      </c>
      <c r="B556">
        <v>31</v>
      </c>
      <c r="C556" s="2">
        <v>91800</v>
      </c>
      <c r="D556" t="s">
        <v>21</v>
      </c>
      <c r="E556" s="2">
        <v>18500</v>
      </c>
      <c r="F556" s="2">
        <v>274000</v>
      </c>
      <c r="G556" t="s">
        <v>27</v>
      </c>
      <c r="H556" t="s">
        <v>14</v>
      </c>
      <c r="I556" t="s">
        <v>18</v>
      </c>
      <c r="J556" s="3">
        <v>45519</v>
      </c>
      <c r="K556" s="4">
        <f>ClientiBanca[[#This Row],[Prestito]]+ClientiBanca[[#This Row],[Mutuo]]</f>
        <v>292500</v>
      </c>
      <c r="L556" t="str">
        <f>IF(ClientiBanca[[#This Row],[Reddito annuo]]&gt;=70000,"si","no")</f>
        <v>si</v>
      </c>
    </row>
    <row r="557" spans="1:12">
      <c r="A557">
        <v>100556</v>
      </c>
      <c r="B557">
        <v>67</v>
      </c>
      <c r="C557" s="2">
        <v>73100</v>
      </c>
      <c r="D557" t="s">
        <v>21</v>
      </c>
      <c r="E557" s="2">
        <v>17800</v>
      </c>
      <c r="F557" s="2">
        <v>0</v>
      </c>
      <c r="G557" t="s">
        <v>28</v>
      </c>
      <c r="H557" t="s">
        <v>14</v>
      </c>
      <c r="I557" t="s">
        <v>18</v>
      </c>
      <c r="J557" s="3">
        <v>45624</v>
      </c>
      <c r="K557" s="4">
        <f>ClientiBanca[[#This Row],[Prestito]]+ClientiBanca[[#This Row],[Mutuo]]</f>
        <v>17800</v>
      </c>
      <c r="L557" t="str">
        <f>IF(ClientiBanca[[#This Row],[Reddito annuo]]&gt;=70000,"si","no")</f>
        <v>si</v>
      </c>
    </row>
    <row r="558" spans="1:12">
      <c r="A558">
        <v>100557</v>
      </c>
      <c r="B558">
        <v>75</v>
      </c>
      <c r="C558" s="2">
        <v>56900</v>
      </c>
      <c r="D558" t="s">
        <v>21</v>
      </c>
      <c r="E558" s="2">
        <v>9700</v>
      </c>
      <c r="F558" s="2">
        <v>0</v>
      </c>
      <c r="G558" t="s">
        <v>16</v>
      </c>
      <c r="H558" t="s">
        <v>14</v>
      </c>
      <c r="I558" t="s">
        <v>18</v>
      </c>
      <c r="J558" s="3">
        <v>46253</v>
      </c>
      <c r="K558" s="4">
        <f>ClientiBanca[[#This Row],[Prestito]]+ClientiBanca[[#This Row],[Mutuo]]</f>
        <v>9700</v>
      </c>
      <c r="L558" t="str">
        <f>IF(ClientiBanca[[#This Row],[Reddito annuo]]&gt;=70000,"si","no")</f>
        <v>no</v>
      </c>
    </row>
    <row r="559" spans="1:12">
      <c r="A559">
        <v>100558</v>
      </c>
      <c r="B559">
        <v>67</v>
      </c>
      <c r="C559" s="2">
        <v>65000</v>
      </c>
      <c r="D559" t="s">
        <v>12</v>
      </c>
      <c r="E559" s="2">
        <v>46700</v>
      </c>
      <c r="F559" s="2">
        <v>126000</v>
      </c>
      <c r="G559" t="s">
        <v>28</v>
      </c>
      <c r="H559" t="s">
        <v>14</v>
      </c>
      <c r="I559" t="s">
        <v>15</v>
      </c>
      <c r="J559" s="3">
        <v>45543</v>
      </c>
      <c r="K559" s="4">
        <f>ClientiBanca[[#This Row],[Prestito]]+ClientiBanca[[#This Row],[Mutuo]]</f>
        <v>172700</v>
      </c>
      <c r="L559" t="str">
        <f>IF(ClientiBanca[[#This Row],[Reddito annuo]]&gt;=70000,"si","no")</f>
        <v>no</v>
      </c>
    </row>
    <row r="560" spans="1:12">
      <c r="A560">
        <v>100559</v>
      </c>
      <c r="B560">
        <v>53</v>
      </c>
      <c r="C560" s="2">
        <v>62500</v>
      </c>
      <c r="D560" t="s">
        <v>22</v>
      </c>
      <c r="E560" s="2">
        <v>27700</v>
      </c>
      <c r="F560" s="2">
        <v>0</v>
      </c>
      <c r="G560" t="s">
        <v>27</v>
      </c>
      <c r="H560" t="s">
        <v>20</v>
      </c>
      <c r="I560" t="s">
        <v>18</v>
      </c>
      <c r="J560" s="3">
        <v>46197</v>
      </c>
      <c r="K560" s="4">
        <f>ClientiBanca[[#This Row],[Prestito]]+ClientiBanca[[#This Row],[Mutuo]]</f>
        <v>27700</v>
      </c>
      <c r="L560" t="str">
        <f>IF(ClientiBanca[[#This Row],[Reddito annuo]]&gt;=70000,"si","no")</f>
        <v>no</v>
      </c>
    </row>
    <row r="561" spans="1:12">
      <c r="A561">
        <v>100560</v>
      </c>
      <c r="B561">
        <v>39</v>
      </c>
      <c r="C561" s="2">
        <v>82800</v>
      </c>
      <c r="D561" t="s">
        <v>21</v>
      </c>
      <c r="E561" s="2">
        <v>23100</v>
      </c>
      <c r="F561" s="2">
        <v>0</v>
      </c>
      <c r="G561" t="s">
        <v>24</v>
      </c>
      <c r="H561" t="s">
        <v>20</v>
      </c>
      <c r="I561" t="s">
        <v>18</v>
      </c>
      <c r="J561" s="3">
        <v>45384</v>
      </c>
      <c r="K561" s="4">
        <f>ClientiBanca[[#This Row],[Prestito]]+ClientiBanca[[#This Row],[Mutuo]]</f>
        <v>23100</v>
      </c>
      <c r="L561" t="str">
        <f>IF(ClientiBanca[[#This Row],[Reddito annuo]]&gt;=70000,"si","no")</f>
        <v>si</v>
      </c>
    </row>
    <row r="562" spans="1:12">
      <c r="A562">
        <v>100561</v>
      </c>
      <c r="B562">
        <v>66</v>
      </c>
      <c r="C562" s="2">
        <v>59800</v>
      </c>
      <c r="D562" t="s">
        <v>21</v>
      </c>
      <c r="E562" s="2">
        <v>64100</v>
      </c>
      <c r="F562" s="2">
        <v>0</v>
      </c>
      <c r="G562" t="s">
        <v>16</v>
      </c>
      <c r="H562" t="s">
        <v>17</v>
      </c>
      <c r="I562" t="s">
        <v>18</v>
      </c>
      <c r="J562" s="3">
        <v>45475</v>
      </c>
      <c r="K562" s="4">
        <f>ClientiBanca[[#This Row],[Prestito]]+ClientiBanca[[#This Row],[Mutuo]]</f>
        <v>64100</v>
      </c>
      <c r="L562" t="str">
        <f>IF(ClientiBanca[[#This Row],[Reddito annuo]]&gt;=70000,"si","no")</f>
        <v>no</v>
      </c>
    </row>
    <row r="563" spans="1:12">
      <c r="A563">
        <v>100562</v>
      </c>
      <c r="B563">
        <v>49</v>
      </c>
      <c r="C563" s="2">
        <v>66500</v>
      </c>
      <c r="D563" t="s">
        <v>12</v>
      </c>
      <c r="E563" s="2">
        <v>31200</v>
      </c>
      <c r="F563" s="2">
        <v>253000</v>
      </c>
      <c r="G563" t="s">
        <v>24</v>
      </c>
      <c r="H563" t="s">
        <v>17</v>
      </c>
      <c r="I563" t="s">
        <v>18</v>
      </c>
      <c r="J563" s="3">
        <v>45408</v>
      </c>
      <c r="K563" s="4">
        <f>ClientiBanca[[#This Row],[Prestito]]+ClientiBanca[[#This Row],[Mutuo]]</f>
        <v>284200</v>
      </c>
      <c r="L563" t="str">
        <f>IF(ClientiBanca[[#This Row],[Reddito annuo]]&gt;=70000,"si","no")</f>
        <v>no</v>
      </c>
    </row>
    <row r="564" spans="1:12">
      <c r="A564">
        <v>100563</v>
      </c>
      <c r="B564">
        <v>65</v>
      </c>
      <c r="C564" s="2">
        <v>56300</v>
      </c>
      <c r="D564" t="s">
        <v>21</v>
      </c>
      <c r="E564" s="2">
        <v>27500</v>
      </c>
      <c r="F564" s="2">
        <v>0</v>
      </c>
      <c r="G564" t="s">
        <v>24</v>
      </c>
      <c r="H564" t="s">
        <v>17</v>
      </c>
      <c r="I564" t="s">
        <v>18</v>
      </c>
      <c r="J564" s="3">
        <v>46078</v>
      </c>
      <c r="K564" s="4">
        <f>ClientiBanca[[#This Row],[Prestito]]+ClientiBanca[[#This Row],[Mutuo]]</f>
        <v>27500</v>
      </c>
      <c r="L564" t="str">
        <f>IF(ClientiBanca[[#This Row],[Reddito annuo]]&gt;=70000,"si","no")</f>
        <v>no</v>
      </c>
    </row>
    <row r="565" spans="1:12">
      <c r="A565">
        <v>100564</v>
      </c>
      <c r="B565">
        <v>30</v>
      </c>
      <c r="C565" s="2">
        <v>100600</v>
      </c>
      <c r="D565" t="s">
        <v>12</v>
      </c>
      <c r="E565" s="2">
        <v>16500</v>
      </c>
      <c r="F565" s="2">
        <v>0</v>
      </c>
      <c r="G565" t="s">
        <v>24</v>
      </c>
      <c r="H565" t="s">
        <v>17</v>
      </c>
      <c r="I565" t="s">
        <v>15</v>
      </c>
      <c r="J565" s="3">
        <v>45607</v>
      </c>
      <c r="K565" s="4">
        <f>ClientiBanca[[#This Row],[Prestito]]+ClientiBanca[[#This Row],[Mutuo]]</f>
        <v>16500</v>
      </c>
      <c r="L565" t="str">
        <f>IF(ClientiBanca[[#This Row],[Reddito annuo]]&gt;=70000,"si","no")</f>
        <v>si</v>
      </c>
    </row>
    <row r="566" spans="1:12">
      <c r="A566">
        <v>100565</v>
      </c>
      <c r="B566">
        <v>39</v>
      </c>
      <c r="C566" s="2">
        <v>78400</v>
      </c>
      <c r="D566" t="s">
        <v>22</v>
      </c>
      <c r="E566" s="2">
        <v>18000</v>
      </c>
      <c r="F566" s="2">
        <v>0</v>
      </c>
      <c r="G566" t="s">
        <v>23</v>
      </c>
      <c r="H566" t="s">
        <v>20</v>
      </c>
      <c r="I566" t="s">
        <v>18</v>
      </c>
      <c r="J566" s="3">
        <v>45304</v>
      </c>
      <c r="K566" s="4">
        <f>ClientiBanca[[#This Row],[Prestito]]+ClientiBanca[[#This Row],[Mutuo]]</f>
        <v>18000</v>
      </c>
      <c r="L566" t="str">
        <f>IF(ClientiBanca[[#This Row],[Reddito annuo]]&gt;=70000,"si","no")</f>
        <v>si</v>
      </c>
    </row>
    <row r="567" spans="1:12">
      <c r="A567">
        <v>100566</v>
      </c>
      <c r="B567">
        <v>49</v>
      </c>
      <c r="C567" s="2">
        <v>59600</v>
      </c>
      <c r="D567" t="s">
        <v>21</v>
      </c>
      <c r="E567" s="2">
        <v>0</v>
      </c>
      <c r="F567" s="2">
        <v>0</v>
      </c>
      <c r="G567" t="s">
        <v>28</v>
      </c>
      <c r="H567" t="s">
        <v>20</v>
      </c>
      <c r="I567" t="s">
        <v>18</v>
      </c>
      <c r="J567" s="3">
        <v>45894</v>
      </c>
      <c r="K567" s="4">
        <f>ClientiBanca[[#This Row],[Prestito]]+ClientiBanca[[#This Row],[Mutuo]]</f>
        <v>0</v>
      </c>
      <c r="L567" t="str">
        <f>IF(ClientiBanca[[#This Row],[Reddito annuo]]&gt;=70000,"si","no")</f>
        <v>no</v>
      </c>
    </row>
    <row r="568" spans="1:12">
      <c r="A568">
        <v>100567</v>
      </c>
      <c r="B568">
        <v>62</v>
      </c>
      <c r="C568" s="2">
        <v>58100</v>
      </c>
      <c r="D568" t="s">
        <v>21</v>
      </c>
      <c r="E568" s="2">
        <v>39700</v>
      </c>
      <c r="F568" s="2">
        <v>0</v>
      </c>
      <c r="G568" t="s">
        <v>26</v>
      </c>
      <c r="H568" t="s">
        <v>17</v>
      </c>
      <c r="I568" t="s">
        <v>18</v>
      </c>
      <c r="J568" s="3">
        <v>46137</v>
      </c>
      <c r="K568" s="4">
        <f>ClientiBanca[[#This Row],[Prestito]]+ClientiBanca[[#This Row],[Mutuo]]</f>
        <v>39700</v>
      </c>
      <c r="L568" t="str">
        <f>IF(ClientiBanca[[#This Row],[Reddito annuo]]&gt;=70000,"si","no")</f>
        <v>no</v>
      </c>
    </row>
    <row r="569" spans="1:12">
      <c r="A569">
        <v>100568</v>
      </c>
      <c r="B569">
        <v>33</v>
      </c>
      <c r="C569" s="2">
        <v>29500</v>
      </c>
      <c r="D569" t="s">
        <v>21</v>
      </c>
      <c r="E569" s="2">
        <v>9200</v>
      </c>
      <c r="F569" s="2">
        <v>0</v>
      </c>
      <c r="G569" t="s">
        <v>26</v>
      </c>
      <c r="H569" t="s">
        <v>17</v>
      </c>
      <c r="I569" t="s">
        <v>18</v>
      </c>
      <c r="J569" s="3">
        <v>45403</v>
      </c>
      <c r="K569" s="4">
        <f>ClientiBanca[[#This Row],[Prestito]]+ClientiBanca[[#This Row],[Mutuo]]</f>
        <v>9200</v>
      </c>
      <c r="L569" t="str">
        <f>IF(ClientiBanca[[#This Row],[Reddito annuo]]&gt;=70000,"si","no")</f>
        <v>no</v>
      </c>
    </row>
    <row r="570" spans="1:12">
      <c r="A570">
        <v>100569</v>
      </c>
      <c r="B570">
        <v>46</v>
      </c>
      <c r="C570" s="2">
        <v>122100</v>
      </c>
      <c r="D570" t="s">
        <v>21</v>
      </c>
      <c r="E570" s="2">
        <v>43600</v>
      </c>
      <c r="F570" s="2">
        <v>0</v>
      </c>
      <c r="G570" t="s">
        <v>24</v>
      </c>
      <c r="H570" t="s">
        <v>25</v>
      </c>
      <c r="I570" t="s">
        <v>18</v>
      </c>
      <c r="J570" s="3">
        <v>45660</v>
      </c>
      <c r="K570" s="4">
        <f>ClientiBanca[[#This Row],[Prestito]]+ClientiBanca[[#This Row],[Mutuo]]</f>
        <v>43600</v>
      </c>
      <c r="L570" t="str">
        <f>IF(ClientiBanca[[#This Row],[Reddito annuo]]&gt;=70000,"si","no")</f>
        <v>si</v>
      </c>
    </row>
    <row r="571" spans="1:12">
      <c r="A571">
        <v>100570</v>
      </c>
      <c r="B571">
        <v>22</v>
      </c>
      <c r="C571" s="2">
        <v>33800</v>
      </c>
      <c r="D571" t="s">
        <v>21</v>
      </c>
      <c r="E571" s="2">
        <v>27300</v>
      </c>
      <c r="F571" s="2">
        <v>193000</v>
      </c>
      <c r="G571" t="s">
        <v>13</v>
      </c>
      <c r="H571" t="s">
        <v>17</v>
      </c>
      <c r="I571" t="s">
        <v>18</v>
      </c>
      <c r="J571" s="3">
        <v>46003</v>
      </c>
      <c r="K571" s="4">
        <f>ClientiBanca[[#This Row],[Prestito]]+ClientiBanca[[#This Row],[Mutuo]]</f>
        <v>220300</v>
      </c>
      <c r="L571" t="str">
        <f>IF(ClientiBanca[[#This Row],[Reddito annuo]]&gt;=70000,"si","no")</f>
        <v>no</v>
      </c>
    </row>
    <row r="572" spans="1:12">
      <c r="A572">
        <v>100571</v>
      </c>
      <c r="B572">
        <v>75</v>
      </c>
      <c r="C572" s="2">
        <v>45400</v>
      </c>
      <c r="D572" t="s">
        <v>12</v>
      </c>
      <c r="E572" s="2">
        <v>46100</v>
      </c>
      <c r="F572" s="2">
        <v>0</v>
      </c>
      <c r="G572" t="s">
        <v>13</v>
      </c>
      <c r="H572" t="s">
        <v>17</v>
      </c>
      <c r="I572" t="s">
        <v>18</v>
      </c>
      <c r="J572" s="3">
        <v>45833</v>
      </c>
      <c r="K572" s="4">
        <f>ClientiBanca[[#This Row],[Prestito]]+ClientiBanca[[#This Row],[Mutuo]]</f>
        <v>46100</v>
      </c>
      <c r="L572" t="str">
        <f>IF(ClientiBanca[[#This Row],[Reddito annuo]]&gt;=70000,"si","no")</f>
        <v>no</v>
      </c>
    </row>
    <row r="573" spans="1:12">
      <c r="A573">
        <v>100572</v>
      </c>
      <c r="B573">
        <v>25</v>
      </c>
      <c r="C573" s="2">
        <v>58700</v>
      </c>
      <c r="D573" t="s">
        <v>12</v>
      </c>
      <c r="E573" s="2">
        <v>0</v>
      </c>
      <c r="F573" s="2">
        <v>0</v>
      </c>
      <c r="G573" t="s">
        <v>26</v>
      </c>
      <c r="H573" t="s">
        <v>17</v>
      </c>
      <c r="I573" t="s">
        <v>18</v>
      </c>
      <c r="J573" s="3">
        <v>46160</v>
      </c>
      <c r="K573" s="4">
        <f>ClientiBanca[[#This Row],[Prestito]]+ClientiBanca[[#This Row],[Mutuo]]</f>
        <v>0</v>
      </c>
      <c r="L573" t="str">
        <f>IF(ClientiBanca[[#This Row],[Reddito annuo]]&gt;=70000,"si","no")</f>
        <v>no</v>
      </c>
    </row>
    <row r="574" spans="1:12">
      <c r="A574">
        <v>100573</v>
      </c>
      <c r="B574">
        <v>40</v>
      </c>
      <c r="C574" s="2">
        <v>44600</v>
      </c>
      <c r="D574" t="s">
        <v>12</v>
      </c>
      <c r="E574" s="2">
        <v>55800</v>
      </c>
      <c r="F574" s="2">
        <v>0</v>
      </c>
      <c r="G574" t="s">
        <v>28</v>
      </c>
      <c r="H574" t="s">
        <v>17</v>
      </c>
      <c r="I574" t="s">
        <v>18</v>
      </c>
      <c r="J574" s="3">
        <v>45796</v>
      </c>
      <c r="K574" s="4">
        <f>ClientiBanca[[#This Row],[Prestito]]+ClientiBanca[[#This Row],[Mutuo]]</f>
        <v>55800</v>
      </c>
      <c r="L574" t="str">
        <f>IF(ClientiBanca[[#This Row],[Reddito annuo]]&gt;=70000,"si","no")</f>
        <v>no</v>
      </c>
    </row>
    <row r="575" spans="1:12">
      <c r="A575">
        <v>100574</v>
      </c>
      <c r="B575">
        <v>71</v>
      </c>
      <c r="C575" s="2">
        <v>40000</v>
      </c>
      <c r="D575" t="s">
        <v>12</v>
      </c>
      <c r="E575" s="2">
        <v>50000</v>
      </c>
      <c r="F575" s="2">
        <v>91000</v>
      </c>
      <c r="G575" t="s">
        <v>13</v>
      </c>
      <c r="H575" t="s">
        <v>14</v>
      </c>
      <c r="I575" t="s">
        <v>18</v>
      </c>
      <c r="J575" s="3">
        <v>45922</v>
      </c>
      <c r="K575" s="4">
        <f>ClientiBanca[[#This Row],[Prestito]]+ClientiBanca[[#This Row],[Mutuo]]</f>
        <v>141000</v>
      </c>
      <c r="L575" t="str">
        <f>IF(ClientiBanca[[#This Row],[Reddito annuo]]&gt;=70000,"si","no")</f>
        <v>no</v>
      </c>
    </row>
    <row r="576" spans="1:12">
      <c r="A576">
        <v>100575</v>
      </c>
      <c r="B576">
        <v>46</v>
      </c>
      <c r="C576" s="2">
        <v>54000</v>
      </c>
      <c r="D576" t="s">
        <v>21</v>
      </c>
      <c r="E576" s="2">
        <v>42100</v>
      </c>
      <c r="F576" s="2">
        <v>149000</v>
      </c>
      <c r="G576" t="s">
        <v>26</v>
      </c>
      <c r="H576" t="s">
        <v>20</v>
      </c>
      <c r="I576" t="s">
        <v>18</v>
      </c>
      <c r="J576" s="3">
        <v>45599</v>
      </c>
      <c r="K576" s="4">
        <f>ClientiBanca[[#This Row],[Prestito]]+ClientiBanca[[#This Row],[Mutuo]]</f>
        <v>191100</v>
      </c>
      <c r="L576" t="str">
        <f>IF(ClientiBanca[[#This Row],[Reddito annuo]]&gt;=70000,"si","no")</f>
        <v>no</v>
      </c>
    </row>
    <row r="577" spans="1:12">
      <c r="A577">
        <v>100576</v>
      </c>
      <c r="B577">
        <v>52</v>
      </c>
      <c r="C577" s="2">
        <v>63400</v>
      </c>
      <c r="D577" t="s">
        <v>12</v>
      </c>
      <c r="E577" s="2">
        <v>25000</v>
      </c>
      <c r="F577" s="2">
        <v>0</v>
      </c>
      <c r="G577" t="s">
        <v>27</v>
      </c>
      <c r="H577" t="s">
        <v>14</v>
      </c>
      <c r="I577" t="s">
        <v>18</v>
      </c>
      <c r="J577" s="3">
        <v>46145</v>
      </c>
      <c r="K577" s="4">
        <f>ClientiBanca[[#This Row],[Prestito]]+ClientiBanca[[#This Row],[Mutuo]]</f>
        <v>25000</v>
      </c>
      <c r="L577" t="str">
        <f>IF(ClientiBanca[[#This Row],[Reddito annuo]]&gt;=70000,"si","no")</f>
        <v>no</v>
      </c>
    </row>
    <row r="578" spans="1:12">
      <c r="A578">
        <v>100577</v>
      </c>
      <c r="B578">
        <v>41</v>
      </c>
      <c r="C578" s="2">
        <v>102300</v>
      </c>
      <c r="D578" t="s">
        <v>21</v>
      </c>
      <c r="E578" s="2">
        <v>9100</v>
      </c>
      <c r="F578" s="2">
        <v>138000</v>
      </c>
      <c r="G578" t="s">
        <v>28</v>
      </c>
      <c r="H578" t="s">
        <v>14</v>
      </c>
      <c r="I578" t="s">
        <v>18</v>
      </c>
      <c r="J578" s="3">
        <v>45635</v>
      </c>
      <c r="K578" s="4">
        <f>ClientiBanca[[#This Row],[Prestito]]+ClientiBanca[[#This Row],[Mutuo]]</f>
        <v>147100</v>
      </c>
      <c r="L578" t="str">
        <f>IF(ClientiBanca[[#This Row],[Reddito annuo]]&gt;=70000,"si","no")</f>
        <v>si</v>
      </c>
    </row>
    <row r="579" spans="1:12">
      <c r="A579">
        <v>100578</v>
      </c>
      <c r="B579">
        <v>49</v>
      </c>
      <c r="C579" s="2">
        <v>83900</v>
      </c>
      <c r="D579" t="s">
        <v>21</v>
      </c>
      <c r="E579" s="2">
        <v>0</v>
      </c>
      <c r="F579" s="2">
        <v>0</v>
      </c>
      <c r="G579" t="s">
        <v>26</v>
      </c>
      <c r="H579" t="s">
        <v>17</v>
      </c>
      <c r="I579" t="s">
        <v>18</v>
      </c>
      <c r="J579" s="3">
        <v>45986</v>
      </c>
      <c r="K579" s="4">
        <f>ClientiBanca[[#This Row],[Prestito]]+ClientiBanca[[#This Row],[Mutuo]]</f>
        <v>0</v>
      </c>
      <c r="L579" t="str">
        <f>IF(ClientiBanca[[#This Row],[Reddito annuo]]&gt;=70000,"si","no")</f>
        <v>si</v>
      </c>
    </row>
    <row r="580" spans="1:12">
      <c r="A580">
        <v>100579</v>
      </c>
      <c r="B580">
        <v>40</v>
      </c>
      <c r="C580" s="2">
        <v>63800</v>
      </c>
      <c r="D580" t="s">
        <v>21</v>
      </c>
      <c r="E580" s="2">
        <v>24900</v>
      </c>
      <c r="F580" s="2">
        <v>0</v>
      </c>
      <c r="G580" t="s">
        <v>19</v>
      </c>
      <c r="H580" t="s">
        <v>20</v>
      </c>
      <c r="I580" t="s">
        <v>18</v>
      </c>
      <c r="J580" s="3">
        <v>46152</v>
      </c>
      <c r="K580" s="4">
        <f>ClientiBanca[[#This Row],[Prestito]]+ClientiBanca[[#This Row],[Mutuo]]</f>
        <v>24900</v>
      </c>
      <c r="L580" t="str">
        <f>IF(ClientiBanca[[#This Row],[Reddito annuo]]&gt;=70000,"si","no")</f>
        <v>no</v>
      </c>
    </row>
    <row r="581" spans="1:12">
      <c r="A581">
        <v>100580</v>
      </c>
      <c r="B581">
        <v>21</v>
      </c>
      <c r="C581" s="2">
        <v>49300</v>
      </c>
      <c r="D581" t="s">
        <v>21</v>
      </c>
      <c r="E581" s="2">
        <v>17300</v>
      </c>
      <c r="F581" s="2">
        <v>0</v>
      </c>
      <c r="G581" t="s">
        <v>24</v>
      </c>
      <c r="H581" t="s">
        <v>17</v>
      </c>
      <c r="I581" t="s">
        <v>18</v>
      </c>
      <c r="J581" s="3">
        <v>46061</v>
      </c>
      <c r="K581" s="4">
        <f>ClientiBanca[[#This Row],[Prestito]]+ClientiBanca[[#This Row],[Mutuo]]</f>
        <v>17300</v>
      </c>
      <c r="L581" t="str">
        <f>IF(ClientiBanca[[#This Row],[Reddito annuo]]&gt;=70000,"si","no")</f>
        <v>no</v>
      </c>
    </row>
    <row r="582" spans="1:12">
      <c r="A582">
        <v>100581</v>
      </c>
      <c r="B582">
        <v>39</v>
      </c>
      <c r="C582" s="2">
        <v>76100</v>
      </c>
      <c r="D582" t="s">
        <v>21</v>
      </c>
      <c r="E582" s="2">
        <v>29100</v>
      </c>
      <c r="F582" s="2">
        <v>0</v>
      </c>
      <c r="G582" t="s">
        <v>23</v>
      </c>
      <c r="H582" t="s">
        <v>20</v>
      </c>
      <c r="I582" t="s">
        <v>18</v>
      </c>
      <c r="J582" s="3">
        <v>45601</v>
      </c>
      <c r="K582" s="4">
        <f>ClientiBanca[[#This Row],[Prestito]]+ClientiBanca[[#This Row],[Mutuo]]</f>
        <v>29100</v>
      </c>
      <c r="L582" t="str">
        <f>IF(ClientiBanca[[#This Row],[Reddito annuo]]&gt;=70000,"si","no")</f>
        <v>si</v>
      </c>
    </row>
    <row r="583" spans="1:12">
      <c r="A583">
        <v>100582</v>
      </c>
      <c r="B583">
        <v>33</v>
      </c>
      <c r="C583" s="2">
        <v>61600</v>
      </c>
      <c r="D583" t="s">
        <v>21</v>
      </c>
      <c r="E583" s="2">
        <v>9300</v>
      </c>
      <c r="F583" s="2">
        <v>121000</v>
      </c>
      <c r="G583" t="s">
        <v>27</v>
      </c>
      <c r="H583" t="s">
        <v>14</v>
      </c>
      <c r="I583" t="s">
        <v>18</v>
      </c>
      <c r="J583" s="3">
        <v>45449</v>
      </c>
      <c r="K583" s="4">
        <f>ClientiBanca[[#This Row],[Prestito]]+ClientiBanca[[#This Row],[Mutuo]]</f>
        <v>130300</v>
      </c>
      <c r="L583" t="str">
        <f>IF(ClientiBanca[[#This Row],[Reddito annuo]]&gt;=70000,"si","no")</f>
        <v>no</v>
      </c>
    </row>
    <row r="584" spans="1:12">
      <c r="A584">
        <v>100583</v>
      </c>
      <c r="B584">
        <v>32</v>
      </c>
      <c r="C584" s="2">
        <v>49400</v>
      </c>
      <c r="D584" t="s">
        <v>21</v>
      </c>
      <c r="E584" s="2">
        <v>0</v>
      </c>
      <c r="F584" s="2">
        <v>0</v>
      </c>
      <c r="G584" t="s">
        <v>19</v>
      </c>
      <c r="H584" t="s">
        <v>20</v>
      </c>
      <c r="I584" t="s">
        <v>18</v>
      </c>
      <c r="J584" s="3">
        <v>46184</v>
      </c>
      <c r="K584" s="4">
        <f>ClientiBanca[[#This Row],[Prestito]]+ClientiBanca[[#This Row],[Mutuo]]</f>
        <v>0</v>
      </c>
      <c r="L584" t="str">
        <f>IF(ClientiBanca[[#This Row],[Reddito annuo]]&gt;=70000,"si","no")</f>
        <v>no</v>
      </c>
    </row>
    <row r="585" spans="1:12">
      <c r="A585">
        <v>100584</v>
      </c>
      <c r="B585">
        <v>26</v>
      </c>
      <c r="C585" s="2">
        <v>88100</v>
      </c>
      <c r="D585" t="s">
        <v>22</v>
      </c>
      <c r="E585" s="2">
        <v>15700</v>
      </c>
      <c r="F585" s="2">
        <v>0</v>
      </c>
      <c r="G585" t="s">
        <v>28</v>
      </c>
      <c r="H585" t="s">
        <v>20</v>
      </c>
      <c r="I585" t="s">
        <v>18</v>
      </c>
      <c r="J585" s="3">
        <v>45410</v>
      </c>
      <c r="K585" s="4">
        <f>ClientiBanca[[#This Row],[Prestito]]+ClientiBanca[[#This Row],[Mutuo]]</f>
        <v>15700</v>
      </c>
      <c r="L585" t="str">
        <f>IF(ClientiBanca[[#This Row],[Reddito annuo]]&gt;=70000,"si","no")</f>
        <v>si</v>
      </c>
    </row>
    <row r="586" spans="1:12">
      <c r="A586">
        <v>100585</v>
      </c>
      <c r="B586">
        <v>20</v>
      </c>
      <c r="C586" s="2">
        <v>47600</v>
      </c>
      <c r="D586" t="s">
        <v>21</v>
      </c>
      <c r="E586" s="2">
        <v>0</v>
      </c>
      <c r="F586" s="2">
        <v>0</v>
      </c>
      <c r="G586" t="s">
        <v>19</v>
      </c>
      <c r="H586" t="s">
        <v>17</v>
      </c>
      <c r="I586" t="s">
        <v>18</v>
      </c>
      <c r="J586" s="3">
        <v>45339</v>
      </c>
      <c r="K586" s="4">
        <f>ClientiBanca[[#This Row],[Prestito]]+ClientiBanca[[#This Row],[Mutuo]]</f>
        <v>0</v>
      </c>
      <c r="L586" t="str">
        <f>IF(ClientiBanca[[#This Row],[Reddito annuo]]&gt;=70000,"si","no")</f>
        <v>no</v>
      </c>
    </row>
    <row r="587" spans="1:12">
      <c r="A587">
        <v>100586</v>
      </c>
      <c r="B587">
        <v>26</v>
      </c>
      <c r="C587" s="2">
        <v>61300</v>
      </c>
      <c r="D587" t="s">
        <v>12</v>
      </c>
      <c r="E587" s="2">
        <v>38300</v>
      </c>
      <c r="F587" s="2">
        <v>0</v>
      </c>
      <c r="G587" t="s">
        <v>23</v>
      </c>
      <c r="H587" t="s">
        <v>17</v>
      </c>
      <c r="I587" t="s">
        <v>18</v>
      </c>
      <c r="J587" s="3">
        <v>45575</v>
      </c>
      <c r="K587" s="4">
        <f>ClientiBanca[[#This Row],[Prestito]]+ClientiBanca[[#This Row],[Mutuo]]</f>
        <v>38300</v>
      </c>
      <c r="L587" t="str">
        <f>IF(ClientiBanca[[#This Row],[Reddito annuo]]&gt;=70000,"si","no")</f>
        <v>no</v>
      </c>
    </row>
    <row r="588" spans="1:12">
      <c r="A588">
        <v>100587</v>
      </c>
      <c r="B588">
        <v>54</v>
      </c>
      <c r="C588" s="2">
        <v>48100</v>
      </c>
      <c r="D588" t="s">
        <v>21</v>
      </c>
      <c r="E588" s="2">
        <v>16500</v>
      </c>
      <c r="F588" s="2">
        <v>85000</v>
      </c>
      <c r="G588" t="s">
        <v>13</v>
      </c>
      <c r="H588" t="s">
        <v>20</v>
      </c>
      <c r="I588" t="s">
        <v>18</v>
      </c>
      <c r="J588" s="3">
        <v>45618</v>
      </c>
      <c r="K588" s="4">
        <f>ClientiBanca[[#This Row],[Prestito]]+ClientiBanca[[#This Row],[Mutuo]]</f>
        <v>101500</v>
      </c>
      <c r="L588" t="str">
        <f>IF(ClientiBanca[[#This Row],[Reddito annuo]]&gt;=70000,"si","no")</f>
        <v>no</v>
      </c>
    </row>
    <row r="589" spans="1:12">
      <c r="A589">
        <v>100588</v>
      </c>
      <c r="B589">
        <v>37</v>
      </c>
      <c r="C589" s="2">
        <v>37500</v>
      </c>
      <c r="D589" t="s">
        <v>12</v>
      </c>
      <c r="E589" s="2">
        <v>20800</v>
      </c>
      <c r="F589" s="2">
        <v>233000</v>
      </c>
      <c r="G589" t="s">
        <v>19</v>
      </c>
      <c r="H589" t="s">
        <v>14</v>
      </c>
      <c r="I589" t="s">
        <v>15</v>
      </c>
      <c r="J589" s="3">
        <v>45321</v>
      </c>
      <c r="K589" s="4">
        <f>ClientiBanca[[#This Row],[Prestito]]+ClientiBanca[[#This Row],[Mutuo]]</f>
        <v>253800</v>
      </c>
      <c r="L589" t="str">
        <f>IF(ClientiBanca[[#This Row],[Reddito annuo]]&gt;=70000,"si","no")</f>
        <v>no</v>
      </c>
    </row>
    <row r="590" spans="1:12">
      <c r="A590">
        <v>100589</v>
      </c>
      <c r="B590">
        <v>50</v>
      </c>
      <c r="C590" s="2">
        <v>99100</v>
      </c>
      <c r="D590" t="s">
        <v>21</v>
      </c>
      <c r="E590" s="2">
        <v>13000</v>
      </c>
      <c r="F590" s="2">
        <v>0</v>
      </c>
      <c r="G590" t="s">
        <v>28</v>
      </c>
      <c r="H590" t="s">
        <v>17</v>
      </c>
      <c r="I590" t="s">
        <v>18</v>
      </c>
      <c r="J590" s="3">
        <v>46129</v>
      </c>
      <c r="K590" s="4">
        <f>ClientiBanca[[#This Row],[Prestito]]+ClientiBanca[[#This Row],[Mutuo]]</f>
        <v>13000</v>
      </c>
      <c r="L590" t="str">
        <f>IF(ClientiBanca[[#This Row],[Reddito annuo]]&gt;=70000,"si","no")</f>
        <v>si</v>
      </c>
    </row>
    <row r="591" spans="1:12">
      <c r="A591">
        <v>100590</v>
      </c>
      <c r="B591">
        <v>32</v>
      </c>
      <c r="C591" s="2">
        <v>76800</v>
      </c>
      <c r="D591" t="s">
        <v>12</v>
      </c>
      <c r="E591" s="2">
        <v>77100</v>
      </c>
      <c r="F591" s="2">
        <v>0</v>
      </c>
      <c r="G591" t="s">
        <v>28</v>
      </c>
      <c r="H591" t="s">
        <v>17</v>
      </c>
      <c r="I591" t="s">
        <v>18</v>
      </c>
      <c r="J591" s="3">
        <v>46113</v>
      </c>
      <c r="K591" s="4">
        <f>ClientiBanca[[#This Row],[Prestito]]+ClientiBanca[[#This Row],[Mutuo]]</f>
        <v>77100</v>
      </c>
      <c r="L591" t="str">
        <f>IF(ClientiBanca[[#This Row],[Reddito annuo]]&gt;=70000,"si","no")</f>
        <v>si</v>
      </c>
    </row>
    <row r="592" spans="1:12">
      <c r="A592">
        <v>100591</v>
      </c>
      <c r="B592">
        <v>64</v>
      </c>
      <c r="C592" s="2">
        <v>57600</v>
      </c>
      <c r="D592" t="s">
        <v>21</v>
      </c>
      <c r="E592" s="2">
        <v>47200</v>
      </c>
      <c r="F592" s="2">
        <v>0</v>
      </c>
      <c r="G592" t="s">
        <v>23</v>
      </c>
      <c r="H592" t="s">
        <v>25</v>
      </c>
      <c r="I592" t="s">
        <v>15</v>
      </c>
      <c r="J592" s="3">
        <v>46209</v>
      </c>
      <c r="K592" s="4">
        <f>ClientiBanca[[#This Row],[Prestito]]+ClientiBanca[[#This Row],[Mutuo]]</f>
        <v>47200</v>
      </c>
      <c r="L592" t="str">
        <f>IF(ClientiBanca[[#This Row],[Reddito annuo]]&gt;=70000,"si","no")</f>
        <v>no</v>
      </c>
    </row>
    <row r="593" spans="1:12">
      <c r="A593">
        <v>100592</v>
      </c>
      <c r="B593">
        <v>59</v>
      </c>
      <c r="C593" s="2">
        <v>44500</v>
      </c>
      <c r="D593" t="s">
        <v>21</v>
      </c>
      <c r="E593" s="2">
        <v>55600</v>
      </c>
      <c r="F593" s="2">
        <v>0</v>
      </c>
      <c r="G593" t="s">
        <v>19</v>
      </c>
      <c r="H593" t="s">
        <v>17</v>
      </c>
      <c r="I593" t="s">
        <v>15</v>
      </c>
      <c r="J593" s="3">
        <v>45778</v>
      </c>
      <c r="K593" s="4">
        <f>ClientiBanca[[#This Row],[Prestito]]+ClientiBanca[[#This Row],[Mutuo]]</f>
        <v>55600</v>
      </c>
      <c r="L593" t="str">
        <f>IF(ClientiBanca[[#This Row],[Reddito annuo]]&gt;=70000,"si","no")</f>
        <v>no</v>
      </c>
    </row>
    <row r="594" spans="1:12">
      <c r="A594">
        <v>100593</v>
      </c>
      <c r="B594">
        <v>27</v>
      </c>
      <c r="C594" s="2">
        <v>50000</v>
      </c>
      <c r="D594" t="s">
        <v>21</v>
      </c>
      <c r="E594" s="2">
        <v>51700</v>
      </c>
      <c r="F594" s="2">
        <v>0</v>
      </c>
      <c r="G594" t="s">
        <v>24</v>
      </c>
      <c r="H594" t="s">
        <v>17</v>
      </c>
      <c r="I594" t="s">
        <v>18</v>
      </c>
      <c r="J594" s="3">
        <v>46023</v>
      </c>
      <c r="K594" s="4">
        <f>ClientiBanca[[#This Row],[Prestito]]+ClientiBanca[[#This Row],[Mutuo]]</f>
        <v>51700</v>
      </c>
      <c r="L594" t="str">
        <f>IF(ClientiBanca[[#This Row],[Reddito annuo]]&gt;=70000,"si","no")</f>
        <v>no</v>
      </c>
    </row>
    <row r="595" spans="1:12">
      <c r="A595">
        <v>100594</v>
      </c>
      <c r="B595">
        <v>70</v>
      </c>
      <c r="C595" s="2">
        <v>35000</v>
      </c>
      <c r="D595" t="s">
        <v>12</v>
      </c>
      <c r="E595" s="2">
        <v>23500</v>
      </c>
      <c r="F595" s="2">
        <v>0</v>
      </c>
      <c r="G595" t="s">
        <v>16</v>
      </c>
      <c r="H595" t="s">
        <v>17</v>
      </c>
      <c r="I595" t="s">
        <v>18</v>
      </c>
      <c r="J595" s="3">
        <v>45454</v>
      </c>
      <c r="K595" s="4">
        <f>ClientiBanca[[#This Row],[Prestito]]+ClientiBanca[[#This Row],[Mutuo]]</f>
        <v>23500</v>
      </c>
      <c r="L595" t="str">
        <f>IF(ClientiBanca[[#This Row],[Reddito annuo]]&gt;=70000,"si","no")</f>
        <v>no</v>
      </c>
    </row>
    <row r="596" spans="1:12">
      <c r="A596">
        <v>100595</v>
      </c>
      <c r="B596">
        <v>50</v>
      </c>
      <c r="C596" s="2">
        <v>52100</v>
      </c>
      <c r="D596" t="s">
        <v>21</v>
      </c>
      <c r="E596" s="2">
        <v>0</v>
      </c>
      <c r="F596" s="2">
        <v>0</v>
      </c>
      <c r="G596" t="s">
        <v>16</v>
      </c>
      <c r="H596" t="s">
        <v>17</v>
      </c>
      <c r="I596" t="s">
        <v>18</v>
      </c>
      <c r="J596" s="3">
        <v>45642</v>
      </c>
      <c r="K596" s="4">
        <f>ClientiBanca[[#This Row],[Prestito]]+ClientiBanca[[#This Row],[Mutuo]]</f>
        <v>0</v>
      </c>
      <c r="L596" t="str">
        <f>IF(ClientiBanca[[#This Row],[Reddito annuo]]&gt;=70000,"si","no")</f>
        <v>no</v>
      </c>
    </row>
    <row r="597" spans="1:12">
      <c r="A597">
        <v>100596</v>
      </c>
      <c r="B597">
        <v>54</v>
      </c>
      <c r="C597" s="2">
        <v>75100</v>
      </c>
      <c r="D597" t="s">
        <v>21</v>
      </c>
      <c r="E597" s="2">
        <v>49400</v>
      </c>
      <c r="F597" s="2">
        <v>0</v>
      </c>
      <c r="G597" t="s">
        <v>28</v>
      </c>
      <c r="H597" t="s">
        <v>20</v>
      </c>
      <c r="I597" t="s">
        <v>18</v>
      </c>
      <c r="J597" s="3">
        <v>45625</v>
      </c>
      <c r="K597" s="4">
        <f>ClientiBanca[[#This Row],[Prestito]]+ClientiBanca[[#This Row],[Mutuo]]</f>
        <v>49400</v>
      </c>
      <c r="L597" t="str">
        <f>IF(ClientiBanca[[#This Row],[Reddito annuo]]&gt;=70000,"si","no")</f>
        <v>si</v>
      </c>
    </row>
    <row r="598" spans="1:12">
      <c r="A598">
        <v>100597</v>
      </c>
      <c r="B598">
        <v>55</v>
      </c>
      <c r="C598" s="2">
        <v>34200</v>
      </c>
      <c r="D598" t="s">
        <v>21</v>
      </c>
      <c r="E598" s="2">
        <v>28600</v>
      </c>
      <c r="F598" s="2">
        <v>0</v>
      </c>
      <c r="G598" t="s">
        <v>16</v>
      </c>
      <c r="H598" t="s">
        <v>17</v>
      </c>
      <c r="I598" t="s">
        <v>18</v>
      </c>
      <c r="J598" s="3">
        <v>45354</v>
      </c>
      <c r="K598" s="4">
        <f>ClientiBanca[[#This Row],[Prestito]]+ClientiBanca[[#This Row],[Mutuo]]</f>
        <v>28600</v>
      </c>
      <c r="L598" t="str">
        <f>IF(ClientiBanca[[#This Row],[Reddito annuo]]&gt;=70000,"si","no")</f>
        <v>no</v>
      </c>
    </row>
    <row r="599" spans="1:12">
      <c r="A599">
        <v>100598</v>
      </c>
      <c r="B599">
        <v>25</v>
      </c>
      <c r="C599" s="2">
        <v>42200</v>
      </c>
      <c r="D599" t="s">
        <v>21</v>
      </c>
      <c r="E599" s="2">
        <v>50600</v>
      </c>
      <c r="F599" s="2">
        <v>0</v>
      </c>
      <c r="G599" t="s">
        <v>24</v>
      </c>
      <c r="H599" t="s">
        <v>14</v>
      </c>
      <c r="I599" t="s">
        <v>18</v>
      </c>
      <c r="J599" s="3">
        <v>45590</v>
      </c>
      <c r="K599" s="4">
        <f>ClientiBanca[[#This Row],[Prestito]]+ClientiBanca[[#This Row],[Mutuo]]</f>
        <v>50600</v>
      </c>
      <c r="L599" t="str">
        <f>IF(ClientiBanca[[#This Row],[Reddito annuo]]&gt;=70000,"si","no")</f>
        <v>no</v>
      </c>
    </row>
    <row r="600" spans="1:12">
      <c r="A600">
        <v>100599</v>
      </c>
      <c r="B600">
        <v>44</v>
      </c>
      <c r="C600" s="2">
        <v>68400</v>
      </c>
      <c r="D600" t="s">
        <v>21</v>
      </c>
      <c r="E600" s="2">
        <v>62100</v>
      </c>
      <c r="F600" s="2">
        <v>0</v>
      </c>
      <c r="G600" t="s">
        <v>26</v>
      </c>
      <c r="H600" t="s">
        <v>14</v>
      </c>
      <c r="I600" t="s">
        <v>18</v>
      </c>
      <c r="J600" s="3">
        <v>46027</v>
      </c>
      <c r="K600" s="4">
        <f>ClientiBanca[[#This Row],[Prestito]]+ClientiBanca[[#This Row],[Mutuo]]</f>
        <v>62100</v>
      </c>
      <c r="L600" t="str">
        <f>IF(ClientiBanca[[#This Row],[Reddito annuo]]&gt;=70000,"si","no")</f>
        <v>no</v>
      </c>
    </row>
    <row r="601" spans="1:12">
      <c r="A601">
        <v>100600</v>
      </c>
      <c r="B601">
        <v>42</v>
      </c>
      <c r="C601" s="2">
        <v>120200</v>
      </c>
      <c r="D601" t="s">
        <v>12</v>
      </c>
      <c r="E601" s="2">
        <v>34300</v>
      </c>
      <c r="F601" s="2">
        <v>0</v>
      </c>
      <c r="G601" t="s">
        <v>26</v>
      </c>
      <c r="H601" t="s">
        <v>20</v>
      </c>
      <c r="I601" t="s">
        <v>18</v>
      </c>
      <c r="J601" s="3">
        <v>45346</v>
      </c>
      <c r="K601" s="4">
        <f>ClientiBanca[[#This Row],[Prestito]]+ClientiBanca[[#This Row],[Mutuo]]</f>
        <v>34300</v>
      </c>
      <c r="L601" t="str">
        <f>IF(ClientiBanca[[#This Row],[Reddito annuo]]&gt;=70000,"si","no")</f>
        <v>si</v>
      </c>
    </row>
    <row r="602" spans="1:12">
      <c r="A602">
        <v>100601</v>
      </c>
      <c r="B602">
        <v>20</v>
      </c>
      <c r="C602" s="2">
        <v>75900</v>
      </c>
      <c r="D602" t="s">
        <v>22</v>
      </c>
      <c r="E602" s="2">
        <v>60300</v>
      </c>
      <c r="F602" s="2">
        <v>0</v>
      </c>
      <c r="G602" t="s">
        <v>23</v>
      </c>
      <c r="H602" t="s">
        <v>20</v>
      </c>
      <c r="I602" t="s">
        <v>18</v>
      </c>
      <c r="J602" s="3">
        <v>45932</v>
      </c>
      <c r="K602" s="4">
        <f>ClientiBanca[[#This Row],[Prestito]]+ClientiBanca[[#This Row],[Mutuo]]</f>
        <v>60300</v>
      </c>
      <c r="L602" t="str">
        <f>IF(ClientiBanca[[#This Row],[Reddito annuo]]&gt;=70000,"si","no")</f>
        <v>si</v>
      </c>
    </row>
    <row r="603" spans="1:12">
      <c r="A603">
        <v>100602</v>
      </c>
      <c r="B603">
        <v>40</v>
      </c>
      <c r="C603" s="2">
        <v>76700</v>
      </c>
      <c r="D603" t="s">
        <v>21</v>
      </c>
      <c r="E603" s="2">
        <v>19300</v>
      </c>
      <c r="F603" s="2">
        <v>134000</v>
      </c>
      <c r="G603" t="s">
        <v>16</v>
      </c>
      <c r="H603" t="s">
        <v>14</v>
      </c>
      <c r="I603" t="s">
        <v>18</v>
      </c>
      <c r="J603" s="3">
        <v>45719</v>
      </c>
      <c r="K603" s="4">
        <f>ClientiBanca[[#This Row],[Prestito]]+ClientiBanca[[#This Row],[Mutuo]]</f>
        <v>153300</v>
      </c>
      <c r="L603" t="str">
        <f>IF(ClientiBanca[[#This Row],[Reddito annuo]]&gt;=70000,"si","no")</f>
        <v>si</v>
      </c>
    </row>
    <row r="604" spans="1:12">
      <c r="A604">
        <v>100603</v>
      </c>
      <c r="B604">
        <v>29</v>
      </c>
      <c r="C604" s="2">
        <v>46300</v>
      </c>
      <c r="D604" t="s">
        <v>22</v>
      </c>
      <c r="E604" s="2">
        <v>6000</v>
      </c>
      <c r="F604" s="2">
        <v>0</v>
      </c>
      <c r="G604" t="s">
        <v>24</v>
      </c>
      <c r="H604" t="s">
        <v>14</v>
      </c>
      <c r="I604" t="s">
        <v>18</v>
      </c>
      <c r="J604" s="3">
        <v>45739</v>
      </c>
      <c r="K604" s="4">
        <f>ClientiBanca[[#This Row],[Prestito]]+ClientiBanca[[#This Row],[Mutuo]]</f>
        <v>6000</v>
      </c>
      <c r="L604" t="str">
        <f>IF(ClientiBanca[[#This Row],[Reddito annuo]]&gt;=70000,"si","no")</f>
        <v>no</v>
      </c>
    </row>
    <row r="605" spans="1:12">
      <c r="A605">
        <v>100604</v>
      </c>
      <c r="B605">
        <v>28</v>
      </c>
      <c r="C605" s="2">
        <v>33100</v>
      </c>
      <c r="D605" t="s">
        <v>12</v>
      </c>
      <c r="E605" s="2">
        <v>31300</v>
      </c>
      <c r="F605" s="2">
        <v>0</v>
      </c>
      <c r="G605" t="s">
        <v>16</v>
      </c>
      <c r="H605" t="s">
        <v>14</v>
      </c>
      <c r="I605" t="s">
        <v>18</v>
      </c>
      <c r="J605" s="3">
        <v>45726</v>
      </c>
      <c r="K605" s="4">
        <f>ClientiBanca[[#This Row],[Prestito]]+ClientiBanca[[#This Row],[Mutuo]]</f>
        <v>31300</v>
      </c>
      <c r="L605" t="str">
        <f>IF(ClientiBanca[[#This Row],[Reddito annuo]]&gt;=70000,"si","no")</f>
        <v>no</v>
      </c>
    </row>
    <row r="606" spans="1:12">
      <c r="A606">
        <v>100605</v>
      </c>
      <c r="B606">
        <v>55</v>
      </c>
      <c r="C606" s="2">
        <v>87900</v>
      </c>
      <c r="D606" t="s">
        <v>21</v>
      </c>
      <c r="E606" s="2">
        <v>29600</v>
      </c>
      <c r="F606" s="2">
        <v>207000</v>
      </c>
      <c r="G606" t="s">
        <v>23</v>
      </c>
      <c r="H606" t="s">
        <v>17</v>
      </c>
      <c r="I606" t="s">
        <v>18</v>
      </c>
      <c r="J606" s="3">
        <v>46240</v>
      </c>
      <c r="K606" s="4">
        <f>ClientiBanca[[#This Row],[Prestito]]+ClientiBanca[[#This Row],[Mutuo]]</f>
        <v>236600</v>
      </c>
      <c r="L606" t="str">
        <f>IF(ClientiBanca[[#This Row],[Reddito annuo]]&gt;=70000,"si","no")</f>
        <v>si</v>
      </c>
    </row>
    <row r="607" spans="1:12">
      <c r="A607">
        <v>100606</v>
      </c>
      <c r="B607">
        <v>54</v>
      </c>
      <c r="C607" s="2">
        <v>65400</v>
      </c>
      <c r="D607" t="s">
        <v>21</v>
      </c>
      <c r="E607" s="2">
        <v>32800</v>
      </c>
      <c r="F607" s="2">
        <v>0</v>
      </c>
      <c r="G607" t="s">
        <v>28</v>
      </c>
      <c r="H607" t="s">
        <v>25</v>
      </c>
      <c r="I607" t="s">
        <v>15</v>
      </c>
      <c r="J607" s="3">
        <v>46039</v>
      </c>
      <c r="K607" s="4">
        <f>ClientiBanca[[#This Row],[Prestito]]+ClientiBanca[[#This Row],[Mutuo]]</f>
        <v>32800</v>
      </c>
      <c r="L607" t="str">
        <f>IF(ClientiBanca[[#This Row],[Reddito annuo]]&gt;=70000,"si","no")</f>
        <v>no</v>
      </c>
    </row>
    <row r="608" spans="1:12">
      <c r="A608">
        <v>100607</v>
      </c>
      <c r="B608">
        <v>66</v>
      </c>
      <c r="C608" s="2">
        <v>61700</v>
      </c>
      <c r="D608" t="s">
        <v>22</v>
      </c>
      <c r="E608" s="2">
        <v>0</v>
      </c>
      <c r="F608" s="2">
        <v>0</v>
      </c>
      <c r="G608" t="s">
        <v>13</v>
      </c>
      <c r="H608" t="s">
        <v>17</v>
      </c>
      <c r="I608" t="s">
        <v>18</v>
      </c>
      <c r="J608" s="3">
        <v>45916</v>
      </c>
      <c r="K608" s="4">
        <f>ClientiBanca[[#This Row],[Prestito]]+ClientiBanca[[#This Row],[Mutuo]]</f>
        <v>0</v>
      </c>
      <c r="L608" t="str">
        <f>IF(ClientiBanca[[#This Row],[Reddito annuo]]&gt;=70000,"si","no")</f>
        <v>no</v>
      </c>
    </row>
    <row r="609" spans="1:12">
      <c r="A609">
        <v>100608</v>
      </c>
      <c r="B609">
        <v>25</v>
      </c>
      <c r="C609" s="2">
        <v>43800</v>
      </c>
      <c r="D609" t="s">
        <v>12</v>
      </c>
      <c r="E609" s="2">
        <v>44200</v>
      </c>
      <c r="F609" s="2">
        <v>0</v>
      </c>
      <c r="G609" t="s">
        <v>26</v>
      </c>
      <c r="H609" t="s">
        <v>14</v>
      </c>
      <c r="I609" t="s">
        <v>18</v>
      </c>
      <c r="J609" s="3">
        <v>45839</v>
      </c>
      <c r="K609" s="4">
        <f>ClientiBanca[[#This Row],[Prestito]]+ClientiBanca[[#This Row],[Mutuo]]</f>
        <v>44200</v>
      </c>
      <c r="L609" t="str">
        <f>IF(ClientiBanca[[#This Row],[Reddito annuo]]&gt;=70000,"si","no")</f>
        <v>no</v>
      </c>
    </row>
    <row r="610" spans="1:12">
      <c r="A610">
        <v>100609</v>
      </c>
      <c r="B610">
        <v>69</v>
      </c>
      <c r="C610" s="2">
        <v>23400</v>
      </c>
      <c r="D610" t="s">
        <v>21</v>
      </c>
      <c r="E610" s="2">
        <v>0</v>
      </c>
      <c r="F610" s="2">
        <v>0</v>
      </c>
      <c r="G610" t="s">
        <v>19</v>
      </c>
      <c r="H610" t="s">
        <v>17</v>
      </c>
      <c r="I610" t="s">
        <v>18</v>
      </c>
      <c r="J610" s="3">
        <v>46109</v>
      </c>
      <c r="K610" s="4">
        <f>ClientiBanca[[#This Row],[Prestito]]+ClientiBanca[[#This Row],[Mutuo]]</f>
        <v>0</v>
      </c>
      <c r="L610" t="str">
        <f>IF(ClientiBanca[[#This Row],[Reddito annuo]]&gt;=70000,"si","no")</f>
        <v>no</v>
      </c>
    </row>
    <row r="611" spans="1:12">
      <c r="A611">
        <v>100610</v>
      </c>
      <c r="B611">
        <v>38</v>
      </c>
      <c r="C611" s="2">
        <v>46300</v>
      </c>
      <c r="D611" t="s">
        <v>21</v>
      </c>
      <c r="E611" s="2">
        <v>0</v>
      </c>
      <c r="F611" s="2">
        <v>0</v>
      </c>
      <c r="G611" t="s">
        <v>26</v>
      </c>
      <c r="H611" t="s">
        <v>20</v>
      </c>
      <c r="I611" t="s">
        <v>18</v>
      </c>
      <c r="J611" s="3">
        <v>45776</v>
      </c>
      <c r="K611" s="4">
        <f>ClientiBanca[[#This Row],[Prestito]]+ClientiBanca[[#This Row],[Mutuo]]</f>
        <v>0</v>
      </c>
      <c r="L611" t="str">
        <f>IF(ClientiBanca[[#This Row],[Reddito annuo]]&gt;=70000,"si","no")</f>
        <v>no</v>
      </c>
    </row>
    <row r="612" spans="1:12">
      <c r="A612">
        <v>100611</v>
      </c>
      <c r="B612">
        <v>57</v>
      </c>
      <c r="C612" s="2">
        <v>39300</v>
      </c>
      <c r="D612" t="s">
        <v>21</v>
      </c>
      <c r="E612" s="2">
        <v>0</v>
      </c>
      <c r="F612" s="2">
        <v>0</v>
      </c>
      <c r="G612" t="s">
        <v>27</v>
      </c>
      <c r="H612" t="s">
        <v>17</v>
      </c>
      <c r="I612" t="s">
        <v>18</v>
      </c>
      <c r="J612" s="3">
        <v>45376</v>
      </c>
      <c r="K612" s="4">
        <f>ClientiBanca[[#This Row],[Prestito]]+ClientiBanca[[#This Row],[Mutuo]]</f>
        <v>0</v>
      </c>
      <c r="L612" t="str">
        <f>IF(ClientiBanca[[#This Row],[Reddito annuo]]&gt;=70000,"si","no")</f>
        <v>no</v>
      </c>
    </row>
    <row r="613" spans="1:12">
      <c r="A613">
        <v>100612</v>
      </c>
      <c r="B613">
        <v>28</v>
      </c>
      <c r="C613" s="2">
        <v>60200</v>
      </c>
      <c r="D613" t="s">
        <v>22</v>
      </c>
      <c r="E613" s="2">
        <v>15700</v>
      </c>
      <c r="F613" s="2">
        <v>0</v>
      </c>
      <c r="G613" t="s">
        <v>26</v>
      </c>
      <c r="H613" t="s">
        <v>20</v>
      </c>
      <c r="I613" t="s">
        <v>18</v>
      </c>
      <c r="J613" s="3">
        <v>45470</v>
      </c>
      <c r="K613" s="4">
        <f>ClientiBanca[[#This Row],[Prestito]]+ClientiBanca[[#This Row],[Mutuo]]</f>
        <v>15700</v>
      </c>
      <c r="L613" t="str">
        <f>IF(ClientiBanca[[#This Row],[Reddito annuo]]&gt;=70000,"si","no")</f>
        <v>no</v>
      </c>
    </row>
    <row r="614" spans="1:12">
      <c r="A614">
        <v>100613</v>
      </c>
      <c r="B614">
        <v>57</v>
      </c>
      <c r="C614" s="2">
        <v>79300</v>
      </c>
      <c r="D614" t="s">
        <v>12</v>
      </c>
      <c r="E614" s="2">
        <v>17700</v>
      </c>
      <c r="F614" s="2">
        <v>0</v>
      </c>
      <c r="G614" t="s">
        <v>23</v>
      </c>
      <c r="H614" t="s">
        <v>20</v>
      </c>
      <c r="I614" t="s">
        <v>18</v>
      </c>
      <c r="J614" s="3">
        <v>46174</v>
      </c>
      <c r="K614" s="4">
        <f>ClientiBanca[[#This Row],[Prestito]]+ClientiBanca[[#This Row],[Mutuo]]</f>
        <v>17700</v>
      </c>
      <c r="L614" t="str">
        <f>IF(ClientiBanca[[#This Row],[Reddito annuo]]&gt;=70000,"si","no")</f>
        <v>si</v>
      </c>
    </row>
    <row r="615" spans="1:12">
      <c r="A615">
        <v>100614</v>
      </c>
      <c r="B615">
        <v>22</v>
      </c>
      <c r="C615" s="2">
        <v>49500</v>
      </c>
      <c r="D615" t="s">
        <v>21</v>
      </c>
      <c r="E615" s="2">
        <v>61900</v>
      </c>
      <c r="F615" s="2">
        <v>207000</v>
      </c>
      <c r="G615" t="s">
        <v>16</v>
      </c>
      <c r="H615" t="s">
        <v>14</v>
      </c>
      <c r="I615" t="s">
        <v>18</v>
      </c>
      <c r="J615" s="3">
        <v>45742</v>
      </c>
      <c r="K615" s="4">
        <f>ClientiBanca[[#This Row],[Prestito]]+ClientiBanca[[#This Row],[Mutuo]]</f>
        <v>268900</v>
      </c>
      <c r="L615" t="str">
        <f>IF(ClientiBanca[[#This Row],[Reddito annuo]]&gt;=70000,"si","no")</f>
        <v>no</v>
      </c>
    </row>
    <row r="616" spans="1:12">
      <c r="A616">
        <v>100615</v>
      </c>
      <c r="B616">
        <v>66</v>
      </c>
      <c r="C616" s="2">
        <v>70200</v>
      </c>
      <c r="D616" t="s">
        <v>21</v>
      </c>
      <c r="E616" s="2">
        <v>0</v>
      </c>
      <c r="F616" s="2">
        <v>0</v>
      </c>
      <c r="G616" t="s">
        <v>26</v>
      </c>
      <c r="H616" t="s">
        <v>14</v>
      </c>
      <c r="I616" t="s">
        <v>18</v>
      </c>
      <c r="J616" s="3">
        <v>45410</v>
      </c>
      <c r="K616" s="4">
        <f>ClientiBanca[[#This Row],[Prestito]]+ClientiBanca[[#This Row],[Mutuo]]</f>
        <v>0</v>
      </c>
      <c r="L616" t="str">
        <f>IF(ClientiBanca[[#This Row],[Reddito annuo]]&gt;=70000,"si","no")</f>
        <v>si</v>
      </c>
    </row>
    <row r="617" spans="1:12">
      <c r="A617">
        <v>100616</v>
      </c>
      <c r="B617">
        <v>23</v>
      </c>
      <c r="C617" s="2">
        <v>39200</v>
      </c>
      <c r="D617" t="s">
        <v>21</v>
      </c>
      <c r="E617" s="2">
        <v>49000</v>
      </c>
      <c r="F617" s="2">
        <v>0</v>
      </c>
      <c r="G617" t="s">
        <v>23</v>
      </c>
      <c r="H617" t="s">
        <v>17</v>
      </c>
      <c r="I617" t="s">
        <v>18</v>
      </c>
      <c r="J617" s="3">
        <v>45777</v>
      </c>
      <c r="K617" s="4">
        <f>ClientiBanca[[#This Row],[Prestito]]+ClientiBanca[[#This Row],[Mutuo]]</f>
        <v>49000</v>
      </c>
      <c r="L617" t="str">
        <f>IF(ClientiBanca[[#This Row],[Reddito annuo]]&gt;=70000,"si","no")</f>
        <v>no</v>
      </c>
    </row>
    <row r="618" spans="1:12">
      <c r="A618">
        <v>100617</v>
      </c>
      <c r="B618">
        <v>36</v>
      </c>
      <c r="C618" s="2">
        <v>37800</v>
      </c>
      <c r="D618" t="s">
        <v>22</v>
      </c>
      <c r="E618" s="2">
        <v>47200</v>
      </c>
      <c r="F618" s="2">
        <v>0</v>
      </c>
      <c r="G618" t="s">
        <v>19</v>
      </c>
      <c r="H618" t="s">
        <v>25</v>
      </c>
      <c r="I618" t="s">
        <v>18</v>
      </c>
      <c r="J618" s="3">
        <v>45334</v>
      </c>
      <c r="K618" s="4">
        <f>ClientiBanca[[#This Row],[Prestito]]+ClientiBanca[[#This Row],[Mutuo]]</f>
        <v>47200</v>
      </c>
      <c r="L618" t="str">
        <f>IF(ClientiBanca[[#This Row],[Reddito annuo]]&gt;=70000,"si","no")</f>
        <v>no</v>
      </c>
    </row>
    <row r="619" spans="1:12">
      <c r="A619">
        <v>100618</v>
      </c>
      <c r="B619">
        <v>26</v>
      </c>
      <c r="C619" s="2">
        <v>101500</v>
      </c>
      <c r="D619" t="s">
        <v>12</v>
      </c>
      <c r="E619" s="2">
        <v>0</v>
      </c>
      <c r="F619" s="2">
        <v>0</v>
      </c>
      <c r="G619" t="s">
        <v>26</v>
      </c>
      <c r="H619" t="s">
        <v>20</v>
      </c>
      <c r="I619" t="s">
        <v>18</v>
      </c>
      <c r="J619" s="3">
        <v>45565</v>
      </c>
      <c r="K619" s="4">
        <f>ClientiBanca[[#This Row],[Prestito]]+ClientiBanca[[#This Row],[Mutuo]]</f>
        <v>0</v>
      </c>
      <c r="L619" t="str">
        <f>IF(ClientiBanca[[#This Row],[Reddito annuo]]&gt;=70000,"si","no")</f>
        <v>si</v>
      </c>
    </row>
    <row r="620" spans="1:12">
      <c r="A620">
        <v>100619</v>
      </c>
      <c r="B620">
        <v>71</v>
      </c>
      <c r="C620" s="2">
        <v>34300</v>
      </c>
      <c r="D620" t="s">
        <v>12</v>
      </c>
      <c r="E620" s="2">
        <v>42900</v>
      </c>
      <c r="F620" s="2">
        <v>0</v>
      </c>
      <c r="G620" t="s">
        <v>23</v>
      </c>
      <c r="H620" t="s">
        <v>17</v>
      </c>
      <c r="I620" t="s">
        <v>18</v>
      </c>
      <c r="J620" s="3">
        <v>45476</v>
      </c>
      <c r="K620" s="4">
        <f>ClientiBanca[[#This Row],[Prestito]]+ClientiBanca[[#This Row],[Mutuo]]</f>
        <v>42900</v>
      </c>
      <c r="L620" t="str">
        <f>IF(ClientiBanca[[#This Row],[Reddito annuo]]&gt;=70000,"si","no")</f>
        <v>no</v>
      </c>
    </row>
    <row r="621" spans="1:12">
      <c r="A621">
        <v>100620</v>
      </c>
      <c r="B621">
        <v>40</v>
      </c>
      <c r="C621" s="2">
        <v>63200</v>
      </c>
      <c r="D621" t="s">
        <v>12</v>
      </c>
      <c r="E621" s="2">
        <v>0</v>
      </c>
      <c r="F621" s="2">
        <v>122000</v>
      </c>
      <c r="G621" t="s">
        <v>13</v>
      </c>
      <c r="H621" t="s">
        <v>17</v>
      </c>
      <c r="I621" t="s">
        <v>18</v>
      </c>
      <c r="J621" s="3">
        <v>45651</v>
      </c>
      <c r="K621" s="4">
        <f>ClientiBanca[[#This Row],[Prestito]]+ClientiBanca[[#This Row],[Mutuo]]</f>
        <v>122000</v>
      </c>
      <c r="L621" t="str">
        <f>IF(ClientiBanca[[#This Row],[Reddito annuo]]&gt;=70000,"si","no")</f>
        <v>no</v>
      </c>
    </row>
    <row r="622" spans="1:12">
      <c r="A622">
        <v>100621</v>
      </c>
      <c r="B622">
        <v>34</v>
      </c>
      <c r="C622" s="2">
        <v>78000</v>
      </c>
      <c r="D622" t="s">
        <v>21</v>
      </c>
      <c r="E622" s="2">
        <v>40900</v>
      </c>
      <c r="F622" s="2">
        <v>229000</v>
      </c>
      <c r="G622" t="s">
        <v>23</v>
      </c>
      <c r="H622" t="s">
        <v>14</v>
      </c>
      <c r="I622" t="s">
        <v>18</v>
      </c>
      <c r="J622" s="3">
        <v>46017</v>
      </c>
      <c r="K622" s="4">
        <f>ClientiBanca[[#This Row],[Prestito]]+ClientiBanca[[#This Row],[Mutuo]]</f>
        <v>269900</v>
      </c>
      <c r="L622" t="str">
        <f>IF(ClientiBanca[[#This Row],[Reddito annuo]]&gt;=70000,"si","no")</f>
        <v>si</v>
      </c>
    </row>
    <row r="623" spans="1:12">
      <c r="A623">
        <v>100622</v>
      </c>
      <c r="B623">
        <v>27</v>
      </c>
      <c r="C623" s="2">
        <v>33200</v>
      </c>
      <c r="D623" t="s">
        <v>12</v>
      </c>
      <c r="E623" s="2">
        <v>41500</v>
      </c>
      <c r="F623" s="2">
        <v>0</v>
      </c>
      <c r="G623" t="s">
        <v>24</v>
      </c>
      <c r="H623" t="s">
        <v>25</v>
      </c>
      <c r="I623" t="s">
        <v>18</v>
      </c>
      <c r="J623" s="3">
        <v>45551</v>
      </c>
      <c r="K623" s="4">
        <f>ClientiBanca[[#This Row],[Prestito]]+ClientiBanca[[#This Row],[Mutuo]]</f>
        <v>41500</v>
      </c>
      <c r="L623" t="str">
        <f>IF(ClientiBanca[[#This Row],[Reddito annuo]]&gt;=70000,"si","no")</f>
        <v>no</v>
      </c>
    </row>
    <row r="624" spans="1:12">
      <c r="A624">
        <v>100623</v>
      </c>
      <c r="B624">
        <v>38</v>
      </c>
      <c r="C624" s="2">
        <v>57500</v>
      </c>
      <c r="D624" t="s">
        <v>22</v>
      </c>
      <c r="E624" s="2">
        <v>67900</v>
      </c>
      <c r="F624" s="2">
        <v>193000</v>
      </c>
      <c r="G624" t="s">
        <v>19</v>
      </c>
      <c r="H624" t="s">
        <v>20</v>
      </c>
      <c r="I624" t="s">
        <v>18</v>
      </c>
      <c r="J624" s="3">
        <v>45575</v>
      </c>
      <c r="K624" s="4">
        <f>ClientiBanca[[#This Row],[Prestito]]+ClientiBanca[[#This Row],[Mutuo]]</f>
        <v>260900</v>
      </c>
      <c r="L624" t="str">
        <f>IF(ClientiBanca[[#This Row],[Reddito annuo]]&gt;=70000,"si","no")</f>
        <v>no</v>
      </c>
    </row>
    <row r="625" spans="1:12">
      <c r="A625">
        <v>100624</v>
      </c>
      <c r="B625">
        <v>69</v>
      </c>
      <c r="C625" s="2">
        <v>30900</v>
      </c>
      <c r="D625" t="s">
        <v>21</v>
      </c>
      <c r="E625" s="2">
        <v>0</v>
      </c>
      <c r="F625" s="2">
        <v>0</v>
      </c>
      <c r="G625" t="s">
        <v>26</v>
      </c>
      <c r="H625" t="s">
        <v>17</v>
      </c>
      <c r="I625" t="s">
        <v>18</v>
      </c>
      <c r="J625" s="3">
        <v>45363</v>
      </c>
      <c r="K625" s="4">
        <f>ClientiBanca[[#This Row],[Prestito]]+ClientiBanca[[#This Row],[Mutuo]]</f>
        <v>0</v>
      </c>
      <c r="L625" t="str">
        <f>IF(ClientiBanca[[#This Row],[Reddito annuo]]&gt;=70000,"si","no")</f>
        <v>no</v>
      </c>
    </row>
    <row r="626" spans="1:12">
      <c r="A626">
        <v>100625</v>
      </c>
      <c r="B626">
        <v>51</v>
      </c>
      <c r="C626" s="2">
        <v>115800</v>
      </c>
      <c r="D626" t="s">
        <v>21</v>
      </c>
      <c r="E626" s="2">
        <v>42600</v>
      </c>
      <c r="F626" s="2">
        <v>217000</v>
      </c>
      <c r="G626" t="s">
        <v>16</v>
      </c>
      <c r="H626" t="s">
        <v>20</v>
      </c>
      <c r="I626" t="s">
        <v>18</v>
      </c>
      <c r="J626" s="3">
        <v>46226</v>
      </c>
      <c r="K626" s="4">
        <f>ClientiBanca[[#This Row],[Prestito]]+ClientiBanca[[#This Row],[Mutuo]]</f>
        <v>259600</v>
      </c>
      <c r="L626" t="str">
        <f>IF(ClientiBanca[[#This Row],[Reddito annuo]]&gt;=70000,"si","no")</f>
        <v>si</v>
      </c>
    </row>
    <row r="627" spans="1:12">
      <c r="A627">
        <v>100626</v>
      </c>
      <c r="B627">
        <v>48</v>
      </c>
      <c r="C627" s="2">
        <v>77000</v>
      </c>
      <c r="D627" t="s">
        <v>21</v>
      </c>
      <c r="E627" s="2">
        <v>37900</v>
      </c>
      <c r="F627" s="2">
        <v>197000</v>
      </c>
      <c r="G627" t="s">
        <v>28</v>
      </c>
      <c r="H627" t="s">
        <v>20</v>
      </c>
      <c r="I627" t="s">
        <v>18</v>
      </c>
      <c r="J627" s="3">
        <v>46247</v>
      </c>
      <c r="K627" s="4">
        <f>ClientiBanca[[#This Row],[Prestito]]+ClientiBanca[[#This Row],[Mutuo]]</f>
        <v>234900</v>
      </c>
      <c r="L627" t="str">
        <f>IF(ClientiBanca[[#This Row],[Reddito annuo]]&gt;=70000,"si","no")</f>
        <v>si</v>
      </c>
    </row>
    <row r="628" spans="1:12">
      <c r="A628">
        <v>100627</v>
      </c>
      <c r="B628">
        <v>22</v>
      </c>
      <c r="C628" s="2">
        <v>72500</v>
      </c>
      <c r="D628" t="s">
        <v>21</v>
      </c>
      <c r="E628" s="2">
        <v>65400</v>
      </c>
      <c r="F628" s="2">
        <v>0</v>
      </c>
      <c r="G628" t="s">
        <v>28</v>
      </c>
      <c r="H628" t="s">
        <v>17</v>
      </c>
      <c r="I628" t="s">
        <v>18</v>
      </c>
      <c r="J628" s="3">
        <v>46037</v>
      </c>
      <c r="K628" s="4">
        <f>ClientiBanca[[#This Row],[Prestito]]+ClientiBanca[[#This Row],[Mutuo]]</f>
        <v>65400</v>
      </c>
      <c r="L628" t="str">
        <f>IF(ClientiBanca[[#This Row],[Reddito annuo]]&gt;=70000,"si","no")</f>
        <v>si</v>
      </c>
    </row>
    <row r="629" spans="1:12">
      <c r="A629">
        <v>100628</v>
      </c>
      <c r="B629">
        <v>69</v>
      </c>
      <c r="C629" s="2">
        <v>87000</v>
      </c>
      <c r="D629" t="s">
        <v>21</v>
      </c>
      <c r="E629" s="2">
        <v>27500</v>
      </c>
      <c r="F629" s="2">
        <v>0</v>
      </c>
      <c r="G629" t="s">
        <v>28</v>
      </c>
      <c r="H629" t="s">
        <v>20</v>
      </c>
      <c r="I629" t="s">
        <v>18</v>
      </c>
      <c r="J629" s="3">
        <v>45659</v>
      </c>
      <c r="K629" s="4">
        <f>ClientiBanca[[#This Row],[Prestito]]+ClientiBanca[[#This Row],[Mutuo]]</f>
        <v>27500</v>
      </c>
      <c r="L629" t="str">
        <f>IF(ClientiBanca[[#This Row],[Reddito annuo]]&gt;=70000,"si","no")</f>
        <v>si</v>
      </c>
    </row>
    <row r="630" spans="1:12">
      <c r="A630">
        <v>100629</v>
      </c>
      <c r="B630">
        <v>41</v>
      </c>
      <c r="C630" s="2">
        <v>74000</v>
      </c>
      <c r="D630" t="s">
        <v>21</v>
      </c>
      <c r="E630" s="2">
        <v>73800</v>
      </c>
      <c r="F630" s="2">
        <v>215000</v>
      </c>
      <c r="G630" t="s">
        <v>19</v>
      </c>
      <c r="H630" t="s">
        <v>20</v>
      </c>
      <c r="I630" t="s">
        <v>18</v>
      </c>
      <c r="J630" s="3">
        <v>46076</v>
      </c>
      <c r="K630" s="4">
        <f>ClientiBanca[[#This Row],[Prestito]]+ClientiBanca[[#This Row],[Mutuo]]</f>
        <v>288800</v>
      </c>
      <c r="L630" t="str">
        <f>IF(ClientiBanca[[#This Row],[Reddito annuo]]&gt;=70000,"si","no")</f>
        <v>si</v>
      </c>
    </row>
    <row r="631" spans="1:12">
      <c r="A631">
        <v>100630</v>
      </c>
      <c r="B631">
        <v>38</v>
      </c>
      <c r="C631" s="2">
        <v>71100</v>
      </c>
      <c r="D631" t="s">
        <v>21</v>
      </c>
      <c r="E631" s="2">
        <v>27500</v>
      </c>
      <c r="F631" s="2">
        <v>255000</v>
      </c>
      <c r="G631" t="s">
        <v>13</v>
      </c>
      <c r="H631" t="s">
        <v>17</v>
      </c>
      <c r="I631" t="s">
        <v>18</v>
      </c>
      <c r="J631" s="3">
        <v>45378</v>
      </c>
      <c r="K631" s="4">
        <f>ClientiBanca[[#This Row],[Prestito]]+ClientiBanca[[#This Row],[Mutuo]]</f>
        <v>282500</v>
      </c>
      <c r="L631" t="str">
        <f>IF(ClientiBanca[[#This Row],[Reddito annuo]]&gt;=70000,"si","no")</f>
        <v>si</v>
      </c>
    </row>
    <row r="632" spans="1:12">
      <c r="A632">
        <v>100631</v>
      </c>
      <c r="B632">
        <v>60</v>
      </c>
      <c r="C632" s="2">
        <v>55600</v>
      </c>
      <c r="D632" t="s">
        <v>21</v>
      </c>
      <c r="E632" s="2">
        <v>8000</v>
      </c>
      <c r="F632" s="2">
        <v>0</v>
      </c>
      <c r="G632" t="s">
        <v>23</v>
      </c>
      <c r="H632" t="s">
        <v>17</v>
      </c>
      <c r="I632" t="s">
        <v>18</v>
      </c>
      <c r="J632" s="3">
        <v>45845</v>
      </c>
      <c r="K632" s="4">
        <f>ClientiBanca[[#This Row],[Prestito]]+ClientiBanca[[#This Row],[Mutuo]]</f>
        <v>8000</v>
      </c>
      <c r="L632" t="str">
        <f>IF(ClientiBanca[[#This Row],[Reddito annuo]]&gt;=70000,"si","no")</f>
        <v>no</v>
      </c>
    </row>
    <row r="633" spans="1:12">
      <c r="A633">
        <v>100632</v>
      </c>
      <c r="B633">
        <v>61</v>
      </c>
      <c r="C633" s="2">
        <v>47400</v>
      </c>
      <c r="D633" t="s">
        <v>12</v>
      </c>
      <c r="E633" s="2">
        <v>0</v>
      </c>
      <c r="F633" s="2">
        <v>0</v>
      </c>
      <c r="G633" t="s">
        <v>27</v>
      </c>
      <c r="H633" t="s">
        <v>20</v>
      </c>
      <c r="I633" t="s">
        <v>18</v>
      </c>
      <c r="J633" s="3">
        <v>45349</v>
      </c>
      <c r="K633" s="4">
        <f>ClientiBanca[[#This Row],[Prestito]]+ClientiBanca[[#This Row],[Mutuo]]</f>
        <v>0</v>
      </c>
      <c r="L633" t="str">
        <f>IF(ClientiBanca[[#This Row],[Reddito annuo]]&gt;=70000,"si","no")</f>
        <v>no</v>
      </c>
    </row>
    <row r="634" spans="1:12">
      <c r="A634">
        <v>100633</v>
      </c>
      <c r="B634">
        <v>41</v>
      </c>
      <c r="C634" s="2">
        <v>84300</v>
      </c>
      <c r="D634" t="s">
        <v>21</v>
      </c>
      <c r="E634" s="2">
        <v>55000</v>
      </c>
      <c r="F634" s="2">
        <v>0</v>
      </c>
      <c r="G634" t="s">
        <v>28</v>
      </c>
      <c r="H634" t="s">
        <v>14</v>
      </c>
      <c r="I634" t="s">
        <v>18</v>
      </c>
      <c r="J634" s="3">
        <v>45841</v>
      </c>
      <c r="K634" s="4">
        <f>ClientiBanca[[#This Row],[Prestito]]+ClientiBanca[[#This Row],[Mutuo]]</f>
        <v>55000</v>
      </c>
      <c r="L634" t="str">
        <f>IF(ClientiBanca[[#This Row],[Reddito annuo]]&gt;=70000,"si","no")</f>
        <v>si</v>
      </c>
    </row>
    <row r="635" spans="1:12">
      <c r="A635">
        <v>100634</v>
      </c>
      <c r="B635">
        <v>29</v>
      </c>
      <c r="C635" s="2">
        <v>79500</v>
      </c>
      <c r="D635" t="s">
        <v>21</v>
      </c>
      <c r="E635" s="2">
        <v>49100</v>
      </c>
      <c r="F635" s="2">
        <v>0</v>
      </c>
      <c r="G635" t="s">
        <v>27</v>
      </c>
      <c r="H635" t="s">
        <v>20</v>
      </c>
      <c r="I635" t="s">
        <v>18</v>
      </c>
      <c r="J635" s="3">
        <v>45338</v>
      </c>
      <c r="K635" s="4">
        <f>ClientiBanca[[#This Row],[Prestito]]+ClientiBanca[[#This Row],[Mutuo]]</f>
        <v>49100</v>
      </c>
      <c r="L635" t="str">
        <f>IF(ClientiBanca[[#This Row],[Reddito annuo]]&gt;=70000,"si","no")</f>
        <v>si</v>
      </c>
    </row>
    <row r="636" spans="1:12">
      <c r="A636">
        <v>100635</v>
      </c>
      <c r="B636">
        <v>35</v>
      </c>
      <c r="C636" s="2">
        <v>75700</v>
      </c>
      <c r="D636" t="s">
        <v>21</v>
      </c>
      <c r="E636" s="2">
        <v>10400</v>
      </c>
      <c r="F636" s="2">
        <v>0</v>
      </c>
      <c r="G636" t="s">
        <v>13</v>
      </c>
      <c r="H636" t="s">
        <v>20</v>
      </c>
      <c r="I636" t="s">
        <v>18</v>
      </c>
      <c r="J636" s="3">
        <v>45897</v>
      </c>
      <c r="K636" s="4">
        <f>ClientiBanca[[#This Row],[Prestito]]+ClientiBanca[[#This Row],[Mutuo]]</f>
        <v>10400</v>
      </c>
      <c r="L636" t="str">
        <f>IF(ClientiBanca[[#This Row],[Reddito annuo]]&gt;=70000,"si","no")</f>
        <v>si</v>
      </c>
    </row>
    <row r="637" spans="1:12">
      <c r="A637">
        <v>100636</v>
      </c>
      <c r="B637">
        <v>24</v>
      </c>
      <c r="C637" s="2">
        <v>87600</v>
      </c>
      <c r="D637" t="s">
        <v>21</v>
      </c>
      <c r="E637" s="2">
        <v>54300</v>
      </c>
      <c r="F637" s="2">
        <v>0</v>
      </c>
      <c r="G637" t="s">
        <v>23</v>
      </c>
      <c r="H637" t="s">
        <v>20</v>
      </c>
      <c r="I637" t="s">
        <v>18</v>
      </c>
      <c r="J637" s="3">
        <v>46047</v>
      </c>
      <c r="K637" s="4">
        <f>ClientiBanca[[#This Row],[Prestito]]+ClientiBanca[[#This Row],[Mutuo]]</f>
        <v>54300</v>
      </c>
      <c r="L637" t="str">
        <f>IF(ClientiBanca[[#This Row],[Reddito annuo]]&gt;=70000,"si","no")</f>
        <v>si</v>
      </c>
    </row>
    <row r="638" spans="1:12">
      <c r="A638">
        <v>100637</v>
      </c>
      <c r="B638">
        <v>63</v>
      </c>
      <c r="C638" s="2">
        <v>53200</v>
      </c>
      <c r="D638" t="s">
        <v>21</v>
      </c>
      <c r="E638" s="2">
        <v>36400</v>
      </c>
      <c r="F638" s="2">
        <v>0</v>
      </c>
      <c r="G638" t="s">
        <v>23</v>
      </c>
      <c r="H638" t="s">
        <v>14</v>
      </c>
      <c r="I638" t="s">
        <v>18</v>
      </c>
      <c r="J638" s="3">
        <v>45635</v>
      </c>
      <c r="K638" s="4">
        <f>ClientiBanca[[#This Row],[Prestito]]+ClientiBanca[[#This Row],[Mutuo]]</f>
        <v>36400</v>
      </c>
      <c r="L638" t="str">
        <f>IF(ClientiBanca[[#This Row],[Reddito annuo]]&gt;=70000,"si","no")</f>
        <v>no</v>
      </c>
    </row>
    <row r="639" spans="1:12">
      <c r="A639">
        <v>100638</v>
      </c>
      <c r="B639">
        <v>24</v>
      </c>
      <c r="C639" s="2">
        <v>36000</v>
      </c>
      <c r="D639" t="s">
        <v>21</v>
      </c>
      <c r="E639" s="2">
        <v>45000</v>
      </c>
      <c r="F639" s="2">
        <v>0</v>
      </c>
      <c r="G639" t="s">
        <v>28</v>
      </c>
      <c r="H639" t="s">
        <v>17</v>
      </c>
      <c r="I639" t="s">
        <v>18</v>
      </c>
      <c r="J639" s="3">
        <v>45428</v>
      </c>
      <c r="K639" s="4">
        <f>ClientiBanca[[#This Row],[Prestito]]+ClientiBanca[[#This Row],[Mutuo]]</f>
        <v>45000</v>
      </c>
      <c r="L639" t="str">
        <f>IF(ClientiBanca[[#This Row],[Reddito annuo]]&gt;=70000,"si","no")</f>
        <v>no</v>
      </c>
    </row>
    <row r="640" spans="1:12">
      <c r="A640">
        <v>100639</v>
      </c>
      <c r="B640">
        <v>26</v>
      </c>
      <c r="C640" s="2">
        <v>84600</v>
      </c>
      <c r="D640" t="s">
        <v>12</v>
      </c>
      <c r="E640" s="2">
        <v>16900</v>
      </c>
      <c r="F640" s="2">
        <v>0</v>
      </c>
      <c r="G640" t="s">
        <v>13</v>
      </c>
      <c r="H640" t="s">
        <v>20</v>
      </c>
      <c r="I640" t="s">
        <v>18</v>
      </c>
      <c r="J640" s="3">
        <v>45383</v>
      </c>
      <c r="K640" s="4">
        <f>ClientiBanca[[#This Row],[Prestito]]+ClientiBanca[[#This Row],[Mutuo]]</f>
        <v>16900</v>
      </c>
      <c r="L640" t="str">
        <f>IF(ClientiBanca[[#This Row],[Reddito annuo]]&gt;=70000,"si","no")</f>
        <v>si</v>
      </c>
    </row>
    <row r="641" spans="1:12">
      <c r="A641">
        <v>100640</v>
      </c>
      <c r="B641">
        <v>65</v>
      </c>
      <c r="C641" s="2">
        <v>71400</v>
      </c>
      <c r="D641" t="s">
        <v>22</v>
      </c>
      <c r="E641" s="2">
        <v>55100</v>
      </c>
      <c r="F641" s="2">
        <v>0</v>
      </c>
      <c r="G641" t="s">
        <v>24</v>
      </c>
      <c r="H641" t="s">
        <v>20</v>
      </c>
      <c r="I641" t="s">
        <v>18</v>
      </c>
      <c r="J641" s="3">
        <v>45827</v>
      </c>
      <c r="K641" s="4">
        <f>ClientiBanca[[#This Row],[Prestito]]+ClientiBanca[[#This Row],[Mutuo]]</f>
        <v>55100</v>
      </c>
      <c r="L641" t="str">
        <f>IF(ClientiBanca[[#This Row],[Reddito annuo]]&gt;=70000,"si","no")</f>
        <v>si</v>
      </c>
    </row>
    <row r="642" spans="1:12">
      <c r="A642">
        <v>100641</v>
      </c>
      <c r="B642">
        <v>48</v>
      </c>
      <c r="C642" s="2">
        <v>53900</v>
      </c>
      <c r="D642" t="s">
        <v>22</v>
      </c>
      <c r="E642" s="2">
        <v>9300</v>
      </c>
      <c r="F642" s="2">
        <v>208000</v>
      </c>
      <c r="G642" t="s">
        <v>13</v>
      </c>
      <c r="H642" t="s">
        <v>17</v>
      </c>
      <c r="I642" t="s">
        <v>18</v>
      </c>
      <c r="J642" s="3">
        <v>45648</v>
      </c>
      <c r="K642" s="4">
        <f>ClientiBanca[[#This Row],[Prestito]]+ClientiBanca[[#This Row],[Mutuo]]</f>
        <v>217300</v>
      </c>
      <c r="L642" t="str">
        <f>IF(ClientiBanca[[#This Row],[Reddito annuo]]&gt;=70000,"si","no")</f>
        <v>no</v>
      </c>
    </row>
    <row r="643" spans="1:12">
      <c r="A643">
        <v>100642</v>
      </c>
      <c r="B643">
        <v>46</v>
      </c>
      <c r="C643" s="2">
        <v>21500</v>
      </c>
      <c r="D643" t="s">
        <v>21</v>
      </c>
      <c r="E643" s="2">
        <v>26900</v>
      </c>
      <c r="F643" s="2">
        <v>180000</v>
      </c>
      <c r="G643" t="s">
        <v>23</v>
      </c>
      <c r="H643" t="s">
        <v>17</v>
      </c>
      <c r="I643" t="s">
        <v>18</v>
      </c>
      <c r="J643" s="3">
        <v>45505</v>
      </c>
      <c r="K643" s="4">
        <f>ClientiBanca[[#This Row],[Prestito]]+ClientiBanca[[#This Row],[Mutuo]]</f>
        <v>206900</v>
      </c>
      <c r="L643" t="str">
        <f>IF(ClientiBanca[[#This Row],[Reddito annuo]]&gt;=70000,"si","no")</f>
        <v>no</v>
      </c>
    </row>
    <row r="644" spans="1:12">
      <c r="A644">
        <v>100643</v>
      </c>
      <c r="B644">
        <v>37</v>
      </c>
      <c r="C644" s="2">
        <v>29900</v>
      </c>
      <c r="D644" t="s">
        <v>21</v>
      </c>
      <c r="E644" s="2">
        <v>37400</v>
      </c>
      <c r="F644" s="2">
        <v>0</v>
      </c>
      <c r="G644" t="s">
        <v>28</v>
      </c>
      <c r="H644" t="s">
        <v>17</v>
      </c>
      <c r="I644" t="s">
        <v>18</v>
      </c>
      <c r="J644" s="3">
        <v>45336</v>
      </c>
      <c r="K644" s="4">
        <f>ClientiBanca[[#This Row],[Prestito]]+ClientiBanca[[#This Row],[Mutuo]]</f>
        <v>37400</v>
      </c>
      <c r="L644" t="str">
        <f>IF(ClientiBanca[[#This Row],[Reddito annuo]]&gt;=70000,"si","no")</f>
        <v>no</v>
      </c>
    </row>
    <row r="645" spans="1:12">
      <c r="A645">
        <v>100644</v>
      </c>
      <c r="B645">
        <v>23</v>
      </c>
      <c r="C645" s="2">
        <v>70800</v>
      </c>
      <c r="D645" t="s">
        <v>21</v>
      </c>
      <c r="E645" s="2">
        <v>25100</v>
      </c>
      <c r="F645" s="2">
        <v>0</v>
      </c>
      <c r="G645" t="s">
        <v>28</v>
      </c>
      <c r="H645" t="s">
        <v>20</v>
      </c>
      <c r="I645" t="s">
        <v>18</v>
      </c>
      <c r="J645" s="3">
        <v>46239</v>
      </c>
      <c r="K645" s="4">
        <f>ClientiBanca[[#This Row],[Prestito]]+ClientiBanca[[#This Row],[Mutuo]]</f>
        <v>25100</v>
      </c>
      <c r="L645" t="str">
        <f>IF(ClientiBanca[[#This Row],[Reddito annuo]]&gt;=70000,"si","no")</f>
        <v>si</v>
      </c>
    </row>
    <row r="646" spans="1:12">
      <c r="A646">
        <v>100645</v>
      </c>
      <c r="B646">
        <v>54</v>
      </c>
      <c r="C646" s="2">
        <v>39700</v>
      </c>
      <c r="D646" t="s">
        <v>12</v>
      </c>
      <c r="E646" s="2">
        <v>14800</v>
      </c>
      <c r="F646" s="2">
        <v>0</v>
      </c>
      <c r="G646" t="s">
        <v>28</v>
      </c>
      <c r="H646" t="s">
        <v>14</v>
      </c>
      <c r="I646" t="s">
        <v>18</v>
      </c>
      <c r="J646" s="3">
        <v>45495</v>
      </c>
      <c r="K646" s="4">
        <f>ClientiBanca[[#This Row],[Prestito]]+ClientiBanca[[#This Row],[Mutuo]]</f>
        <v>14800</v>
      </c>
      <c r="L646" t="str">
        <f>IF(ClientiBanca[[#This Row],[Reddito annuo]]&gt;=70000,"si","no")</f>
        <v>no</v>
      </c>
    </row>
    <row r="647" spans="1:12">
      <c r="A647">
        <v>100646</v>
      </c>
      <c r="B647">
        <v>67</v>
      </c>
      <c r="C647" s="2">
        <v>73600</v>
      </c>
      <c r="D647" t="s">
        <v>21</v>
      </c>
      <c r="E647" s="2">
        <v>0</v>
      </c>
      <c r="F647" s="2">
        <v>0</v>
      </c>
      <c r="G647" t="s">
        <v>13</v>
      </c>
      <c r="H647" t="s">
        <v>20</v>
      </c>
      <c r="I647" t="s">
        <v>18</v>
      </c>
      <c r="J647" s="3">
        <v>45714</v>
      </c>
      <c r="K647" s="4">
        <f>ClientiBanca[[#This Row],[Prestito]]+ClientiBanca[[#This Row],[Mutuo]]</f>
        <v>0</v>
      </c>
      <c r="L647" t="str">
        <f>IF(ClientiBanca[[#This Row],[Reddito annuo]]&gt;=70000,"si","no")</f>
        <v>si</v>
      </c>
    </row>
    <row r="648" spans="1:12">
      <c r="A648">
        <v>100647</v>
      </c>
      <c r="B648">
        <v>75</v>
      </c>
      <c r="C648" s="2">
        <v>41200</v>
      </c>
      <c r="D648" t="s">
        <v>22</v>
      </c>
      <c r="E648" s="2">
        <v>38700</v>
      </c>
      <c r="F648" s="2">
        <v>195000</v>
      </c>
      <c r="G648" t="s">
        <v>23</v>
      </c>
      <c r="H648" t="s">
        <v>25</v>
      </c>
      <c r="I648" t="s">
        <v>18</v>
      </c>
      <c r="J648" s="3">
        <v>45688</v>
      </c>
      <c r="K648" s="4">
        <f>ClientiBanca[[#This Row],[Prestito]]+ClientiBanca[[#This Row],[Mutuo]]</f>
        <v>233700</v>
      </c>
      <c r="L648" t="str">
        <f>IF(ClientiBanca[[#This Row],[Reddito annuo]]&gt;=70000,"si","no")</f>
        <v>no</v>
      </c>
    </row>
    <row r="649" spans="1:12">
      <c r="A649">
        <v>100648</v>
      </c>
      <c r="B649">
        <v>43</v>
      </c>
      <c r="C649" s="2">
        <v>37100</v>
      </c>
      <c r="D649" t="s">
        <v>12</v>
      </c>
      <c r="E649" s="2">
        <v>46400</v>
      </c>
      <c r="F649" s="2">
        <v>0</v>
      </c>
      <c r="G649" t="s">
        <v>24</v>
      </c>
      <c r="H649" t="s">
        <v>20</v>
      </c>
      <c r="I649" t="s">
        <v>18</v>
      </c>
      <c r="J649" s="3">
        <v>45579</v>
      </c>
      <c r="K649" s="4">
        <f>ClientiBanca[[#This Row],[Prestito]]+ClientiBanca[[#This Row],[Mutuo]]</f>
        <v>46400</v>
      </c>
      <c r="L649" t="str">
        <f>IF(ClientiBanca[[#This Row],[Reddito annuo]]&gt;=70000,"si","no")</f>
        <v>no</v>
      </c>
    </row>
    <row r="650" spans="1:12">
      <c r="A650">
        <v>100649</v>
      </c>
      <c r="B650">
        <v>28</v>
      </c>
      <c r="C650" s="2">
        <v>35300</v>
      </c>
      <c r="D650" t="s">
        <v>21</v>
      </c>
      <c r="E650" s="2">
        <v>44100</v>
      </c>
      <c r="F650" s="2">
        <v>0</v>
      </c>
      <c r="G650" t="s">
        <v>26</v>
      </c>
      <c r="H650" t="s">
        <v>14</v>
      </c>
      <c r="I650" t="s">
        <v>18</v>
      </c>
      <c r="J650" s="3">
        <v>45945</v>
      </c>
      <c r="K650" s="4">
        <f>ClientiBanca[[#This Row],[Prestito]]+ClientiBanca[[#This Row],[Mutuo]]</f>
        <v>44100</v>
      </c>
      <c r="L650" t="str">
        <f>IF(ClientiBanca[[#This Row],[Reddito annuo]]&gt;=70000,"si","no")</f>
        <v>no</v>
      </c>
    </row>
    <row r="651" spans="1:12">
      <c r="A651">
        <v>100650</v>
      </c>
      <c r="B651">
        <v>59</v>
      </c>
      <c r="C651" s="2">
        <v>99500</v>
      </c>
      <c r="D651" t="s">
        <v>12</v>
      </c>
      <c r="E651" s="2">
        <v>20100</v>
      </c>
      <c r="F651" s="2">
        <v>0</v>
      </c>
      <c r="G651" t="s">
        <v>28</v>
      </c>
      <c r="H651" t="s">
        <v>14</v>
      </c>
      <c r="I651" t="s">
        <v>18</v>
      </c>
      <c r="J651" s="3">
        <v>45776</v>
      </c>
      <c r="K651" s="4">
        <f>ClientiBanca[[#This Row],[Prestito]]+ClientiBanca[[#This Row],[Mutuo]]</f>
        <v>20100</v>
      </c>
      <c r="L651" t="str">
        <f>IF(ClientiBanca[[#This Row],[Reddito annuo]]&gt;=70000,"si","no")</f>
        <v>si</v>
      </c>
    </row>
    <row r="652" spans="1:12">
      <c r="A652">
        <v>100651</v>
      </c>
      <c r="B652">
        <v>73</v>
      </c>
      <c r="C652" s="2">
        <v>57200</v>
      </c>
      <c r="D652" t="s">
        <v>21</v>
      </c>
      <c r="E652" s="2">
        <v>61600</v>
      </c>
      <c r="F652" s="2">
        <v>0</v>
      </c>
      <c r="G652" t="s">
        <v>16</v>
      </c>
      <c r="H652" t="s">
        <v>17</v>
      </c>
      <c r="I652" t="s">
        <v>18</v>
      </c>
      <c r="J652" s="3">
        <v>45897</v>
      </c>
      <c r="K652" s="4">
        <f>ClientiBanca[[#This Row],[Prestito]]+ClientiBanca[[#This Row],[Mutuo]]</f>
        <v>61600</v>
      </c>
      <c r="L652" t="str">
        <f>IF(ClientiBanca[[#This Row],[Reddito annuo]]&gt;=70000,"si","no")</f>
        <v>no</v>
      </c>
    </row>
    <row r="653" spans="1:12">
      <c r="A653">
        <v>100652</v>
      </c>
      <c r="B653">
        <v>29</v>
      </c>
      <c r="C653" s="2">
        <v>100800</v>
      </c>
      <c r="D653" t="s">
        <v>22</v>
      </c>
      <c r="E653" s="2">
        <v>9900</v>
      </c>
      <c r="F653" s="2">
        <v>0</v>
      </c>
      <c r="G653" t="s">
        <v>27</v>
      </c>
      <c r="H653" t="s">
        <v>20</v>
      </c>
      <c r="I653" t="s">
        <v>18</v>
      </c>
      <c r="J653" s="3">
        <v>46121</v>
      </c>
      <c r="K653" s="4">
        <f>ClientiBanca[[#This Row],[Prestito]]+ClientiBanca[[#This Row],[Mutuo]]</f>
        <v>9900</v>
      </c>
      <c r="L653" t="str">
        <f>IF(ClientiBanca[[#This Row],[Reddito annuo]]&gt;=70000,"si","no")</f>
        <v>si</v>
      </c>
    </row>
    <row r="654" spans="1:12">
      <c r="A654">
        <v>100653</v>
      </c>
      <c r="B654">
        <v>71</v>
      </c>
      <c r="C654" s="2">
        <v>75300</v>
      </c>
      <c r="D654" t="s">
        <v>21</v>
      </c>
      <c r="E654" s="2">
        <v>12800</v>
      </c>
      <c r="F654" s="2">
        <v>0</v>
      </c>
      <c r="G654" t="s">
        <v>16</v>
      </c>
      <c r="H654" t="s">
        <v>14</v>
      </c>
      <c r="I654" t="s">
        <v>18</v>
      </c>
      <c r="J654" s="3">
        <v>45594</v>
      </c>
      <c r="K654" s="4">
        <f>ClientiBanca[[#This Row],[Prestito]]+ClientiBanca[[#This Row],[Mutuo]]</f>
        <v>12800</v>
      </c>
      <c r="L654" t="str">
        <f>IF(ClientiBanca[[#This Row],[Reddito annuo]]&gt;=70000,"si","no")</f>
        <v>si</v>
      </c>
    </row>
    <row r="655" spans="1:12">
      <c r="A655">
        <v>100654</v>
      </c>
      <c r="B655">
        <v>35</v>
      </c>
      <c r="C655" s="2">
        <v>71100</v>
      </c>
      <c r="D655" t="s">
        <v>21</v>
      </c>
      <c r="E655" s="2">
        <v>23600</v>
      </c>
      <c r="F655" s="2">
        <v>0</v>
      </c>
      <c r="G655" t="s">
        <v>27</v>
      </c>
      <c r="H655" t="s">
        <v>25</v>
      </c>
      <c r="I655" t="s">
        <v>18</v>
      </c>
      <c r="J655" s="3">
        <v>45433</v>
      </c>
      <c r="K655" s="4">
        <f>ClientiBanca[[#This Row],[Prestito]]+ClientiBanca[[#This Row],[Mutuo]]</f>
        <v>23600</v>
      </c>
      <c r="L655" t="str">
        <f>IF(ClientiBanca[[#This Row],[Reddito annuo]]&gt;=70000,"si","no")</f>
        <v>si</v>
      </c>
    </row>
    <row r="656" spans="1:12">
      <c r="A656">
        <v>100655</v>
      </c>
      <c r="B656">
        <v>75</v>
      </c>
      <c r="C656" s="2">
        <v>75900</v>
      </c>
      <c r="D656" t="s">
        <v>21</v>
      </c>
      <c r="E656" s="2">
        <v>0</v>
      </c>
      <c r="F656" s="2">
        <v>0</v>
      </c>
      <c r="G656" t="s">
        <v>27</v>
      </c>
      <c r="H656" t="s">
        <v>14</v>
      </c>
      <c r="I656" t="s">
        <v>18</v>
      </c>
      <c r="J656" s="3">
        <v>45364</v>
      </c>
      <c r="K656" s="4">
        <f>ClientiBanca[[#This Row],[Prestito]]+ClientiBanca[[#This Row],[Mutuo]]</f>
        <v>0</v>
      </c>
      <c r="L656" t="str">
        <f>IF(ClientiBanca[[#This Row],[Reddito annuo]]&gt;=70000,"si","no")</f>
        <v>si</v>
      </c>
    </row>
    <row r="657" spans="1:12">
      <c r="A657">
        <v>100656</v>
      </c>
      <c r="B657">
        <v>44</v>
      </c>
      <c r="C657" s="2">
        <v>97600</v>
      </c>
      <c r="D657" t="s">
        <v>21</v>
      </c>
      <c r="E657" s="2">
        <v>29700</v>
      </c>
      <c r="F657" s="2">
        <v>350000</v>
      </c>
      <c r="G657" t="s">
        <v>23</v>
      </c>
      <c r="H657" t="s">
        <v>17</v>
      </c>
      <c r="I657" t="s">
        <v>18</v>
      </c>
      <c r="J657" s="3">
        <v>46193</v>
      </c>
      <c r="K657" s="4">
        <f>ClientiBanca[[#This Row],[Prestito]]+ClientiBanca[[#This Row],[Mutuo]]</f>
        <v>379700</v>
      </c>
      <c r="L657" t="str">
        <f>IF(ClientiBanca[[#This Row],[Reddito annuo]]&gt;=70000,"si","no")</f>
        <v>si</v>
      </c>
    </row>
    <row r="658" spans="1:12">
      <c r="A658">
        <v>100657</v>
      </c>
      <c r="B658">
        <v>41</v>
      </c>
      <c r="C658" s="2">
        <v>79000</v>
      </c>
      <c r="D658" t="s">
        <v>21</v>
      </c>
      <c r="E658" s="2">
        <v>0</v>
      </c>
      <c r="F658" s="2">
        <v>0</v>
      </c>
      <c r="G658" t="s">
        <v>27</v>
      </c>
      <c r="H658" t="s">
        <v>20</v>
      </c>
      <c r="I658" t="s">
        <v>18</v>
      </c>
      <c r="J658" s="3">
        <v>45666</v>
      </c>
      <c r="K658" s="4">
        <f>ClientiBanca[[#This Row],[Prestito]]+ClientiBanca[[#This Row],[Mutuo]]</f>
        <v>0</v>
      </c>
      <c r="L658" t="str">
        <f>IF(ClientiBanca[[#This Row],[Reddito annuo]]&gt;=70000,"si","no")</f>
        <v>si</v>
      </c>
    </row>
    <row r="659" spans="1:12">
      <c r="A659">
        <v>100658</v>
      </c>
      <c r="B659">
        <v>49</v>
      </c>
      <c r="C659" s="2">
        <v>68700</v>
      </c>
      <c r="D659" t="s">
        <v>21</v>
      </c>
      <c r="E659" s="2">
        <v>37100</v>
      </c>
      <c r="F659" s="2">
        <v>258000</v>
      </c>
      <c r="G659" t="s">
        <v>23</v>
      </c>
      <c r="H659" t="s">
        <v>20</v>
      </c>
      <c r="I659" t="s">
        <v>18</v>
      </c>
      <c r="J659" s="3">
        <v>45844</v>
      </c>
      <c r="K659" s="4">
        <f>ClientiBanca[[#This Row],[Prestito]]+ClientiBanca[[#This Row],[Mutuo]]</f>
        <v>295100</v>
      </c>
      <c r="L659" t="str">
        <f>IF(ClientiBanca[[#This Row],[Reddito annuo]]&gt;=70000,"si","no")</f>
        <v>no</v>
      </c>
    </row>
    <row r="660" spans="1:12">
      <c r="A660">
        <v>100659</v>
      </c>
      <c r="B660">
        <v>27</v>
      </c>
      <c r="C660" s="2">
        <v>71200</v>
      </c>
      <c r="D660" t="s">
        <v>12</v>
      </c>
      <c r="E660" s="2">
        <v>0</v>
      </c>
      <c r="F660" s="2">
        <v>0</v>
      </c>
      <c r="G660" t="s">
        <v>23</v>
      </c>
      <c r="H660" t="s">
        <v>14</v>
      </c>
      <c r="I660" t="s">
        <v>18</v>
      </c>
      <c r="J660" s="3">
        <v>46071</v>
      </c>
      <c r="K660" s="4">
        <f>ClientiBanca[[#This Row],[Prestito]]+ClientiBanca[[#This Row],[Mutuo]]</f>
        <v>0</v>
      </c>
      <c r="L660" t="str">
        <f>IF(ClientiBanca[[#This Row],[Reddito annuo]]&gt;=70000,"si","no")</f>
        <v>si</v>
      </c>
    </row>
    <row r="661" spans="1:12">
      <c r="A661">
        <v>100660</v>
      </c>
      <c r="B661">
        <v>34</v>
      </c>
      <c r="C661" s="2">
        <v>48200</v>
      </c>
      <c r="D661" t="s">
        <v>22</v>
      </c>
      <c r="E661" s="2">
        <v>29500</v>
      </c>
      <c r="F661" s="2">
        <v>182000</v>
      </c>
      <c r="G661" t="s">
        <v>28</v>
      </c>
      <c r="H661" t="s">
        <v>17</v>
      </c>
      <c r="I661" t="s">
        <v>18</v>
      </c>
      <c r="J661" s="3">
        <v>45417</v>
      </c>
      <c r="K661" s="4">
        <f>ClientiBanca[[#This Row],[Prestito]]+ClientiBanca[[#This Row],[Mutuo]]</f>
        <v>211500</v>
      </c>
      <c r="L661" t="str">
        <f>IF(ClientiBanca[[#This Row],[Reddito annuo]]&gt;=70000,"si","no")</f>
        <v>no</v>
      </c>
    </row>
    <row r="662" spans="1:12">
      <c r="A662">
        <v>100661</v>
      </c>
      <c r="B662">
        <v>50</v>
      </c>
      <c r="C662" s="2">
        <v>76500</v>
      </c>
      <c r="D662" t="s">
        <v>12</v>
      </c>
      <c r="E662" s="2">
        <v>23000</v>
      </c>
      <c r="F662" s="2">
        <v>0</v>
      </c>
      <c r="G662" t="s">
        <v>13</v>
      </c>
      <c r="H662" t="s">
        <v>20</v>
      </c>
      <c r="I662" t="s">
        <v>18</v>
      </c>
      <c r="J662" s="3">
        <v>45381</v>
      </c>
      <c r="K662" s="4">
        <f>ClientiBanca[[#This Row],[Prestito]]+ClientiBanca[[#This Row],[Mutuo]]</f>
        <v>23000</v>
      </c>
      <c r="L662" t="str">
        <f>IF(ClientiBanca[[#This Row],[Reddito annuo]]&gt;=70000,"si","no")</f>
        <v>si</v>
      </c>
    </row>
    <row r="663" spans="1:12">
      <c r="A663">
        <v>100662</v>
      </c>
      <c r="B663">
        <v>25</v>
      </c>
      <c r="C663" s="2">
        <v>52500</v>
      </c>
      <c r="D663" t="s">
        <v>21</v>
      </c>
      <c r="E663" s="2">
        <v>0</v>
      </c>
      <c r="F663" s="2">
        <v>141000</v>
      </c>
      <c r="G663" t="s">
        <v>13</v>
      </c>
      <c r="H663" t="s">
        <v>17</v>
      </c>
      <c r="I663" t="s">
        <v>18</v>
      </c>
      <c r="J663" s="3">
        <v>45800</v>
      </c>
      <c r="K663" s="4">
        <f>ClientiBanca[[#This Row],[Prestito]]+ClientiBanca[[#This Row],[Mutuo]]</f>
        <v>141000</v>
      </c>
      <c r="L663" t="str">
        <f>IF(ClientiBanca[[#This Row],[Reddito annuo]]&gt;=70000,"si","no")</f>
        <v>no</v>
      </c>
    </row>
    <row r="664" spans="1:12">
      <c r="A664">
        <v>100663</v>
      </c>
      <c r="B664">
        <v>29</v>
      </c>
      <c r="C664" s="2">
        <v>94900</v>
      </c>
      <c r="D664" t="s">
        <v>12</v>
      </c>
      <c r="E664" s="2">
        <v>23100</v>
      </c>
      <c r="F664" s="2">
        <v>0</v>
      </c>
      <c r="G664" t="s">
        <v>24</v>
      </c>
      <c r="H664" t="s">
        <v>20</v>
      </c>
      <c r="I664" t="s">
        <v>18</v>
      </c>
      <c r="J664" s="3">
        <v>46047</v>
      </c>
      <c r="K664" s="4">
        <f>ClientiBanca[[#This Row],[Prestito]]+ClientiBanca[[#This Row],[Mutuo]]</f>
        <v>23100</v>
      </c>
      <c r="L664" t="str">
        <f>IF(ClientiBanca[[#This Row],[Reddito annuo]]&gt;=70000,"si","no")</f>
        <v>si</v>
      </c>
    </row>
    <row r="665" spans="1:12">
      <c r="A665">
        <v>100664</v>
      </c>
      <c r="B665">
        <v>61</v>
      </c>
      <c r="C665" s="2">
        <v>25600</v>
      </c>
      <c r="D665" t="s">
        <v>21</v>
      </c>
      <c r="E665" s="2">
        <v>32000</v>
      </c>
      <c r="F665" s="2">
        <v>0</v>
      </c>
      <c r="G665" t="s">
        <v>19</v>
      </c>
      <c r="H665" t="s">
        <v>17</v>
      </c>
      <c r="I665" t="s">
        <v>18</v>
      </c>
      <c r="J665" s="3">
        <v>45953</v>
      </c>
      <c r="K665" s="4">
        <f>ClientiBanca[[#This Row],[Prestito]]+ClientiBanca[[#This Row],[Mutuo]]</f>
        <v>32000</v>
      </c>
      <c r="L665" t="str">
        <f>IF(ClientiBanca[[#This Row],[Reddito annuo]]&gt;=70000,"si","no")</f>
        <v>no</v>
      </c>
    </row>
    <row r="666" spans="1:12">
      <c r="A666">
        <v>100665</v>
      </c>
      <c r="B666">
        <v>70</v>
      </c>
      <c r="C666" s="2">
        <v>48500</v>
      </c>
      <c r="D666" t="s">
        <v>12</v>
      </c>
      <c r="E666" s="2">
        <v>58400</v>
      </c>
      <c r="F666" s="2">
        <v>0</v>
      </c>
      <c r="G666" t="s">
        <v>26</v>
      </c>
      <c r="H666" t="s">
        <v>17</v>
      </c>
      <c r="I666" t="s">
        <v>18</v>
      </c>
      <c r="J666" s="3">
        <v>45605</v>
      </c>
      <c r="K666" s="4">
        <f>ClientiBanca[[#This Row],[Prestito]]+ClientiBanca[[#This Row],[Mutuo]]</f>
        <v>58400</v>
      </c>
      <c r="L666" t="str">
        <f>IF(ClientiBanca[[#This Row],[Reddito annuo]]&gt;=70000,"si","no")</f>
        <v>no</v>
      </c>
    </row>
    <row r="667" spans="1:12">
      <c r="A667">
        <v>100666</v>
      </c>
      <c r="B667">
        <v>30</v>
      </c>
      <c r="C667" s="2">
        <v>84400</v>
      </c>
      <c r="D667" t="s">
        <v>21</v>
      </c>
      <c r="E667" s="2">
        <v>22800</v>
      </c>
      <c r="F667" s="2">
        <v>0</v>
      </c>
      <c r="G667" t="s">
        <v>24</v>
      </c>
      <c r="H667" t="s">
        <v>20</v>
      </c>
      <c r="I667" t="s">
        <v>18</v>
      </c>
      <c r="J667" s="3">
        <v>45462</v>
      </c>
      <c r="K667" s="4">
        <f>ClientiBanca[[#This Row],[Prestito]]+ClientiBanca[[#This Row],[Mutuo]]</f>
        <v>22800</v>
      </c>
      <c r="L667" t="str">
        <f>IF(ClientiBanca[[#This Row],[Reddito annuo]]&gt;=70000,"si","no")</f>
        <v>si</v>
      </c>
    </row>
    <row r="668" spans="1:12">
      <c r="A668">
        <v>100667</v>
      </c>
      <c r="B668">
        <v>59</v>
      </c>
      <c r="C668" s="2">
        <v>102700</v>
      </c>
      <c r="D668" t="s">
        <v>12</v>
      </c>
      <c r="E668" s="2">
        <v>77000</v>
      </c>
      <c r="F668" s="2">
        <v>0</v>
      </c>
      <c r="G668" t="s">
        <v>24</v>
      </c>
      <c r="H668" t="s">
        <v>20</v>
      </c>
      <c r="I668" t="s">
        <v>18</v>
      </c>
      <c r="J668" s="3">
        <v>45616</v>
      </c>
      <c r="K668" s="4">
        <f>ClientiBanca[[#This Row],[Prestito]]+ClientiBanca[[#This Row],[Mutuo]]</f>
        <v>77000</v>
      </c>
      <c r="L668" t="str">
        <f>IF(ClientiBanca[[#This Row],[Reddito annuo]]&gt;=70000,"si","no")</f>
        <v>si</v>
      </c>
    </row>
    <row r="669" spans="1:12">
      <c r="A669">
        <v>100668</v>
      </c>
      <c r="B669">
        <v>56</v>
      </c>
      <c r="C669" s="2">
        <v>36400</v>
      </c>
      <c r="D669" t="s">
        <v>21</v>
      </c>
      <c r="E669" s="2">
        <v>37300</v>
      </c>
      <c r="F669" s="2">
        <v>172000</v>
      </c>
      <c r="G669" t="s">
        <v>19</v>
      </c>
      <c r="H669" t="s">
        <v>20</v>
      </c>
      <c r="I669" t="s">
        <v>18</v>
      </c>
      <c r="J669" s="3">
        <v>45458</v>
      </c>
      <c r="K669" s="4">
        <f>ClientiBanca[[#This Row],[Prestito]]+ClientiBanca[[#This Row],[Mutuo]]</f>
        <v>209300</v>
      </c>
      <c r="L669" t="str">
        <f>IF(ClientiBanca[[#This Row],[Reddito annuo]]&gt;=70000,"si","no")</f>
        <v>no</v>
      </c>
    </row>
    <row r="670" spans="1:12">
      <c r="A670">
        <v>100669</v>
      </c>
      <c r="B670">
        <v>54</v>
      </c>
      <c r="C670" s="2">
        <v>47000</v>
      </c>
      <c r="D670" t="s">
        <v>22</v>
      </c>
      <c r="E670" s="2">
        <v>33700</v>
      </c>
      <c r="F670" s="2">
        <v>199000</v>
      </c>
      <c r="G670" t="s">
        <v>19</v>
      </c>
      <c r="H670" t="s">
        <v>20</v>
      </c>
      <c r="I670" t="s">
        <v>18</v>
      </c>
      <c r="J670" s="3">
        <v>45851</v>
      </c>
      <c r="K670" s="4">
        <f>ClientiBanca[[#This Row],[Prestito]]+ClientiBanca[[#This Row],[Mutuo]]</f>
        <v>232700</v>
      </c>
      <c r="L670" t="str">
        <f>IF(ClientiBanca[[#This Row],[Reddito annuo]]&gt;=70000,"si","no")</f>
        <v>no</v>
      </c>
    </row>
    <row r="671" spans="1:12">
      <c r="A671">
        <v>100670</v>
      </c>
      <c r="B671">
        <v>52</v>
      </c>
      <c r="C671" s="2">
        <v>48800</v>
      </c>
      <c r="D671" t="s">
        <v>12</v>
      </c>
      <c r="E671" s="2">
        <v>22900</v>
      </c>
      <c r="F671" s="2">
        <v>0</v>
      </c>
      <c r="G671" t="s">
        <v>24</v>
      </c>
      <c r="H671" t="s">
        <v>14</v>
      </c>
      <c r="I671" t="s">
        <v>18</v>
      </c>
      <c r="J671" s="3">
        <v>46236</v>
      </c>
      <c r="K671" s="4">
        <f>ClientiBanca[[#This Row],[Prestito]]+ClientiBanca[[#This Row],[Mutuo]]</f>
        <v>22900</v>
      </c>
      <c r="L671" t="str">
        <f>IF(ClientiBanca[[#This Row],[Reddito annuo]]&gt;=70000,"si","no")</f>
        <v>no</v>
      </c>
    </row>
    <row r="672" spans="1:12">
      <c r="A672">
        <v>100671</v>
      </c>
      <c r="B672">
        <v>48</v>
      </c>
      <c r="C672" s="2">
        <v>49300</v>
      </c>
      <c r="D672" t="s">
        <v>21</v>
      </c>
      <c r="E672" s="2">
        <v>9500</v>
      </c>
      <c r="F672" s="2">
        <v>0</v>
      </c>
      <c r="G672" t="s">
        <v>13</v>
      </c>
      <c r="H672" t="s">
        <v>17</v>
      </c>
      <c r="I672" t="s">
        <v>18</v>
      </c>
      <c r="J672" s="3">
        <v>46153</v>
      </c>
      <c r="K672" s="4">
        <f>ClientiBanca[[#This Row],[Prestito]]+ClientiBanca[[#This Row],[Mutuo]]</f>
        <v>9500</v>
      </c>
      <c r="L672" t="str">
        <f>IF(ClientiBanca[[#This Row],[Reddito annuo]]&gt;=70000,"si","no")</f>
        <v>no</v>
      </c>
    </row>
    <row r="673" spans="1:12">
      <c r="A673">
        <v>100672</v>
      </c>
      <c r="B673">
        <v>34</v>
      </c>
      <c r="C673" s="2">
        <v>56100</v>
      </c>
      <c r="D673" t="s">
        <v>21</v>
      </c>
      <c r="E673" s="2">
        <v>42300</v>
      </c>
      <c r="F673" s="2">
        <v>0</v>
      </c>
      <c r="G673" t="s">
        <v>23</v>
      </c>
      <c r="H673" t="s">
        <v>14</v>
      </c>
      <c r="I673" t="s">
        <v>18</v>
      </c>
      <c r="J673" s="3">
        <v>45492</v>
      </c>
      <c r="K673" s="4">
        <f>ClientiBanca[[#This Row],[Prestito]]+ClientiBanca[[#This Row],[Mutuo]]</f>
        <v>42300</v>
      </c>
      <c r="L673" t="str">
        <f>IF(ClientiBanca[[#This Row],[Reddito annuo]]&gt;=70000,"si","no")</f>
        <v>no</v>
      </c>
    </row>
    <row r="674" spans="1:12">
      <c r="A674">
        <v>100673</v>
      </c>
      <c r="B674">
        <v>21</v>
      </c>
      <c r="C674" s="2">
        <v>33000</v>
      </c>
      <c r="D674" t="s">
        <v>22</v>
      </c>
      <c r="E674" s="2">
        <v>41200</v>
      </c>
      <c r="F674" s="2">
        <v>0</v>
      </c>
      <c r="G674" t="s">
        <v>16</v>
      </c>
      <c r="H674" t="s">
        <v>17</v>
      </c>
      <c r="I674" t="s">
        <v>18</v>
      </c>
      <c r="J674" s="3">
        <v>45911</v>
      </c>
      <c r="K674" s="4">
        <f>ClientiBanca[[#This Row],[Prestito]]+ClientiBanca[[#This Row],[Mutuo]]</f>
        <v>41200</v>
      </c>
      <c r="L674" t="str">
        <f>IF(ClientiBanca[[#This Row],[Reddito annuo]]&gt;=70000,"si","no")</f>
        <v>no</v>
      </c>
    </row>
    <row r="675" spans="1:12">
      <c r="A675">
        <v>100674</v>
      </c>
      <c r="B675">
        <v>52</v>
      </c>
      <c r="C675" s="2">
        <v>106400</v>
      </c>
      <c r="D675" t="s">
        <v>22</v>
      </c>
      <c r="E675" s="2">
        <v>16400</v>
      </c>
      <c r="F675" s="2">
        <v>0</v>
      </c>
      <c r="G675" t="s">
        <v>19</v>
      </c>
      <c r="H675" t="s">
        <v>20</v>
      </c>
      <c r="I675" t="s">
        <v>15</v>
      </c>
      <c r="J675" s="3">
        <v>45645</v>
      </c>
      <c r="K675" s="4">
        <f>ClientiBanca[[#This Row],[Prestito]]+ClientiBanca[[#This Row],[Mutuo]]</f>
        <v>16400</v>
      </c>
      <c r="L675" t="str">
        <f>IF(ClientiBanca[[#This Row],[Reddito annuo]]&gt;=70000,"si","no")</f>
        <v>si</v>
      </c>
    </row>
    <row r="676" spans="1:12">
      <c r="A676">
        <v>100675</v>
      </c>
      <c r="B676">
        <v>42</v>
      </c>
      <c r="C676" s="2">
        <v>47400</v>
      </c>
      <c r="D676" t="s">
        <v>21</v>
      </c>
      <c r="E676" s="2">
        <v>19500</v>
      </c>
      <c r="F676" s="2">
        <v>0</v>
      </c>
      <c r="G676" t="s">
        <v>16</v>
      </c>
      <c r="H676" t="s">
        <v>14</v>
      </c>
      <c r="I676" t="s">
        <v>18</v>
      </c>
      <c r="J676" s="3">
        <v>46117</v>
      </c>
      <c r="K676" s="4">
        <f>ClientiBanca[[#This Row],[Prestito]]+ClientiBanca[[#This Row],[Mutuo]]</f>
        <v>19500</v>
      </c>
      <c r="L676" t="str">
        <f>IF(ClientiBanca[[#This Row],[Reddito annuo]]&gt;=70000,"si","no")</f>
        <v>no</v>
      </c>
    </row>
    <row r="677" spans="1:12">
      <c r="A677">
        <v>100676</v>
      </c>
      <c r="B677">
        <v>66</v>
      </c>
      <c r="C677" s="2">
        <v>112900</v>
      </c>
      <c r="D677" t="s">
        <v>21</v>
      </c>
      <c r="E677" s="2">
        <v>0</v>
      </c>
      <c r="F677" s="2">
        <v>227000</v>
      </c>
      <c r="G677" t="s">
        <v>13</v>
      </c>
      <c r="H677" t="s">
        <v>20</v>
      </c>
      <c r="I677" t="s">
        <v>18</v>
      </c>
      <c r="J677" s="3">
        <v>45602</v>
      </c>
      <c r="K677" s="4">
        <f>ClientiBanca[[#This Row],[Prestito]]+ClientiBanca[[#This Row],[Mutuo]]</f>
        <v>227000</v>
      </c>
      <c r="L677" t="str">
        <f>IF(ClientiBanca[[#This Row],[Reddito annuo]]&gt;=70000,"si","no")</f>
        <v>si</v>
      </c>
    </row>
    <row r="678" spans="1:12">
      <c r="A678">
        <v>100677</v>
      </c>
      <c r="B678">
        <v>50</v>
      </c>
      <c r="C678" s="2">
        <v>119300</v>
      </c>
      <c r="D678" t="s">
        <v>12</v>
      </c>
      <c r="E678" s="2">
        <v>69400</v>
      </c>
      <c r="F678" s="2">
        <v>0</v>
      </c>
      <c r="G678" t="s">
        <v>16</v>
      </c>
      <c r="H678" t="s">
        <v>20</v>
      </c>
      <c r="I678" t="s">
        <v>18</v>
      </c>
      <c r="J678" s="3">
        <v>46228</v>
      </c>
      <c r="K678" s="4">
        <f>ClientiBanca[[#This Row],[Prestito]]+ClientiBanca[[#This Row],[Mutuo]]</f>
        <v>69400</v>
      </c>
      <c r="L678" t="str">
        <f>IF(ClientiBanca[[#This Row],[Reddito annuo]]&gt;=70000,"si","no")</f>
        <v>si</v>
      </c>
    </row>
    <row r="679" spans="1:12">
      <c r="A679">
        <v>100678</v>
      </c>
      <c r="B679">
        <v>37</v>
      </c>
      <c r="C679" s="2">
        <v>54000</v>
      </c>
      <c r="D679" t="s">
        <v>12</v>
      </c>
      <c r="E679" s="2">
        <v>50600</v>
      </c>
      <c r="F679" s="2">
        <v>146000</v>
      </c>
      <c r="G679" t="s">
        <v>16</v>
      </c>
      <c r="H679" t="s">
        <v>20</v>
      </c>
      <c r="I679" t="s">
        <v>18</v>
      </c>
      <c r="J679" s="3">
        <v>46134</v>
      </c>
      <c r="K679" s="4">
        <f>ClientiBanca[[#This Row],[Prestito]]+ClientiBanca[[#This Row],[Mutuo]]</f>
        <v>196600</v>
      </c>
      <c r="L679" t="str">
        <f>IF(ClientiBanca[[#This Row],[Reddito annuo]]&gt;=70000,"si","no")</f>
        <v>no</v>
      </c>
    </row>
    <row r="680" spans="1:12">
      <c r="A680">
        <v>100679</v>
      </c>
      <c r="B680">
        <v>72</v>
      </c>
      <c r="C680" s="2">
        <v>47100</v>
      </c>
      <c r="D680" t="s">
        <v>12</v>
      </c>
      <c r="E680" s="2">
        <v>49400</v>
      </c>
      <c r="F680" s="2">
        <v>0</v>
      </c>
      <c r="G680" t="s">
        <v>27</v>
      </c>
      <c r="H680" t="s">
        <v>20</v>
      </c>
      <c r="I680" t="s">
        <v>18</v>
      </c>
      <c r="J680" s="3">
        <v>45947</v>
      </c>
      <c r="K680" s="4">
        <f>ClientiBanca[[#This Row],[Prestito]]+ClientiBanca[[#This Row],[Mutuo]]</f>
        <v>49400</v>
      </c>
      <c r="L680" t="str">
        <f>IF(ClientiBanca[[#This Row],[Reddito annuo]]&gt;=70000,"si","no")</f>
        <v>no</v>
      </c>
    </row>
    <row r="681" spans="1:12">
      <c r="A681">
        <v>100680</v>
      </c>
      <c r="B681">
        <v>73</v>
      </c>
      <c r="C681" s="2">
        <v>70100</v>
      </c>
      <c r="D681" t="s">
        <v>21</v>
      </c>
      <c r="E681" s="2">
        <v>22800</v>
      </c>
      <c r="F681" s="2">
        <v>328000</v>
      </c>
      <c r="G681" t="s">
        <v>23</v>
      </c>
      <c r="H681" t="s">
        <v>20</v>
      </c>
      <c r="I681" t="s">
        <v>18</v>
      </c>
      <c r="J681" s="3">
        <v>45796</v>
      </c>
      <c r="K681" s="4">
        <f>ClientiBanca[[#This Row],[Prestito]]+ClientiBanca[[#This Row],[Mutuo]]</f>
        <v>350800</v>
      </c>
      <c r="L681" t="str">
        <f>IF(ClientiBanca[[#This Row],[Reddito annuo]]&gt;=70000,"si","no")</f>
        <v>si</v>
      </c>
    </row>
    <row r="682" spans="1:12">
      <c r="A682">
        <v>100681</v>
      </c>
      <c r="B682">
        <v>24</v>
      </c>
      <c r="C682" s="2">
        <v>67100</v>
      </c>
      <c r="D682" t="s">
        <v>21</v>
      </c>
      <c r="E682" s="2">
        <v>30200</v>
      </c>
      <c r="F682" s="2">
        <v>0</v>
      </c>
      <c r="G682" t="s">
        <v>28</v>
      </c>
      <c r="H682" t="s">
        <v>25</v>
      </c>
      <c r="I682" t="s">
        <v>18</v>
      </c>
      <c r="J682" s="3">
        <v>45674</v>
      </c>
      <c r="K682" s="4">
        <f>ClientiBanca[[#This Row],[Prestito]]+ClientiBanca[[#This Row],[Mutuo]]</f>
        <v>30200</v>
      </c>
      <c r="L682" t="str">
        <f>IF(ClientiBanca[[#This Row],[Reddito annuo]]&gt;=70000,"si","no")</f>
        <v>no</v>
      </c>
    </row>
    <row r="683" spans="1:12">
      <c r="A683">
        <v>100682</v>
      </c>
      <c r="B683">
        <v>52</v>
      </c>
      <c r="C683" s="2">
        <v>78700</v>
      </c>
      <c r="D683" t="s">
        <v>21</v>
      </c>
      <c r="E683" s="2">
        <v>38500</v>
      </c>
      <c r="F683" s="2">
        <v>200000</v>
      </c>
      <c r="G683" t="s">
        <v>24</v>
      </c>
      <c r="H683" t="s">
        <v>20</v>
      </c>
      <c r="I683" t="s">
        <v>18</v>
      </c>
      <c r="J683" s="3">
        <v>45661</v>
      </c>
      <c r="K683" s="4">
        <f>ClientiBanca[[#This Row],[Prestito]]+ClientiBanca[[#This Row],[Mutuo]]</f>
        <v>238500</v>
      </c>
      <c r="L683" t="str">
        <f>IF(ClientiBanca[[#This Row],[Reddito annuo]]&gt;=70000,"si","no")</f>
        <v>si</v>
      </c>
    </row>
    <row r="684" spans="1:12">
      <c r="A684">
        <v>100683</v>
      </c>
      <c r="B684">
        <v>46</v>
      </c>
      <c r="C684" s="2">
        <v>70100</v>
      </c>
      <c r="D684" t="s">
        <v>22</v>
      </c>
      <c r="E684" s="2">
        <v>23000</v>
      </c>
      <c r="F684" s="2">
        <v>0</v>
      </c>
      <c r="G684" t="s">
        <v>13</v>
      </c>
      <c r="H684" t="s">
        <v>17</v>
      </c>
      <c r="I684" t="s">
        <v>18</v>
      </c>
      <c r="J684" s="3">
        <v>45479</v>
      </c>
      <c r="K684" s="4">
        <f>ClientiBanca[[#This Row],[Prestito]]+ClientiBanca[[#This Row],[Mutuo]]</f>
        <v>23000</v>
      </c>
      <c r="L684" t="str">
        <f>IF(ClientiBanca[[#This Row],[Reddito annuo]]&gt;=70000,"si","no")</f>
        <v>si</v>
      </c>
    </row>
    <row r="685" spans="1:12">
      <c r="A685">
        <v>100684</v>
      </c>
      <c r="B685">
        <v>68</v>
      </c>
      <c r="C685" s="2">
        <v>33900</v>
      </c>
      <c r="D685" t="s">
        <v>12</v>
      </c>
      <c r="E685" s="2">
        <v>42400</v>
      </c>
      <c r="F685" s="2">
        <v>0</v>
      </c>
      <c r="G685" t="s">
        <v>26</v>
      </c>
      <c r="H685" t="s">
        <v>17</v>
      </c>
      <c r="I685" t="s">
        <v>18</v>
      </c>
      <c r="J685" s="3">
        <v>45663</v>
      </c>
      <c r="K685" s="4">
        <f>ClientiBanca[[#This Row],[Prestito]]+ClientiBanca[[#This Row],[Mutuo]]</f>
        <v>42400</v>
      </c>
      <c r="L685" t="str">
        <f>IF(ClientiBanca[[#This Row],[Reddito annuo]]&gt;=70000,"si","no")</f>
        <v>no</v>
      </c>
    </row>
    <row r="686" spans="1:12">
      <c r="A686">
        <v>100685</v>
      </c>
      <c r="B686">
        <v>26</v>
      </c>
      <c r="C686" s="2">
        <v>62300</v>
      </c>
      <c r="D686" t="s">
        <v>21</v>
      </c>
      <c r="E686" s="2">
        <v>15900</v>
      </c>
      <c r="F686" s="2">
        <v>0</v>
      </c>
      <c r="G686" t="s">
        <v>28</v>
      </c>
      <c r="H686" t="s">
        <v>17</v>
      </c>
      <c r="I686" t="s">
        <v>18</v>
      </c>
      <c r="J686" s="3">
        <v>45458</v>
      </c>
      <c r="K686" s="4">
        <f>ClientiBanca[[#This Row],[Prestito]]+ClientiBanca[[#This Row],[Mutuo]]</f>
        <v>15900</v>
      </c>
      <c r="L686" t="str">
        <f>IF(ClientiBanca[[#This Row],[Reddito annuo]]&gt;=70000,"si","no")</f>
        <v>no</v>
      </c>
    </row>
    <row r="687" spans="1:12">
      <c r="A687">
        <v>100686</v>
      </c>
      <c r="B687">
        <v>26</v>
      </c>
      <c r="C687" s="2">
        <v>42200</v>
      </c>
      <c r="D687" t="s">
        <v>12</v>
      </c>
      <c r="E687" s="2">
        <v>0</v>
      </c>
      <c r="F687" s="2">
        <v>0</v>
      </c>
      <c r="G687" t="s">
        <v>13</v>
      </c>
      <c r="H687" t="s">
        <v>17</v>
      </c>
      <c r="I687" t="s">
        <v>18</v>
      </c>
      <c r="J687" s="3">
        <v>46230</v>
      </c>
      <c r="K687" s="4">
        <f>ClientiBanca[[#This Row],[Prestito]]+ClientiBanca[[#This Row],[Mutuo]]</f>
        <v>0</v>
      </c>
      <c r="L687" t="str">
        <f>IF(ClientiBanca[[#This Row],[Reddito annuo]]&gt;=70000,"si","no")</f>
        <v>no</v>
      </c>
    </row>
    <row r="688" spans="1:12">
      <c r="A688">
        <v>100687</v>
      </c>
      <c r="B688">
        <v>24</v>
      </c>
      <c r="C688" s="2">
        <v>35700</v>
      </c>
      <c r="D688" t="s">
        <v>21</v>
      </c>
      <c r="E688" s="2">
        <v>25700</v>
      </c>
      <c r="F688" s="2">
        <v>0</v>
      </c>
      <c r="G688" t="s">
        <v>24</v>
      </c>
      <c r="H688" t="s">
        <v>14</v>
      </c>
      <c r="I688" t="s">
        <v>18</v>
      </c>
      <c r="J688" s="3">
        <v>45903</v>
      </c>
      <c r="K688" s="4">
        <f>ClientiBanca[[#This Row],[Prestito]]+ClientiBanca[[#This Row],[Mutuo]]</f>
        <v>25700</v>
      </c>
      <c r="L688" t="str">
        <f>IF(ClientiBanca[[#This Row],[Reddito annuo]]&gt;=70000,"si","no")</f>
        <v>no</v>
      </c>
    </row>
    <row r="689" spans="1:12">
      <c r="A689">
        <v>100688</v>
      </c>
      <c r="B689">
        <v>53</v>
      </c>
      <c r="C689" s="2">
        <v>81700</v>
      </c>
      <c r="D689" t="s">
        <v>21</v>
      </c>
      <c r="E689" s="2">
        <v>8400</v>
      </c>
      <c r="F689" s="2">
        <v>0</v>
      </c>
      <c r="G689" t="s">
        <v>23</v>
      </c>
      <c r="H689" t="s">
        <v>20</v>
      </c>
      <c r="I689" t="s">
        <v>18</v>
      </c>
      <c r="J689" s="3">
        <v>45996</v>
      </c>
      <c r="K689" s="4">
        <f>ClientiBanca[[#This Row],[Prestito]]+ClientiBanca[[#This Row],[Mutuo]]</f>
        <v>8400</v>
      </c>
      <c r="L689" t="str">
        <f>IF(ClientiBanca[[#This Row],[Reddito annuo]]&gt;=70000,"si","no")</f>
        <v>si</v>
      </c>
    </row>
    <row r="690" spans="1:12">
      <c r="A690">
        <v>100689</v>
      </c>
      <c r="B690">
        <v>34</v>
      </c>
      <c r="C690" s="2">
        <v>47400</v>
      </c>
      <c r="D690" t="s">
        <v>21</v>
      </c>
      <c r="E690" s="2">
        <v>0</v>
      </c>
      <c r="F690" s="2">
        <v>0</v>
      </c>
      <c r="G690" t="s">
        <v>13</v>
      </c>
      <c r="H690" t="s">
        <v>20</v>
      </c>
      <c r="I690" t="s">
        <v>18</v>
      </c>
      <c r="J690" s="3">
        <v>46085</v>
      </c>
      <c r="K690" s="4">
        <f>ClientiBanca[[#This Row],[Prestito]]+ClientiBanca[[#This Row],[Mutuo]]</f>
        <v>0</v>
      </c>
      <c r="L690" t="str">
        <f>IF(ClientiBanca[[#This Row],[Reddito annuo]]&gt;=70000,"si","no")</f>
        <v>no</v>
      </c>
    </row>
    <row r="691" spans="1:12">
      <c r="A691">
        <v>100690</v>
      </c>
      <c r="B691">
        <v>50</v>
      </c>
      <c r="C691" s="2">
        <v>81100</v>
      </c>
      <c r="D691" t="s">
        <v>21</v>
      </c>
      <c r="E691" s="2">
        <v>53800</v>
      </c>
      <c r="F691" s="2">
        <v>0</v>
      </c>
      <c r="G691" t="s">
        <v>27</v>
      </c>
      <c r="H691" t="s">
        <v>20</v>
      </c>
      <c r="I691" t="s">
        <v>18</v>
      </c>
      <c r="J691" s="3">
        <v>45336</v>
      </c>
      <c r="K691" s="4">
        <f>ClientiBanca[[#This Row],[Prestito]]+ClientiBanca[[#This Row],[Mutuo]]</f>
        <v>53800</v>
      </c>
      <c r="L691" t="str">
        <f>IF(ClientiBanca[[#This Row],[Reddito annuo]]&gt;=70000,"si","no")</f>
        <v>si</v>
      </c>
    </row>
    <row r="692" spans="1:12">
      <c r="A692">
        <v>100691</v>
      </c>
      <c r="B692">
        <v>24</v>
      </c>
      <c r="C692" s="2">
        <v>47000</v>
      </c>
      <c r="D692" t="s">
        <v>21</v>
      </c>
      <c r="E692" s="2">
        <v>15200</v>
      </c>
      <c r="F692" s="2">
        <v>0</v>
      </c>
      <c r="G692" t="s">
        <v>23</v>
      </c>
      <c r="H692" t="s">
        <v>20</v>
      </c>
      <c r="I692" t="s">
        <v>18</v>
      </c>
      <c r="J692" s="3">
        <v>45384</v>
      </c>
      <c r="K692" s="4">
        <f>ClientiBanca[[#This Row],[Prestito]]+ClientiBanca[[#This Row],[Mutuo]]</f>
        <v>15200</v>
      </c>
      <c r="L692" t="str">
        <f>IF(ClientiBanca[[#This Row],[Reddito annuo]]&gt;=70000,"si","no")</f>
        <v>no</v>
      </c>
    </row>
    <row r="693" spans="1:12">
      <c r="A693">
        <v>100692</v>
      </c>
      <c r="B693">
        <v>29</v>
      </c>
      <c r="C693" s="2">
        <v>91000</v>
      </c>
      <c r="D693" t="s">
        <v>22</v>
      </c>
      <c r="E693" s="2">
        <v>0</v>
      </c>
      <c r="F693" s="2">
        <v>0</v>
      </c>
      <c r="G693" t="s">
        <v>24</v>
      </c>
      <c r="H693" t="s">
        <v>14</v>
      </c>
      <c r="I693" t="s">
        <v>18</v>
      </c>
      <c r="J693" s="3">
        <v>46091</v>
      </c>
      <c r="K693" s="4">
        <f>ClientiBanca[[#This Row],[Prestito]]+ClientiBanca[[#This Row],[Mutuo]]</f>
        <v>0</v>
      </c>
      <c r="L693" t="str">
        <f>IF(ClientiBanca[[#This Row],[Reddito annuo]]&gt;=70000,"si","no")</f>
        <v>si</v>
      </c>
    </row>
    <row r="694" spans="1:12">
      <c r="A694">
        <v>100693</v>
      </c>
      <c r="B694">
        <v>66</v>
      </c>
      <c r="C694" s="2">
        <v>68200</v>
      </c>
      <c r="D694" t="s">
        <v>12</v>
      </c>
      <c r="E694" s="2">
        <v>56200</v>
      </c>
      <c r="F694" s="2">
        <v>0</v>
      </c>
      <c r="G694" t="s">
        <v>23</v>
      </c>
      <c r="H694" t="s">
        <v>17</v>
      </c>
      <c r="I694" t="s">
        <v>18</v>
      </c>
      <c r="J694" s="3">
        <v>45467</v>
      </c>
      <c r="K694" s="4">
        <f>ClientiBanca[[#This Row],[Prestito]]+ClientiBanca[[#This Row],[Mutuo]]</f>
        <v>56200</v>
      </c>
      <c r="L694" t="str">
        <f>IF(ClientiBanca[[#This Row],[Reddito annuo]]&gt;=70000,"si","no")</f>
        <v>no</v>
      </c>
    </row>
    <row r="695" spans="1:12">
      <c r="A695">
        <v>100694</v>
      </c>
      <c r="B695">
        <v>68</v>
      </c>
      <c r="C695" s="2">
        <v>62500</v>
      </c>
      <c r="D695" t="s">
        <v>22</v>
      </c>
      <c r="E695" s="2">
        <v>19400</v>
      </c>
      <c r="F695" s="2">
        <v>0</v>
      </c>
      <c r="G695" t="s">
        <v>28</v>
      </c>
      <c r="H695" t="s">
        <v>17</v>
      </c>
      <c r="I695" t="s">
        <v>18</v>
      </c>
      <c r="J695" s="3">
        <v>45742</v>
      </c>
      <c r="K695" s="4">
        <f>ClientiBanca[[#This Row],[Prestito]]+ClientiBanca[[#This Row],[Mutuo]]</f>
        <v>19400</v>
      </c>
      <c r="L695" t="str">
        <f>IF(ClientiBanca[[#This Row],[Reddito annuo]]&gt;=70000,"si","no")</f>
        <v>no</v>
      </c>
    </row>
    <row r="696" spans="1:12">
      <c r="A696">
        <v>100695</v>
      </c>
      <c r="B696">
        <v>63</v>
      </c>
      <c r="C696" s="2">
        <v>109600</v>
      </c>
      <c r="D696" t="s">
        <v>21</v>
      </c>
      <c r="E696" s="2">
        <v>27300</v>
      </c>
      <c r="F696" s="2">
        <v>155000</v>
      </c>
      <c r="G696" t="s">
        <v>13</v>
      </c>
      <c r="H696" t="s">
        <v>17</v>
      </c>
      <c r="I696" t="s">
        <v>18</v>
      </c>
      <c r="J696" s="3">
        <v>45769</v>
      </c>
      <c r="K696" s="4">
        <f>ClientiBanca[[#This Row],[Prestito]]+ClientiBanca[[#This Row],[Mutuo]]</f>
        <v>182300</v>
      </c>
      <c r="L696" t="str">
        <f>IF(ClientiBanca[[#This Row],[Reddito annuo]]&gt;=70000,"si","no")</f>
        <v>si</v>
      </c>
    </row>
    <row r="697" spans="1:12">
      <c r="A697">
        <v>100696</v>
      </c>
      <c r="B697">
        <v>27</v>
      </c>
      <c r="C697" s="2">
        <v>61200</v>
      </c>
      <c r="D697" t="s">
        <v>21</v>
      </c>
      <c r="E697" s="2">
        <v>22800</v>
      </c>
      <c r="F697" s="2">
        <v>0</v>
      </c>
      <c r="G697" t="s">
        <v>13</v>
      </c>
      <c r="H697" t="s">
        <v>17</v>
      </c>
      <c r="I697" t="s">
        <v>18</v>
      </c>
      <c r="J697" s="3">
        <v>45582</v>
      </c>
      <c r="K697" s="4">
        <f>ClientiBanca[[#This Row],[Prestito]]+ClientiBanca[[#This Row],[Mutuo]]</f>
        <v>22800</v>
      </c>
      <c r="L697" t="str">
        <f>IF(ClientiBanca[[#This Row],[Reddito annuo]]&gt;=70000,"si","no")</f>
        <v>no</v>
      </c>
    </row>
    <row r="698" spans="1:12">
      <c r="A698">
        <v>100697</v>
      </c>
      <c r="B698">
        <v>49</v>
      </c>
      <c r="C698" s="2">
        <v>67200</v>
      </c>
      <c r="D698" t="s">
        <v>21</v>
      </c>
      <c r="E698" s="2">
        <v>0</v>
      </c>
      <c r="F698" s="2">
        <v>0</v>
      </c>
      <c r="G698" t="s">
        <v>16</v>
      </c>
      <c r="H698" t="s">
        <v>20</v>
      </c>
      <c r="I698" t="s">
        <v>18</v>
      </c>
      <c r="J698" s="3">
        <v>46167</v>
      </c>
      <c r="K698" s="4">
        <f>ClientiBanca[[#This Row],[Prestito]]+ClientiBanca[[#This Row],[Mutuo]]</f>
        <v>0</v>
      </c>
      <c r="L698" t="str">
        <f>IF(ClientiBanca[[#This Row],[Reddito annuo]]&gt;=70000,"si","no")</f>
        <v>no</v>
      </c>
    </row>
    <row r="699" spans="1:12">
      <c r="A699">
        <v>100698</v>
      </c>
      <c r="B699">
        <v>47</v>
      </c>
      <c r="C699" s="2">
        <v>40500</v>
      </c>
      <c r="D699" t="s">
        <v>21</v>
      </c>
      <c r="E699" s="2">
        <v>0</v>
      </c>
      <c r="F699" s="2">
        <v>0</v>
      </c>
      <c r="G699" t="s">
        <v>19</v>
      </c>
      <c r="H699" t="s">
        <v>17</v>
      </c>
      <c r="I699" t="s">
        <v>18</v>
      </c>
      <c r="J699" s="3">
        <v>45982</v>
      </c>
      <c r="K699" s="4">
        <f>ClientiBanca[[#This Row],[Prestito]]+ClientiBanca[[#This Row],[Mutuo]]</f>
        <v>0</v>
      </c>
      <c r="L699" t="str">
        <f>IF(ClientiBanca[[#This Row],[Reddito annuo]]&gt;=70000,"si","no")</f>
        <v>no</v>
      </c>
    </row>
    <row r="700" spans="1:12">
      <c r="A700">
        <v>100699</v>
      </c>
      <c r="B700">
        <v>51</v>
      </c>
      <c r="C700" s="2">
        <v>73200</v>
      </c>
      <c r="D700" t="s">
        <v>21</v>
      </c>
      <c r="E700" s="2">
        <v>44700</v>
      </c>
      <c r="F700" s="2">
        <v>187000</v>
      </c>
      <c r="G700" t="s">
        <v>13</v>
      </c>
      <c r="H700" t="s">
        <v>14</v>
      </c>
      <c r="I700" t="s">
        <v>18</v>
      </c>
      <c r="J700" s="3">
        <v>45464</v>
      </c>
      <c r="K700" s="4">
        <f>ClientiBanca[[#This Row],[Prestito]]+ClientiBanca[[#This Row],[Mutuo]]</f>
        <v>231700</v>
      </c>
      <c r="L700" t="str">
        <f>IF(ClientiBanca[[#This Row],[Reddito annuo]]&gt;=70000,"si","no")</f>
        <v>si</v>
      </c>
    </row>
    <row r="701" spans="1:12">
      <c r="A701">
        <v>100700</v>
      </c>
      <c r="B701">
        <v>24</v>
      </c>
      <c r="C701" s="2">
        <v>50800</v>
      </c>
      <c r="D701" t="s">
        <v>21</v>
      </c>
      <c r="E701" s="2">
        <v>58600</v>
      </c>
      <c r="F701" s="2">
        <v>0</v>
      </c>
      <c r="G701" t="s">
        <v>23</v>
      </c>
      <c r="H701" t="s">
        <v>14</v>
      </c>
      <c r="I701" t="s">
        <v>18</v>
      </c>
      <c r="J701" s="3">
        <v>45577</v>
      </c>
      <c r="K701" s="4">
        <f>ClientiBanca[[#This Row],[Prestito]]+ClientiBanca[[#This Row],[Mutuo]]</f>
        <v>58600</v>
      </c>
      <c r="L701" t="str">
        <f>IF(ClientiBanca[[#This Row],[Reddito annuo]]&gt;=70000,"si","no")</f>
        <v>no</v>
      </c>
    </row>
    <row r="702" spans="1:12">
      <c r="A702">
        <v>100701</v>
      </c>
      <c r="B702">
        <v>68</v>
      </c>
      <c r="C702" s="2">
        <v>76900</v>
      </c>
      <c r="D702" t="s">
        <v>12</v>
      </c>
      <c r="E702" s="2">
        <v>53500</v>
      </c>
      <c r="F702" s="2">
        <v>0</v>
      </c>
      <c r="G702" t="s">
        <v>16</v>
      </c>
      <c r="H702" t="s">
        <v>20</v>
      </c>
      <c r="I702" t="s">
        <v>18</v>
      </c>
      <c r="J702" s="3">
        <v>46264</v>
      </c>
      <c r="K702" s="4">
        <f>ClientiBanca[[#This Row],[Prestito]]+ClientiBanca[[#This Row],[Mutuo]]</f>
        <v>53500</v>
      </c>
      <c r="L702" t="str">
        <f>IF(ClientiBanca[[#This Row],[Reddito annuo]]&gt;=70000,"si","no")</f>
        <v>si</v>
      </c>
    </row>
    <row r="703" spans="1:12">
      <c r="A703">
        <v>100702</v>
      </c>
      <c r="B703">
        <v>45</v>
      </c>
      <c r="C703" s="2">
        <v>118900</v>
      </c>
      <c r="D703" t="s">
        <v>12</v>
      </c>
      <c r="E703" s="2">
        <v>31200</v>
      </c>
      <c r="F703" s="2">
        <v>206000</v>
      </c>
      <c r="G703" t="s">
        <v>23</v>
      </c>
      <c r="H703" t="s">
        <v>17</v>
      </c>
      <c r="I703" t="s">
        <v>18</v>
      </c>
      <c r="J703" s="3">
        <v>45393</v>
      </c>
      <c r="K703" s="4">
        <f>ClientiBanca[[#This Row],[Prestito]]+ClientiBanca[[#This Row],[Mutuo]]</f>
        <v>237200</v>
      </c>
      <c r="L703" t="str">
        <f>IF(ClientiBanca[[#This Row],[Reddito annuo]]&gt;=70000,"si","no")</f>
        <v>si</v>
      </c>
    </row>
    <row r="704" spans="1:12">
      <c r="A704">
        <v>100703</v>
      </c>
      <c r="B704">
        <v>67</v>
      </c>
      <c r="C704" s="2">
        <v>29900</v>
      </c>
      <c r="D704" t="s">
        <v>21</v>
      </c>
      <c r="E704" s="2">
        <v>37400</v>
      </c>
      <c r="F704" s="2">
        <v>0</v>
      </c>
      <c r="G704" t="s">
        <v>19</v>
      </c>
      <c r="H704" t="s">
        <v>17</v>
      </c>
      <c r="I704" t="s">
        <v>18</v>
      </c>
      <c r="J704" s="3">
        <v>45390</v>
      </c>
      <c r="K704" s="4">
        <f>ClientiBanca[[#This Row],[Prestito]]+ClientiBanca[[#This Row],[Mutuo]]</f>
        <v>37400</v>
      </c>
      <c r="L704" t="str">
        <f>IF(ClientiBanca[[#This Row],[Reddito annuo]]&gt;=70000,"si","no")</f>
        <v>no</v>
      </c>
    </row>
    <row r="705" spans="1:12">
      <c r="A705">
        <v>100704</v>
      </c>
      <c r="B705">
        <v>68</v>
      </c>
      <c r="C705" s="2">
        <v>32300</v>
      </c>
      <c r="D705" t="s">
        <v>12</v>
      </c>
      <c r="E705" s="2">
        <v>0</v>
      </c>
      <c r="F705" s="2">
        <v>0</v>
      </c>
      <c r="G705" t="s">
        <v>23</v>
      </c>
      <c r="H705" t="s">
        <v>17</v>
      </c>
      <c r="I705" t="s">
        <v>18</v>
      </c>
      <c r="J705" s="3">
        <v>45801</v>
      </c>
      <c r="K705" s="4">
        <f>ClientiBanca[[#This Row],[Prestito]]+ClientiBanca[[#This Row],[Mutuo]]</f>
        <v>0</v>
      </c>
      <c r="L705" t="str">
        <f>IF(ClientiBanca[[#This Row],[Reddito annuo]]&gt;=70000,"si","no")</f>
        <v>no</v>
      </c>
    </row>
    <row r="706" spans="1:12">
      <c r="A706">
        <v>100705</v>
      </c>
      <c r="B706">
        <v>51</v>
      </c>
      <c r="C706" s="2">
        <v>60100</v>
      </c>
      <c r="D706" t="s">
        <v>12</v>
      </c>
      <c r="E706" s="2">
        <v>0</v>
      </c>
      <c r="F706" s="2">
        <v>0</v>
      </c>
      <c r="G706" t="s">
        <v>27</v>
      </c>
      <c r="H706" t="s">
        <v>25</v>
      </c>
      <c r="I706" t="s">
        <v>18</v>
      </c>
      <c r="J706" s="3">
        <v>45324</v>
      </c>
      <c r="K706" s="4">
        <f>ClientiBanca[[#This Row],[Prestito]]+ClientiBanca[[#This Row],[Mutuo]]</f>
        <v>0</v>
      </c>
      <c r="L706" t="str">
        <f>IF(ClientiBanca[[#This Row],[Reddito annuo]]&gt;=70000,"si","no")</f>
        <v>no</v>
      </c>
    </row>
    <row r="707" spans="1:12">
      <c r="A707">
        <v>100706</v>
      </c>
      <c r="B707">
        <v>47</v>
      </c>
      <c r="C707" s="2">
        <v>95600</v>
      </c>
      <c r="D707" t="s">
        <v>21</v>
      </c>
      <c r="E707" s="2">
        <v>59500</v>
      </c>
      <c r="F707" s="2">
        <v>0</v>
      </c>
      <c r="G707" t="s">
        <v>27</v>
      </c>
      <c r="H707" t="s">
        <v>20</v>
      </c>
      <c r="I707" t="s">
        <v>18</v>
      </c>
      <c r="J707" s="3">
        <v>46173</v>
      </c>
      <c r="K707" s="4">
        <f>ClientiBanca[[#This Row],[Prestito]]+ClientiBanca[[#This Row],[Mutuo]]</f>
        <v>59500</v>
      </c>
      <c r="L707" t="str">
        <f>IF(ClientiBanca[[#This Row],[Reddito annuo]]&gt;=70000,"si","no")</f>
        <v>si</v>
      </c>
    </row>
    <row r="708" spans="1:12">
      <c r="A708">
        <v>100707</v>
      </c>
      <c r="B708">
        <v>69</v>
      </c>
      <c r="C708" s="2">
        <v>47100</v>
      </c>
      <c r="D708" t="s">
        <v>12</v>
      </c>
      <c r="E708" s="2">
        <v>15800</v>
      </c>
      <c r="F708" s="2">
        <v>0</v>
      </c>
      <c r="G708" t="s">
        <v>28</v>
      </c>
      <c r="H708" t="s">
        <v>14</v>
      </c>
      <c r="I708" t="s">
        <v>18</v>
      </c>
      <c r="J708" s="3">
        <v>45794</v>
      </c>
      <c r="K708" s="4">
        <f>ClientiBanca[[#This Row],[Prestito]]+ClientiBanca[[#This Row],[Mutuo]]</f>
        <v>15800</v>
      </c>
      <c r="L708" t="str">
        <f>IF(ClientiBanca[[#This Row],[Reddito annuo]]&gt;=70000,"si","no")</f>
        <v>no</v>
      </c>
    </row>
    <row r="709" spans="1:12">
      <c r="A709">
        <v>100708</v>
      </c>
      <c r="B709">
        <v>62</v>
      </c>
      <c r="C709" s="2">
        <v>63700</v>
      </c>
      <c r="D709" t="s">
        <v>12</v>
      </c>
      <c r="E709" s="2">
        <v>37300</v>
      </c>
      <c r="F709" s="2">
        <v>107000</v>
      </c>
      <c r="G709" t="s">
        <v>26</v>
      </c>
      <c r="H709" t="s">
        <v>17</v>
      </c>
      <c r="I709" t="s">
        <v>18</v>
      </c>
      <c r="J709" s="3">
        <v>45923</v>
      </c>
      <c r="K709" s="4">
        <f>ClientiBanca[[#This Row],[Prestito]]+ClientiBanca[[#This Row],[Mutuo]]</f>
        <v>144300</v>
      </c>
      <c r="L709" t="str">
        <f>IF(ClientiBanca[[#This Row],[Reddito annuo]]&gt;=70000,"si","no")</f>
        <v>no</v>
      </c>
    </row>
    <row r="710" spans="1:12">
      <c r="A710">
        <v>100709</v>
      </c>
      <c r="B710">
        <v>63</v>
      </c>
      <c r="C710" s="2">
        <v>50100</v>
      </c>
      <c r="D710" t="s">
        <v>22</v>
      </c>
      <c r="E710" s="2">
        <v>8300</v>
      </c>
      <c r="F710" s="2">
        <v>299000</v>
      </c>
      <c r="G710" t="s">
        <v>19</v>
      </c>
      <c r="H710" t="s">
        <v>14</v>
      </c>
      <c r="I710" t="s">
        <v>18</v>
      </c>
      <c r="J710" s="3">
        <v>46075</v>
      </c>
      <c r="K710" s="4">
        <f>ClientiBanca[[#This Row],[Prestito]]+ClientiBanca[[#This Row],[Mutuo]]</f>
        <v>307300</v>
      </c>
      <c r="L710" t="str">
        <f>IF(ClientiBanca[[#This Row],[Reddito annuo]]&gt;=70000,"si","no")</f>
        <v>no</v>
      </c>
    </row>
    <row r="711" spans="1:12">
      <c r="A711">
        <v>100710</v>
      </c>
      <c r="B711">
        <v>60</v>
      </c>
      <c r="C711" s="2">
        <v>49400</v>
      </c>
      <c r="D711" t="s">
        <v>21</v>
      </c>
      <c r="E711" s="2">
        <v>26200</v>
      </c>
      <c r="F711" s="2">
        <v>0</v>
      </c>
      <c r="G711" t="s">
        <v>23</v>
      </c>
      <c r="H711" t="s">
        <v>20</v>
      </c>
      <c r="I711" t="s">
        <v>18</v>
      </c>
      <c r="J711" s="3">
        <v>45898</v>
      </c>
      <c r="K711" s="4">
        <f>ClientiBanca[[#This Row],[Prestito]]+ClientiBanca[[#This Row],[Mutuo]]</f>
        <v>26200</v>
      </c>
      <c r="L711" t="str">
        <f>IF(ClientiBanca[[#This Row],[Reddito annuo]]&gt;=70000,"si","no")</f>
        <v>no</v>
      </c>
    </row>
    <row r="712" spans="1:12">
      <c r="A712">
        <v>100711</v>
      </c>
      <c r="B712">
        <v>25</v>
      </c>
      <c r="C712" s="2">
        <v>100300</v>
      </c>
      <c r="D712" t="s">
        <v>21</v>
      </c>
      <c r="E712" s="2">
        <v>25200</v>
      </c>
      <c r="F712" s="2">
        <v>174000</v>
      </c>
      <c r="G712" t="s">
        <v>28</v>
      </c>
      <c r="H712" t="s">
        <v>17</v>
      </c>
      <c r="I712" t="s">
        <v>18</v>
      </c>
      <c r="J712" s="3">
        <v>45819</v>
      </c>
      <c r="K712" s="4">
        <f>ClientiBanca[[#This Row],[Prestito]]+ClientiBanca[[#This Row],[Mutuo]]</f>
        <v>199200</v>
      </c>
      <c r="L712" t="str">
        <f>IF(ClientiBanca[[#This Row],[Reddito annuo]]&gt;=70000,"si","no")</f>
        <v>si</v>
      </c>
    </row>
    <row r="713" spans="1:12">
      <c r="A713">
        <v>100712</v>
      </c>
      <c r="B713">
        <v>46</v>
      </c>
      <c r="C713" s="2">
        <v>45000</v>
      </c>
      <c r="D713" t="s">
        <v>12</v>
      </c>
      <c r="E713" s="2">
        <v>56200</v>
      </c>
      <c r="F713" s="2">
        <v>0</v>
      </c>
      <c r="G713" t="s">
        <v>16</v>
      </c>
      <c r="H713" t="s">
        <v>17</v>
      </c>
      <c r="I713" t="s">
        <v>18</v>
      </c>
      <c r="J713" s="3">
        <v>45792</v>
      </c>
      <c r="K713" s="4">
        <f>ClientiBanca[[#This Row],[Prestito]]+ClientiBanca[[#This Row],[Mutuo]]</f>
        <v>56200</v>
      </c>
      <c r="L713" t="str">
        <f>IF(ClientiBanca[[#This Row],[Reddito annuo]]&gt;=70000,"si","no")</f>
        <v>no</v>
      </c>
    </row>
    <row r="714" spans="1:12">
      <c r="A714">
        <v>100713</v>
      </c>
      <c r="B714">
        <v>26</v>
      </c>
      <c r="C714" s="2">
        <v>74800</v>
      </c>
      <c r="D714" t="s">
        <v>21</v>
      </c>
      <c r="E714" s="2">
        <v>55400</v>
      </c>
      <c r="F714" s="2">
        <v>0</v>
      </c>
      <c r="G714" t="s">
        <v>24</v>
      </c>
      <c r="H714" t="s">
        <v>17</v>
      </c>
      <c r="I714" t="s">
        <v>18</v>
      </c>
      <c r="J714" s="3">
        <v>45738</v>
      </c>
      <c r="K714" s="4">
        <f>ClientiBanca[[#This Row],[Prestito]]+ClientiBanca[[#This Row],[Mutuo]]</f>
        <v>55400</v>
      </c>
      <c r="L714" t="str">
        <f>IF(ClientiBanca[[#This Row],[Reddito annuo]]&gt;=70000,"si","no")</f>
        <v>si</v>
      </c>
    </row>
    <row r="715" spans="1:12">
      <c r="A715">
        <v>100714</v>
      </c>
      <c r="B715">
        <v>32</v>
      </c>
      <c r="C715" s="2">
        <v>59600</v>
      </c>
      <c r="D715" t="s">
        <v>22</v>
      </c>
      <c r="E715" s="2">
        <v>0</v>
      </c>
      <c r="F715" s="2">
        <v>0</v>
      </c>
      <c r="G715" t="s">
        <v>23</v>
      </c>
      <c r="H715" t="s">
        <v>20</v>
      </c>
      <c r="I715" t="s">
        <v>18</v>
      </c>
      <c r="J715" s="3">
        <v>45340</v>
      </c>
      <c r="K715" s="4">
        <f>ClientiBanca[[#This Row],[Prestito]]+ClientiBanca[[#This Row],[Mutuo]]</f>
        <v>0</v>
      </c>
      <c r="L715" t="str">
        <f>IF(ClientiBanca[[#This Row],[Reddito annuo]]&gt;=70000,"si","no")</f>
        <v>no</v>
      </c>
    </row>
    <row r="716" spans="1:12">
      <c r="A716">
        <v>100715</v>
      </c>
      <c r="B716">
        <v>39</v>
      </c>
      <c r="C716" s="2">
        <v>123900</v>
      </c>
      <c r="D716" t="s">
        <v>21</v>
      </c>
      <c r="E716" s="2">
        <v>49600</v>
      </c>
      <c r="F716" s="2">
        <v>302000</v>
      </c>
      <c r="G716" t="s">
        <v>13</v>
      </c>
      <c r="H716" t="s">
        <v>17</v>
      </c>
      <c r="I716" t="s">
        <v>18</v>
      </c>
      <c r="J716" s="3">
        <v>45872</v>
      </c>
      <c r="K716" s="4">
        <f>ClientiBanca[[#This Row],[Prestito]]+ClientiBanca[[#This Row],[Mutuo]]</f>
        <v>351600</v>
      </c>
      <c r="L716" t="str">
        <f>IF(ClientiBanca[[#This Row],[Reddito annuo]]&gt;=70000,"si","no")</f>
        <v>si</v>
      </c>
    </row>
    <row r="717" spans="1:12">
      <c r="A717">
        <v>100716</v>
      </c>
      <c r="B717">
        <v>71</v>
      </c>
      <c r="C717" s="2">
        <v>62000</v>
      </c>
      <c r="D717" t="s">
        <v>21</v>
      </c>
      <c r="E717" s="2">
        <v>12400</v>
      </c>
      <c r="F717" s="2">
        <v>0</v>
      </c>
      <c r="G717" t="s">
        <v>26</v>
      </c>
      <c r="H717" t="s">
        <v>17</v>
      </c>
      <c r="I717" t="s">
        <v>18</v>
      </c>
      <c r="J717" s="3">
        <v>45496</v>
      </c>
      <c r="K717" s="4">
        <f>ClientiBanca[[#This Row],[Prestito]]+ClientiBanca[[#This Row],[Mutuo]]</f>
        <v>12400</v>
      </c>
      <c r="L717" t="str">
        <f>IF(ClientiBanca[[#This Row],[Reddito annuo]]&gt;=70000,"si","no")</f>
        <v>no</v>
      </c>
    </row>
    <row r="718" spans="1:12">
      <c r="A718">
        <v>100717</v>
      </c>
      <c r="B718">
        <v>46</v>
      </c>
      <c r="C718" s="2">
        <v>53200</v>
      </c>
      <c r="D718" t="s">
        <v>12</v>
      </c>
      <c r="E718" s="2">
        <v>51300</v>
      </c>
      <c r="F718" s="2">
        <v>87000</v>
      </c>
      <c r="G718" t="s">
        <v>24</v>
      </c>
      <c r="H718" t="s">
        <v>17</v>
      </c>
      <c r="I718" t="s">
        <v>18</v>
      </c>
      <c r="J718" s="3">
        <v>46135</v>
      </c>
      <c r="K718" s="4">
        <f>ClientiBanca[[#This Row],[Prestito]]+ClientiBanca[[#This Row],[Mutuo]]</f>
        <v>138300</v>
      </c>
      <c r="L718" t="str">
        <f>IF(ClientiBanca[[#This Row],[Reddito annuo]]&gt;=70000,"si","no")</f>
        <v>no</v>
      </c>
    </row>
    <row r="719" spans="1:12">
      <c r="A719">
        <v>100718</v>
      </c>
      <c r="B719">
        <v>67</v>
      </c>
      <c r="C719" s="2">
        <v>105300</v>
      </c>
      <c r="D719" t="s">
        <v>21</v>
      </c>
      <c r="E719" s="2">
        <v>55200</v>
      </c>
      <c r="F719" s="2">
        <v>0</v>
      </c>
      <c r="G719" t="s">
        <v>16</v>
      </c>
      <c r="H719" t="s">
        <v>14</v>
      </c>
      <c r="I719" t="s">
        <v>18</v>
      </c>
      <c r="J719" s="3">
        <v>45353</v>
      </c>
      <c r="K719" s="4">
        <f>ClientiBanca[[#This Row],[Prestito]]+ClientiBanca[[#This Row],[Mutuo]]</f>
        <v>55200</v>
      </c>
      <c r="L719" t="str">
        <f>IF(ClientiBanca[[#This Row],[Reddito annuo]]&gt;=70000,"si","no")</f>
        <v>si</v>
      </c>
    </row>
    <row r="720" spans="1:12">
      <c r="A720">
        <v>100719</v>
      </c>
      <c r="B720">
        <v>53</v>
      </c>
      <c r="C720" s="2">
        <v>41200</v>
      </c>
      <c r="D720" t="s">
        <v>21</v>
      </c>
      <c r="E720" s="2">
        <v>49900</v>
      </c>
      <c r="F720" s="2">
        <v>0</v>
      </c>
      <c r="G720" t="s">
        <v>16</v>
      </c>
      <c r="H720" t="s">
        <v>17</v>
      </c>
      <c r="I720" t="s">
        <v>18</v>
      </c>
      <c r="J720" s="3">
        <v>46225</v>
      </c>
      <c r="K720" s="4">
        <f>ClientiBanca[[#This Row],[Prestito]]+ClientiBanca[[#This Row],[Mutuo]]</f>
        <v>49900</v>
      </c>
      <c r="L720" t="str">
        <f>IF(ClientiBanca[[#This Row],[Reddito annuo]]&gt;=70000,"si","no")</f>
        <v>no</v>
      </c>
    </row>
    <row r="721" spans="1:12">
      <c r="A721">
        <v>100720</v>
      </c>
      <c r="B721">
        <v>24</v>
      </c>
      <c r="C721" s="2">
        <v>69900</v>
      </c>
      <c r="D721" t="s">
        <v>22</v>
      </c>
      <c r="E721" s="2">
        <v>22800</v>
      </c>
      <c r="F721" s="2">
        <v>252000</v>
      </c>
      <c r="G721" t="s">
        <v>23</v>
      </c>
      <c r="H721" t="s">
        <v>17</v>
      </c>
      <c r="I721" t="s">
        <v>18</v>
      </c>
      <c r="J721" s="3">
        <v>45488</v>
      </c>
      <c r="K721" s="4">
        <f>ClientiBanca[[#This Row],[Prestito]]+ClientiBanca[[#This Row],[Mutuo]]</f>
        <v>274800</v>
      </c>
      <c r="L721" t="str">
        <f>IF(ClientiBanca[[#This Row],[Reddito annuo]]&gt;=70000,"si","no")</f>
        <v>no</v>
      </c>
    </row>
    <row r="722" spans="1:12">
      <c r="A722">
        <v>100721</v>
      </c>
      <c r="B722">
        <v>21</v>
      </c>
      <c r="C722" s="2">
        <v>43800</v>
      </c>
      <c r="D722" t="s">
        <v>22</v>
      </c>
      <c r="E722" s="2">
        <v>37200</v>
      </c>
      <c r="F722" s="2">
        <v>0</v>
      </c>
      <c r="G722" t="s">
        <v>27</v>
      </c>
      <c r="H722" t="s">
        <v>17</v>
      </c>
      <c r="I722" t="s">
        <v>18</v>
      </c>
      <c r="J722" s="3">
        <v>45321</v>
      </c>
      <c r="K722" s="4">
        <f>ClientiBanca[[#This Row],[Prestito]]+ClientiBanca[[#This Row],[Mutuo]]</f>
        <v>37200</v>
      </c>
      <c r="L722" t="str">
        <f>IF(ClientiBanca[[#This Row],[Reddito annuo]]&gt;=70000,"si","no")</f>
        <v>no</v>
      </c>
    </row>
    <row r="723" spans="1:12">
      <c r="A723">
        <v>100722</v>
      </c>
      <c r="B723">
        <v>36</v>
      </c>
      <c r="C723" s="2">
        <v>84500</v>
      </c>
      <c r="D723" t="s">
        <v>21</v>
      </c>
      <c r="E723" s="2">
        <v>42500</v>
      </c>
      <c r="F723" s="2">
        <v>262000</v>
      </c>
      <c r="G723" t="s">
        <v>27</v>
      </c>
      <c r="H723" t="s">
        <v>20</v>
      </c>
      <c r="I723" t="s">
        <v>18</v>
      </c>
      <c r="J723" s="3">
        <v>45613</v>
      </c>
      <c r="K723" s="4">
        <f>ClientiBanca[[#This Row],[Prestito]]+ClientiBanca[[#This Row],[Mutuo]]</f>
        <v>304500</v>
      </c>
      <c r="L723" t="str">
        <f>IF(ClientiBanca[[#This Row],[Reddito annuo]]&gt;=70000,"si","no")</f>
        <v>si</v>
      </c>
    </row>
    <row r="724" spans="1:12">
      <c r="A724">
        <v>100723</v>
      </c>
      <c r="B724">
        <v>58</v>
      </c>
      <c r="C724" s="2">
        <v>46800</v>
      </c>
      <c r="D724" t="s">
        <v>21</v>
      </c>
      <c r="E724" s="2">
        <v>0</v>
      </c>
      <c r="F724" s="2">
        <v>0</v>
      </c>
      <c r="G724" t="s">
        <v>13</v>
      </c>
      <c r="H724" t="s">
        <v>17</v>
      </c>
      <c r="I724" t="s">
        <v>18</v>
      </c>
      <c r="J724" s="3">
        <v>46151</v>
      </c>
      <c r="K724" s="4">
        <f>ClientiBanca[[#This Row],[Prestito]]+ClientiBanca[[#This Row],[Mutuo]]</f>
        <v>0</v>
      </c>
      <c r="L724" t="str">
        <f>IF(ClientiBanca[[#This Row],[Reddito annuo]]&gt;=70000,"si","no")</f>
        <v>no</v>
      </c>
    </row>
    <row r="725" spans="1:12">
      <c r="A725">
        <v>100724</v>
      </c>
      <c r="B725">
        <v>66</v>
      </c>
      <c r="C725" s="2">
        <v>90600</v>
      </c>
      <c r="D725" t="s">
        <v>21</v>
      </c>
      <c r="E725" s="2">
        <v>33700</v>
      </c>
      <c r="F725" s="2">
        <v>246000</v>
      </c>
      <c r="G725" t="s">
        <v>26</v>
      </c>
      <c r="H725" t="s">
        <v>20</v>
      </c>
      <c r="I725" t="s">
        <v>18</v>
      </c>
      <c r="J725" s="3">
        <v>45906</v>
      </c>
      <c r="K725" s="4">
        <f>ClientiBanca[[#This Row],[Prestito]]+ClientiBanca[[#This Row],[Mutuo]]</f>
        <v>279700</v>
      </c>
      <c r="L725" t="str">
        <f>IF(ClientiBanca[[#This Row],[Reddito annuo]]&gt;=70000,"si","no")</f>
        <v>si</v>
      </c>
    </row>
    <row r="726" spans="1:12">
      <c r="A726">
        <v>100725</v>
      </c>
      <c r="B726">
        <v>27</v>
      </c>
      <c r="C726" s="2">
        <v>82700</v>
      </c>
      <c r="D726" t="s">
        <v>21</v>
      </c>
      <c r="E726" s="2">
        <v>0</v>
      </c>
      <c r="F726" s="2">
        <v>0</v>
      </c>
      <c r="G726" t="s">
        <v>23</v>
      </c>
      <c r="H726" t="s">
        <v>14</v>
      </c>
      <c r="I726" t="s">
        <v>18</v>
      </c>
      <c r="J726" s="3">
        <v>45515</v>
      </c>
      <c r="K726" s="4">
        <f>ClientiBanca[[#This Row],[Prestito]]+ClientiBanca[[#This Row],[Mutuo]]</f>
        <v>0</v>
      </c>
      <c r="L726" t="str">
        <f>IF(ClientiBanca[[#This Row],[Reddito annuo]]&gt;=70000,"si","no")</f>
        <v>si</v>
      </c>
    </row>
    <row r="727" spans="1:12">
      <c r="A727">
        <v>100726</v>
      </c>
      <c r="B727">
        <v>29</v>
      </c>
      <c r="C727" s="2">
        <v>34900</v>
      </c>
      <c r="D727" t="s">
        <v>21</v>
      </c>
      <c r="E727" s="2">
        <v>28800</v>
      </c>
      <c r="F727" s="2">
        <v>0</v>
      </c>
      <c r="G727" t="s">
        <v>27</v>
      </c>
      <c r="H727" t="s">
        <v>17</v>
      </c>
      <c r="I727" t="s">
        <v>18</v>
      </c>
      <c r="J727" s="3">
        <v>46263</v>
      </c>
      <c r="K727" s="4">
        <f>ClientiBanca[[#This Row],[Prestito]]+ClientiBanca[[#This Row],[Mutuo]]</f>
        <v>28800</v>
      </c>
      <c r="L727" t="str">
        <f>IF(ClientiBanca[[#This Row],[Reddito annuo]]&gt;=70000,"si","no")</f>
        <v>no</v>
      </c>
    </row>
    <row r="728" spans="1:12">
      <c r="A728">
        <v>100727</v>
      </c>
      <c r="B728">
        <v>27</v>
      </c>
      <c r="C728" s="2">
        <v>47900</v>
      </c>
      <c r="D728" t="s">
        <v>21</v>
      </c>
      <c r="E728" s="2">
        <v>59900</v>
      </c>
      <c r="F728" s="2">
        <v>0</v>
      </c>
      <c r="G728" t="s">
        <v>24</v>
      </c>
      <c r="H728" t="s">
        <v>17</v>
      </c>
      <c r="I728" t="s">
        <v>18</v>
      </c>
      <c r="J728" s="3">
        <v>46133</v>
      </c>
      <c r="K728" s="4">
        <f>ClientiBanca[[#This Row],[Prestito]]+ClientiBanca[[#This Row],[Mutuo]]</f>
        <v>59900</v>
      </c>
      <c r="L728" t="str">
        <f>IF(ClientiBanca[[#This Row],[Reddito annuo]]&gt;=70000,"si","no")</f>
        <v>no</v>
      </c>
    </row>
    <row r="729" spans="1:12">
      <c r="A729">
        <v>100728</v>
      </c>
      <c r="B729">
        <v>39</v>
      </c>
      <c r="C729" s="2">
        <v>25500</v>
      </c>
      <c r="D729" t="s">
        <v>22</v>
      </c>
      <c r="E729" s="2">
        <v>31900</v>
      </c>
      <c r="F729" s="2">
        <v>0</v>
      </c>
      <c r="G729" t="s">
        <v>27</v>
      </c>
      <c r="H729" t="s">
        <v>14</v>
      </c>
      <c r="I729" t="s">
        <v>18</v>
      </c>
      <c r="J729" s="3">
        <v>45537</v>
      </c>
      <c r="K729" s="4">
        <f>ClientiBanca[[#This Row],[Prestito]]+ClientiBanca[[#This Row],[Mutuo]]</f>
        <v>31900</v>
      </c>
      <c r="L729" t="str">
        <f>IF(ClientiBanca[[#This Row],[Reddito annuo]]&gt;=70000,"si","no")</f>
        <v>no</v>
      </c>
    </row>
    <row r="730" spans="1:12">
      <c r="A730">
        <v>100729</v>
      </c>
      <c r="B730">
        <v>36</v>
      </c>
      <c r="C730" s="2">
        <v>63600</v>
      </c>
      <c r="D730" t="s">
        <v>21</v>
      </c>
      <c r="E730" s="2">
        <v>0</v>
      </c>
      <c r="F730" s="2">
        <v>0</v>
      </c>
      <c r="G730" t="s">
        <v>13</v>
      </c>
      <c r="H730" t="s">
        <v>17</v>
      </c>
      <c r="I730" t="s">
        <v>18</v>
      </c>
      <c r="J730" s="3">
        <v>45534</v>
      </c>
      <c r="K730" s="4">
        <f>ClientiBanca[[#This Row],[Prestito]]+ClientiBanca[[#This Row],[Mutuo]]</f>
        <v>0</v>
      </c>
      <c r="L730" t="str">
        <f>IF(ClientiBanca[[#This Row],[Reddito annuo]]&gt;=70000,"si","no")</f>
        <v>no</v>
      </c>
    </row>
    <row r="731" spans="1:12">
      <c r="A731">
        <v>100730</v>
      </c>
      <c r="B731">
        <v>74</v>
      </c>
      <c r="C731" s="2">
        <v>55900</v>
      </c>
      <c r="D731" t="s">
        <v>21</v>
      </c>
      <c r="E731" s="2">
        <v>0</v>
      </c>
      <c r="F731" s="2">
        <v>0</v>
      </c>
      <c r="G731" t="s">
        <v>26</v>
      </c>
      <c r="H731" t="s">
        <v>17</v>
      </c>
      <c r="I731" t="s">
        <v>18</v>
      </c>
      <c r="J731" s="3">
        <v>46250</v>
      </c>
      <c r="K731" s="4">
        <f>ClientiBanca[[#This Row],[Prestito]]+ClientiBanca[[#This Row],[Mutuo]]</f>
        <v>0</v>
      </c>
      <c r="L731" t="str">
        <f>IF(ClientiBanca[[#This Row],[Reddito annuo]]&gt;=70000,"si","no")</f>
        <v>no</v>
      </c>
    </row>
    <row r="732" spans="1:12">
      <c r="A732">
        <v>100731</v>
      </c>
      <c r="B732">
        <v>72</v>
      </c>
      <c r="C732" s="2">
        <v>81000</v>
      </c>
      <c r="D732" t="s">
        <v>21</v>
      </c>
      <c r="E732" s="2">
        <v>0</v>
      </c>
      <c r="F732" s="2">
        <v>195000</v>
      </c>
      <c r="G732" t="s">
        <v>19</v>
      </c>
      <c r="H732" t="s">
        <v>14</v>
      </c>
      <c r="I732" t="s">
        <v>18</v>
      </c>
      <c r="J732" s="3">
        <v>46077</v>
      </c>
      <c r="K732" s="4">
        <f>ClientiBanca[[#This Row],[Prestito]]+ClientiBanca[[#This Row],[Mutuo]]</f>
        <v>195000</v>
      </c>
      <c r="L732" t="str">
        <f>IF(ClientiBanca[[#This Row],[Reddito annuo]]&gt;=70000,"si","no")</f>
        <v>si</v>
      </c>
    </row>
    <row r="733" spans="1:12">
      <c r="A733">
        <v>100732</v>
      </c>
      <c r="B733">
        <v>61</v>
      </c>
      <c r="C733" s="2">
        <v>53500</v>
      </c>
      <c r="D733" t="s">
        <v>21</v>
      </c>
      <c r="E733" s="2">
        <v>0</v>
      </c>
      <c r="F733" s="2">
        <v>0</v>
      </c>
      <c r="G733" t="s">
        <v>28</v>
      </c>
      <c r="H733" t="s">
        <v>17</v>
      </c>
      <c r="I733" t="s">
        <v>18</v>
      </c>
      <c r="J733" s="3">
        <v>45714</v>
      </c>
      <c r="K733" s="4">
        <f>ClientiBanca[[#This Row],[Prestito]]+ClientiBanca[[#This Row],[Mutuo]]</f>
        <v>0</v>
      </c>
      <c r="L733" t="str">
        <f>IF(ClientiBanca[[#This Row],[Reddito annuo]]&gt;=70000,"si","no")</f>
        <v>no</v>
      </c>
    </row>
    <row r="734" spans="1:12">
      <c r="A734">
        <v>100733</v>
      </c>
      <c r="B734">
        <v>73</v>
      </c>
      <c r="C734" s="2">
        <v>48900</v>
      </c>
      <c r="D734" t="s">
        <v>21</v>
      </c>
      <c r="E734" s="2">
        <v>0</v>
      </c>
      <c r="F734" s="2">
        <v>140000</v>
      </c>
      <c r="G734" t="s">
        <v>26</v>
      </c>
      <c r="H734" t="s">
        <v>17</v>
      </c>
      <c r="I734" t="s">
        <v>18</v>
      </c>
      <c r="J734" s="3">
        <v>45652</v>
      </c>
      <c r="K734" s="4">
        <f>ClientiBanca[[#This Row],[Prestito]]+ClientiBanca[[#This Row],[Mutuo]]</f>
        <v>140000</v>
      </c>
      <c r="L734" t="str">
        <f>IF(ClientiBanca[[#This Row],[Reddito annuo]]&gt;=70000,"si","no")</f>
        <v>no</v>
      </c>
    </row>
    <row r="735" spans="1:12">
      <c r="A735">
        <v>100734</v>
      </c>
      <c r="B735">
        <v>46</v>
      </c>
      <c r="C735" s="2">
        <v>67400</v>
      </c>
      <c r="D735" t="s">
        <v>12</v>
      </c>
      <c r="E735" s="2">
        <v>0</v>
      </c>
      <c r="F735" s="2">
        <v>0</v>
      </c>
      <c r="G735" t="s">
        <v>27</v>
      </c>
      <c r="H735" t="s">
        <v>14</v>
      </c>
      <c r="I735" t="s">
        <v>18</v>
      </c>
      <c r="J735" s="3">
        <v>45948</v>
      </c>
      <c r="K735" s="4">
        <f>ClientiBanca[[#This Row],[Prestito]]+ClientiBanca[[#This Row],[Mutuo]]</f>
        <v>0</v>
      </c>
      <c r="L735" t="str">
        <f>IF(ClientiBanca[[#This Row],[Reddito annuo]]&gt;=70000,"si","no")</f>
        <v>no</v>
      </c>
    </row>
    <row r="736" spans="1:12">
      <c r="A736">
        <v>100735</v>
      </c>
      <c r="B736">
        <v>61</v>
      </c>
      <c r="C736" s="2">
        <v>40200</v>
      </c>
      <c r="D736" t="s">
        <v>21</v>
      </c>
      <c r="E736" s="2">
        <v>4100</v>
      </c>
      <c r="F736" s="2">
        <v>0</v>
      </c>
      <c r="G736" t="s">
        <v>26</v>
      </c>
      <c r="H736" t="s">
        <v>17</v>
      </c>
      <c r="I736" t="s">
        <v>18</v>
      </c>
      <c r="J736" s="3">
        <v>45453</v>
      </c>
      <c r="K736" s="4">
        <f>ClientiBanca[[#This Row],[Prestito]]+ClientiBanca[[#This Row],[Mutuo]]</f>
        <v>4100</v>
      </c>
      <c r="L736" t="str">
        <f>IF(ClientiBanca[[#This Row],[Reddito annuo]]&gt;=70000,"si","no")</f>
        <v>no</v>
      </c>
    </row>
    <row r="737" spans="1:12">
      <c r="A737">
        <v>100736</v>
      </c>
      <c r="B737">
        <v>35</v>
      </c>
      <c r="C737" s="2">
        <v>61000</v>
      </c>
      <c r="D737" t="s">
        <v>22</v>
      </c>
      <c r="E737" s="2">
        <v>0</v>
      </c>
      <c r="F737" s="2">
        <v>0</v>
      </c>
      <c r="G737" t="s">
        <v>16</v>
      </c>
      <c r="H737" t="s">
        <v>14</v>
      </c>
      <c r="I737" t="s">
        <v>18</v>
      </c>
      <c r="J737" s="3">
        <v>45619</v>
      </c>
      <c r="K737" s="4">
        <f>ClientiBanca[[#This Row],[Prestito]]+ClientiBanca[[#This Row],[Mutuo]]</f>
        <v>0</v>
      </c>
      <c r="L737" t="str">
        <f>IF(ClientiBanca[[#This Row],[Reddito annuo]]&gt;=70000,"si","no")</f>
        <v>no</v>
      </c>
    </row>
    <row r="738" spans="1:12">
      <c r="A738">
        <v>100737</v>
      </c>
      <c r="B738">
        <v>48</v>
      </c>
      <c r="C738" s="2">
        <v>58300</v>
      </c>
      <c r="D738" t="s">
        <v>12</v>
      </c>
      <c r="E738" s="2">
        <v>45500</v>
      </c>
      <c r="F738" s="2">
        <v>0</v>
      </c>
      <c r="G738" t="s">
        <v>26</v>
      </c>
      <c r="H738" t="s">
        <v>20</v>
      </c>
      <c r="I738" t="s">
        <v>18</v>
      </c>
      <c r="J738" s="3">
        <v>45478</v>
      </c>
      <c r="K738" s="4">
        <f>ClientiBanca[[#This Row],[Prestito]]+ClientiBanca[[#This Row],[Mutuo]]</f>
        <v>45500</v>
      </c>
      <c r="L738" t="str">
        <f>IF(ClientiBanca[[#This Row],[Reddito annuo]]&gt;=70000,"si","no")</f>
        <v>no</v>
      </c>
    </row>
    <row r="739" spans="1:12">
      <c r="A739">
        <v>100738</v>
      </c>
      <c r="B739">
        <v>45</v>
      </c>
      <c r="C739" s="2">
        <v>95100</v>
      </c>
      <c r="D739" t="s">
        <v>22</v>
      </c>
      <c r="E739" s="2">
        <v>0</v>
      </c>
      <c r="F739" s="2">
        <v>352000</v>
      </c>
      <c r="G739" t="s">
        <v>23</v>
      </c>
      <c r="H739" t="s">
        <v>14</v>
      </c>
      <c r="I739" t="s">
        <v>18</v>
      </c>
      <c r="J739" s="3">
        <v>45765</v>
      </c>
      <c r="K739" s="4">
        <f>ClientiBanca[[#This Row],[Prestito]]+ClientiBanca[[#This Row],[Mutuo]]</f>
        <v>352000</v>
      </c>
      <c r="L739" t="str">
        <f>IF(ClientiBanca[[#This Row],[Reddito annuo]]&gt;=70000,"si","no")</f>
        <v>si</v>
      </c>
    </row>
    <row r="740" spans="1:12">
      <c r="A740">
        <v>100739</v>
      </c>
      <c r="B740">
        <v>32</v>
      </c>
      <c r="C740" s="2">
        <v>44700</v>
      </c>
      <c r="D740" t="s">
        <v>22</v>
      </c>
      <c r="E740" s="2">
        <v>40800</v>
      </c>
      <c r="F740" s="2">
        <v>0</v>
      </c>
      <c r="G740" t="s">
        <v>24</v>
      </c>
      <c r="H740" t="s">
        <v>20</v>
      </c>
      <c r="I740" t="s">
        <v>18</v>
      </c>
      <c r="J740" s="3">
        <v>46261</v>
      </c>
      <c r="K740" s="4">
        <f>ClientiBanca[[#This Row],[Prestito]]+ClientiBanca[[#This Row],[Mutuo]]</f>
        <v>40800</v>
      </c>
      <c r="L740" t="str">
        <f>IF(ClientiBanca[[#This Row],[Reddito annuo]]&gt;=70000,"si","no")</f>
        <v>no</v>
      </c>
    </row>
    <row r="741" spans="1:12">
      <c r="A741">
        <v>100740</v>
      </c>
      <c r="B741">
        <v>56</v>
      </c>
      <c r="C741" s="2">
        <v>35800</v>
      </c>
      <c r="D741" t="s">
        <v>12</v>
      </c>
      <c r="E741" s="2">
        <v>44800</v>
      </c>
      <c r="F741" s="2">
        <v>0</v>
      </c>
      <c r="G741" t="s">
        <v>28</v>
      </c>
      <c r="H741" t="s">
        <v>20</v>
      </c>
      <c r="I741" t="s">
        <v>18</v>
      </c>
      <c r="J741" s="3">
        <v>45487</v>
      </c>
      <c r="K741" s="4">
        <f>ClientiBanca[[#This Row],[Prestito]]+ClientiBanca[[#This Row],[Mutuo]]</f>
        <v>44800</v>
      </c>
      <c r="L741" t="str">
        <f>IF(ClientiBanca[[#This Row],[Reddito annuo]]&gt;=70000,"si","no")</f>
        <v>no</v>
      </c>
    </row>
    <row r="742" spans="1:12">
      <c r="A742">
        <v>100741</v>
      </c>
      <c r="B742">
        <v>75</v>
      </c>
      <c r="C742" s="2">
        <v>87100</v>
      </c>
      <c r="D742" t="s">
        <v>21</v>
      </c>
      <c r="E742" s="2">
        <v>0</v>
      </c>
      <c r="F742" s="2">
        <v>0</v>
      </c>
      <c r="G742" t="s">
        <v>16</v>
      </c>
      <c r="H742" t="s">
        <v>14</v>
      </c>
      <c r="I742" t="s">
        <v>18</v>
      </c>
      <c r="J742" s="3">
        <v>45906</v>
      </c>
      <c r="K742" s="4">
        <f>ClientiBanca[[#This Row],[Prestito]]+ClientiBanca[[#This Row],[Mutuo]]</f>
        <v>0</v>
      </c>
      <c r="L742" t="str">
        <f>IF(ClientiBanca[[#This Row],[Reddito annuo]]&gt;=70000,"si","no")</f>
        <v>si</v>
      </c>
    </row>
    <row r="743" spans="1:12">
      <c r="A743">
        <v>100742</v>
      </c>
      <c r="B743">
        <v>33</v>
      </c>
      <c r="C743" s="2">
        <v>123100</v>
      </c>
      <c r="D743" t="s">
        <v>21</v>
      </c>
      <c r="E743" s="2">
        <v>29300</v>
      </c>
      <c r="F743" s="2">
        <v>0</v>
      </c>
      <c r="G743" t="s">
        <v>24</v>
      </c>
      <c r="H743" t="s">
        <v>20</v>
      </c>
      <c r="I743" t="s">
        <v>18</v>
      </c>
      <c r="J743" s="3">
        <v>45533</v>
      </c>
      <c r="K743" s="4">
        <f>ClientiBanca[[#This Row],[Prestito]]+ClientiBanca[[#This Row],[Mutuo]]</f>
        <v>29300</v>
      </c>
      <c r="L743" t="str">
        <f>IF(ClientiBanca[[#This Row],[Reddito annuo]]&gt;=70000,"si","no")</f>
        <v>si</v>
      </c>
    </row>
    <row r="744" spans="1:12">
      <c r="A744">
        <v>100743</v>
      </c>
      <c r="B744">
        <v>59</v>
      </c>
      <c r="C744" s="2">
        <v>56400</v>
      </c>
      <c r="D744" t="s">
        <v>21</v>
      </c>
      <c r="E744" s="2">
        <v>42700</v>
      </c>
      <c r="F744" s="2">
        <v>201000</v>
      </c>
      <c r="G744" t="s">
        <v>19</v>
      </c>
      <c r="H744" t="s">
        <v>25</v>
      </c>
      <c r="I744" t="s">
        <v>18</v>
      </c>
      <c r="J744" s="3">
        <v>45509</v>
      </c>
      <c r="K744" s="4">
        <f>ClientiBanca[[#This Row],[Prestito]]+ClientiBanca[[#This Row],[Mutuo]]</f>
        <v>243700</v>
      </c>
      <c r="L744" t="str">
        <f>IF(ClientiBanca[[#This Row],[Reddito annuo]]&gt;=70000,"si","no")</f>
        <v>no</v>
      </c>
    </row>
    <row r="745" spans="1:12">
      <c r="A745">
        <v>100744</v>
      </c>
      <c r="B745">
        <v>65</v>
      </c>
      <c r="C745" s="2">
        <v>52000</v>
      </c>
      <c r="D745" t="s">
        <v>21</v>
      </c>
      <c r="E745" s="2">
        <v>12100</v>
      </c>
      <c r="F745" s="2">
        <v>0</v>
      </c>
      <c r="G745" t="s">
        <v>27</v>
      </c>
      <c r="H745" t="s">
        <v>17</v>
      </c>
      <c r="I745" t="s">
        <v>18</v>
      </c>
      <c r="J745" s="3">
        <v>46222</v>
      </c>
      <c r="K745" s="4">
        <f>ClientiBanca[[#This Row],[Prestito]]+ClientiBanca[[#This Row],[Mutuo]]</f>
        <v>12100</v>
      </c>
      <c r="L745" t="str">
        <f>IF(ClientiBanca[[#This Row],[Reddito annuo]]&gt;=70000,"si","no")</f>
        <v>no</v>
      </c>
    </row>
    <row r="746" spans="1:12">
      <c r="A746">
        <v>100745</v>
      </c>
      <c r="B746">
        <v>42</v>
      </c>
      <c r="C746" s="2">
        <v>124300</v>
      </c>
      <c r="D746" t="s">
        <v>22</v>
      </c>
      <c r="E746" s="2">
        <v>0</v>
      </c>
      <c r="F746" s="2">
        <v>0</v>
      </c>
      <c r="G746" t="s">
        <v>27</v>
      </c>
      <c r="H746" t="s">
        <v>20</v>
      </c>
      <c r="I746" t="s">
        <v>18</v>
      </c>
      <c r="J746" s="3">
        <v>45808</v>
      </c>
      <c r="K746" s="4">
        <f>ClientiBanca[[#This Row],[Prestito]]+ClientiBanca[[#This Row],[Mutuo]]</f>
        <v>0</v>
      </c>
      <c r="L746" t="str">
        <f>IF(ClientiBanca[[#This Row],[Reddito annuo]]&gt;=70000,"si","no")</f>
        <v>si</v>
      </c>
    </row>
    <row r="747" spans="1:12">
      <c r="A747">
        <v>100746</v>
      </c>
      <c r="B747">
        <v>59</v>
      </c>
      <c r="C747" s="2">
        <v>51900</v>
      </c>
      <c r="D747" t="s">
        <v>22</v>
      </c>
      <c r="E747" s="2">
        <v>15600</v>
      </c>
      <c r="F747" s="2">
        <v>0</v>
      </c>
      <c r="G747" t="s">
        <v>27</v>
      </c>
      <c r="H747" t="s">
        <v>17</v>
      </c>
      <c r="I747" t="s">
        <v>18</v>
      </c>
      <c r="J747" s="3">
        <v>45807</v>
      </c>
      <c r="K747" s="4">
        <f>ClientiBanca[[#This Row],[Prestito]]+ClientiBanca[[#This Row],[Mutuo]]</f>
        <v>15600</v>
      </c>
      <c r="L747" t="str">
        <f>IF(ClientiBanca[[#This Row],[Reddito annuo]]&gt;=70000,"si","no")</f>
        <v>no</v>
      </c>
    </row>
    <row r="748" spans="1:12">
      <c r="A748">
        <v>100747</v>
      </c>
      <c r="B748">
        <v>51</v>
      </c>
      <c r="C748" s="2">
        <v>103800</v>
      </c>
      <c r="D748" t="s">
        <v>22</v>
      </c>
      <c r="E748" s="2">
        <v>24200</v>
      </c>
      <c r="F748" s="2">
        <v>0</v>
      </c>
      <c r="G748" t="s">
        <v>24</v>
      </c>
      <c r="H748" t="s">
        <v>20</v>
      </c>
      <c r="I748" t="s">
        <v>18</v>
      </c>
      <c r="J748" s="3">
        <v>45422</v>
      </c>
      <c r="K748" s="4">
        <f>ClientiBanca[[#This Row],[Prestito]]+ClientiBanca[[#This Row],[Mutuo]]</f>
        <v>24200</v>
      </c>
      <c r="L748" t="str">
        <f>IF(ClientiBanca[[#This Row],[Reddito annuo]]&gt;=70000,"si","no")</f>
        <v>si</v>
      </c>
    </row>
    <row r="749" spans="1:12">
      <c r="A749">
        <v>100748</v>
      </c>
      <c r="B749">
        <v>51</v>
      </c>
      <c r="C749" s="2">
        <v>94400</v>
      </c>
      <c r="D749" t="s">
        <v>22</v>
      </c>
      <c r="E749" s="2">
        <v>0</v>
      </c>
      <c r="F749" s="2">
        <v>0</v>
      </c>
      <c r="G749" t="s">
        <v>26</v>
      </c>
      <c r="H749" t="s">
        <v>14</v>
      </c>
      <c r="I749" t="s">
        <v>18</v>
      </c>
      <c r="J749" s="3">
        <v>45561</v>
      </c>
      <c r="K749" s="4">
        <f>ClientiBanca[[#This Row],[Prestito]]+ClientiBanca[[#This Row],[Mutuo]]</f>
        <v>0</v>
      </c>
      <c r="L749" t="str">
        <f>IF(ClientiBanca[[#This Row],[Reddito annuo]]&gt;=70000,"si","no")</f>
        <v>si</v>
      </c>
    </row>
    <row r="750" spans="1:12">
      <c r="A750">
        <v>100749</v>
      </c>
      <c r="B750">
        <v>59</v>
      </c>
      <c r="C750" s="2">
        <v>89000</v>
      </c>
      <c r="D750" t="s">
        <v>22</v>
      </c>
      <c r="E750" s="2">
        <v>30200</v>
      </c>
      <c r="F750" s="2">
        <v>266000</v>
      </c>
      <c r="G750" t="s">
        <v>28</v>
      </c>
      <c r="H750" t="s">
        <v>17</v>
      </c>
      <c r="I750" t="s">
        <v>18</v>
      </c>
      <c r="J750" s="3">
        <v>46165</v>
      </c>
      <c r="K750" s="4">
        <f>ClientiBanca[[#This Row],[Prestito]]+ClientiBanca[[#This Row],[Mutuo]]</f>
        <v>296200</v>
      </c>
      <c r="L750" t="str">
        <f>IF(ClientiBanca[[#This Row],[Reddito annuo]]&gt;=70000,"si","no")</f>
        <v>si</v>
      </c>
    </row>
    <row r="751" spans="1:12">
      <c r="A751">
        <v>100750</v>
      </c>
      <c r="B751">
        <v>62</v>
      </c>
      <c r="C751" s="2">
        <v>70200</v>
      </c>
      <c r="D751" t="s">
        <v>21</v>
      </c>
      <c r="E751" s="2">
        <v>10800</v>
      </c>
      <c r="F751" s="2">
        <v>202000</v>
      </c>
      <c r="G751" t="s">
        <v>24</v>
      </c>
      <c r="H751" t="s">
        <v>17</v>
      </c>
      <c r="I751" t="s">
        <v>18</v>
      </c>
      <c r="J751" s="3">
        <v>46208</v>
      </c>
      <c r="K751" s="4">
        <f>ClientiBanca[[#This Row],[Prestito]]+ClientiBanca[[#This Row],[Mutuo]]</f>
        <v>212800</v>
      </c>
      <c r="L751" t="str">
        <f>IF(ClientiBanca[[#This Row],[Reddito annuo]]&gt;=70000,"si","no")</f>
        <v>si</v>
      </c>
    </row>
    <row r="752" spans="1:12">
      <c r="A752">
        <v>100751</v>
      </c>
      <c r="B752">
        <v>51</v>
      </c>
      <c r="C752" s="2">
        <v>28500</v>
      </c>
      <c r="D752" t="s">
        <v>21</v>
      </c>
      <c r="E752" s="2">
        <v>32900</v>
      </c>
      <c r="F752" s="2">
        <v>0</v>
      </c>
      <c r="G752" t="s">
        <v>24</v>
      </c>
      <c r="H752" t="s">
        <v>20</v>
      </c>
      <c r="I752" t="s">
        <v>18</v>
      </c>
      <c r="J752" s="3">
        <v>46181</v>
      </c>
      <c r="K752" s="4">
        <f>ClientiBanca[[#This Row],[Prestito]]+ClientiBanca[[#This Row],[Mutuo]]</f>
        <v>32900</v>
      </c>
      <c r="L752" t="str">
        <f>IF(ClientiBanca[[#This Row],[Reddito annuo]]&gt;=70000,"si","no")</f>
        <v>no</v>
      </c>
    </row>
    <row r="753" spans="1:12">
      <c r="A753">
        <v>100752</v>
      </c>
      <c r="B753">
        <v>38</v>
      </c>
      <c r="C753" s="2">
        <v>40000</v>
      </c>
      <c r="D753" t="s">
        <v>21</v>
      </c>
      <c r="E753" s="2">
        <v>22100</v>
      </c>
      <c r="F753" s="2">
        <v>0</v>
      </c>
      <c r="G753" t="s">
        <v>23</v>
      </c>
      <c r="H753" t="s">
        <v>14</v>
      </c>
      <c r="I753" t="s">
        <v>18</v>
      </c>
      <c r="J753" s="3">
        <v>45830</v>
      </c>
      <c r="K753" s="4">
        <f>ClientiBanca[[#This Row],[Prestito]]+ClientiBanca[[#This Row],[Mutuo]]</f>
        <v>22100</v>
      </c>
      <c r="L753" t="str">
        <f>IF(ClientiBanca[[#This Row],[Reddito annuo]]&gt;=70000,"si","no")</f>
        <v>no</v>
      </c>
    </row>
    <row r="754" spans="1:12">
      <c r="A754">
        <v>100753</v>
      </c>
      <c r="B754">
        <v>69</v>
      </c>
      <c r="C754" s="2">
        <v>65000</v>
      </c>
      <c r="D754" t="s">
        <v>21</v>
      </c>
      <c r="E754" s="2">
        <v>51700</v>
      </c>
      <c r="F754" s="2">
        <v>0</v>
      </c>
      <c r="G754" t="s">
        <v>19</v>
      </c>
      <c r="H754" t="s">
        <v>20</v>
      </c>
      <c r="I754" t="s">
        <v>18</v>
      </c>
      <c r="J754" s="3">
        <v>45988</v>
      </c>
      <c r="K754" s="4">
        <f>ClientiBanca[[#This Row],[Prestito]]+ClientiBanca[[#This Row],[Mutuo]]</f>
        <v>51700</v>
      </c>
      <c r="L754" t="str">
        <f>IF(ClientiBanca[[#This Row],[Reddito annuo]]&gt;=70000,"si","no")</f>
        <v>no</v>
      </c>
    </row>
    <row r="755" spans="1:12">
      <c r="A755">
        <v>100754</v>
      </c>
      <c r="B755">
        <v>27</v>
      </c>
      <c r="C755" s="2">
        <v>52700</v>
      </c>
      <c r="D755" t="s">
        <v>12</v>
      </c>
      <c r="E755" s="2">
        <v>0</v>
      </c>
      <c r="F755" s="2">
        <v>0</v>
      </c>
      <c r="G755" t="s">
        <v>24</v>
      </c>
      <c r="H755" t="s">
        <v>20</v>
      </c>
      <c r="I755" t="s">
        <v>18</v>
      </c>
      <c r="J755" s="3">
        <v>45763</v>
      </c>
      <c r="K755" s="4">
        <f>ClientiBanca[[#This Row],[Prestito]]+ClientiBanca[[#This Row],[Mutuo]]</f>
        <v>0</v>
      </c>
      <c r="L755" t="str">
        <f>IF(ClientiBanca[[#This Row],[Reddito annuo]]&gt;=70000,"si","no")</f>
        <v>no</v>
      </c>
    </row>
    <row r="756" spans="1:12">
      <c r="A756">
        <v>100755</v>
      </c>
      <c r="B756">
        <v>73</v>
      </c>
      <c r="C756" s="2">
        <v>76300</v>
      </c>
      <c r="D756" t="s">
        <v>21</v>
      </c>
      <c r="E756" s="2">
        <v>22000</v>
      </c>
      <c r="F756" s="2">
        <v>0</v>
      </c>
      <c r="G756" t="s">
        <v>19</v>
      </c>
      <c r="H756" t="s">
        <v>25</v>
      </c>
      <c r="I756" t="s">
        <v>18</v>
      </c>
      <c r="J756" s="3">
        <v>46265</v>
      </c>
      <c r="K756" s="4">
        <f>ClientiBanca[[#This Row],[Prestito]]+ClientiBanca[[#This Row],[Mutuo]]</f>
        <v>22000</v>
      </c>
      <c r="L756" t="str">
        <f>IF(ClientiBanca[[#This Row],[Reddito annuo]]&gt;=70000,"si","no")</f>
        <v>si</v>
      </c>
    </row>
    <row r="757" spans="1:12">
      <c r="A757">
        <v>100756</v>
      </c>
      <c r="B757">
        <v>48</v>
      </c>
      <c r="C757" s="2">
        <v>48400</v>
      </c>
      <c r="D757" t="s">
        <v>12</v>
      </c>
      <c r="E757" s="2">
        <v>0</v>
      </c>
      <c r="F757" s="2">
        <v>0</v>
      </c>
      <c r="G757" t="s">
        <v>24</v>
      </c>
      <c r="H757" t="s">
        <v>20</v>
      </c>
      <c r="I757" t="s">
        <v>18</v>
      </c>
      <c r="J757" s="3">
        <v>45341</v>
      </c>
      <c r="K757" s="4">
        <f>ClientiBanca[[#This Row],[Prestito]]+ClientiBanca[[#This Row],[Mutuo]]</f>
        <v>0</v>
      </c>
      <c r="L757" t="str">
        <f>IF(ClientiBanca[[#This Row],[Reddito annuo]]&gt;=70000,"si","no")</f>
        <v>no</v>
      </c>
    </row>
    <row r="758" spans="1:12">
      <c r="A758">
        <v>100757</v>
      </c>
      <c r="B758">
        <v>71</v>
      </c>
      <c r="C758" s="2">
        <v>70700</v>
      </c>
      <c r="D758" t="s">
        <v>21</v>
      </c>
      <c r="E758" s="2">
        <v>12000</v>
      </c>
      <c r="F758" s="2">
        <v>0</v>
      </c>
      <c r="G758" t="s">
        <v>16</v>
      </c>
      <c r="H758" t="s">
        <v>20</v>
      </c>
      <c r="I758" t="s">
        <v>18</v>
      </c>
      <c r="J758" s="3">
        <v>45537</v>
      </c>
      <c r="K758" s="4">
        <f>ClientiBanca[[#This Row],[Prestito]]+ClientiBanca[[#This Row],[Mutuo]]</f>
        <v>12000</v>
      </c>
      <c r="L758" t="str">
        <f>IF(ClientiBanca[[#This Row],[Reddito annuo]]&gt;=70000,"si","no")</f>
        <v>si</v>
      </c>
    </row>
    <row r="759" spans="1:12">
      <c r="A759">
        <v>100758</v>
      </c>
      <c r="B759">
        <v>69</v>
      </c>
      <c r="C759" s="2">
        <v>93600</v>
      </c>
      <c r="D759" t="s">
        <v>21</v>
      </c>
      <c r="E759" s="2">
        <v>0</v>
      </c>
      <c r="F759" s="2">
        <v>279000</v>
      </c>
      <c r="G759" t="s">
        <v>26</v>
      </c>
      <c r="H759" t="s">
        <v>17</v>
      </c>
      <c r="I759" t="s">
        <v>18</v>
      </c>
      <c r="J759" s="3">
        <v>45961</v>
      </c>
      <c r="K759" s="4">
        <f>ClientiBanca[[#This Row],[Prestito]]+ClientiBanca[[#This Row],[Mutuo]]</f>
        <v>279000</v>
      </c>
      <c r="L759" t="str">
        <f>IF(ClientiBanca[[#This Row],[Reddito annuo]]&gt;=70000,"si","no")</f>
        <v>si</v>
      </c>
    </row>
    <row r="760" spans="1:12">
      <c r="A760">
        <v>100759</v>
      </c>
      <c r="B760">
        <v>29</v>
      </c>
      <c r="C760" s="2">
        <v>36000</v>
      </c>
      <c r="D760" t="s">
        <v>21</v>
      </c>
      <c r="E760" s="2">
        <v>45000</v>
      </c>
      <c r="F760" s="2">
        <v>0</v>
      </c>
      <c r="G760" t="s">
        <v>24</v>
      </c>
      <c r="H760" t="s">
        <v>17</v>
      </c>
      <c r="I760" t="s">
        <v>18</v>
      </c>
      <c r="J760" s="3">
        <v>45668</v>
      </c>
      <c r="K760" s="4">
        <f>ClientiBanca[[#This Row],[Prestito]]+ClientiBanca[[#This Row],[Mutuo]]</f>
        <v>45000</v>
      </c>
      <c r="L760" t="str">
        <f>IF(ClientiBanca[[#This Row],[Reddito annuo]]&gt;=70000,"si","no")</f>
        <v>no</v>
      </c>
    </row>
    <row r="761" spans="1:12">
      <c r="A761">
        <v>100760</v>
      </c>
      <c r="B761">
        <v>52</v>
      </c>
      <c r="C761" s="2">
        <v>41200</v>
      </c>
      <c r="D761" t="s">
        <v>21</v>
      </c>
      <c r="E761" s="2">
        <v>21900</v>
      </c>
      <c r="F761" s="2">
        <v>0</v>
      </c>
      <c r="G761" t="s">
        <v>13</v>
      </c>
      <c r="H761" t="s">
        <v>14</v>
      </c>
      <c r="I761" t="s">
        <v>18</v>
      </c>
      <c r="J761" s="3">
        <v>45920</v>
      </c>
      <c r="K761" s="4">
        <f>ClientiBanca[[#This Row],[Prestito]]+ClientiBanca[[#This Row],[Mutuo]]</f>
        <v>21900</v>
      </c>
      <c r="L761" t="str">
        <f>IF(ClientiBanca[[#This Row],[Reddito annuo]]&gt;=70000,"si","no")</f>
        <v>no</v>
      </c>
    </row>
    <row r="762" spans="1:12">
      <c r="A762">
        <v>100761</v>
      </c>
      <c r="B762">
        <v>31</v>
      </c>
      <c r="C762" s="2">
        <v>55300</v>
      </c>
      <c r="D762" t="s">
        <v>21</v>
      </c>
      <c r="E762" s="2">
        <v>25400</v>
      </c>
      <c r="F762" s="2">
        <v>0</v>
      </c>
      <c r="G762" t="s">
        <v>23</v>
      </c>
      <c r="H762" t="s">
        <v>17</v>
      </c>
      <c r="I762" t="s">
        <v>18</v>
      </c>
      <c r="J762" s="3">
        <v>46245</v>
      </c>
      <c r="K762" s="4">
        <f>ClientiBanca[[#This Row],[Prestito]]+ClientiBanca[[#This Row],[Mutuo]]</f>
        <v>25400</v>
      </c>
      <c r="L762" t="str">
        <f>IF(ClientiBanca[[#This Row],[Reddito annuo]]&gt;=70000,"si","no")</f>
        <v>no</v>
      </c>
    </row>
    <row r="763" spans="1:12">
      <c r="A763">
        <v>100762</v>
      </c>
      <c r="B763">
        <v>51</v>
      </c>
      <c r="C763" s="2">
        <v>61700</v>
      </c>
      <c r="D763" t="s">
        <v>12</v>
      </c>
      <c r="E763" s="2">
        <v>32000</v>
      </c>
      <c r="F763" s="2">
        <v>286000</v>
      </c>
      <c r="G763" t="s">
        <v>26</v>
      </c>
      <c r="H763" t="s">
        <v>20</v>
      </c>
      <c r="I763" t="s">
        <v>18</v>
      </c>
      <c r="J763" s="3">
        <v>46216</v>
      </c>
      <c r="K763" s="4">
        <f>ClientiBanca[[#This Row],[Prestito]]+ClientiBanca[[#This Row],[Mutuo]]</f>
        <v>318000</v>
      </c>
      <c r="L763" t="str">
        <f>IF(ClientiBanca[[#This Row],[Reddito annuo]]&gt;=70000,"si","no")</f>
        <v>no</v>
      </c>
    </row>
    <row r="764" spans="1:12">
      <c r="A764">
        <v>100763</v>
      </c>
      <c r="B764">
        <v>39</v>
      </c>
      <c r="C764" s="2">
        <v>90500</v>
      </c>
      <c r="D764" t="s">
        <v>12</v>
      </c>
      <c r="E764" s="2">
        <v>10200</v>
      </c>
      <c r="F764" s="2">
        <v>102000</v>
      </c>
      <c r="G764" t="s">
        <v>13</v>
      </c>
      <c r="H764" t="s">
        <v>17</v>
      </c>
      <c r="I764" t="s">
        <v>18</v>
      </c>
      <c r="J764" s="3">
        <v>45767</v>
      </c>
      <c r="K764" s="4">
        <f>ClientiBanca[[#This Row],[Prestito]]+ClientiBanca[[#This Row],[Mutuo]]</f>
        <v>112200</v>
      </c>
      <c r="L764" t="str">
        <f>IF(ClientiBanca[[#This Row],[Reddito annuo]]&gt;=70000,"si","no")</f>
        <v>si</v>
      </c>
    </row>
    <row r="765" spans="1:12">
      <c r="A765">
        <v>100764</v>
      </c>
      <c r="B765">
        <v>62</v>
      </c>
      <c r="C765" s="2">
        <v>77500</v>
      </c>
      <c r="D765" t="s">
        <v>12</v>
      </c>
      <c r="E765" s="2">
        <v>38800</v>
      </c>
      <c r="F765" s="2">
        <v>0</v>
      </c>
      <c r="G765" t="s">
        <v>27</v>
      </c>
      <c r="H765" t="s">
        <v>20</v>
      </c>
      <c r="I765" t="s">
        <v>18</v>
      </c>
      <c r="J765" s="3">
        <v>45475</v>
      </c>
      <c r="K765" s="4">
        <f>ClientiBanca[[#This Row],[Prestito]]+ClientiBanca[[#This Row],[Mutuo]]</f>
        <v>38800</v>
      </c>
      <c r="L765" t="str">
        <f>IF(ClientiBanca[[#This Row],[Reddito annuo]]&gt;=70000,"si","no")</f>
        <v>si</v>
      </c>
    </row>
    <row r="766" spans="1:12">
      <c r="A766">
        <v>100765</v>
      </c>
      <c r="B766">
        <v>70</v>
      </c>
      <c r="C766" s="2">
        <v>40100</v>
      </c>
      <c r="D766" t="s">
        <v>21</v>
      </c>
      <c r="E766" s="2">
        <v>50100</v>
      </c>
      <c r="F766" s="2">
        <v>0</v>
      </c>
      <c r="G766" t="s">
        <v>28</v>
      </c>
      <c r="H766" t="s">
        <v>14</v>
      </c>
      <c r="I766" t="s">
        <v>18</v>
      </c>
      <c r="J766" s="3">
        <v>46119</v>
      </c>
      <c r="K766" s="4">
        <f>ClientiBanca[[#This Row],[Prestito]]+ClientiBanca[[#This Row],[Mutuo]]</f>
        <v>50100</v>
      </c>
      <c r="L766" t="str">
        <f>IF(ClientiBanca[[#This Row],[Reddito annuo]]&gt;=70000,"si","no")</f>
        <v>no</v>
      </c>
    </row>
    <row r="767" spans="1:12">
      <c r="A767">
        <v>100766</v>
      </c>
      <c r="B767">
        <v>36</v>
      </c>
      <c r="C767" s="2">
        <v>49400</v>
      </c>
      <c r="D767" t="s">
        <v>22</v>
      </c>
      <c r="E767" s="2">
        <v>0</v>
      </c>
      <c r="F767" s="2">
        <v>116000</v>
      </c>
      <c r="G767" t="s">
        <v>26</v>
      </c>
      <c r="H767" t="s">
        <v>14</v>
      </c>
      <c r="I767" t="s">
        <v>18</v>
      </c>
      <c r="J767" s="3">
        <v>45400</v>
      </c>
      <c r="K767" s="4">
        <f>ClientiBanca[[#This Row],[Prestito]]+ClientiBanca[[#This Row],[Mutuo]]</f>
        <v>116000</v>
      </c>
      <c r="L767" t="str">
        <f>IF(ClientiBanca[[#This Row],[Reddito annuo]]&gt;=70000,"si","no")</f>
        <v>no</v>
      </c>
    </row>
    <row r="768" spans="1:12">
      <c r="A768">
        <v>100767</v>
      </c>
      <c r="B768">
        <v>47</v>
      </c>
      <c r="C768" s="2">
        <v>62300</v>
      </c>
      <c r="D768" t="s">
        <v>21</v>
      </c>
      <c r="E768" s="2">
        <v>17600</v>
      </c>
      <c r="F768" s="2">
        <v>0</v>
      </c>
      <c r="G768" t="s">
        <v>16</v>
      </c>
      <c r="H768" t="s">
        <v>14</v>
      </c>
      <c r="I768" t="s">
        <v>18</v>
      </c>
      <c r="J768" s="3">
        <v>45908</v>
      </c>
      <c r="K768" s="4">
        <f>ClientiBanca[[#This Row],[Prestito]]+ClientiBanca[[#This Row],[Mutuo]]</f>
        <v>17600</v>
      </c>
      <c r="L768" t="str">
        <f>IF(ClientiBanca[[#This Row],[Reddito annuo]]&gt;=70000,"si","no")</f>
        <v>no</v>
      </c>
    </row>
    <row r="769" spans="1:12">
      <c r="A769">
        <v>100768</v>
      </c>
      <c r="B769">
        <v>66</v>
      </c>
      <c r="C769" s="2">
        <v>58900</v>
      </c>
      <c r="D769" t="s">
        <v>12</v>
      </c>
      <c r="E769" s="2">
        <v>0</v>
      </c>
      <c r="F769" s="2">
        <v>0</v>
      </c>
      <c r="G769" t="s">
        <v>16</v>
      </c>
      <c r="H769" t="s">
        <v>14</v>
      </c>
      <c r="I769" t="s">
        <v>18</v>
      </c>
      <c r="J769" s="3">
        <v>45381</v>
      </c>
      <c r="K769" s="4">
        <f>ClientiBanca[[#This Row],[Prestito]]+ClientiBanca[[#This Row],[Mutuo]]</f>
        <v>0</v>
      </c>
      <c r="L769" t="str">
        <f>IF(ClientiBanca[[#This Row],[Reddito annuo]]&gt;=70000,"si","no")</f>
        <v>no</v>
      </c>
    </row>
    <row r="770" spans="1:12">
      <c r="A770">
        <v>100769</v>
      </c>
      <c r="B770">
        <v>28</v>
      </c>
      <c r="C770" s="2">
        <v>37100</v>
      </c>
      <c r="D770" t="s">
        <v>21</v>
      </c>
      <c r="E770" s="2">
        <v>0</v>
      </c>
      <c r="F770" s="2">
        <v>0</v>
      </c>
      <c r="G770" t="s">
        <v>23</v>
      </c>
      <c r="H770" t="s">
        <v>14</v>
      </c>
      <c r="I770" t="s">
        <v>18</v>
      </c>
      <c r="J770" s="3">
        <v>45506</v>
      </c>
      <c r="K770" s="4">
        <f>ClientiBanca[[#This Row],[Prestito]]+ClientiBanca[[#This Row],[Mutuo]]</f>
        <v>0</v>
      </c>
      <c r="L770" t="str">
        <f>IF(ClientiBanca[[#This Row],[Reddito annuo]]&gt;=70000,"si","no")</f>
        <v>no</v>
      </c>
    </row>
    <row r="771" spans="1:12">
      <c r="A771">
        <v>100770</v>
      </c>
      <c r="B771">
        <v>50</v>
      </c>
      <c r="C771" s="2">
        <v>71200</v>
      </c>
      <c r="D771" t="s">
        <v>12</v>
      </c>
      <c r="E771" s="2">
        <v>41300</v>
      </c>
      <c r="F771" s="2">
        <v>0</v>
      </c>
      <c r="G771" t="s">
        <v>23</v>
      </c>
      <c r="H771" t="s">
        <v>20</v>
      </c>
      <c r="I771" t="s">
        <v>18</v>
      </c>
      <c r="J771" s="3">
        <v>45443</v>
      </c>
      <c r="K771" s="4">
        <f>ClientiBanca[[#This Row],[Prestito]]+ClientiBanca[[#This Row],[Mutuo]]</f>
        <v>41300</v>
      </c>
      <c r="L771" t="str">
        <f>IF(ClientiBanca[[#This Row],[Reddito annuo]]&gt;=70000,"si","no")</f>
        <v>si</v>
      </c>
    </row>
    <row r="772" spans="1:12">
      <c r="A772">
        <v>100771</v>
      </c>
      <c r="B772">
        <v>50</v>
      </c>
      <c r="C772" s="2">
        <v>54500</v>
      </c>
      <c r="D772" t="s">
        <v>21</v>
      </c>
      <c r="E772" s="2">
        <v>0</v>
      </c>
      <c r="F772" s="2">
        <v>0</v>
      </c>
      <c r="G772" t="s">
        <v>28</v>
      </c>
      <c r="H772" t="s">
        <v>25</v>
      </c>
      <c r="I772" t="s">
        <v>18</v>
      </c>
      <c r="J772" s="3">
        <v>45774</v>
      </c>
      <c r="K772" s="4">
        <f>ClientiBanca[[#This Row],[Prestito]]+ClientiBanca[[#This Row],[Mutuo]]</f>
        <v>0</v>
      </c>
      <c r="L772" t="str">
        <f>IF(ClientiBanca[[#This Row],[Reddito annuo]]&gt;=70000,"si","no")</f>
        <v>no</v>
      </c>
    </row>
    <row r="773" spans="1:12">
      <c r="A773">
        <v>100772</v>
      </c>
      <c r="B773">
        <v>21</v>
      </c>
      <c r="C773" s="2">
        <v>92800</v>
      </c>
      <c r="D773" t="s">
        <v>12</v>
      </c>
      <c r="E773" s="2">
        <v>37800</v>
      </c>
      <c r="F773" s="2">
        <v>0</v>
      </c>
      <c r="G773" t="s">
        <v>27</v>
      </c>
      <c r="H773" t="s">
        <v>20</v>
      </c>
      <c r="I773" t="s">
        <v>18</v>
      </c>
      <c r="J773" s="3">
        <v>46159</v>
      </c>
      <c r="K773" s="4">
        <f>ClientiBanca[[#This Row],[Prestito]]+ClientiBanca[[#This Row],[Mutuo]]</f>
        <v>37800</v>
      </c>
      <c r="L773" t="str">
        <f>IF(ClientiBanca[[#This Row],[Reddito annuo]]&gt;=70000,"si","no")</f>
        <v>si</v>
      </c>
    </row>
    <row r="774" spans="1:12">
      <c r="A774">
        <v>100773</v>
      </c>
      <c r="B774">
        <v>65</v>
      </c>
      <c r="C774" s="2">
        <v>55200</v>
      </c>
      <c r="D774" t="s">
        <v>21</v>
      </c>
      <c r="E774" s="2">
        <v>38300</v>
      </c>
      <c r="F774" s="2">
        <v>0</v>
      </c>
      <c r="G774" t="s">
        <v>26</v>
      </c>
      <c r="H774" t="s">
        <v>20</v>
      </c>
      <c r="I774" t="s">
        <v>18</v>
      </c>
      <c r="J774" s="3">
        <v>45817</v>
      </c>
      <c r="K774" s="4">
        <f>ClientiBanca[[#This Row],[Prestito]]+ClientiBanca[[#This Row],[Mutuo]]</f>
        <v>38300</v>
      </c>
      <c r="L774" t="str">
        <f>IF(ClientiBanca[[#This Row],[Reddito annuo]]&gt;=70000,"si","no")</f>
        <v>no</v>
      </c>
    </row>
    <row r="775" spans="1:12">
      <c r="A775">
        <v>100774</v>
      </c>
      <c r="B775">
        <v>57</v>
      </c>
      <c r="C775" s="2">
        <v>77900</v>
      </c>
      <c r="D775" t="s">
        <v>22</v>
      </c>
      <c r="E775" s="2">
        <v>0</v>
      </c>
      <c r="F775" s="2">
        <v>0</v>
      </c>
      <c r="G775" t="s">
        <v>23</v>
      </c>
      <c r="H775" t="s">
        <v>17</v>
      </c>
      <c r="I775" t="s">
        <v>18</v>
      </c>
      <c r="J775" s="3">
        <v>45832</v>
      </c>
      <c r="K775" s="4">
        <f>ClientiBanca[[#This Row],[Prestito]]+ClientiBanca[[#This Row],[Mutuo]]</f>
        <v>0</v>
      </c>
      <c r="L775" t="str">
        <f>IF(ClientiBanca[[#This Row],[Reddito annuo]]&gt;=70000,"si","no")</f>
        <v>si</v>
      </c>
    </row>
    <row r="776" spans="1:12">
      <c r="A776">
        <v>100775</v>
      </c>
      <c r="B776">
        <v>21</v>
      </c>
      <c r="C776" s="2">
        <v>54500</v>
      </c>
      <c r="D776" t="s">
        <v>21</v>
      </c>
      <c r="E776" s="2">
        <v>63900</v>
      </c>
      <c r="F776" s="2">
        <v>0</v>
      </c>
      <c r="G776" t="s">
        <v>28</v>
      </c>
      <c r="H776" t="s">
        <v>20</v>
      </c>
      <c r="I776" t="s">
        <v>18</v>
      </c>
      <c r="J776" s="3">
        <v>45953</v>
      </c>
      <c r="K776" s="4">
        <f>ClientiBanca[[#This Row],[Prestito]]+ClientiBanca[[#This Row],[Mutuo]]</f>
        <v>63900</v>
      </c>
      <c r="L776" t="str">
        <f>IF(ClientiBanca[[#This Row],[Reddito annuo]]&gt;=70000,"si","no")</f>
        <v>no</v>
      </c>
    </row>
    <row r="777" spans="1:12">
      <c r="A777">
        <v>100776</v>
      </c>
      <c r="B777">
        <v>42</v>
      </c>
      <c r="C777" s="2">
        <v>56300</v>
      </c>
      <c r="D777" t="s">
        <v>21</v>
      </c>
      <c r="E777" s="2">
        <v>48300</v>
      </c>
      <c r="F777" s="2">
        <v>0</v>
      </c>
      <c r="G777" t="s">
        <v>28</v>
      </c>
      <c r="H777" t="s">
        <v>20</v>
      </c>
      <c r="I777" t="s">
        <v>18</v>
      </c>
      <c r="J777" s="3">
        <v>46222</v>
      </c>
      <c r="K777" s="4">
        <f>ClientiBanca[[#This Row],[Prestito]]+ClientiBanca[[#This Row],[Mutuo]]</f>
        <v>48300</v>
      </c>
      <c r="L777" t="str">
        <f>IF(ClientiBanca[[#This Row],[Reddito annuo]]&gt;=70000,"si","no")</f>
        <v>no</v>
      </c>
    </row>
    <row r="778" spans="1:12">
      <c r="A778">
        <v>100777</v>
      </c>
      <c r="B778">
        <v>63</v>
      </c>
      <c r="C778" s="2">
        <v>49300</v>
      </c>
      <c r="D778" t="s">
        <v>12</v>
      </c>
      <c r="E778" s="2">
        <v>0</v>
      </c>
      <c r="F778" s="2">
        <v>0</v>
      </c>
      <c r="G778" t="s">
        <v>24</v>
      </c>
      <c r="H778" t="s">
        <v>14</v>
      </c>
      <c r="I778" t="s">
        <v>18</v>
      </c>
      <c r="J778" s="3">
        <v>46032</v>
      </c>
      <c r="K778" s="4">
        <f>ClientiBanca[[#This Row],[Prestito]]+ClientiBanca[[#This Row],[Mutuo]]</f>
        <v>0</v>
      </c>
      <c r="L778" t="str">
        <f>IF(ClientiBanca[[#This Row],[Reddito annuo]]&gt;=70000,"si","no")</f>
        <v>no</v>
      </c>
    </row>
    <row r="779" spans="1:12">
      <c r="A779">
        <v>100778</v>
      </c>
      <c r="B779">
        <v>65</v>
      </c>
      <c r="C779" s="2">
        <v>52500</v>
      </c>
      <c r="D779" t="s">
        <v>21</v>
      </c>
      <c r="E779" s="2">
        <v>0</v>
      </c>
      <c r="F779" s="2">
        <v>0</v>
      </c>
      <c r="G779" t="s">
        <v>19</v>
      </c>
      <c r="H779" t="s">
        <v>14</v>
      </c>
      <c r="I779" t="s">
        <v>18</v>
      </c>
      <c r="J779" s="3">
        <v>46110</v>
      </c>
      <c r="K779" s="4">
        <f>ClientiBanca[[#This Row],[Prestito]]+ClientiBanca[[#This Row],[Mutuo]]</f>
        <v>0</v>
      </c>
      <c r="L779" t="str">
        <f>IF(ClientiBanca[[#This Row],[Reddito annuo]]&gt;=70000,"si","no")</f>
        <v>no</v>
      </c>
    </row>
    <row r="780" spans="1:12">
      <c r="A780">
        <v>100779</v>
      </c>
      <c r="B780">
        <v>74</v>
      </c>
      <c r="C780" s="2">
        <v>38900</v>
      </c>
      <c r="D780" t="s">
        <v>21</v>
      </c>
      <c r="E780" s="2">
        <v>13000</v>
      </c>
      <c r="F780" s="2">
        <v>0</v>
      </c>
      <c r="G780" t="s">
        <v>24</v>
      </c>
      <c r="H780" t="s">
        <v>17</v>
      </c>
      <c r="I780" t="s">
        <v>18</v>
      </c>
      <c r="J780" s="3">
        <v>45395</v>
      </c>
      <c r="K780" s="4">
        <f>ClientiBanca[[#This Row],[Prestito]]+ClientiBanca[[#This Row],[Mutuo]]</f>
        <v>13000</v>
      </c>
      <c r="L780" t="str">
        <f>IF(ClientiBanca[[#This Row],[Reddito annuo]]&gt;=70000,"si","no")</f>
        <v>no</v>
      </c>
    </row>
    <row r="781" spans="1:12">
      <c r="A781">
        <v>100780</v>
      </c>
      <c r="B781">
        <v>70</v>
      </c>
      <c r="C781" s="2">
        <v>54100</v>
      </c>
      <c r="D781" t="s">
        <v>22</v>
      </c>
      <c r="E781" s="2">
        <v>19200</v>
      </c>
      <c r="F781" s="2">
        <v>87000</v>
      </c>
      <c r="G781" t="s">
        <v>26</v>
      </c>
      <c r="H781" t="s">
        <v>17</v>
      </c>
      <c r="I781" t="s">
        <v>18</v>
      </c>
      <c r="J781" s="3">
        <v>46139</v>
      </c>
      <c r="K781" s="4">
        <f>ClientiBanca[[#This Row],[Prestito]]+ClientiBanca[[#This Row],[Mutuo]]</f>
        <v>106200</v>
      </c>
      <c r="L781" t="str">
        <f>IF(ClientiBanca[[#This Row],[Reddito annuo]]&gt;=70000,"si","no")</f>
        <v>no</v>
      </c>
    </row>
    <row r="782" spans="1:12">
      <c r="A782">
        <v>100781</v>
      </c>
      <c r="B782">
        <v>75</v>
      </c>
      <c r="C782" s="2">
        <v>97700</v>
      </c>
      <c r="D782" t="s">
        <v>21</v>
      </c>
      <c r="E782" s="2">
        <v>29900</v>
      </c>
      <c r="F782" s="2">
        <v>0</v>
      </c>
      <c r="G782" t="s">
        <v>13</v>
      </c>
      <c r="H782" t="s">
        <v>17</v>
      </c>
      <c r="I782" t="s">
        <v>18</v>
      </c>
      <c r="J782" s="3">
        <v>45640</v>
      </c>
      <c r="K782" s="4">
        <f>ClientiBanca[[#This Row],[Prestito]]+ClientiBanca[[#This Row],[Mutuo]]</f>
        <v>29900</v>
      </c>
      <c r="L782" t="str">
        <f>IF(ClientiBanca[[#This Row],[Reddito annuo]]&gt;=70000,"si","no")</f>
        <v>si</v>
      </c>
    </row>
    <row r="783" spans="1:12">
      <c r="A783">
        <v>100782</v>
      </c>
      <c r="B783">
        <v>70</v>
      </c>
      <c r="C783" s="2">
        <v>50300</v>
      </c>
      <c r="D783" t="s">
        <v>21</v>
      </c>
      <c r="E783" s="2">
        <v>0</v>
      </c>
      <c r="F783" s="2">
        <v>0</v>
      </c>
      <c r="G783" t="s">
        <v>24</v>
      </c>
      <c r="H783" t="s">
        <v>14</v>
      </c>
      <c r="I783" t="s">
        <v>18</v>
      </c>
      <c r="J783" s="3">
        <v>46186</v>
      </c>
      <c r="K783" s="4">
        <f>ClientiBanca[[#This Row],[Prestito]]+ClientiBanca[[#This Row],[Mutuo]]</f>
        <v>0</v>
      </c>
      <c r="L783" t="str">
        <f>IF(ClientiBanca[[#This Row],[Reddito annuo]]&gt;=70000,"si","no")</f>
        <v>no</v>
      </c>
    </row>
    <row r="784" spans="1:12">
      <c r="A784">
        <v>100783</v>
      </c>
      <c r="B784">
        <v>52</v>
      </c>
      <c r="C784" s="2">
        <v>67500</v>
      </c>
      <c r="D784" t="s">
        <v>21</v>
      </c>
      <c r="E784" s="2">
        <v>71500</v>
      </c>
      <c r="F784" s="2">
        <v>0</v>
      </c>
      <c r="G784" t="s">
        <v>13</v>
      </c>
      <c r="H784" t="s">
        <v>25</v>
      </c>
      <c r="I784" t="s">
        <v>18</v>
      </c>
      <c r="J784" s="3">
        <v>45916</v>
      </c>
      <c r="K784" s="4">
        <f>ClientiBanca[[#This Row],[Prestito]]+ClientiBanca[[#This Row],[Mutuo]]</f>
        <v>71500</v>
      </c>
      <c r="L784" t="str">
        <f>IF(ClientiBanca[[#This Row],[Reddito annuo]]&gt;=70000,"si","no")</f>
        <v>no</v>
      </c>
    </row>
    <row r="785" spans="1:12">
      <c r="A785">
        <v>100784</v>
      </c>
      <c r="B785">
        <v>70</v>
      </c>
      <c r="C785" s="2">
        <v>92600</v>
      </c>
      <c r="D785" t="s">
        <v>21</v>
      </c>
      <c r="E785" s="2">
        <v>34100</v>
      </c>
      <c r="F785" s="2">
        <v>128000</v>
      </c>
      <c r="G785" t="s">
        <v>23</v>
      </c>
      <c r="H785" t="s">
        <v>14</v>
      </c>
      <c r="I785" t="s">
        <v>18</v>
      </c>
      <c r="J785" s="3">
        <v>45591</v>
      </c>
      <c r="K785" s="4">
        <f>ClientiBanca[[#This Row],[Prestito]]+ClientiBanca[[#This Row],[Mutuo]]</f>
        <v>162100</v>
      </c>
      <c r="L785" t="str">
        <f>IF(ClientiBanca[[#This Row],[Reddito annuo]]&gt;=70000,"si","no")</f>
        <v>si</v>
      </c>
    </row>
    <row r="786" spans="1:12">
      <c r="A786">
        <v>100785</v>
      </c>
      <c r="B786">
        <v>65</v>
      </c>
      <c r="C786" s="2">
        <v>55800</v>
      </c>
      <c r="D786" t="s">
        <v>12</v>
      </c>
      <c r="E786" s="2">
        <v>0</v>
      </c>
      <c r="F786" s="2">
        <v>242000</v>
      </c>
      <c r="G786" t="s">
        <v>19</v>
      </c>
      <c r="H786" t="s">
        <v>14</v>
      </c>
      <c r="I786" t="s">
        <v>18</v>
      </c>
      <c r="J786" s="3">
        <v>45417</v>
      </c>
      <c r="K786" s="4">
        <f>ClientiBanca[[#This Row],[Prestito]]+ClientiBanca[[#This Row],[Mutuo]]</f>
        <v>242000</v>
      </c>
      <c r="L786" t="str">
        <f>IF(ClientiBanca[[#This Row],[Reddito annuo]]&gt;=70000,"si","no")</f>
        <v>no</v>
      </c>
    </row>
    <row r="787" spans="1:12">
      <c r="A787">
        <v>100786</v>
      </c>
      <c r="B787">
        <v>74</v>
      </c>
      <c r="C787" s="2">
        <v>41300</v>
      </c>
      <c r="D787" t="s">
        <v>22</v>
      </c>
      <c r="E787" s="2">
        <v>0</v>
      </c>
      <c r="F787" s="2">
        <v>298000</v>
      </c>
      <c r="G787" t="s">
        <v>28</v>
      </c>
      <c r="H787" t="s">
        <v>17</v>
      </c>
      <c r="I787" t="s">
        <v>18</v>
      </c>
      <c r="J787" s="3">
        <v>45809</v>
      </c>
      <c r="K787" s="4">
        <f>ClientiBanca[[#This Row],[Prestito]]+ClientiBanca[[#This Row],[Mutuo]]</f>
        <v>298000</v>
      </c>
      <c r="L787" t="str">
        <f>IF(ClientiBanca[[#This Row],[Reddito annuo]]&gt;=70000,"si","no")</f>
        <v>no</v>
      </c>
    </row>
    <row r="788" spans="1:12">
      <c r="A788">
        <v>100787</v>
      </c>
      <c r="B788">
        <v>30</v>
      </c>
      <c r="C788" s="2">
        <v>33100</v>
      </c>
      <c r="D788" t="s">
        <v>21</v>
      </c>
      <c r="E788" s="2">
        <v>0</v>
      </c>
      <c r="F788" s="2">
        <v>0</v>
      </c>
      <c r="G788" t="s">
        <v>23</v>
      </c>
      <c r="H788" t="s">
        <v>17</v>
      </c>
      <c r="I788" t="s">
        <v>18</v>
      </c>
      <c r="J788" s="3">
        <v>46063</v>
      </c>
      <c r="K788" s="4">
        <f>ClientiBanca[[#This Row],[Prestito]]+ClientiBanca[[#This Row],[Mutuo]]</f>
        <v>0</v>
      </c>
      <c r="L788" t="str">
        <f>IF(ClientiBanca[[#This Row],[Reddito annuo]]&gt;=70000,"si","no")</f>
        <v>no</v>
      </c>
    </row>
    <row r="789" spans="1:12">
      <c r="A789">
        <v>100788</v>
      </c>
      <c r="B789">
        <v>53</v>
      </c>
      <c r="C789" s="2">
        <v>54500</v>
      </c>
      <c r="D789" t="s">
        <v>21</v>
      </c>
      <c r="E789" s="2">
        <v>0</v>
      </c>
      <c r="F789" s="2">
        <v>0</v>
      </c>
      <c r="G789" t="s">
        <v>16</v>
      </c>
      <c r="H789" t="s">
        <v>14</v>
      </c>
      <c r="I789" t="s">
        <v>18</v>
      </c>
      <c r="J789" s="3">
        <v>46164</v>
      </c>
      <c r="K789" s="4">
        <f>ClientiBanca[[#This Row],[Prestito]]+ClientiBanca[[#This Row],[Mutuo]]</f>
        <v>0</v>
      </c>
      <c r="L789" t="str">
        <f>IF(ClientiBanca[[#This Row],[Reddito annuo]]&gt;=70000,"si","no")</f>
        <v>no</v>
      </c>
    </row>
    <row r="790" spans="1:12">
      <c r="A790">
        <v>100789</v>
      </c>
      <c r="B790">
        <v>53</v>
      </c>
      <c r="C790" s="2">
        <v>85000</v>
      </c>
      <c r="D790" t="s">
        <v>21</v>
      </c>
      <c r="E790" s="2">
        <v>16300</v>
      </c>
      <c r="F790" s="2">
        <v>288000</v>
      </c>
      <c r="G790" t="s">
        <v>13</v>
      </c>
      <c r="H790" t="s">
        <v>20</v>
      </c>
      <c r="I790" t="s">
        <v>18</v>
      </c>
      <c r="J790" s="3">
        <v>46082</v>
      </c>
      <c r="K790" s="4">
        <f>ClientiBanca[[#This Row],[Prestito]]+ClientiBanca[[#This Row],[Mutuo]]</f>
        <v>304300</v>
      </c>
      <c r="L790" t="str">
        <f>IF(ClientiBanca[[#This Row],[Reddito annuo]]&gt;=70000,"si","no")</f>
        <v>si</v>
      </c>
    </row>
    <row r="791" spans="1:12">
      <c r="A791">
        <v>100790</v>
      </c>
      <c r="B791">
        <v>30</v>
      </c>
      <c r="C791" s="2">
        <v>55300</v>
      </c>
      <c r="D791" t="s">
        <v>21</v>
      </c>
      <c r="E791" s="2">
        <v>67800</v>
      </c>
      <c r="F791" s="2">
        <v>224000</v>
      </c>
      <c r="G791" t="s">
        <v>26</v>
      </c>
      <c r="H791" t="s">
        <v>17</v>
      </c>
      <c r="I791" t="s">
        <v>18</v>
      </c>
      <c r="J791" s="3">
        <v>46009</v>
      </c>
      <c r="K791" s="4">
        <f>ClientiBanca[[#This Row],[Prestito]]+ClientiBanca[[#This Row],[Mutuo]]</f>
        <v>291800</v>
      </c>
      <c r="L791" t="str">
        <f>IF(ClientiBanca[[#This Row],[Reddito annuo]]&gt;=70000,"si","no")</f>
        <v>no</v>
      </c>
    </row>
    <row r="792" spans="1:12">
      <c r="A792">
        <v>100791</v>
      </c>
      <c r="B792">
        <v>55</v>
      </c>
      <c r="C792" s="2">
        <v>94700</v>
      </c>
      <c r="D792" t="s">
        <v>12</v>
      </c>
      <c r="E792" s="2">
        <v>25500</v>
      </c>
      <c r="F792" s="2">
        <v>0</v>
      </c>
      <c r="G792" t="s">
        <v>24</v>
      </c>
      <c r="H792" t="s">
        <v>17</v>
      </c>
      <c r="I792" t="s">
        <v>18</v>
      </c>
      <c r="J792" s="3">
        <v>45502</v>
      </c>
      <c r="K792" s="4">
        <f>ClientiBanca[[#This Row],[Prestito]]+ClientiBanca[[#This Row],[Mutuo]]</f>
        <v>25500</v>
      </c>
      <c r="L792" t="str">
        <f>IF(ClientiBanca[[#This Row],[Reddito annuo]]&gt;=70000,"si","no")</f>
        <v>si</v>
      </c>
    </row>
    <row r="793" spans="1:12">
      <c r="A793">
        <v>100792</v>
      </c>
      <c r="B793">
        <v>54</v>
      </c>
      <c r="C793" s="2">
        <v>69200</v>
      </c>
      <c r="D793" t="s">
        <v>12</v>
      </c>
      <c r="E793" s="2">
        <v>25600</v>
      </c>
      <c r="F793" s="2">
        <v>0</v>
      </c>
      <c r="G793" t="s">
        <v>16</v>
      </c>
      <c r="H793" t="s">
        <v>14</v>
      </c>
      <c r="I793" t="s">
        <v>18</v>
      </c>
      <c r="J793" s="3">
        <v>45378</v>
      </c>
      <c r="K793" s="4">
        <f>ClientiBanca[[#This Row],[Prestito]]+ClientiBanca[[#This Row],[Mutuo]]</f>
        <v>25600</v>
      </c>
      <c r="L793" t="str">
        <f>IF(ClientiBanca[[#This Row],[Reddito annuo]]&gt;=70000,"si","no")</f>
        <v>no</v>
      </c>
    </row>
    <row r="794" spans="1:12">
      <c r="A794">
        <v>100793</v>
      </c>
      <c r="B794">
        <v>22</v>
      </c>
      <c r="C794" s="2">
        <v>62500</v>
      </c>
      <c r="D794" t="s">
        <v>21</v>
      </c>
      <c r="E794" s="2">
        <v>62400</v>
      </c>
      <c r="F794" s="2">
        <v>0</v>
      </c>
      <c r="G794" t="s">
        <v>26</v>
      </c>
      <c r="H794" t="s">
        <v>20</v>
      </c>
      <c r="I794" t="s">
        <v>18</v>
      </c>
      <c r="J794" s="3">
        <v>45611</v>
      </c>
      <c r="K794" s="4">
        <f>ClientiBanca[[#This Row],[Prestito]]+ClientiBanca[[#This Row],[Mutuo]]</f>
        <v>62400</v>
      </c>
      <c r="L794" t="str">
        <f>IF(ClientiBanca[[#This Row],[Reddito annuo]]&gt;=70000,"si","no")</f>
        <v>no</v>
      </c>
    </row>
    <row r="795" spans="1:12">
      <c r="A795">
        <v>100794</v>
      </c>
      <c r="B795">
        <v>53</v>
      </c>
      <c r="C795" s="2">
        <v>49400</v>
      </c>
      <c r="D795" t="s">
        <v>12</v>
      </c>
      <c r="E795" s="2">
        <v>61800</v>
      </c>
      <c r="F795" s="2">
        <v>0</v>
      </c>
      <c r="G795" t="s">
        <v>26</v>
      </c>
      <c r="H795" t="s">
        <v>20</v>
      </c>
      <c r="I795" t="s">
        <v>18</v>
      </c>
      <c r="J795" s="3">
        <v>46035</v>
      </c>
      <c r="K795" s="4">
        <f>ClientiBanca[[#This Row],[Prestito]]+ClientiBanca[[#This Row],[Mutuo]]</f>
        <v>61800</v>
      </c>
      <c r="L795" t="str">
        <f>IF(ClientiBanca[[#This Row],[Reddito annuo]]&gt;=70000,"si","no")</f>
        <v>no</v>
      </c>
    </row>
    <row r="796" spans="1:12">
      <c r="A796">
        <v>100795</v>
      </c>
      <c r="B796">
        <v>47</v>
      </c>
      <c r="C796" s="2">
        <v>118700</v>
      </c>
      <c r="D796" t="s">
        <v>21</v>
      </c>
      <c r="E796" s="2">
        <v>27000</v>
      </c>
      <c r="F796" s="2">
        <v>0</v>
      </c>
      <c r="G796" t="s">
        <v>19</v>
      </c>
      <c r="H796" t="s">
        <v>20</v>
      </c>
      <c r="I796" t="s">
        <v>18</v>
      </c>
      <c r="J796" s="3">
        <v>46255</v>
      </c>
      <c r="K796" s="4">
        <f>ClientiBanca[[#This Row],[Prestito]]+ClientiBanca[[#This Row],[Mutuo]]</f>
        <v>27000</v>
      </c>
      <c r="L796" t="str">
        <f>IF(ClientiBanca[[#This Row],[Reddito annuo]]&gt;=70000,"si","no")</f>
        <v>si</v>
      </c>
    </row>
    <row r="797" spans="1:12">
      <c r="A797">
        <v>100796</v>
      </c>
      <c r="B797">
        <v>27</v>
      </c>
      <c r="C797" s="2">
        <v>56300</v>
      </c>
      <c r="D797" t="s">
        <v>12</v>
      </c>
      <c r="E797" s="2">
        <v>25300</v>
      </c>
      <c r="F797" s="2">
        <v>0</v>
      </c>
      <c r="G797" t="s">
        <v>23</v>
      </c>
      <c r="H797" t="s">
        <v>17</v>
      </c>
      <c r="I797" t="s">
        <v>18</v>
      </c>
      <c r="J797" s="3">
        <v>46095</v>
      </c>
      <c r="K797" s="4">
        <f>ClientiBanca[[#This Row],[Prestito]]+ClientiBanca[[#This Row],[Mutuo]]</f>
        <v>25300</v>
      </c>
      <c r="L797" t="str">
        <f>IF(ClientiBanca[[#This Row],[Reddito annuo]]&gt;=70000,"si","no")</f>
        <v>no</v>
      </c>
    </row>
    <row r="798" spans="1:12">
      <c r="A798">
        <v>100797</v>
      </c>
      <c r="B798">
        <v>72</v>
      </c>
      <c r="C798" s="2">
        <v>77000</v>
      </c>
      <c r="D798" t="s">
        <v>12</v>
      </c>
      <c r="E798" s="2">
        <v>34800</v>
      </c>
      <c r="F798" s="2">
        <v>0</v>
      </c>
      <c r="G798" t="s">
        <v>19</v>
      </c>
      <c r="H798" t="s">
        <v>17</v>
      </c>
      <c r="I798" t="s">
        <v>18</v>
      </c>
      <c r="J798" s="3">
        <v>46089</v>
      </c>
      <c r="K798" s="4">
        <f>ClientiBanca[[#This Row],[Prestito]]+ClientiBanca[[#This Row],[Mutuo]]</f>
        <v>34800</v>
      </c>
      <c r="L798" t="str">
        <f>IF(ClientiBanca[[#This Row],[Reddito annuo]]&gt;=70000,"si","no")</f>
        <v>si</v>
      </c>
    </row>
    <row r="799" spans="1:12">
      <c r="A799">
        <v>100798</v>
      </c>
      <c r="B799">
        <v>43</v>
      </c>
      <c r="C799" s="2">
        <v>56700</v>
      </c>
      <c r="D799" t="s">
        <v>21</v>
      </c>
      <c r="E799" s="2">
        <v>29000</v>
      </c>
      <c r="F799" s="2">
        <v>192000</v>
      </c>
      <c r="G799" t="s">
        <v>24</v>
      </c>
      <c r="H799" t="s">
        <v>17</v>
      </c>
      <c r="I799" t="s">
        <v>18</v>
      </c>
      <c r="J799" s="3">
        <v>45670</v>
      </c>
      <c r="K799" s="4">
        <f>ClientiBanca[[#This Row],[Prestito]]+ClientiBanca[[#This Row],[Mutuo]]</f>
        <v>221000</v>
      </c>
      <c r="L799" t="str">
        <f>IF(ClientiBanca[[#This Row],[Reddito annuo]]&gt;=70000,"si","no")</f>
        <v>no</v>
      </c>
    </row>
    <row r="800" spans="1:12">
      <c r="A800">
        <v>100799</v>
      </c>
      <c r="B800">
        <v>63</v>
      </c>
      <c r="C800" s="2">
        <v>61700</v>
      </c>
      <c r="D800" t="s">
        <v>12</v>
      </c>
      <c r="E800" s="2">
        <v>28100</v>
      </c>
      <c r="F800" s="2">
        <v>0</v>
      </c>
      <c r="G800" t="s">
        <v>28</v>
      </c>
      <c r="H800" t="s">
        <v>17</v>
      </c>
      <c r="I800" t="s">
        <v>18</v>
      </c>
      <c r="J800" s="3">
        <v>45997</v>
      </c>
      <c r="K800" s="4">
        <f>ClientiBanca[[#This Row],[Prestito]]+ClientiBanca[[#This Row],[Mutuo]]</f>
        <v>28100</v>
      </c>
      <c r="L800" t="str">
        <f>IF(ClientiBanca[[#This Row],[Reddito annuo]]&gt;=70000,"si","no")</f>
        <v>no</v>
      </c>
    </row>
    <row r="801" spans="1:12">
      <c r="A801">
        <v>100800</v>
      </c>
      <c r="B801">
        <v>51</v>
      </c>
      <c r="C801" s="2">
        <v>78600</v>
      </c>
      <c r="D801" t="s">
        <v>21</v>
      </c>
      <c r="E801" s="2">
        <v>34000</v>
      </c>
      <c r="F801" s="2">
        <v>0</v>
      </c>
      <c r="G801" t="s">
        <v>28</v>
      </c>
      <c r="H801" t="s">
        <v>20</v>
      </c>
      <c r="I801" t="s">
        <v>18</v>
      </c>
      <c r="J801" s="3">
        <v>46175</v>
      </c>
      <c r="K801" s="4">
        <f>ClientiBanca[[#This Row],[Prestito]]+ClientiBanca[[#This Row],[Mutuo]]</f>
        <v>34000</v>
      </c>
      <c r="L801" t="str">
        <f>IF(ClientiBanca[[#This Row],[Reddito annuo]]&gt;=70000,"si","no")</f>
        <v>si</v>
      </c>
    </row>
    <row r="802" spans="1:12">
      <c r="A802">
        <v>100801</v>
      </c>
      <c r="B802">
        <v>53</v>
      </c>
      <c r="C802" s="2">
        <v>35800</v>
      </c>
      <c r="D802" t="s">
        <v>21</v>
      </c>
      <c r="E802" s="2">
        <v>44800</v>
      </c>
      <c r="F802" s="2">
        <v>0</v>
      </c>
      <c r="G802" t="s">
        <v>19</v>
      </c>
      <c r="H802" t="s">
        <v>25</v>
      </c>
      <c r="I802" t="s">
        <v>15</v>
      </c>
      <c r="J802" s="3">
        <v>46164</v>
      </c>
      <c r="K802" s="4">
        <f>ClientiBanca[[#This Row],[Prestito]]+ClientiBanca[[#This Row],[Mutuo]]</f>
        <v>44800</v>
      </c>
      <c r="L802" t="str">
        <f>IF(ClientiBanca[[#This Row],[Reddito annuo]]&gt;=70000,"si","no")</f>
        <v>no</v>
      </c>
    </row>
    <row r="803" spans="1:12">
      <c r="A803">
        <v>100802</v>
      </c>
      <c r="B803">
        <v>46</v>
      </c>
      <c r="C803" s="2">
        <v>35200</v>
      </c>
      <c r="D803" t="s">
        <v>21</v>
      </c>
      <c r="E803" s="2">
        <v>35000</v>
      </c>
      <c r="F803" s="2">
        <v>170000</v>
      </c>
      <c r="G803" t="s">
        <v>19</v>
      </c>
      <c r="H803" t="s">
        <v>17</v>
      </c>
      <c r="I803" t="s">
        <v>18</v>
      </c>
      <c r="J803" s="3">
        <v>46102</v>
      </c>
      <c r="K803" s="4">
        <f>ClientiBanca[[#This Row],[Prestito]]+ClientiBanca[[#This Row],[Mutuo]]</f>
        <v>205000</v>
      </c>
      <c r="L803" t="str">
        <f>IF(ClientiBanca[[#This Row],[Reddito annuo]]&gt;=70000,"si","no")</f>
        <v>no</v>
      </c>
    </row>
    <row r="804" spans="1:12">
      <c r="A804">
        <v>100803</v>
      </c>
      <c r="B804">
        <v>29</v>
      </c>
      <c r="C804" s="2">
        <v>37500</v>
      </c>
      <c r="D804" t="s">
        <v>12</v>
      </c>
      <c r="E804" s="2">
        <v>46900</v>
      </c>
      <c r="F804" s="2">
        <v>0</v>
      </c>
      <c r="G804" t="s">
        <v>23</v>
      </c>
      <c r="H804" t="s">
        <v>17</v>
      </c>
      <c r="I804" t="s">
        <v>18</v>
      </c>
      <c r="J804" s="3">
        <v>45294</v>
      </c>
      <c r="K804" s="4">
        <f>ClientiBanca[[#This Row],[Prestito]]+ClientiBanca[[#This Row],[Mutuo]]</f>
        <v>46900</v>
      </c>
      <c r="L804" t="str">
        <f>IF(ClientiBanca[[#This Row],[Reddito annuo]]&gt;=70000,"si","no")</f>
        <v>no</v>
      </c>
    </row>
    <row r="805" spans="1:12">
      <c r="A805">
        <v>100804</v>
      </c>
      <c r="B805">
        <v>27</v>
      </c>
      <c r="C805" s="2">
        <v>63200</v>
      </c>
      <c r="D805" t="s">
        <v>21</v>
      </c>
      <c r="E805" s="2">
        <v>32700</v>
      </c>
      <c r="F805" s="2">
        <v>0</v>
      </c>
      <c r="G805" t="s">
        <v>28</v>
      </c>
      <c r="H805" t="s">
        <v>14</v>
      </c>
      <c r="I805" t="s">
        <v>18</v>
      </c>
      <c r="J805" s="3">
        <v>45778</v>
      </c>
      <c r="K805" s="4">
        <f>ClientiBanca[[#This Row],[Prestito]]+ClientiBanca[[#This Row],[Mutuo]]</f>
        <v>32700</v>
      </c>
      <c r="L805" t="str">
        <f>IF(ClientiBanca[[#This Row],[Reddito annuo]]&gt;=70000,"si","no")</f>
        <v>no</v>
      </c>
    </row>
    <row r="806" spans="1:12">
      <c r="A806">
        <v>100805</v>
      </c>
      <c r="B806">
        <v>73</v>
      </c>
      <c r="C806" s="2">
        <v>77500</v>
      </c>
      <c r="D806" t="s">
        <v>12</v>
      </c>
      <c r="E806" s="2">
        <v>0</v>
      </c>
      <c r="F806" s="2">
        <v>0</v>
      </c>
      <c r="G806" t="s">
        <v>28</v>
      </c>
      <c r="H806" t="s">
        <v>17</v>
      </c>
      <c r="I806" t="s">
        <v>18</v>
      </c>
      <c r="J806" s="3">
        <v>45975</v>
      </c>
      <c r="K806" s="4">
        <f>ClientiBanca[[#This Row],[Prestito]]+ClientiBanca[[#This Row],[Mutuo]]</f>
        <v>0</v>
      </c>
      <c r="L806" t="str">
        <f>IF(ClientiBanca[[#This Row],[Reddito annuo]]&gt;=70000,"si","no")</f>
        <v>si</v>
      </c>
    </row>
    <row r="807" spans="1:12">
      <c r="A807">
        <v>100806</v>
      </c>
      <c r="B807">
        <v>48</v>
      </c>
      <c r="C807" s="2">
        <v>38000</v>
      </c>
      <c r="D807" t="s">
        <v>12</v>
      </c>
      <c r="E807" s="2">
        <v>41200</v>
      </c>
      <c r="F807" s="2">
        <v>0</v>
      </c>
      <c r="G807" t="s">
        <v>16</v>
      </c>
      <c r="H807" t="s">
        <v>17</v>
      </c>
      <c r="I807" t="s">
        <v>18</v>
      </c>
      <c r="J807" s="3">
        <v>45845</v>
      </c>
      <c r="K807" s="4">
        <f>ClientiBanca[[#This Row],[Prestito]]+ClientiBanca[[#This Row],[Mutuo]]</f>
        <v>41200</v>
      </c>
      <c r="L807" t="str">
        <f>IF(ClientiBanca[[#This Row],[Reddito annuo]]&gt;=70000,"si","no")</f>
        <v>no</v>
      </c>
    </row>
    <row r="808" spans="1:12">
      <c r="A808">
        <v>100807</v>
      </c>
      <c r="B808">
        <v>22</v>
      </c>
      <c r="C808" s="2">
        <v>109700</v>
      </c>
      <c r="D808" t="s">
        <v>22</v>
      </c>
      <c r="E808" s="2">
        <v>0</v>
      </c>
      <c r="F808" s="2">
        <v>0</v>
      </c>
      <c r="G808" t="s">
        <v>24</v>
      </c>
      <c r="H808" t="s">
        <v>17</v>
      </c>
      <c r="I808" t="s">
        <v>18</v>
      </c>
      <c r="J808" s="3">
        <v>45877</v>
      </c>
      <c r="K808" s="4">
        <f>ClientiBanca[[#This Row],[Prestito]]+ClientiBanca[[#This Row],[Mutuo]]</f>
        <v>0</v>
      </c>
      <c r="L808" t="str">
        <f>IF(ClientiBanca[[#This Row],[Reddito annuo]]&gt;=70000,"si","no")</f>
        <v>si</v>
      </c>
    </row>
    <row r="809" spans="1:12">
      <c r="A809">
        <v>100808</v>
      </c>
      <c r="B809">
        <v>60</v>
      </c>
      <c r="C809" s="2">
        <v>85200</v>
      </c>
      <c r="D809" t="s">
        <v>12</v>
      </c>
      <c r="E809" s="2">
        <v>15200</v>
      </c>
      <c r="F809" s="2">
        <v>0</v>
      </c>
      <c r="G809" t="s">
        <v>23</v>
      </c>
      <c r="H809" t="s">
        <v>14</v>
      </c>
      <c r="I809" t="s">
        <v>18</v>
      </c>
      <c r="J809" s="3">
        <v>46067</v>
      </c>
      <c r="K809" s="4">
        <f>ClientiBanca[[#This Row],[Prestito]]+ClientiBanca[[#This Row],[Mutuo]]</f>
        <v>15200</v>
      </c>
      <c r="L809" t="str">
        <f>IF(ClientiBanca[[#This Row],[Reddito annuo]]&gt;=70000,"si","no")</f>
        <v>si</v>
      </c>
    </row>
    <row r="810" spans="1:12">
      <c r="A810">
        <v>100809</v>
      </c>
      <c r="B810">
        <v>23</v>
      </c>
      <c r="C810" s="2">
        <v>109500</v>
      </c>
      <c r="D810" t="s">
        <v>12</v>
      </c>
      <c r="E810" s="2">
        <v>0</v>
      </c>
      <c r="F810" s="2">
        <v>0</v>
      </c>
      <c r="G810" t="s">
        <v>27</v>
      </c>
      <c r="H810" t="s">
        <v>20</v>
      </c>
      <c r="I810" t="s">
        <v>18</v>
      </c>
      <c r="J810" s="3">
        <v>46250</v>
      </c>
      <c r="K810" s="4">
        <f>ClientiBanca[[#This Row],[Prestito]]+ClientiBanca[[#This Row],[Mutuo]]</f>
        <v>0</v>
      </c>
      <c r="L810" t="str">
        <f>IF(ClientiBanca[[#This Row],[Reddito annuo]]&gt;=70000,"si","no")</f>
        <v>si</v>
      </c>
    </row>
    <row r="811" spans="1:12">
      <c r="A811">
        <v>100810</v>
      </c>
      <c r="B811">
        <v>54</v>
      </c>
      <c r="C811" s="2">
        <v>40000</v>
      </c>
      <c r="D811" t="s">
        <v>21</v>
      </c>
      <c r="E811" s="2">
        <v>0</v>
      </c>
      <c r="F811" s="2">
        <v>0</v>
      </c>
      <c r="G811" t="s">
        <v>28</v>
      </c>
      <c r="H811" t="s">
        <v>20</v>
      </c>
      <c r="I811" t="s">
        <v>18</v>
      </c>
      <c r="J811" s="3">
        <v>45838</v>
      </c>
      <c r="K811" s="4">
        <f>ClientiBanca[[#This Row],[Prestito]]+ClientiBanca[[#This Row],[Mutuo]]</f>
        <v>0</v>
      </c>
      <c r="L811" t="str">
        <f>IF(ClientiBanca[[#This Row],[Reddito annuo]]&gt;=70000,"si","no")</f>
        <v>no</v>
      </c>
    </row>
    <row r="812" spans="1:12">
      <c r="A812">
        <v>100811</v>
      </c>
      <c r="B812">
        <v>58</v>
      </c>
      <c r="C812" s="2">
        <v>48200</v>
      </c>
      <c r="D812" t="s">
        <v>12</v>
      </c>
      <c r="E812" s="2">
        <v>60200</v>
      </c>
      <c r="F812" s="2">
        <v>0</v>
      </c>
      <c r="G812" t="s">
        <v>24</v>
      </c>
      <c r="H812" t="s">
        <v>17</v>
      </c>
      <c r="I812" t="s">
        <v>18</v>
      </c>
      <c r="J812" s="3">
        <v>45616</v>
      </c>
      <c r="K812" s="4">
        <f>ClientiBanca[[#This Row],[Prestito]]+ClientiBanca[[#This Row],[Mutuo]]</f>
        <v>60200</v>
      </c>
      <c r="L812" t="str">
        <f>IF(ClientiBanca[[#This Row],[Reddito annuo]]&gt;=70000,"si","no")</f>
        <v>no</v>
      </c>
    </row>
    <row r="813" spans="1:12">
      <c r="A813">
        <v>100812</v>
      </c>
      <c r="B813">
        <v>44</v>
      </c>
      <c r="C813" s="2">
        <v>44400</v>
      </c>
      <c r="D813" t="s">
        <v>21</v>
      </c>
      <c r="E813" s="2">
        <v>17400</v>
      </c>
      <c r="F813" s="2">
        <v>161000</v>
      </c>
      <c r="G813" t="s">
        <v>13</v>
      </c>
      <c r="H813" t="s">
        <v>17</v>
      </c>
      <c r="I813" t="s">
        <v>18</v>
      </c>
      <c r="J813" s="3">
        <v>45986</v>
      </c>
      <c r="K813" s="4">
        <f>ClientiBanca[[#This Row],[Prestito]]+ClientiBanca[[#This Row],[Mutuo]]</f>
        <v>178400</v>
      </c>
      <c r="L813" t="str">
        <f>IF(ClientiBanca[[#This Row],[Reddito annuo]]&gt;=70000,"si","no")</f>
        <v>no</v>
      </c>
    </row>
    <row r="814" spans="1:12">
      <c r="A814">
        <v>100813</v>
      </c>
      <c r="B814">
        <v>30</v>
      </c>
      <c r="C814" s="2">
        <v>30600</v>
      </c>
      <c r="D814" t="s">
        <v>22</v>
      </c>
      <c r="E814" s="2">
        <v>38200</v>
      </c>
      <c r="F814" s="2">
        <v>0</v>
      </c>
      <c r="G814" t="s">
        <v>13</v>
      </c>
      <c r="H814" t="s">
        <v>17</v>
      </c>
      <c r="I814" t="s">
        <v>18</v>
      </c>
      <c r="J814" s="3">
        <v>45623</v>
      </c>
      <c r="K814" s="4">
        <f>ClientiBanca[[#This Row],[Prestito]]+ClientiBanca[[#This Row],[Mutuo]]</f>
        <v>38200</v>
      </c>
      <c r="L814" t="str">
        <f>IF(ClientiBanca[[#This Row],[Reddito annuo]]&gt;=70000,"si","no")</f>
        <v>no</v>
      </c>
    </row>
    <row r="815" spans="1:12">
      <c r="A815">
        <v>100814</v>
      </c>
      <c r="B815">
        <v>36</v>
      </c>
      <c r="C815" s="2">
        <v>51500</v>
      </c>
      <c r="D815" t="s">
        <v>22</v>
      </c>
      <c r="E815" s="2">
        <v>18900</v>
      </c>
      <c r="F815" s="2">
        <v>0</v>
      </c>
      <c r="G815" t="s">
        <v>23</v>
      </c>
      <c r="H815" t="s">
        <v>17</v>
      </c>
      <c r="I815" t="s">
        <v>18</v>
      </c>
      <c r="J815" s="3">
        <v>45686</v>
      </c>
      <c r="K815" s="4">
        <f>ClientiBanca[[#This Row],[Prestito]]+ClientiBanca[[#This Row],[Mutuo]]</f>
        <v>18900</v>
      </c>
      <c r="L815" t="str">
        <f>IF(ClientiBanca[[#This Row],[Reddito annuo]]&gt;=70000,"si","no")</f>
        <v>no</v>
      </c>
    </row>
    <row r="816" spans="1:12">
      <c r="A816">
        <v>100815</v>
      </c>
      <c r="B816">
        <v>27</v>
      </c>
      <c r="C816" s="2">
        <v>45100</v>
      </c>
      <c r="D816" t="s">
        <v>21</v>
      </c>
      <c r="E816" s="2">
        <v>11600</v>
      </c>
      <c r="F816" s="2">
        <v>238000</v>
      </c>
      <c r="G816" t="s">
        <v>27</v>
      </c>
      <c r="H816" t="s">
        <v>20</v>
      </c>
      <c r="I816" t="s">
        <v>18</v>
      </c>
      <c r="J816" s="3">
        <v>45983</v>
      </c>
      <c r="K816" s="4">
        <f>ClientiBanca[[#This Row],[Prestito]]+ClientiBanca[[#This Row],[Mutuo]]</f>
        <v>249600</v>
      </c>
      <c r="L816" t="str">
        <f>IF(ClientiBanca[[#This Row],[Reddito annuo]]&gt;=70000,"si","no")</f>
        <v>no</v>
      </c>
    </row>
    <row r="817" spans="1:12">
      <c r="A817">
        <v>100816</v>
      </c>
      <c r="B817">
        <v>26</v>
      </c>
      <c r="C817" s="2">
        <v>43800</v>
      </c>
      <c r="D817" t="s">
        <v>12</v>
      </c>
      <c r="E817" s="2">
        <v>0</v>
      </c>
      <c r="F817" s="2">
        <v>0</v>
      </c>
      <c r="G817" t="s">
        <v>16</v>
      </c>
      <c r="H817" t="s">
        <v>17</v>
      </c>
      <c r="I817" t="s">
        <v>18</v>
      </c>
      <c r="J817" s="3">
        <v>46158</v>
      </c>
      <c r="K817" s="4">
        <f>ClientiBanca[[#This Row],[Prestito]]+ClientiBanca[[#This Row],[Mutuo]]</f>
        <v>0</v>
      </c>
      <c r="L817" t="str">
        <f>IF(ClientiBanca[[#This Row],[Reddito annuo]]&gt;=70000,"si","no")</f>
        <v>no</v>
      </c>
    </row>
    <row r="818" spans="1:12">
      <c r="A818">
        <v>100817</v>
      </c>
      <c r="B818">
        <v>60</v>
      </c>
      <c r="C818" s="2">
        <v>59800</v>
      </c>
      <c r="D818" t="s">
        <v>12</v>
      </c>
      <c r="E818" s="2">
        <v>36000</v>
      </c>
      <c r="F818" s="2">
        <v>159000</v>
      </c>
      <c r="G818" t="s">
        <v>16</v>
      </c>
      <c r="H818" t="s">
        <v>25</v>
      </c>
      <c r="I818" t="s">
        <v>18</v>
      </c>
      <c r="J818" s="3">
        <v>45334</v>
      </c>
      <c r="K818" s="4">
        <f>ClientiBanca[[#This Row],[Prestito]]+ClientiBanca[[#This Row],[Mutuo]]</f>
        <v>195000</v>
      </c>
      <c r="L818" t="str">
        <f>IF(ClientiBanca[[#This Row],[Reddito annuo]]&gt;=70000,"si","no")</f>
        <v>no</v>
      </c>
    </row>
    <row r="819" spans="1:12">
      <c r="A819">
        <v>100818</v>
      </c>
      <c r="B819">
        <v>20</v>
      </c>
      <c r="C819" s="2">
        <v>87000</v>
      </c>
      <c r="D819" t="s">
        <v>22</v>
      </c>
      <c r="E819" s="2">
        <v>43100</v>
      </c>
      <c r="F819" s="2">
        <v>109000</v>
      </c>
      <c r="G819" t="s">
        <v>28</v>
      </c>
      <c r="H819" t="s">
        <v>20</v>
      </c>
      <c r="I819" t="s">
        <v>18</v>
      </c>
      <c r="J819" s="3">
        <v>45988</v>
      </c>
      <c r="K819" s="4">
        <f>ClientiBanca[[#This Row],[Prestito]]+ClientiBanca[[#This Row],[Mutuo]]</f>
        <v>152100</v>
      </c>
      <c r="L819" t="str">
        <f>IF(ClientiBanca[[#This Row],[Reddito annuo]]&gt;=70000,"si","no")</f>
        <v>si</v>
      </c>
    </row>
    <row r="820" spans="1:12">
      <c r="A820">
        <v>100819</v>
      </c>
      <c r="B820">
        <v>44</v>
      </c>
      <c r="C820" s="2">
        <v>127300</v>
      </c>
      <c r="D820" t="s">
        <v>22</v>
      </c>
      <c r="E820" s="2">
        <v>58200</v>
      </c>
      <c r="F820" s="2">
        <v>0</v>
      </c>
      <c r="G820" t="s">
        <v>24</v>
      </c>
      <c r="H820" t="s">
        <v>17</v>
      </c>
      <c r="I820" t="s">
        <v>18</v>
      </c>
      <c r="J820" s="3">
        <v>45599</v>
      </c>
      <c r="K820" s="4">
        <f>ClientiBanca[[#This Row],[Prestito]]+ClientiBanca[[#This Row],[Mutuo]]</f>
        <v>58200</v>
      </c>
      <c r="L820" t="str">
        <f>IF(ClientiBanca[[#This Row],[Reddito annuo]]&gt;=70000,"si","no")</f>
        <v>si</v>
      </c>
    </row>
    <row r="821" spans="1:12">
      <c r="A821">
        <v>100820</v>
      </c>
      <c r="B821">
        <v>25</v>
      </c>
      <c r="C821" s="2">
        <v>52800</v>
      </c>
      <c r="D821" t="s">
        <v>21</v>
      </c>
      <c r="E821" s="2">
        <v>37000</v>
      </c>
      <c r="F821" s="2">
        <v>0</v>
      </c>
      <c r="G821" t="s">
        <v>16</v>
      </c>
      <c r="H821" t="s">
        <v>20</v>
      </c>
      <c r="I821" t="s">
        <v>18</v>
      </c>
      <c r="J821" s="3">
        <v>46113</v>
      </c>
      <c r="K821" s="4">
        <f>ClientiBanca[[#This Row],[Prestito]]+ClientiBanca[[#This Row],[Mutuo]]</f>
        <v>37000</v>
      </c>
      <c r="L821" t="str">
        <f>IF(ClientiBanca[[#This Row],[Reddito annuo]]&gt;=70000,"si","no")</f>
        <v>no</v>
      </c>
    </row>
    <row r="822" spans="1:12">
      <c r="A822">
        <v>100821</v>
      </c>
      <c r="B822">
        <v>40</v>
      </c>
      <c r="C822" s="2">
        <v>96200</v>
      </c>
      <c r="D822" t="s">
        <v>22</v>
      </c>
      <c r="E822" s="2">
        <v>78600</v>
      </c>
      <c r="F822" s="2">
        <v>0</v>
      </c>
      <c r="G822" t="s">
        <v>26</v>
      </c>
      <c r="H822" t="s">
        <v>20</v>
      </c>
      <c r="I822" t="s">
        <v>18</v>
      </c>
      <c r="J822" s="3">
        <v>45641</v>
      </c>
      <c r="K822" s="4">
        <f>ClientiBanca[[#This Row],[Prestito]]+ClientiBanca[[#This Row],[Mutuo]]</f>
        <v>78600</v>
      </c>
      <c r="L822" t="str">
        <f>IF(ClientiBanca[[#This Row],[Reddito annuo]]&gt;=70000,"si","no")</f>
        <v>si</v>
      </c>
    </row>
    <row r="823" spans="1:12">
      <c r="A823">
        <v>100822</v>
      </c>
      <c r="B823">
        <v>33</v>
      </c>
      <c r="C823" s="2">
        <v>57000</v>
      </c>
      <c r="D823" t="s">
        <v>12</v>
      </c>
      <c r="E823" s="2">
        <v>45800</v>
      </c>
      <c r="F823" s="2">
        <v>0</v>
      </c>
      <c r="G823" t="s">
        <v>27</v>
      </c>
      <c r="H823" t="s">
        <v>17</v>
      </c>
      <c r="I823" t="s">
        <v>15</v>
      </c>
      <c r="J823" s="3">
        <v>45301</v>
      </c>
      <c r="K823" s="4">
        <f>ClientiBanca[[#This Row],[Prestito]]+ClientiBanca[[#This Row],[Mutuo]]</f>
        <v>45800</v>
      </c>
      <c r="L823" t="str">
        <f>IF(ClientiBanca[[#This Row],[Reddito annuo]]&gt;=70000,"si","no")</f>
        <v>no</v>
      </c>
    </row>
    <row r="824" spans="1:12">
      <c r="A824">
        <v>100823</v>
      </c>
      <c r="B824">
        <v>63</v>
      </c>
      <c r="C824" s="2">
        <v>39600</v>
      </c>
      <c r="D824" t="s">
        <v>12</v>
      </c>
      <c r="E824" s="2">
        <v>33100</v>
      </c>
      <c r="F824" s="2">
        <v>0</v>
      </c>
      <c r="G824" t="s">
        <v>13</v>
      </c>
      <c r="H824" t="s">
        <v>14</v>
      </c>
      <c r="I824" t="s">
        <v>18</v>
      </c>
      <c r="J824" s="3">
        <v>45371</v>
      </c>
      <c r="K824" s="4">
        <f>ClientiBanca[[#This Row],[Prestito]]+ClientiBanca[[#This Row],[Mutuo]]</f>
        <v>33100</v>
      </c>
      <c r="L824" t="str">
        <f>IF(ClientiBanca[[#This Row],[Reddito annuo]]&gt;=70000,"si","no")</f>
        <v>no</v>
      </c>
    </row>
    <row r="825" spans="1:12">
      <c r="A825">
        <v>100824</v>
      </c>
      <c r="B825">
        <v>54</v>
      </c>
      <c r="C825" s="2">
        <v>27100</v>
      </c>
      <c r="D825" t="s">
        <v>22</v>
      </c>
      <c r="E825" s="2">
        <v>33900</v>
      </c>
      <c r="F825" s="2">
        <v>0</v>
      </c>
      <c r="G825" t="s">
        <v>16</v>
      </c>
      <c r="H825" t="s">
        <v>14</v>
      </c>
      <c r="I825" t="s">
        <v>18</v>
      </c>
      <c r="J825" s="3">
        <v>45473</v>
      </c>
      <c r="K825" s="4">
        <f>ClientiBanca[[#This Row],[Prestito]]+ClientiBanca[[#This Row],[Mutuo]]</f>
        <v>33900</v>
      </c>
      <c r="L825" t="str">
        <f>IF(ClientiBanca[[#This Row],[Reddito annuo]]&gt;=70000,"si","no")</f>
        <v>no</v>
      </c>
    </row>
    <row r="826" spans="1:12">
      <c r="A826">
        <v>100825</v>
      </c>
      <c r="B826">
        <v>73</v>
      </c>
      <c r="C826" s="2">
        <v>82200</v>
      </c>
      <c r="D826" t="s">
        <v>12</v>
      </c>
      <c r="E826" s="2">
        <v>31700</v>
      </c>
      <c r="F826" s="2">
        <v>0</v>
      </c>
      <c r="G826" t="s">
        <v>28</v>
      </c>
      <c r="H826" t="s">
        <v>20</v>
      </c>
      <c r="I826" t="s">
        <v>18</v>
      </c>
      <c r="J826" s="3">
        <v>46068</v>
      </c>
      <c r="K826" s="4">
        <f>ClientiBanca[[#This Row],[Prestito]]+ClientiBanca[[#This Row],[Mutuo]]</f>
        <v>31700</v>
      </c>
      <c r="L826" t="str">
        <f>IF(ClientiBanca[[#This Row],[Reddito annuo]]&gt;=70000,"si","no")</f>
        <v>si</v>
      </c>
    </row>
    <row r="827" spans="1:12">
      <c r="A827">
        <v>100826</v>
      </c>
      <c r="B827">
        <v>37</v>
      </c>
      <c r="C827" s="2">
        <v>73900</v>
      </c>
      <c r="D827" t="s">
        <v>12</v>
      </c>
      <c r="E827" s="2">
        <v>55900</v>
      </c>
      <c r="F827" s="2">
        <v>0</v>
      </c>
      <c r="G827" t="s">
        <v>23</v>
      </c>
      <c r="H827" t="s">
        <v>20</v>
      </c>
      <c r="I827" t="s">
        <v>18</v>
      </c>
      <c r="J827" s="3">
        <v>45663</v>
      </c>
      <c r="K827" s="4">
        <f>ClientiBanca[[#This Row],[Prestito]]+ClientiBanca[[#This Row],[Mutuo]]</f>
        <v>55900</v>
      </c>
      <c r="L827" t="str">
        <f>IF(ClientiBanca[[#This Row],[Reddito annuo]]&gt;=70000,"si","no")</f>
        <v>si</v>
      </c>
    </row>
    <row r="828" spans="1:12">
      <c r="A828">
        <v>100827</v>
      </c>
      <c r="B828">
        <v>22</v>
      </c>
      <c r="C828" s="2">
        <v>45800</v>
      </c>
      <c r="D828" t="s">
        <v>22</v>
      </c>
      <c r="E828" s="2">
        <v>19200</v>
      </c>
      <c r="F828" s="2">
        <v>293000</v>
      </c>
      <c r="G828" t="s">
        <v>16</v>
      </c>
      <c r="H828" t="s">
        <v>20</v>
      </c>
      <c r="I828" t="s">
        <v>18</v>
      </c>
      <c r="J828" s="3">
        <v>45804</v>
      </c>
      <c r="K828" s="4">
        <f>ClientiBanca[[#This Row],[Prestito]]+ClientiBanca[[#This Row],[Mutuo]]</f>
        <v>312200</v>
      </c>
      <c r="L828" t="str">
        <f>IF(ClientiBanca[[#This Row],[Reddito annuo]]&gt;=70000,"si","no")</f>
        <v>no</v>
      </c>
    </row>
    <row r="829" spans="1:12">
      <c r="A829">
        <v>100828</v>
      </c>
      <c r="B829">
        <v>51</v>
      </c>
      <c r="C829" s="2">
        <v>39400</v>
      </c>
      <c r="D829" t="s">
        <v>21</v>
      </c>
      <c r="E829" s="2">
        <v>0</v>
      </c>
      <c r="F829" s="2">
        <v>0</v>
      </c>
      <c r="G829" t="s">
        <v>24</v>
      </c>
      <c r="H829" t="s">
        <v>20</v>
      </c>
      <c r="I829" t="s">
        <v>18</v>
      </c>
      <c r="J829" s="3">
        <v>45423</v>
      </c>
      <c r="K829" s="4">
        <f>ClientiBanca[[#This Row],[Prestito]]+ClientiBanca[[#This Row],[Mutuo]]</f>
        <v>0</v>
      </c>
      <c r="L829" t="str">
        <f>IF(ClientiBanca[[#This Row],[Reddito annuo]]&gt;=70000,"si","no")</f>
        <v>no</v>
      </c>
    </row>
    <row r="830" spans="1:12">
      <c r="A830">
        <v>100829</v>
      </c>
      <c r="B830">
        <v>67</v>
      </c>
      <c r="C830" s="2">
        <v>31200</v>
      </c>
      <c r="D830" t="s">
        <v>21</v>
      </c>
      <c r="E830" s="2">
        <v>20100</v>
      </c>
      <c r="F830" s="2">
        <v>0</v>
      </c>
      <c r="G830" t="s">
        <v>26</v>
      </c>
      <c r="H830" t="s">
        <v>17</v>
      </c>
      <c r="I830" t="s">
        <v>18</v>
      </c>
      <c r="J830" s="3">
        <v>46001</v>
      </c>
      <c r="K830" s="4">
        <f>ClientiBanca[[#This Row],[Prestito]]+ClientiBanca[[#This Row],[Mutuo]]</f>
        <v>20100</v>
      </c>
      <c r="L830" t="str">
        <f>IF(ClientiBanca[[#This Row],[Reddito annuo]]&gt;=70000,"si","no")</f>
        <v>no</v>
      </c>
    </row>
    <row r="831" spans="1:12">
      <c r="A831">
        <v>100830</v>
      </c>
      <c r="B831">
        <v>63</v>
      </c>
      <c r="C831" s="2">
        <v>62200</v>
      </c>
      <c r="D831" t="s">
        <v>21</v>
      </c>
      <c r="E831" s="2">
        <v>31200</v>
      </c>
      <c r="F831" s="2">
        <v>0</v>
      </c>
      <c r="G831" t="s">
        <v>27</v>
      </c>
      <c r="H831" t="s">
        <v>14</v>
      </c>
      <c r="I831" t="s">
        <v>18</v>
      </c>
      <c r="J831" s="3">
        <v>46156</v>
      </c>
      <c r="K831" s="4">
        <f>ClientiBanca[[#This Row],[Prestito]]+ClientiBanca[[#This Row],[Mutuo]]</f>
        <v>31200</v>
      </c>
      <c r="L831" t="str">
        <f>IF(ClientiBanca[[#This Row],[Reddito annuo]]&gt;=70000,"si","no")</f>
        <v>no</v>
      </c>
    </row>
    <row r="832" spans="1:12">
      <c r="A832">
        <v>100831</v>
      </c>
      <c r="B832">
        <v>46</v>
      </c>
      <c r="C832" s="2">
        <v>45400</v>
      </c>
      <c r="D832" t="s">
        <v>12</v>
      </c>
      <c r="E832" s="2">
        <v>26400</v>
      </c>
      <c r="F832" s="2">
        <v>0</v>
      </c>
      <c r="G832" t="s">
        <v>23</v>
      </c>
      <c r="H832" t="s">
        <v>20</v>
      </c>
      <c r="I832" t="s">
        <v>18</v>
      </c>
      <c r="J832" s="3">
        <v>45837</v>
      </c>
      <c r="K832" s="4">
        <f>ClientiBanca[[#This Row],[Prestito]]+ClientiBanca[[#This Row],[Mutuo]]</f>
        <v>26400</v>
      </c>
      <c r="L832" t="str">
        <f>IF(ClientiBanca[[#This Row],[Reddito annuo]]&gt;=70000,"si","no")</f>
        <v>no</v>
      </c>
    </row>
    <row r="833" spans="1:12">
      <c r="A833">
        <v>100832</v>
      </c>
      <c r="B833">
        <v>48</v>
      </c>
      <c r="C833" s="2">
        <v>47900</v>
      </c>
      <c r="D833" t="s">
        <v>21</v>
      </c>
      <c r="E833" s="2">
        <v>59900</v>
      </c>
      <c r="F833" s="2">
        <v>0</v>
      </c>
      <c r="G833" t="s">
        <v>23</v>
      </c>
      <c r="H833" t="s">
        <v>25</v>
      </c>
      <c r="I833" t="s">
        <v>18</v>
      </c>
      <c r="J833" s="3">
        <v>45368</v>
      </c>
      <c r="K833" s="4">
        <f>ClientiBanca[[#This Row],[Prestito]]+ClientiBanca[[#This Row],[Mutuo]]</f>
        <v>59900</v>
      </c>
      <c r="L833" t="str">
        <f>IF(ClientiBanca[[#This Row],[Reddito annuo]]&gt;=70000,"si","no")</f>
        <v>no</v>
      </c>
    </row>
    <row r="834" spans="1:12">
      <c r="A834">
        <v>100833</v>
      </c>
      <c r="B834">
        <v>35</v>
      </c>
      <c r="C834" s="2">
        <v>41000</v>
      </c>
      <c r="D834" t="s">
        <v>21</v>
      </c>
      <c r="E834" s="2">
        <v>41300</v>
      </c>
      <c r="F834" s="2">
        <v>194000</v>
      </c>
      <c r="G834" t="s">
        <v>27</v>
      </c>
      <c r="H834" t="s">
        <v>14</v>
      </c>
      <c r="I834" t="s">
        <v>18</v>
      </c>
      <c r="J834" s="3">
        <v>45634</v>
      </c>
      <c r="K834" s="4">
        <f>ClientiBanca[[#This Row],[Prestito]]+ClientiBanca[[#This Row],[Mutuo]]</f>
        <v>235300</v>
      </c>
      <c r="L834" t="str">
        <f>IF(ClientiBanca[[#This Row],[Reddito annuo]]&gt;=70000,"si","no")</f>
        <v>no</v>
      </c>
    </row>
    <row r="835" spans="1:12">
      <c r="A835">
        <v>100834</v>
      </c>
      <c r="B835">
        <v>73</v>
      </c>
      <c r="C835" s="2">
        <v>44000</v>
      </c>
      <c r="D835" t="s">
        <v>21</v>
      </c>
      <c r="E835" s="2">
        <v>25400</v>
      </c>
      <c r="F835" s="2">
        <v>175000</v>
      </c>
      <c r="G835" t="s">
        <v>23</v>
      </c>
      <c r="H835" t="s">
        <v>25</v>
      </c>
      <c r="I835" t="s">
        <v>18</v>
      </c>
      <c r="J835" s="3">
        <v>45926</v>
      </c>
      <c r="K835" s="4">
        <f>ClientiBanca[[#This Row],[Prestito]]+ClientiBanca[[#This Row],[Mutuo]]</f>
        <v>200400</v>
      </c>
      <c r="L835" t="str">
        <f>IF(ClientiBanca[[#This Row],[Reddito annuo]]&gt;=70000,"si","no")</f>
        <v>no</v>
      </c>
    </row>
    <row r="836" spans="1:12">
      <c r="A836">
        <v>100835</v>
      </c>
      <c r="B836">
        <v>48</v>
      </c>
      <c r="C836" s="2">
        <v>81800</v>
      </c>
      <c r="D836" t="s">
        <v>12</v>
      </c>
      <c r="E836" s="2">
        <v>13000</v>
      </c>
      <c r="F836" s="2">
        <v>96000</v>
      </c>
      <c r="G836" t="s">
        <v>19</v>
      </c>
      <c r="H836" t="s">
        <v>14</v>
      </c>
      <c r="I836" t="s">
        <v>18</v>
      </c>
      <c r="J836" s="3">
        <v>46093</v>
      </c>
      <c r="K836" s="4">
        <f>ClientiBanca[[#This Row],[Prestito]]+ClientiBanca[[#This Row],[Mutuo]]</f>
        <v>109000</v>
      </c>
      <c r="L836" t="str">
        <f>IF(ClientiBanca[[#This Row],[Reddito annuo]]&gt;=70000,"si","no")</f>
        <v>si</v>
      </c>
    </row>
    <row r="837" spans="1:12">
      <c r="A837">
        <v>100836</v>
      </c>
      <c r="B837">
        <v>28</v>
      </c>
      <c r="C837" s="2">
        <v>30900</v>
      </c>
      <c r="D837" t="s">
        <v>12</v>
      </c>
      <c r="E837" s="2">
        <v>38600</v>
      </c>
      <c r="F837" s="2">
        <v>0</v>
      </c>
      <c r="G837" t="s">
        <v>13</v>
      </c>
      <c r="H837" t="s">
        <v>14</v>
      </c>
      <c r="I837" t="s">
        <v>18</v>
      </c>
      <c r="J837" s="3">
        <v>45593</v>
      </c>
      <c r="K837" s="4">
        <f>ClientiBanca[[#This Row],[Prestito]]+ClientiBanca[[#This Row],[Mutuo]]</f>
        <v>38600</v>
      </c>
      <c r="L837" t="str">
        <f>IF(ClientiBanca[[#This Row],[Reddito annuo]]&gt;=70000,"si","no")</f>
        <v>no</v>
      </c>
    </row>
    <row r="838" spans="1:12">
      <c r="A838">
        <v>100837</v>
      </c>
      <c r="B838">
        <v>74</v>
      </c>
      <c r="C838" s="2">
        <v>51900</v>
      </c>
      <c r="D838" t="s">
        <v>21</v>
      </c>
      <c r="E838" s="2">
        <v>0</v>
      </c>
      <c r="F838" s="2">
        <v>0</v>
      </c>
      <c r="G838" t="s">
        <v>27</v>
      </c>
      <c r="H838" t="s">
        <v>17</v>
      </c>
      <c r="I838" t="s">
        <v>18</v>
      </c>
      <c r="J838" s="3">
        <v>45767</v>
      </c>
      <c r="K838" s="4">
        <f>ClientiBanca[[#This Row],[Prestito]]+ClientiBanca[[#This Row],[Mutuo]]</f>
        <v>0</v>
      </c>
      <c r="L838" t="str">
        <f>IF(ClientiBanca[[#This Row],[Reddito annuo]]&gt;=70000,"si","no")</f>
        <v>no</v>
      </c>
    </row>
    <row r="839" spans="1:12">
      <c r="A839">
        <v>100838</v>
      </c>
      <c r="B839">
        <v>70</v>
      </c>
      <c r="C839" s="2">
        <v>54900</v>
      </c>
      <c r="D839" t="s">
        <v>12</v>
      </c>
      <c r="E839" s="2">
        <v>43000</v>
      </c>
      <c r="F839" s="2">
        <v>0</v>
      </c>
      <c r="G839" t="s">
        <v>27</v>
      </c>
      <c r="H839" t="s">
        <v>17</v>
      </c>
      <c r="I839" t="s">
        <v>18</v>
      </c>
      <c r="J839" s="3">
        <v>45489</v>
      </c>
      <c r="K839" s="4">
        <f>ClientiBanca[[#This Row],[Prestito]]+ClientiBanca[[#This Row],[Mutuo]]</f>
        <v>43000</v>
      </c>
      <c r="L839" t="str">
        <f>IF(ClientiBanca[[#This Row],[Reddito annuo]]&gt;=70000,"si","no")</f>
        <v>no</v>
      </c>
    </row>
    <row r="840" spans="1:12">
      <c r="A840">
        <v>100839</v>
      </c>
      <c r="B840">
        <v>26</v>
      </c>
      <c r="C840" s="2">
        <v>34600</v>
      </c>
      <c r="D840" t="s">
        <v>12</v>
      </c>
      <c r="E840" s="2">
        <v>43200</v>
      </c>
      <c r="F840" s="2">
        <v>0</v>
      </c>
      <c r="G840" t="s">
        <v>24</v>
      </c>
      <c r="H840" t="s">
        <v>14</v>
      </c>
      <c r="I840" t="s">
        <v>18</v>
      </c>
      <c r="J840" s="3">
        <v>45723</v>
      </c>
      <c r="K840" s="4">
        <f>ClientiBanca[[#This Row],[Prestito]]+ClientiBanca[[#This Row],[Mutuo]]</f>
        <v>43200</v>
      </c>
      <c r="L840" t="str">
        <f>IF(ClientiBanca[[#This Row],[Reddito annuo]]&gt;=70000,"si","no")</f>
        <v>no</v>
      </c>
    </row>
    <row r="841" spans="1:12">
      <c r="A841">
        <v>100840</v>
      </c>
      <c r="B841">
        <v>50</v>
      </c>
      <c r="C841" s="2">
        <v>77900</v>
      </c>
      <c r="D841" t="s">
        <v>21</v>
      </c>
      <c r="E841" s="2">
        <v>54100</v>
      </c>
      <c r="F841" s="2">
        <v>171000</v>
      </c>
      <c r="G841" t="s">
        <v>16</v>
      </c>
      <c r="H841" t="s">
        <v>17</v>
      </c>
      <c r="I841" t="s">
        <v>18</v>
      </c>
      <c r="J841" s="3">
        <v>45658</v>
      </c>
      <c r="K841" s="4">
        <f>ClientiBanca[[#This Row],[Prestito]]+ClientiBanca[[#This Row],[Mutuo]]</f>
        <v>225100</v>
      </c>
      <c r="L841" t="str">
        <f>IF(ClientiBanca[[#This Row],[Reddito annuo]]&gt;=70000,"si","no")</f>
        <v>si</v>
      </c>
    </row>
    <row r="842" spans="1:12">
      <c r="A842">
        <v>100841</v>
      </c>
      <c r="B842">
        <v>39</v>
      </c>
      <c r="C842" s="2">
        <v>65900</v>
      </c>
      <c r="D842" t="s">
        <v>12</v>
      </c>
      <c r="E842" s="2">
        <v>32000</v>
      </c>
      <c r="F842" s="2">
        <v>0</v>
      </c>
      <c r="G842" t="s">
        <v>26</v>
      </c>
      <c r="H842" t="s">
        <v>17</v>
      </c>
      <c r="I842" t="s">
        <v>15</v>
      </c>
      <c r="J842" s="3">
        <v>45892</v>
      </c>
      <c r="K842" s="4">
        <f>ClientiBanca[[#This Row],[Prestito]]+ClientiBanca[[#This Row],[Mutuo]]</f>
        <v>32000</v>
      </c>
      <c r="L842" t="str">
        <f>IF(ClientiBanca[[#This Row],[Reddito annuo]]&gt;=70000,"si","no")</f>
        <v>no</v>
      </c>
    </row>
    <row r="843" spans="1:12">
      <c r="A843">
        <v>100842</v>
      </c>
      <c r="B843">
        <v>62</v>
      </c>
      <c r="C843" s="2">
        <v>73700</v>
      </c>
      <c r="D843" t="s">
        <v>21</v>
      </c>
      <c r="E843" s="2">
        <v>57700</v>
      </c>
      <c r="F843" s="2">
        <v>0</v>
      </c>
      <c r="G843" t="s">
        <v>16</v>
      </c>
      <c r="H843" t="s">
        <v>17</v>
      </c>
      <c r="I843" t="s">
        <v>18</v>
      </c>
      <c r="J843" s="3">
        <v>45947</v>
      </c>
      <c r="K843" s="4">
        <f>ClientiBanca[[#This Row],[Prestito]]+ClientiBanca[[#This Row],[Mutuo]]</f>
        <v>57700</v>
      </c>
      <c r="L843" t="str">
        <f>IF(ClientiBanca[[#This Row],[Reddito annuo]]&gt;=70000,"si","no")</f>
        <v>si</v>
      </c>
    </row>
    <row r="844" spans="1:12">
      <c r="A844">
        <v>100843</v>
      </c>
      <c r="B844">
        <v>32</v>
      </c>
      <c r="C844" s="2">
        <v>84000</v>
      </c>
      <c r="D844" t="s">
        <v>21</v>
      </c>
      <c r="E844" s="2">
        <v>46000</v>
      </c>
      <c r="F844" s="2">
        <v>0</v>
      </c>
      <c r="G844" t="s">
        <v>19</v>
      </c>
      <c r="H844" t="s">
        <v>14</v>
      </c>
      <c r="I844" t="s">
        <v>18</v>
      </c>
      <c r="J844" s="3">
        <v>45635</v>
      </c>
      <c r="K844" s="4">
        <f>ClientiBanca[[#This Row],[Prestito]]+ClientiBanca[[#This Row],[Mutuo]]</f>
        <v>46000</v>
      </c>
      <c r="L844" t="str">
        <f>IF(ClientiBanca[[#This Row],[Reddito annuo]]&gt;=70000,"si","no")</f>
        <v>si</v>
      </c>
    </row>
    <row r="845" spans="1:12">
      <c r="A845">
        <v>100844</v>
      </c>
      <c r="B845">
        <v>59</v>
      </c>
      <c r="C845" s="2">
        <v>46900</v>
      </c>
      <c r="D845" t="s">
        <v>21</v>
      </c>
      <c r="E845" s="2">
        <v>58600</v>
      </c>
      <c r="F845" s="2">
        <v>0</v>
      </c>
      <c r="G845" t="s">
        <v>28</v>
      </c>
      <c r="H845" t="s">
        <v>20</v>
      </c>
      <c r="I845" t="s">
        <v>15</v>
      </c>
      <c r="J845" s="3">
        <v>45520</v>
      </c>
      <c r="K845" s="4">
        <f>ClientiBanca[[#This Row],[Prestito]]+ClientiBanca[[#This Row],[Mutuo]]</f>
        <v>58600</v>
      </c>
      <c r="L845" t="str">
        <f>IF(ClientiBanca[[#This Row],[Reddito annuo]]&gt;=70000,"si","no")</f>
        <v>no</v>
      </c>
    </row>
    <row r="846" spans="1:12">
      <c r="A846">
        <v>100845</v>
      </c>
      <c r="B846">
        <v>64</v>
      </c>
      <c r="C846" s="2">
        <v>42900</v>
      </c>
      <c r="D846" t="s">
        <v>12</v>
      </c>
      <c r="E846" s="2">
        <v>49000</v>
      </c>
      <c r="F846" s="2">
        <v>0</v>
      </c>
      <c r="G846" t="s">
        <v>19</v>
      </c>
      <c r="H846" t="s">
        <v>14</v>
      </c>
      <c r="I846" t="s">
        <v>18</v>
      </c>
      <c r="J846" s="3">
        <v>45701</v>
      </c>
      <c r="K846" s="4">
        <f>ClientiBanca[[#This Row],[Prestito]]+ClientiBanca[[#This Row],[Mutuo]]</f>
        <v>49000</v>
      </c>
      <c r="L846" t="str">
        <f>IF(ClientiBanca[[#This Row],[Reddito annuo]]&gt;=70000,"si","no")</f>
        <v>no</v>
      </c>
    </row>
    <row r="847" spans="1:12">
      <c r="A847">
        <v>100846</v>
      </c>
      <c r="B847">
        <v>31</v>
      </c>
      <c r="C847" s="2">
        <v>88600</v>
      </c>
      <c r="D847" t="s">
        <v>21</v>
      </c>
      <c r="E847" s="2">
        <v>26200</v>
      </c>
      <c r="F847" s="2">
        <v>0</v>
      </c>
      <c r="G847" t="s">
        <v>24</v>
      </c>
      <c r="H847" t="s">
        <v>20</v>
      </c>
      <c r="I847" t="s">
        <v>18</v>
      </c>
      <c r="J847" s="3">
        <v>45891</v>
      </c>
      <c r="K847" s="4">
        <f>ClientiBanca[[#This Row],[Prestito]]+ClientiBanca[[#This Row],[Mutuo]]</f>
        <v>26200</v>
      </c>
      <c r="L847" t="str">
        <f>IF(ClientiBanca[[#This Row],[Reddito annuo]]&gt;=70000,"si","no")</f>
        <v>si</v>
      </c>
    </row>
    <row r="848" spans="1:12">
      <c r="A848">
        <v>100847</v>
      </c>
      <c r="B848">
        <v>68</v>
      </c>
      <c r="C848" s="2">
        <v>50600</v>
      </c>
      <c r="D848" t="s">
        <v>22</v>
      </c>
      <c r="E848" s="2">
        <v>22700</v>
      </c>
      <c r="F848" s="2">
        <v>162000</v>
      </c>
      <c r="G848" t="s">
        <v>24</v>
      </c>
      <c r="H848" t="s">
        <v>17</v>
      </c>
      <c r="I848" t="s">
        <v>18</v>
      </c>
      <c r="J848" s="3">
        <v>45474</v>
      </c>
      <c r="K848" s="4">
        <f>ClientiBanca[[#This Row],[Prestito]]+ClientiBanca[[#This Row],[Mutuo]]</f>
        <v>184700</v>
      </c>
      <c r="L848" t="str">
        <f>IF(ClientiBanca[[#This Row],[Reddito annuo]]&gt;=70000,"si","no")</f>
        <v>no</v>
      </c>
    </row>
    <row r="849" spans="1:12">
      <c r="A849">
        <v>100848</v>
      </c>
      <c r="B849">
        <v>32</v>
      </c>
      <c r="C849" s="2">
        <v>25600</v>
      </c>
      <c r="D849" t="s">
        <v>22</v>
      </c>
      <c r="E849" s="2">
        <v>0</v>
      </c>
      <c r="F849" s="2">
        <v>250000</v>
      </c>
      <c r="G849" t="s">
        <v>16</v>
      </c>
      <c r="H849" t="s">
        <v>14</v>
      </c>
      <c r="I849" t="s">
        <v>18</v>
      </c>
      <c r="J849" s="3">
        <v>46198</v>
      </c>
      <c r="K849" s="4">
        <f>ClientiBanca[[#This Row],[Prestito]]+ClientiBanca[[#This Row],[Mutuo]]</f>
        <v>250000</v>
      </c>
      <c r="L849" t="str">
        <f>IF(ClientiBanca[[#This Row],[Reddito annuo]]&gt;=70000,"si","no")</f>
        <v>no</v>
      </c>
    </row>
    <row r="850" spans="1:12">
      <c r="A850">
        <v>100849</v>
      </c>
      <c r="B850">
        <v>27</v>
      </c>
      <c r="C850" s="2">
        <v>49200</v>
      </c>
      <c r="D850" t="s">
        <v>21</v>
      </c>
      <c r="E850" s="2">
        <v>26800</v>
      </c>
      <c r="F850" s="2">
        <v>0</v>
      </c>
      <c r="G850" t="s">
        <v>24</v>
      </c>
      <c r="H850" t="s">
        <v>25</v>
      </c>
      <c r="I850" t="s">
        <v>18</v>
      </c>
      <c r="J850" s="3">
        <v>45930</v>
      </c>
      <c r="K850" s="4">
        <f>ClientiBanca[[#This Row],[Prestito]]+ClientiBanca[[#This Row],[Mutuo]]</f>
        <v>26800</v>
      </c>
      <c r="L850" t="str">
        <f>IF(ClientiBanca[[#This Row],[Reddito annuo]]&gt;=70000,"si","no")</f>
        <v>no</v>
      </c>
    </row>
    <row r="851" spans="1:12">
      <c r="A851">
        <v>100850</v>
      </c>
      <c r="B851">
        <v>47</v>
      </c>
      <c r="C851" s="2">
        <v>95400</v>
      </c>
      <c r="D851" t="s">
        <v>21</v>
      </c>
      <c r="E851" s="2">
        <v>68100</v>
      </c>
      <c r="F851" s="2">
        <v>0</v>
      </c>
      <c r="G851" t="s">
        <v>23</v>
      </c>
      <c r="H851" t="s">
        <v>17</v>
      </c>
      <c r="I851" t="s">
        <v>18</v>
      </c>
      <c r="J851" s="3">
        <v>45617</v>
      </c>
      <c r="K851" s="4">
        <f>ClientiBanca[[#This Row],[Prestito]]+ClientiBanca[[#This Row],[Mutuo]]</f>
        <v>68100</v>
      </c>
      <c r="L851" t="str">
        <f>IF(ClientiBanca[[#This Row],[Reddito annuo]]&gt;=70000,"si","no")</f>
        <v>si</v>
      </c>
    </row>
    <row r="852" spans="1:12">
      <c r="A852">
        <v>100851</v>
      </c>
      <c r="B852">
        <v>58</v>
      </c>
      <c r="C852" s="2">
        <v>55000</v>
      </c>
      <c r="D852" t="s">
        <v>12</v>
      </c>
      <c r="E852" s="2">
        <v>0</v>
      </c>
      <c r="F852" s="2">
        <v>0</v>
      </c>
      <c r="G852" t="s">
        <v>23</v>
      </c>
      <c r="H852" t="s">
        <v>14</v>
      </c>
      <c r="I852" t="s">
        <v>18</v>
      </c>
      <c r="J852" s="3">
        <v>45593</v>
      </c>
      <c r="K852" s="4">
        <f>ClientiBanca[[#This Row],[Prestito]]+ClientiBanca[[#This Row],[Mutuo]]</f>
        <v>0</v>
      </c>
      <c r="L852" t="str">
        <f>IF(ClientiBanca[[#This Row],[Reddito annuo]]&gt;=70000,"si","no")</f>
        <v>no</v>
      </c>
    </row>
    <row r="853" spans="1:12">
      <c r="A853">
        <v>100852</v>
      </c>
      <c r="B853">
        <v>70</v>
      </c>
      <c r="C853" s="2">
        <v>38000</v>
      </c>
      <c r="D853" t="s">
        <v>21</v>
      </c>
      <c r="E853" s="2">
        <v>22500</v>
      </c>
      <c r="F853" s="2">
        <v>0</v>
      </c>
      <c r="G853" t="s">
        <v>28</v>
      </c>
      <c r="H853" t="s">
        <v>17</v>
      </c>
      <c r="I853" t="s">
        <v>18</v>
      </c>
      <c r="J853" s="3">
        <v>45773</v>
      </c>
      <c r="K853" s="4">
        <f>ClientiBanca[[#This Row],[Prestito]]+ClientiBanca[[#This Row],[Mutuo]]</f>
        <v>22500</v>
      </c>
      <c r="L853" t="str">
        <f>IF(ClientiBanca[[#This Row],[Reddito annuo]]&gt;=70000,"si","no")</f>
        <v>no</v>
      </c>
    </row>
    <row r="854" spans="1:12">
      <c r="A854">
        <v>100853</v>
      </c>
      <c r="B854">
        <v>70</v>
      </c>
      <c r="C854" s="2">
        <v>72400</v>
      </c>
      <c r="D854" t="s">
        <v>21</v>
      </c>
      <c r="E854" s="2">
        <v>50300</v>
      </c>
      <c r="F854" s="2">
        <v>0</v>
      </c>
      <c r="G854" t="s">
        <v>19</v>
      </c>
      <c r="H854" t="s">
        <v>17</v>
      </c>
      <c r="I854" t="s">
        <v>18</v>
      </c>
      <c r="J854" s="3">
        <v>45621</v>
      </c>
      <c r="K854" s="4">
        <f>ClientiBanca[[#This Row],[Prestito]]+ClientiBanca[[#This Row],[Mutuo]]</f>
        <v>50300</v>
      </c>
      <c r="L854" t="str">
        <f>IF(ClientiBanca[[#This Row],[Reddito annuo]]&gt;=70000,"si","no")</f>
        <v>si</v>
      </c>
    </row>
    <row r="855" spans="1:12">
      <c r="A855">
        <v>100854</v>
      </c>
      <c r="B855">
        <v>65</v>
      </c>
      <c r="C855" s="2">
        <v>51400</v>
      </c>
      <c r="D855" t="s">
        <v>12</v>
      </c>
      <c r="E855" s="2">
        <v>33400</v>
      </c>
      <c r="F855" s="2">
        <v>0</v>
      </c>
      <c r="G855" t="s">
        <v>16</v>
      </c>
      <c r="H855" t="s">
        <v>17</v>
      </c>
      <c r="I855" t="s">
        <v>18</v>
      </c>
      <c r="J855" s="3">
        <v>45957</v>
      </c>
      <c r="K855" s="4">
        <f>ClientiBanca[[#This Row],[Prestito]]+ClientiBanca[[#This Row],[Mutuo]]</f>
        <v>33400</v>
      </c>
      <c r="L855" t="str">
        <f>IF(ClientiBanca[[#This Row],[Reddito annuo]]&gt;=70000,"si","no")</f>
        <v>no</v>
      </c>
    </row>
    <row r="856" spans="1:12">
      <c r="A856">
        <v>100855</v>
      </c>
      <c r="B856">
        <v>22</v>
      </c>
      <c r="C856" s="2">
        <v>41600</v>
      </c>
      <c r="D856" t="s">
        <v>22</v>
      </c>
      <c r="E856" s="2">
        <v>20400</v>
      </c>
      <c r="F856" s="2">
        <v>0</v>
      </c>
      <c r="G856" t="s">
        <v>16</v>
      </c>
      <c r="H856" t="s">
        <v>25</v>
      </c>
      <c r="I856" t="s">
        <v>18</v>
      </c>
      <c r="J856" s="3">
        <v>46249</v>
      </c>
      <c r="K856" s="4">
        <f>ClientiBanca[[#This Row],[Prestito]]+ClientiBanca[[#This Row],[Mutuo]]</f>
        <v>20400</v>
      </c>
      <c r="L856" t="str">
        <f>IF(ClientiBanca[[#This Row],[Reddito annuo]]&gt;=70000,"si","no")</f>
        <v>no</v>
      </c>
    </row>
    <row r="857" spans="1:12">
      <c r="A857">
        <v>100856</v>
      </c>
      <c r="B857">
        <v>73</v>
      </c>
      <c r="C857" s="2">
        <v>51500</v>
      </c>
      <c r="D857" t="s">
        <v>12</v>
      </c>
      <c r="E857" s="2">
        <v>12900</v>
      </c>
      <c r="F857" s="2">
        <v>0</v>
      </c>
      <c r="G857" t="s">
        <v>19</v>
      </c>
      <c r="H857" t="s">
        <v>20</v>
      </c>
      <c r="I857" t="s">
        <v>18</v>
      </c>
      <c r="J857" s="3">
        <v>45816</v>
      </c>
      <c r="K857" s="4">
        <f>ClientiBanca[[#This Row],[Prestito]]+ClientiBanca[[#This Row],[Mutuo]]</f>
        <v>12900</v>
      </c>
      <c r="L857" t="str">
        <f>IF(ClientiBanca[[#This Row],[Reddito annuo]]&gt;=70000,"si","no")</f>
        <v>no</v>
      </c>
    </row>
    <row r="858" spans="1:12">
      <c r="A858">
        <v>100857</v>
      </c>
      <c r="B858">
        <v>59</v>
      </c>
      <c r="C858" s="2">
        <v>49100</v>
      </c>
      <c r="D858" t="s">
        <v>21</v>
      </c>
      <c r="E858" s="2">
        <v>26700</v>
      </c>
      <c r="F858" s="2">
        <v>0</v>
      </c>
      <c r="G858" t="s">
        <v>26</v>
      </c>
      <c r="H858" t="s">
        <v>17</v>
      </c>
      <c r="I858" t="s">
        <v>18</v>
      </c>
      <c r="J858" s="3">
        <v>45531</v>
      </c>
      <c r="K858" s="4">
        <f>ClientiBanca[[#This Row],[Prestito]]+ClientiBanca[[#This Row],[Mutuo]]</f>
        <v>26700</v>
      </c>
      <c r="L858" t="str">
        <f>IF(ClientiBanca[[#This Row],[Reddito annuo]]&gt;=70000,"si","no")</f>
        <v>no</v>
      </c>
    </row>
    <row r="859" spans="1:12">
      <c r="A859">
        <v>100858</v>
      </c>
      <c r="B859">
        <v>36</v>
      </c>
      <c r="C859" s="2">
        <v>70900</v>
      </c>
      <c r="D859" t="s">
        <v>21</v>
      </c>
      <c r="E859" s="2">
        <v>58400</v>
      </c>
      <c r="F859" s="2">
        <v>0</v>
      </c>
      <c r="G859" t="s">
        <v>13</v>
      </c>
      <c r="H859" t="s">
        <v>14</v>
      </c>
      <c r="I859" t="s">
        <v>18</v>
      </c>
      <c r="J859" s="3">
        <v>45392</v>
      </c>
      <c r="K859" s="4">
        <f>ClientiBanca[[#This Row],[Prestito]]+ClientiBanca[[#This Row],[Mutuo]]</f>
        <v>58400</v>
      </c>
      <c r="L859" t="str">
        <f>IF(ClientiBanca[[#This Row],[Reddito annuo]]&gt;=70000,"si","no")</f>
        <v>si</v>
      </c>
    </row>
    <row r="860" spans="1:12">
      <c r="A860">
        <v>100859</v>
      </c>
      <c r="B860">
        <v>27</v>
      </c>
      <c r="C860" s="2">
        <v>31800</v>
      </c>
      <c r="D860" t="s">
        <v>21</v>
      </c>
      <c r="E860" s="2">
        <v>18700</v>
      </c>
      <c r="F860" s="2">
        <v>0</v>
      </c>
      <c r="G860" t="s">
        <v>26</v>
      </c>
      <c r="H860" t="s">
        <v>14</v>
      </c>
      <c r="I860" t="s">
        <v>18</v>
      </c>
      <c r="J860" s="3">
        <v>46157</v>
      </c>
      <c r="K860" s="4">
        <f>ClientiBanca[[#This Row],[Prestito]]+ClientiBanca[[#This Row],[Mutuo]]</f>
        <v>18700</v>
      </c>
      <c r="L860" t="str">
        <f>IF(ClientiBanca[[#This Row],[Reddito annuo]]&gt;=70000,"si","no")</f>
        <v>no</v>
      </c>
    </row>
    <row r="861" spans="1:12">
      <c r="A861">
        <v>100860</v>
      </c>
      <c r="B861">
        <v>37</v>
      </c>
      <c r="C861" s="2">
        <v>40600</v>
      </c>
      <c r="D861" t="s">
        <v>12</v>
      </c>
      <c r="E861" s="2">
        <v>50800</v>
      </c>
      <c r="F861" s="2">
        <v>0</v>
      </c>
      <c r="G861" t="s">
        <v>26</v>
      </c>
      <c r="H861" t="s">
        <v>20</v>
      </c>
      <c r="I861" t="s">
        <v>18</v>
      </c>
      <c r="J861" s="3">
        <v>46134</v>
      </c>
      <c r="K861" s="4">
        <f>ClientiBanca[[#This Row],[Prestito]]+ClientiBanca[[#This Row],[Mutuo]]</f>
        <v>50800</v>
      </c>
      <c r="L861" t="str">
        <f>IF(ClientiBanca[[#This Row],[Reddito annuo]]&gt;=70000,"si","no")</f>
        <v>no</v>
      </c>
    </row>
    <row r="862" spans="1:12">
      <c r="A862">
        <v>100861</v>
      </c>
      <c r="B862">
        <v>42</v>
      </c>
      <c r="C862" s="2">
        <v>83800</v>
      </c>
      <c r="D862" t="s">
        <v>21</v>
      </c>
      <c r="E862" s="2">
        <v>38400</v>
      </c>
      <c r="F862" s="2">
        <v>0</v>
      </c>
      <c r="G862" t="s">
        <v>28</v>
      </c>
      <c r="H862" t="s">
        <v>17</v>
      </c>
      <c r="I862" t="s">
        <v>18</v>
      </c>
      <c r="J862" s="3">
        <v>45444</v>
      </c>
      <c r="K862" s="4">
        <f>ClientiBanca[[#This Row],[Prestito]]+ClientiBanca[[#This Row],[Mutuo]]</f>
        <v>38400</v>
      </c>
      <c r="L862" t="str">
        <f>IF(ClientiBanca[[#This Row],[Reddito annuo]]&gt;=70000,"si","no")</f>
        <v>si</v>
      </c>
    </row>
    <row r="863" spans="1:12">
      <c r="A863">
        <v>100862</v>
      </c>
      <c r="B863">
        <v>75</v>
      </c>
      <c r="C863" s="2">
        <v>52900</v>
      </c>
      <c r="D863" t="s">
        <v>21</v>
      </c>
      <c r="E863" s="2">
        <v>0</v>
      </c>
      <c r="F863" s="2">
        <v>0</v>
      </c>
      <c r="G863" t="s">
        <v>28</v>
      </c>
      <c r="H863" t="s">
        <v>14</v>
      </c>
      <c r="I863" t="s">
        <v>18</v>
      </c>
      <c r="J863" s="3">
        <v>45764</v>
      </c>
      <c r="K863" s="4">
        <f>ClientiBanca[[#This Row],[Prestito]]+ClientiBanca[[#This Row],[Mutuo]]</f>
        <v>0</v>
      </c>
      <c r="L863" t="str">
        <f>IF(ClientiBanca[[#This Row],[Reddito annuo]]&gt;=70000,"si","no")</f>
        <v>no</v>
      </c>
    </row>
    <row r="864" spans="1:12">
      <c r="A864">
        <v>100863</v>
      </c>
      <c r="B864">
        <v>41</v>
      </c>
      <c r="C864" s="2">
        <v>84700</v>
      </c>
      <c r="D864" t="s">
        <v>21</v>
      </c>
      <c r="E864" s="2">
        <v>51800</v>
      </c>
      <c r="F864" s="2">
        <v>0</v>
      </c>
      <c r="G864" t="s">
        <v>23</v>
      </c>
      <c r="H864" t="s">
        <v>20</v>
      </c>
      <c r="I864" t="s">
        <v>18</v>
      </c>
      <c r="J864" s="3">
        <v>45322</v>
      </c>
      <c r="K864" s="4">
        <f>ClientiBanca[[#This Row],[Prestito]]+ClientiBanca[[#This Row],[Mutuo]]</f>
        <v>51800</v>
      </c>
      <c r="L864" t="str">
        <f>IF(ClientiBanca[[#This Row],[Reddito annuo]]&gt;=70000,"si","no")</f>
        <v>si</v>
      </c>
    </row>
    <row r="865" spans="1:12">
      <c r="A865">
        <v>100864</v>
      </c>
      <c r="B865">
        <v>43</v>
      </c>
      <c r="C865" s="2">
        <v>37300</v>
      </c>
      <c r="D865" t="s">
        <v>22</v>
      </c>
      <c r="E865" s="2">
        <v>46600</v>
      </c>
      <c r="F865" s="2">
        <v>0</v>
      </c>
      <c r="G865" t="s">
        <v>19</v>
      </c>
      <c r="H865" t="s">
        <v>17</v>
      </c>
      <c r="I865" t="s">
        <v>18</v>
      </c>
      <c r="J865" s="3">
        <v>45994</v>
      </c>
      <c r="K865" s="4">
        <f>ClientiBanca[[#This Row],[Prestito]]+ClientiBanca[[#This Row],[Mutuo]]</f>
        <v>46600</v>
      </c>
      <c r="L865" t="str">
        <f>IF(ClientiBanca[[#This Row],[Reddito annuo]]&gt;=70000,"si","no")</f>
        <v>no</v>
      </c>
    </row>
    <row r="866" spans="1:12">
      <c r="A866">
        <v>100865</v>
      </c>
      <c r="B866">
        <v>68</v>
      </c>
      <c r="C866" s="2">
        <v>53300</v>
      </c>
      <c r="D866" t="s">
        <v>12</v>
      </c>
      <c r="E866" s="2">
        <v>24700</v>
      </c>
      <c r="F866" s="2">
        <v>281000</v>
      </c>
      <c r="G866" t="s">
        <v>24</v>
      </c>
      <c r="H866" t="s">
        <v>20</v>
      </c>
      <c r="I866" t="s">
        <v>18</v>
      </c>
      <c r="J866" s="3">
        <v>45630</v>
      </c>
      <c r="K866" s="4">
        <f>ClientiBanca[[#This Row],[Prestito]]+ClientiBanca[[#This Row],[Mutuo]]</f>
        <v>305700</v>
      </c>
      <c r="L866" t="str">
        <f>IF(ClientiBanca[[#This Row],[Reddito annuo]]&gt;=70000,"si","no")</f>
        <v>no</v>
      </c>
    </row>
    <row r="867" spans="1:12">
      <c r="A867">
        <v>100866</v>
      </c>
      <c r="B867">
        <v>56</v>
      </c>
      <c r="C867" s="2">
        <v>69600</v>
      </c>
      <c r="D867" t="s">
        <v>12</v>
      </c>
      <c r="E867" s="2">
        <v>61000</v>
      </c>
      <c r="F867" s="2">
        <v>0</v>
      </c>
      <c r="G867" t="s">
        <v>23</v>
      </c>
      <c r="H867" t="s">
        <v>25</v>
      </c>
      <c r="I867" t="s">
        <v>15</v>
      </c>
      <c r="J867" s="3">
        <v>45687</v>
      </c>
      <c r="K867" s="4">
        <f>ClientiBanca[[#This Row],[Prestito]]+ClientiBanca[[#This Row],[Mutuo]]</f>
        <v>61000</v>
      </c>
      <c r="L867" t="str">
        <f>IF(ClientiBanca[[#This Row],[Reddito annuo]]&gt;=70000,"si","no")</f>
        <v>no</v>
      </c>
    </row>
    <row r="868" spans="1:12">
      <c r="A868">
        <v>100867</v>
      </c>
      <c r="B868">
        <v>32</v>
      </c>
      <c r="C868" s="2">
        <v>58100</v>
      </c>
      <c r="D868" t="s">
        <v>21</v>
      </c>
      <c r="E868" s="2">
        <v>0</v>
      </c>
      <c r="F868" s="2">
        <v>0</v>
      </c>
      <c r="G868" t="s">
        <v>26</v>
      </c>
      <c r="H868" t="s">
        <v>20</v>
      </c>
      <c r="I868" t="s">
        <v>18</v>
      </c>
      <c r="J868" s="3">
        <v>45398</v>
      </c>
      <c r="K868" s="4">
        <f>ClientiBanca[[#This Row],[Prestito]]+ClientiBanca[[#This Row],[Mutuo]]</f>
        <v>0</v>
      </c>
      <c r="L868" t="str">
        <f>IF(ClientiBanca[[#This Row],[Reddito annuo]]&gt;=70000,"si","no")</f>
        <v>no</v>
      </c>
    </row>
    <row r="869" spans="1:12">
      <c r="A869">
        <v>100868</v>
      </c>
      <c r="B869">
        <v>63</v>
      </c>
      <c r="C869" s="2">
        <v>63600</v>
      </c>
      <c r="D869" t="s">
        <v>21</v>
      </c>
      <c r="E869" s="2">
        <v>33100</v>
      </c>
      <c r="F869" s="2">
        <v>112000</v>
      </c>
      <c r="G869" t="s">
        <v>16</v>
      </c>
      <c r="H869" t="s">
        <v>20</v>
      </c>
      <c r="I869" t="s">
        <v>18</v>
      </c>
      <c r="J869" s="3">
        <v>45967</v>
      </c>
      <c r="K869" s="4">
        <f>ClientiBanca[[#This Row],[Prestito]]+ClientiBanca[[#This Row],[Mutuo]]</f>
        <v>145100</v>
      </c>
      <c r="L869" t="str">
        <f>IF(ClientiBanca[[#This Row],[Reddito annuo]]&gt;=70000,"si","no")</f>
        <v>no</v>
      </c>
    </row>
    <row r="870" spans="1:12">
      <c r="A870">
        <v>100869</v>
      </c>
      <c r="B870">
        <v>53</v>
      </c>
      <c r="C870" s="2">
        <v>31700</v>
      </c>
      <c r="D870" t="s">
        <v>21</v>
      </c>
      <c r="E870" s="2">
        <v>17600</v>
      </c>
      <c r="F870" s="2">
        <v>0</v>
      </c>
      <c r="G870" t="s">
        <v>16</v>
      </c>
      <c r="H870" t="s">
        <v>17</v>
      </c>
      <c r="I870" t="s">
        <v>18</v>
      </c>
      <c r="J870" s="3">
        <v>45424</v>
      </c>
      <c r="K870" s="4">
        <f>ClientiBanca[[#This Row],[Prestito]]+ClientiBanca[[#This Row],[Mutuo]]</f>
        <v>17600</v>
      </c>
      <c r="L870" t="str">
        <f>IF(ClientiBanca[[#This Row],[Reddito annuo]]&gt;=70000,"si","no")</f>
        <v>no</v>
      </c>
    </row>
    <row r="871" spans="1:12">
      <c r="A871">
        <v>100870</v>
      </c>
      <c r="B871">
        <v>54</v>
      </c>
      <c r="C871" s="2">
        <v>54300</v>
      </c>
      <c r="D871" t="s">
        <v>12</v>
      </c>
      <c r="E871" s="2">
        <v>65300</v>
      </c>
      <c r="F871" s="2">
        <v>312000</v>
      </c>
      <c r="G871" t="s">
        <v>26</v>
      </c>
      <c r="H871" t="s">
        <v>17</v>
      </c>
      <c r="I871" t="s">
        <v>18</v>
      </c>
      <c r="J871" s="3">
        <v>45778</v>
      </c>
      <c r="K871" s="4">
        <f>ClientiBanca[[#This Row],[Prestito]]+ClientiBanca[[#This Row],[Mutuo]]</f>
        <v>377300</v>
      </c>
      <c r="L871" t="str">
        <f>IF(ClientiBanca[[#This Row],[Reddito annuo]]&gt;=70000,"si","no")</f>
        <v>no</v>
      </c>
    </row>
    <row r="872" spans="1:12">
      <c r="A872">
        <v>100871</v>
      </c>
      <c r="B872">
        <v>30</v>
      </c>
      <c r="C872" s="2">
        <v>67500</v>
      </c>
      <c r="D872" t="s">
        <v>22</v>
      </c>
      <c r="E872" s="2">
        <v>33900</v>
      </c>
      <c r="F872" s="2">
        <v>0</v>
      </c>
      <c r="G872" t="s">
        <v>26</v>
      </c>
      <c r="H872" t="s">
        <v>20</v>
      </c>
      <c r="I872" t="s">
        <v>18</v>
      </c>
      <c r="J872" s="3">
        <v>45748</v>
      </c>
      <c r="K872" s="4">
        <f>ClientiBanca[[#This Row],[Prestito]]+ClientiBanca[[#This Row],[Mutuo]]</f>
        <v>33900</v>
      </c>
      <c r="L872" t="str">
        <f>IF(ClientiBanca[[#This Row],[Reddito annuo]]&gt;=70000,"si","no")</f>
        <v>no</v>
      </c>
    </row>
    <row r="873" spans="1:12">
      <c r="A873">
        <v>100872</v>
      </c>
      <c r="B873">
        <v>24</v>
      </c>
      <c r="C873" s="2">
        <v>88400</v>
      </c>
      <c r="D873" t="s">
        <v>12</v>
      </c>
      <c r="E873" s="2">
        <v>24800</v>
      </c>
      <c r="F873" s="2">
        <v>0</v>
      </c>
      <c r="G873" t="s">
        <v>28</v>
      </c>
      <c r="H873" t="s">
        <v>20</v>
      </c>
      <c r="I873" t="s">
        <v>18</v>
      </c>
      <c r="J873" s="3">
        <v>46046</v>
      </c>
      <c r="K873" s="4">
        <f>ClientiBanca[[#This Row],[Prestito]]+ClientiBanca[[#This Row],[Mutuo]]</f>
        <v>24800</v>
      </c>
      <c r="L873" t="str">
        <f>IF(ClientiBanca[[#This Row],[Reddito annuo]]&gt;=70000,"si","no")</f>
        <v>si</v>
      </c>
    </row>
    <row r="874" spans="1:12">
      <c r="A874">
        <v>100873</v>
      </c>
      <c r="B874">
        <v>25</v>
      </c>
      <c r="C874" s="2">
        <v>46200</v>
      </c>
      <c r="D874" t="s">
        <v>22</v>
      </c>
      <c r="E874" s="2">
        <v>46400</v>
      </c>
      <c r="F874" s="2">
        <v>0</v>
      </c>
      <c r="G874" t="s">
        <v>26</v>
      </c>
      <c r="H874" t="s">
        <v>17</v>
      </c>
      <c r="I874" t="s">
        <v>18</v>
      </c>
      <c r="J874" s="3">
        <v>46162</v>
      </c>
      <c r="K874" s="4">
        <f>ClientiBanca[[#This Row],[Prestito]]+ClientiBanca[[#This Row],[Mutuo]]</f>
        <v>46400</v>
      </c>
      <c r="L874" t="str">
        <f>IF(ClientiBanca[[#This Row],[Reddito annuo]]&gt;=70000,"si","no")</f>
        <v>no</v>
      </c>
    </row>
    <row r="875" spans="1:12">
      <c r="A875">
        <v>100874</v>
      </c>
      <c r="B875">
        <v>31</v>
      </c>
      <c r="C875" s="2">
        <v>54100</v>
      </c>
      <c r="D875" t="s">
        <v>21</v>
      </c>
      <c r="E875" s="2">
        <v>30000</v>
      </c>
      <c r="F875" s="2">
        <v>0</v>
      </c>
      <c r="G875" t="s">
        <v>24</v>
      </c>
      <c r="H875" t="s">
        <v>17</v>
      </c>
      <c r="I875" t="s">
        <v>18</v>
      </c>
      <c r="J875" s="3">
        <v>46007</v>
      </c>
      <c r="K875" s="4">
        <f>ClientiBanca[[#This Row],[Prestito]]+ClientiBanca[[#This Row],[Mutuo]]</f>
        <v>30000</v>
      </c>
      <c r="L875" t="str">
        <f>IF(ClientiBanca[[#This Row],[Reddito annuo]]&gt;=70000,"si","no")</f>
        <v>no</v>
      </c>
    </row>
    <row r="876" spans="1:12">
      <c r="A876">
        <v>100875</v>
      </c>
      <c r="B876">
        <v>22</v>
      </c>
      <c r="C876" s="2">
        <v>43400</v>
      </c>
      <c r="D876" t="s">
        <v>22</v>
      </c>
      <c r="E876" s="2">
        <v>41500</v>
      </c>
      <c r="F876" s="2">
        <v>0</v>
      </c>
      <c r="G876" t="s">
        <v>13</v>
      </c>
      <c r="H876" t="s">
        <v>14</v>
      </c>
      <c r="I876" t="s">
        <v>18</v>
      </c>
      <c r="J876" s="3">
        <v>45514</v>
      </c>
      <c r="K876" s="4">
        <f>ClientiBanca[[#This Row],[Prestito]]+ClientiBanca[[#This Row],[Mutuo]]</f>
        <v>41500</v>
      </c>
      <c r="L876" t="str">
        <f>IF(ClientiBanca[[#This Row],[Reddito annuo]]&gt;=70000,"si","no")</f>
        <v>no</v>
      </c>
    </row>
    <row r="877" spans="1:12">
      <c r="A877">
        <v>100876</v>
      </c>
      <c r="B877">
        <v>51</v>
      </c>
      <c r="C877" s="2">
        <v>53800</v>
      </c>
      <c r="D877" t="s">
        <v>12</v>
      </c>
      <c r="E877" s="2">
        <v>26800</v>
      </c>
      <c r="F877" s="2">
        <v>0</v>
      </c>
      <c r="G877" t="s">
        <v>19</v>
      </c>
      <c r="H877" t="s">
        <v>17</v>
      </c>
      <c r="I877" t="s">
        <v>18</v>
      </c>
      <c r="J877" s="3">
        <v>45504</v>
      </c>
      <c r="K877" s="4">
        <f>ClientiBanca[[#This Row],[Prestito]]+ClientiBanca[[#This Row],[Mutuo]]</f>
        <v>26800</v>
      </c>
      <c r="L877" t="str">
        <f>IF(ClientiBanca[[#This Row],[Reddito annuo]]&gt;=70000,"si","no")</f>
        <v>no</v>
      </c>
    </row>
    <row r="878" spans="1:12">
      <c r="A878">
        <v>100877</v>
      </c>
      <c r="B878">
        <v>52</v>
      </c>
      <c r="C878" s="2">
        <v>29000</v>
      </c>
      <c r="D878" t="s">
        <v>21</v>
      </c>
      <c r="E878" s="2">
        <v>36200</v>
      </c>
      <c r="F878" s="2">
        <v>0</v>
      </c>
      <c r="G878" t="s">
        <v>19</v>
      </c>
      <c r="H878" t="s">
        <v>14</v>
      </c>
      <c r="I878" t="s">
        <v>18</v>
      </c>
      <c r="J878" s="3">
        <v>45698</v>
      </c>
      <c r="K878" s="4">
        <f>ClientiBanca[[#This Row],[Prestito]]+ClientiBanca[[#This Row],[Mutuo]]</f>
        <v>36200</v>
      </c>
      <c r="L878" t="str">
        <f>IF(ClientiBanca[[#This Row],[Reddito annuo]]&gt;=70000,"si","no")</f>
        <v>no</v>
      </c>
    </row>
    <row r="879" spans="1:12">
      <c r="A879">
        <v>100878</v>
      </c>
      <c r="B879">
        <v>22</v>
      </c>
      <c r="C879" s="2">
        <v>23400</v>
      </c>
      <c r="D879" t="s">
        <v>21</v>
      </c>
      <c r="E879" s="2">
        <v>0</v>
      </c>
      <c r="F879" s="2">
        <v>0</v>
      </c>
      <c r="G879" t="s">
        <v>28</v>
      </c>
      <c r="H879" t="s">
        <v>17</v>
      </c>
      <c r="I879" t="s">
        <v>18</v>
      </c>
      <c r="J879" s="3">
        <v>45361</v>
      </c>
      <c r="K879" s="4">
        <f>ClientiBanca[[#This Row],[Prestito]]+ClientiBanca[[#This Row],[Mutuo]]</f>
        <v>0</v>
      </c>
      <c r="L879" t="str">
        <f>IF(ClientiBanca[[#This Row],[Reddito annuo]]&gt;=70000,"si","no")</f>
        <v>no</v>
      </c>
    </row>
    <row r="880" spans="1:12">
      <c r="A880">
        <v>100879</v>
      </c>
      <c r="B880">
        <v>25</v>
      </c>
      <c r="C880" s="2">
        <v>63300</v>
      </c>
      <c r="D880" t="s">
        <v>21</v>
      </c>
      <c r="E880" s="2">
        <v>0</v>
      </c>
      <c r="F880" s="2">
        <v>293000</v>
      </c>
      <c r="G880" t="s">
        <v>24</v>
      </c>
      <c r="H880" t="s">
        <v>20</v>
      </c>
      <c r="I880" t="s">
        <v>18</v>
      </c>
      <c r="J880" s="3">
        <v>45310</v>
      </c>
      <c r="K880" s="4">
        <f>ClientiBanca[[#This Row],[Prestito]]+ClientiBanca[[#This Row],[Mutuo]]</f>
        <v>293000</v>
      </c>
      <c r="L880" t="str">
        <f>IF(ClientiBanca[[#This Row],[Reddito annuo]]&gt;=70000,"si","no")</f>
        <v>no</v>
      </c>
    </row>
    <row r="881" spans="1:12">
      <c r="A881">
        <v>100880</v>
      </c>
      <c r="B881">
        <v>58</v>
      </c>
      <c r="C881" s="2">
        <v>34400</v>
      </c>
      <c r="D881" t="s">
        <v>21</v>
      </c>
      <c r="E881" s="2">
        <v>27900</v>
      </c>
      <c r="F881" s="2">
        <v>274000</v>
      </c>
      <c r="G881" t="s">
        <v>26</v>
      </c>
      <c r="H881" t="s">
        <v>17</v>
      </c>
      <c r="I881" t="s">
        <v>18</v>
      </c>
      <c r="J881" s="3">
        <v>45513</v>
      </c>
      <c r="K881" s="4">
        <f>ClientiBanca[[#This Row],[Prestito]]+ClientiBanca[[#This Row],[Mutuo]]</f>
        <v>301900</v>
      </c>
      <c r="L881" t="str">
        <f>IF(ClientiBanca[[#This Row],[Reddito annuo]]&gt;=70000,"si","no")</f>
        <v>no</v>
      </c>
    </row>
    <row r="882" spans="1:12">
      <c r="A882">
        <v>100881</v>
      </c>
      <c r="B882">
        <v>65</v>
      </c>
      <c r="C882" s="2">
        <v>27600</v>
      </c>
      <c r="D882" t="s">
        <v>12</v>
      </c>
      <c r="E882" s="2">
        <v>34500</v>
      </c>
      <c r="F882" s="2">
        <v>0</v>
      </c>
      <c r="G882" t="s">
        <v>13</v>
      </c>
      <c r="H882" t="s">
        <v>17</v>
      </c>
      <c r="I882" t="s">
        <v>18</v>
      </c>
      <c r="J882" s="3">
        <v>45345</v>
      </c>
      <c r="K882" s="4">
        <f>ClientiBanca[[#This Row],[Prestito]]+ClientiBanca[[#This Row],[Mutuo]]</f>
        <v>34500</v>
      </c>
      <c r="L882" t="str">
        <f>IF(ClientiBanca[[#This Row],[Reddito annuo]]&gt;=70000,"si","no")</f>
        <v>no</v>
      </c>
    </row>
    <row r="883" spans="1:12">
      <c r="A883">
        <v>100882</v>
      </c>
      <c r="B883">
        <v>58</v>
      </c>
      <c r="C883" s="2">
        <v>21500</v>
      </c>
      <c r="D883" t="s">
        <v>12</v>
      </c>
      <c r="E883" s="2">
        <v>0</v>
      </c>
      <c r="F883" s="2">
        <v>0</v>
      </c>
      <c r="G883" t="s">
        <v>19</v>
      </c>
      <c r="H883" t="s">
        <v>25</v>
      </c>
      <c r="I883" t="s">
        <v>18</v>
      </c>
      <c r="J883" s="3">
        <v>45496</v>
      </c>
      <c r="K883" s="4">
        <f>ClientiBanca[[#This Row],[Prestito]]+ClientiBanca[[#This Row],[Mutuo]]</f>
        <v>0</v>
      </c>
      <c r="L883" t="str">
        <f>IF(ClientiBanca[[#This Row],[Reddito annuo]]&gt;=70000,"si","no")</f>
        <v>no</v>
      </c>
    </row>
    <row r="884" spans="1:12">
      <c r="A884">
        <v>100883</v>
      </c>
      <c r="B884">
        <v>25</v>
      </c>
      <c r="C884" s="2">
        <v>24600</v>
      </c>
      <c r="D884" t="s">
        <v>21</v>
      </c>
      <c r="E884" s="2">
        <v>30800</v>
      </c>
      <c r="F884" s="2">
        <v>0</v>
      </c>
      <c r="G884" t="s">
        <v>13</v>
      </c>
      <c r="H884" t="s">
        <v>17</v>
      </c>
      <c r="I884" t="s">
        <v>18</v>
      </c>
      <c r="J884" s="3">
        <v>46108</v>
      </c>
      <c r="K884" s="4">
        <f>ClientiBanca[[#This Row],[Prestito]]+ClientiBanca[[#This Row],[Mutuo]]</f>
        <v>30800</v>
      </c>
      <c r="L884" t="str">
        <f>IF(ClientiBanca[[#This Row],[Reddito annuo]]&gt;=70000,"si","no")</f>
        <v>no</v>
      </c>
    </row>
    <row r="885" spans="1:12">
      <c r="A885">
        <v>100884</v>
      </c>
      <c r="B885">
        <v>73</v>
      </c>
      <c r="C885" s="2">
        <v>89100</v>
      </c>
      <c r="D885" t="s">
        <v>21</v>
      </c>
      <c r="E885" s="2">
        <v>29200</v>
      </c>
      <c r="F885" s="2">
        <v>174000</v>
      </c>
      <c r="G885" t="s">
        <v>23</v>
      </c>
      <c r="H885" t="s">
        <v>17</v>
      </c>
      <c r="I885" t="s">
        <v>18</v>
      </c>
      <c r="J885" s="3">
        <v>45696</v>
      </c>
      <c r="K885" s="4">
        <f>ClientiBanca[[#This Row],[Prestito]]+ClientiBanca[[#This Row],[Mutuo]]</f>
        <v>203200</v>
      </c>
      <c r="L885" t="str">
        <f>IF(ClientiBanca[[#This Row],[Reddito annuo]]&gt;=70000,"si","no")</f>
        <v>si</v>
      </c>
    </row>
    <row r="886" spans="1:12">
      <c r="A886">
        <v>100885</v>
      </c>
      <c r="B886">
        <v>47</v>
      </c>
      <c r="C886" s="2">
        <v>36000</v>
      </c>
      <c r="D886" t="s">
        <v>21</v>
      </c>
      <c r="E886" s="2">
        <v>17600</v>
      </c>
      <c r="F886" s="2">
        <v>0</v>
      </c>
      <c r="G886" t="s">
        <v>19</v>
      </c>
      <c r="H886" t="s">
        <v>20</v>
      </c>
      <c r="I886" t="s">
        <v>18</v>
      </c>
      <c r="J886" s="3">
        <v>45517</v>
      </c>
      <c r="K886" s="4">
        <f>ClientiBanca[[#This Row],[Prestito]]+ClientiBanca[[#This Row],[Mutuo]]</f>
        <v>17600</v>
      </c>
      <c r="L886" t="str">
        <f>IF(ClientiBanca[[#This Row],[Reddito annuo]]&gt;=70000,"si","no")</f>
        <v>no</v>
      </c>
    </row>
    <row r="887" spans="1:12">
      <c r="A887">
        <v>100886</v>
      </c>
      <c r="B887">
        <v>24</v>
      </c>
      <c r="C887" s="2">
        <v>71900</v>
      </c>
      <c r="D887" t="s">
        <v>21</v>
      </c>
      <c r="E887" s="2">
        <v>9900</v>
      </c>
      <c r="F887" s="2">
        <v>0</v>
      </c>
      <c r="G887" t="s">
        <v>16</v>
      </c>
      <c r="H887" t="s">
        <v>17</v>
      </c>
      <c r="I887" t="s">
        <v>18</v>
      </c>
      <c r="J887" s="3">
        <v>45396</v>
      </c>
      <c r="K887" s="4">
        <f>ClientiBanca[[#This Row],[Prestito]]+ClientiBanca[[#This Row],[Mutuo]]</f>
        <v>9900</v>
      </c>
      <c r="L887" t="str">
        <f>IF(ClientiBanca[[#This Row],[Reddito annuo]]&gt;=70000,"si","no")</f>
        <v>si</v>
      </c>
    </row>
    <row r="888" spans="1:12">
      <c r="A888">
        <v>100887</v>
      </c>
      <c r="B888">
        <v>65</v>
      </c>
      <c r="C888" s="2">
        <v>62400</v>
      </c>
      <c r="D888" t="s">
        <v>22</v>
      </c>
      <c r="E888" s="2">
        <v>0</v>
      </c>
      <c r="F888" s="2">
        <v>359000</v>
      </c>
      <c r="G888" t="s">
        <v>19</v>
      </c>
      <c r="H888" t="s">
        <v>25</v>
      </c>
      <c r="I888" t="s">
        <v>18</v>
      </c>
      <c r="J888" s="3">
        <v>46005</v>
      </c>
      <c r="K888" s="4">
        <f>ClientiBanca[[#This Row],[Prestito]]+ClientiBanca[[#This Row],[Mutuo]]</f>
        <v>359000</v>
      </c>
      <c r="L888" t="str">
        <f>IF(ClientiBanca[[#This Row],[Reddito annuo]]&gt;=70000,"si","no")</f>
        <v>no</v>
      </c>
    </row>
    <row r="889" spans="1:12">
      <c r="A889">
        <v>100888</v>
      </c>
      <c r="B889">
        <v>44</v>
      </c>
      <c r="C889" s="2">
        <v>73700</v>
      </c>
      <c r="D889" t="s">
        <v>22</v>
      </c>
      <c r="E889" s="2">
        <v>24900</v>
      </c>
      <c r="F889" s="2">
        <v>0</v>
      </c>
      <c r="G889" t="s">
        <v>19</v>
      </c>
      <c r="H889" t="s">
        <v>25</v>
      </c>
      <c r="I889" t="s">
        <v>18</v>
      </c>
      <c r="J889" s="3">
        <v>45361</v>
      </c>
      <c r="K889" s="4">
        <f>ClientiBanca[[#This Row],[Prestito]]+ClientiBanca[[#This Row],[Mutuo]]</f>
        <v>24900</v>
      </c>
      <c r="L889" t="str">
        <f>IF(ClientiBanca[[#This Row],[Reddito annuo]]&gt;=70000,"si","no")</f>
        <v>si</v>
      </c>
    </row>
    <row r="890" spans="1:12">
      <c r="A890">
        <v>100889</v>
      </c>
      <c r="B890">
        <v>41</v>
      </c>
      <c r="C890" s="2">
        <v>24900</v>
      </c>
      <c r="D890" t="s">
        <v>22</v>
      </c>
      <c r="E890" s="2">
        <v>31100</v>
      </c>
      <c r="F890" s="2">
        <v>0</v>
      </c>
      <c r="G890" t="s">
        <v>27</v>
      </c>
      <c r="H890" t="s">
        <v>17</v>
      </c>
      <c r="I890" t="s">
        <v>18</v>
      </c>
      <c r="J890" s="3">
        <v>46210</v>
      </c>
      <c r="K890" s="4">
        <f>ClientiBanca[[#This Row],[Prestito]]+ClientiBanca[[#This Row],[Mutuo]]</f>
        <v>31100</v>
      </c>
      <c r="L890" t="str">
        <f>IF(ClientiBanca[[#This Row],[Reddito annuo]]&gt;=70000,"si","no")</f>
        <v>no</v>
      </c>
    </row>
    <row r="891" spans="1:12">
      <c r="A891">
        <v>100890</v>
      </c>
      <c r="B891">
        <v>27</v>
      </c>
      <c r="C891" s="2">
        <v>47500</v>
      </c>
      <c r="D891" t="s">
        <v>12</v>
      </c>
      <c r="E891" s="2">
        <v>0</v>
      </c>
      <c r="F891" s="2">
        <v>0</v>
      </c>
      <c r="G891" t="s">
        <v>27</v>
      </c>
      <c r="H891" t="s">
        <v>20</v>
      </c>
      <c r="I891" t="s">
        <v>18</v>
      </c>
      <c r="J891" s="3">
        <v>45802</v>
      </c>
      <c r="K891" s="4">
        <f>ClientiBanca[[#This Row],[Prestito]]+ClientiBanca[[#This Row],[Mutuo]]</f>
        <v>0</v>
      </c>
      <c r="L891" t="str">
        <f>IF(ClientiBanca[[#This Row],[Reddito annuo]]&gt;=70000,"si","no")</f>
        <v>no</v>
      </c>
    </row>
    <row r="892" spans="1:12">
      <c r="A892">
        <v>100891</v>
      </c>
      <c r="B892">
        <v>38</v>
      </c>
      <c r="C892" s="2">
        <v>41300</v>
      </c>
      <c r="D892" t="s">
        <v>21</v>
      </c>
      <c r="E892" s="2">
        <v>20500</v>
      </c>
      <c r="F892" s="2">
        <v>0</v>
      </c>
      <c r="G892" t="s">
        <v>28</v>
      </c>
      <c r="H892" t="s">
        <v>14</v>
      </c>
      <c r="I892" t="s">
        <v>18</v>
      </c>
      <c r="J892" s="3">
        <v>45576</v>
      </c>
      <c r="K892" s="4">
        <f>ClientiBanca[[#This Row],[Prestito]]+ClientiBanca[[#This Row],[Mutuo]]</f>
        <v>20500</v>
      </c>
      <c r="L892" t="str">
        <f>IF(ClientiBanca[[#This Row],[Reddito annuo]]&gt;=70000,"si","no")</f>
        <v>no</v>
      </c>
    </row>
    <row r="893" spans="1:12">
      <c r="A893">
        <v>100892</v>
      </c>
      <c r="B893">
        <v>40</v>
      </c>
      <c r="C893" s="2">
        <v>70700</v>
      </c>
      <c r="D893" t="s">
        <v>12</v>
      </c>
      <c r="E893" s="2">
        <v>78100</v>
      </c>
      <c r="F893" s="2">
        <v>0</v>
      </c>
      <c r="G893" t="s">
        <v>26</v>
      </c>
      <c r="H893" t="s">
        <v>14</v>
      </c>
      <c r="I893" t="s">
        <v>18</v>
      </c>
      <c r="J893" s="3">
        <v>46042</v>
      </c>
      <c r="K893" s="4">
        <f>ClientiBanca[[#This Row],[Prestito]]+ClientiBanca[[#This Row],[Mutuo]]</f>
        <v>78100</v>
      </c>
      <c r="L893" t="str">
        <f>IF(ClientiBanca[[#This Row],[Reddito annuo]]&gt;=70000,"si","no")</f>
        <v>si</v>
      </c>
    </row>
    <row r="894" spans="1:12">
      <c r="A894">
        <v>100893</v>
      </c>
      <c r="B894">
        <v>41</v>
      </c>
      <c r="C894" s="2">
        <v>49500</v>
      </c>
      <c r="D894" t="s">
        <v>21</v>
      </c>
      <c r="E894" s="2">
        <v>61900</v>
      </c>
      <c r="F894" s="2">
        <v>0</v>
      </c>
      <c r="G894" t="s">
        <v>23</v>
      </c>
      <c r="H894" t="s">
        <v>17</v>
      </c>
      <c r="I894" t="s">
        <v>18</v>
      </c>
      <c r="J894" s="3">
        <v>45621</v>
      </c>
      <c r="K894" s="4">
        <f>ClientiBanca[[#This Row],[Prestito]]+ClientiBanca[[#This Row],[Mutuo]]</f>
        <v>61900</v>
      </c>
      <c r="L894" t="str">
        <f>IF(ClientiBanca[[#This Row],[Reddito annuo]]&gt;=70000,"si","no")</f>
        <v>no</v>
      </c>
    </row>
    <row r="895" spans="1:12">
      <c r="A895">
        <v>100894</v>
      </c>
      <c r="B895">
        <v>31</v>
      </c>
      <c r="C895" s="2">
        <v>55900</v>
      </c>
      <c r="D895" t="s">
        <v>21</v>
      </c>
      <c r="E895" s="2">
        <v>0</v>
      </c>
      <c r="F895" s="2">
        <v>147000</v>
      </c>
      <c r="G895" t="s">
        <v>24</v>
      </c>
      <c r="H895" t="s">
        <v>14</v>
      </c>
      <c r="I895" t="s">
        <v>18</v>
      </c>
      <c r="J895" s="3">
        <v>45420</v>
      </c>
      <c r="K895" s="4">
        <f>ClientiBanca[[#This Row],[Prestito]]+ClientiBanca[[#This Row],[Mutuo]]</f>
        <v>147000</v>
      </c>
      <c r="L895" t="str">
        <f>IF(ClientiBanca[[#This Row],[Reddito annuo]]&gt;=70000,"si","no")</f>
        <v>no</v>
      </c>
    </row>
    <row r="896" spans="1:12">
      <c r="A896">
        <v>100895</v>
      </c>
      <c r="B896">
        <v>25</v>
      </c>
      <c r="C896" s="2">
        <v>39600</v>
      </c>
      <c r="D896" t="s">
        <v>12</v>
      </c>
      <c r="E896" s="2">
        <v>0</v>
      </c>
      <c r="F896" s="2">
        <v>0</v>
      </c>
      <c r="G896" t="s">
        <v>13</v>
      </c>
      <c r="H896" t="s">
        <v>17</v>
      </c>
      <c r="I896" t="s">
        <v>18</v>
      </c>
      <c r="J896" s="3">
        <v>45770</v>
      </c>
      <c r="K896" s="4">
        <f>ClientiBanca[[#This Row],[Prestito]]+ClientiBanca[[#This Row],[Mutuo]]</f>
        <v>0</v>
      </c>
      <c r="L896" t="str">
        <f>IF(ClientiBanca[[#This Row],[Reddito annuo]]&gt;=70000,"si","no")</f>
        <v>no</v>
      </c>
    </row>
    <row r="897" spans="1:12">
      <c r="A897">
        <v>100896</v>
      </c>
      <c r="B897">
        <v>39</v>
      </c>
      <c r="C897" s="2">
        <v>39000</v>
      </c>
      <c r="D897" t="s">
        <v>21</v>
      </c>
      <c r="E897" s="2">
        <v>40000</v>
      </c>
      <c r="F897" s="2">
        <v>0</v>
      </c>
      <c r="G897" t="s">
        <v>28</v>
      </c>
      <c r="H897" t="s">
        <v>25</v>
      </c>
      <c r="I897" t="s">
        <v>15</v>
      </c>
      <c r="J897" s="3">
        <v>46175</v>
      </c>
      <c r="K897" s="4">
        <f>ClientiBanca[[#This Row],[Prestito]]+ClientiBanca[[#This Row],[Mutuo]]</f>
        <v>40000</v>
      </c>
      <c r="L897" t="str">
        <f>IF(ClientiBanca[[#This Row],[Reddito annuo]]&gt;=70000,"si","no")</f>
        <v>no</v>
      </c>
    </row>
    <row r="898" spans="1:12">
      <c r="A898">
        <v>100897</v>
      </c>
      <c r="B898">
        <v>70</v>
      </c>
      <c r="C898" s="2">
        <v>58500</v>
      </c>
      <c r="D898" t="s">
        <v>22</v>
      </c>
      <c r="E898" s="2">
        <v>27200</v>
      </c>
      <c r="F898" s="2">
        <v>0</v>
      </c>
      <c r="G898" t="s">
        <v>16</v>
      </c>
      <c r="H898" t="s">
        <v>17</v>
      </c>
      <c r="I898" t="s">
        <v>18</v>
      </c>
      <c r="J898" s="3">
        <v>46070</v>
      </c>
      <c r="K898" s="4">
        <f>ClientiBanca[[#This Row],[Prestito]]+ClientiBanca[[#This Row],[Mutuo]]</f>
        <v>27200</v>
      </c>
      <c r="L898" t="str">
        <f>IF(ClientiBanca[[#This Row],[Reddito annuo]]&gt;=70000,"si","no")</f>
        <v>no</v>
      </c>
    </row>
    <row r="899" spans="1:12">
      <c r="A899">
        <v>100898</v>
      </c>
      <c r="B899">
        <v>29</v>
      </c>
      <c r="C899" s="2">
        <v>87800</v>
      </c>
      <c r="D899" t="s">
        <v>12</v>
      </c>
      <c r="E899" s="2">
        <v>27400</v>
      </c>
      <c r="F899" s="2">
        <v>0</v>
      </c>
      <c r="G899" t="s">
        <v>26</v>
      </c>
      <c r="H899" t="s">
        <v>17</v>
      </c>
      <c r="I899" t="s">
        <v>18</v>
      </c>
      <c r="J899" s="3">
        <v>46036</v>
      </c>
      <c r="K899" s="4">
        <f>ClientiBanca[[#This Row],[Prestito]]+ClientiBanca[[#This Row],[Mutuo]]</f>
        <v>27400</v>
      </c>
      <c r="L899" t="str">
        <f>IF(ClientiBanca[[#This Row],[Reddito annuo]]&gt;=70000,"si","no")</f>
        <v>si</v>
      </c>
    </row>
    <row r="900" spans="1:12">
      <c r="A900">
        <v>100899</v>
      </c>
      <c r="B900">
        <v>31</v>
      </c>
      <c r="C900" s="2">
        <v>44400</v>
      </c>
      <c r="D900" t="s">
        <v>21</v>
      </c>
      <c r="E900" s="2">
        <v>27100</v>
      </c>
      <c r="F900" s="2">
        <v>0</v>
      </c>
      <c r="G900" t="s">
        <v>13</v>
      </c>
      <c r="H900" t="s">
        <v>17</v>
      </c>
      <c r="I900" t="s">
        <v>18</v>
      </c>
      <c r="J900" s="3">
        <v>45492</v>
      </c>
      <c r="K900" s="4">
        <f>ClientiBanca[[#This Row],[Prestito]]+ClientiBanca[[#This Row],[Mutuo]]</f>
        <v>27100</v>
      </c>
      <c r="L900" t="str">
        <f>IF(ClientiBanca[[#This Row],[Reddito annuo]]&gt;=70000,"si","no")</f>
        <v>no</v>
      </c>
    </row>
    <row r="901" spans="1:12">
      <c r="A901">
        <v>100900</v>
      </c>
      <c r="B901">
        <v>29</v>
      </c>
      <c r="C901" s="2">
        <v>101200</v>
      </c>
      <c r="D901" t="s">
        <v>21</v>
      </c>
      <c r="E901" s="2">
        <v>0</v>
      </c>
      <c r="F901" s="2">
        <v>0</v>
      </c>
      <c r="G901" t="s">
        <v>19</v>
      </c>
      <c r="H901" t="s">
        <v>20</v>
      </c>
      <c r="I901" t="s">
        <v>18</v>
      </c>
      <c r="J901" s="3">
        <v>46239</v>
      </c>
      <c r="K901" s="4">
        <f>ClientiBanca[[#This Row],[Prestito]]+ClientiBanca[[#This Row],[Mutuo]]</f>
        <v>0</v>
      </c>
      <c r="L901" t="str">
        <f>IF(ClientiBanca[[#This Row],[Reddito annuo]]&gt;=70000,"si","no")</f>
        <v>si</v>
      </c>
    </row>
    <row r="902" spans="1:12">
      <c r="A902">
        <v>100901</v>
      </c>
      <c r="B902">
        <v>46</v>
      </c>
      <c r="C902" s="2">
        <v>105700</v>
      </c>
      <c r="D902" t="s">
        <v>22</v>
      </c>
      <c r="E902" s="2">
        <v>33100</v>
      </c>
      <c r="F902" s="2">
        <v>0</v>
      </c>
      <c r="G902" t="s">
        <v>13</v>
      </c>
      <c r="H902" t="s">
        <v>20</v>
      </c>
      <c r="I902" t="s">
        <v>18</v>
      </c>
      <c r="J902" s="3">
        <v>46235</v>
      </c>
      <c r="K902" s="4">
        <f>ClientiBanca[[#This Row],[Prestito]]+ClientiBanca[[#This Row],[Mutuo]]</f>
        <v>33100</v>
      </c>
      <c r="L902" t="str">
        <f>IF(ClientiBanca[[#This Row],[Reddito annuo]]&gt;=70000,"si","no")</f>
        <v>si</v>
      </c>
    </row>
    <row r="903" spans="1:12">
      <c r="A903">
        <v>100902</v>
      </c>
      <c r="B903">
        <v>27</v>
      </c>
      <c r="C903" s="2">
        <v>52100</v>
      </c>
      <c r="D903" t="s">
        <v>12</v>
      </c>
      <c r="E903" s="2">
        <v>30200</v>
      </c>
      <c r="F903" s="2">
        <v>0</v>
      </c>
      <c r="G903" t="s">
        <v>19</v>
      </c>
      <c r="H903" t="s">
        <v>17</v>
      </c>
      <c r="I903" t="s">
        <v>18</v>
      </c>
      <c r="J903" s="3">
        <v>45997</v>
      </c>
      <c r="K903" s="4">
        <f>ClientiBanca[[#This Row],[Prestito]]+ClientiBanca[[#This Row],[Mutuo]]</f>
        <v>30200</v>
      </c>
      <c r="L903" t="str">
        <f>IF(ClientiBanca[[#This Row],[Reddito annuo]]&gt;=70000,"si","no")</f>
        <v>no</v>
      </c>
    </row>
    <row r="904" spans="1:12">
      <c r="A904">
        <v>100903</v>
      </c>
      <c r="B904">
        <v>43</v>
      </c>
      <c r="C904" s="2">
        <v>75300</v>
      </c>
      <c r="D904" t="s">
        <v>12</v>
      </c>
      <c r="E904" s="2">
        <v>0</v>
      </c>
      <c r="F904" s="2">
        <v>0</v>
      </c>
      <c r="G904" t="s">
        <v>23</v>
      </c>
      <c r="H904" t="s">
        <v>20</v>
      </c>
      <c r="I904" t="s">
        <v>18</v>
      </c>
      <c r="J904" s="3">
        <v>46235</v>
      </c>
      <c r="K904" s="4">
        <f>ClientiBanca[[#This Row],[Prestito]]+ClientiBanca[[#This Row],[Mutuo]]</f>
        <v>0</v>
      </c>
      <c r="L904" t="str">
        <f>IF(ClientiBanca[[#This Row],[Reddito annuo]]&gt;=70000,"si","no")</f>
        <v>si</v>
      </c>
    </row>
    <row r="905" spans="1:12">
      <c r="A905">
        <v>100904</v>
      </c>
      <c r="B905">
        <v>72</v>
      </c>
      <c r="C905" s="2">
        <v>50700</v>
      </c>
      <c r="D905" t="s">
        <v>12</v>
      </c>
      <c r="E905" s="2">
        <v>44000</v>
      </c>
      <c r="F905" s="2">
        <v>232000</v>
      </c>
      <c r="G905" t="s">
        <v>24</v>
      </c>
      <c r="H905" t="s">
        <v>20</v>
      </c>
      <c r="I905" t="s">
        <v>18</v>
      </c>
      <c r="J905" s="3">
        <v>45970</v>
      </c>
      <c r="K905" s="4">
        <f>ClientiBanca[[#This Row],[Prestito]]+ClientiBanca[[#This Row],[Mutuo]]</f>
        <v>276000</v>
      </c>
      <c r="L905" t="str">
        <f>IF(ClientiBanca[[#This Row],[Reddito annuo]]&gt;=70000,"si","no")</f>
        <v>no</v>
      </c>
    </row>
    <row r="906" spans="1:12">
      <c r="A906">
        <v>100905</v>
      </c>
      <c r="B906">
        <v>73</v>
      </c>
      <c r="C906" s="2">
        <v>38800</v>
      </c>
      <c r="D906" t="s">
        <v>21</v>
      </c>
      <c r="E906" s="2">
        <v>47300</v>
      </c>
      <c r="F906" s="2">
        <v>0</v>
      </c>
      <c r="G906" t="s">
        <v>13</v>
      </c>
      <c r="H906" t="s">
        <v>17</v>
      </c>
      <c r="I906" t="s">
        <v>18</v>
      </c>
      <c r="J906" s="3">
        <v>45725</v>
      </c>
      <c r="K906" s="4">
        <f>ClientiBanca[[#This Row],[Prestito]]+ClientiBanca[[#This Row],[Mutuo]]</f>
        <v>47300</v>
      </c>
      <c r="L906" t="str">
        <f>IF(ClientiBanca[[#This Row],[Reddito annuo]]&gt;=70000,"si","no")</f>
        <v>no</v>
      </c>
    </row>
    <row r="907" spans="1:12">
      <c r="A907">
        <v>100906</v>
      </c>
      <c r="B907">
        <v>30</v>
      </c>
      <c r="C907" s="2">
        <v>89000</v>
      </c>
      <c r="D907" t="s">
        <v>21</v>
      </c>
      <c r="E907" s="2">
        <v>75700</v>
      </c>
      <c r="F907" s="2">
        <v>0</v>
      </c>
      <c r="G907" t="s">
        <v>16</v>
      </c>
      <c r="H907" t="s">
        <v>17</v>
      </c>
      <c r="I907" t="s">
        <v>18</v>
      </c>
      <c r="J907" s="3">
        <v>46062</v>
      </c>
      <c r="K907" s="4">
        <f>ClientiBanca[[#This Row],[Prestito]]+ClientiBanca[[#This Row],[Mutuo]]</f>
        <v>75700</v>
      </c>
      <c r="L907" t="str">
        <f>IF(ClientiBanca[[#This Row],[Reddito annuo]]&gt;=70000,"si","no")</f>
        <v>si</v>
      </c>
    </row>
    <row r="908" spans="1:12">
      <c r="A908">
        <v>100907</v>
      </c>
      <c r="B908">
        <v>66</v>
      </c>
      <c r="C908" s="2">
        <v>94100</v>
      </c>
      <c r="D908" t="s">
        <v>21</v>
      </c>
      <c r="E908" s="2">
        <v>54200</v>
      </c>
      <c r="F908" s="2">
        <v>0</v>
      </c>
      <c r="G908" t="s">
        <v>26</v>
      </c>
      <c r="H908" t="s">
        <v>17</v>
      </c>
      <c r="I908" t="s">
        <v>18</v>
      </c>
      <c r="J908" s="3">
        <v>45699</v>
      </c>
      <c r="K908" s="4">
        <f>ClientiBanca[[#This Row],[Prestito]]+ClientiBanca[[#This Row],[Mutuo]]</f>
        <v>54200</v>
      </c>
      <c r="L908" t="str">
        <f>IF(ClientiBanca[[#This Row],[Reddito annuo]]&gt;=70000,"si","no")</f>
        <v>si</v>
      </c>
    </row>
    <row r="909" spans="1:12">
      <c r="A909">
        <v>100908</v>
      </c>
      <c r="B909">
        <v>64</v>
      </c>
      <c r="C909" s="2">
        <v>47400</v>
      </c>
      <c r="D909" t="s">
        <v>22</v>
      </c>
      <c r="E909" s="2">
        <v>0</v>
      </c>
      <c r="F909" s="2">
        <v>113000</v>
      </c>
      <c r="G909" t="s">
        <v>16</v>
      </c>
      <c r="H909" t="s">
        <v>17</v>
      </c>
      <c r="I909" t="s">
        <v>18</v>
      </c>
      <c r="J909" s="3">
        <v>45962</v>
      </c>
      <c r="K909" s="4">
        <f>ClientiBanca[[#This Row],[Prestito]]+ClientiBanca[[#This Row],[Mutuo]]</f>
        <v>113000</v>
      </c>
      <c r="L909" t="str">
        <f>IF(ClientiBanca[[#This Row],[Reddito annuo]]&gt;=70000,"si","no")</f>
        <v>no</v>
      </c>
    </row>
    <row r="910" spans="1:12">
      <c r="A910">
        <v>100909</v>
      </c>
      <c r="B910">
        <v>38</v>
      </c>
      <c r="C910" s="2">
        <v>78700</v>
      </c>
      <c r="D910" t="s">
        <v>21</v>
      </c>
      <c r="E910" s="2">
        <v>46700</v>
      </c>
      <c r="F910" s="2">
        <v>145000</v>
      </c>
      <c r="G910" t="s">
        <v>13</v>
      </c>
      <c r="H910" t="s">
        <v>20</v>
      </c>
      <c r="I910" t="s">
        <v>18</v>
      </c>
      <c r="J910" s="3">
        <v>45482</v>
      </c>
      <c r="K910" s="4">
        <f>ClientiBanca[[#This Row],[Prestito]]+ClientiBanca[[#This Row],[Mutuo]]</f>
        <v>191700</v>
      </c>
      <c r="L910" t="str">
        <f>IF(ClientiBanca[[#This Row],[Reddito annuo]]&gt;=70000,"si","no")</f>
        <v>si</v>
      </c>
    </row>
    <row r="911" spans="1:12">
      <c r="A911">
        <v>100910</v>
      </c>
      <c r="B911">
        <v>32</v>
      </c>
      <c r="C911" s="2">
        <v>30600</v>
      </c>
      <c r="D911" t="s">
        <v>21</v>
      </c>
      <c r="E911" s="2">
        <v>0</v>
      </c>
      <c r="F911" s="2">
        <v>0</v>
      </c>
      <c r="G911" t="s">
        <v>16</v>
      </c>
      <c r="H911" t="s">
        <v>17</v>
      </c>
      <c r="I911" t="s">
        <v>18</v>
      </c>
      <c r="J911" s="3">
        <v>46226</v>
      </c>
      <c r="K911" s="4">
        <f>ClientiBanca[[#This Row],[Prestito]]+ClientiBanca[[#This Row],[Mutuo]]</f>
        <v>0</v>
      </c>
      <c r="L911" t="str">
        <f>IF(ClientiBanca[[#This Row],[Reddito annuo]]&gt;=70000,"si","no")</f>
        <v>no</v>
      </c>
    </row>
    <row r="912" spans="1:12">
      <c r="A912">
        <v>100911</v>
      </c>
      <c r="B912">
        <v>59</v>
      </c>
      <c r="C912" s="2">
        <v>35100</v>
      </c>
      <c r="D912" t="s">
        <v>12</v>
      </c>
      <c r="E912" s="2">
        <v>13000</v>
      </c>
      <c r="F912" s="2">
        <v>0</v>
      </c>
      <c r="G912" t="s">
        <v>13</v>
      </c>
      <c r="H912" t="s">
        <v>17</v>
      </c>
      <c r="I912" t="s">
        <v>18</v>
      </c>
      <c r="J912" s="3">
        <v>45781</v>
      </c>
      <c r="K912" s="4">
        <f>ClientiBanca[[#This Row],[Prestito]]+ClientiBanca[[#This Row],[Mutuo]]</f>
        <v>13000</v>
      </c>
      <c r="L912" t="str">
        <f>IF(ClientiBanca[[#This Row],[Reddito annuo]]&gt;=70000,"si","no")</f>
        <v>no</v>
      </c>
    </row>
    <row r="913" spans="1:12">
      <c r="A913">
        <v>100912</v>
      </c>
      <c r="B913">
        <v>51</v>
      </c>
      <c r="C913" s="2">
        <v>73200</v>
      </c>
      <c r="D913" t="s">
        <v>21</v>
      </c>
      <c r="E913" s="2">
        <v>50300</v>
      </c>
      <c r="F913" s="2">
        <v>226000</v>
      </c>
      <c r="G913" t="s">
        <v>27</v>
      </c>
      <c r="H913" t="s">
        <v>20</v>
      </c>
      <c r="I913" t="s">
        <v>18</v>
      </c>
      <c r="J913" s="3">
        <v>45299</v>
      </c>
      <c r="K913" s="4">
        <f>ClientiBanca[[#This Row],[Prestito]]+ClientiBanca[[#This Row],[Mutuo]]</f>
        <v>276300</v>
      </c>
      <c r="L913" t="str">
        <f>IF(ClientiBanca[[#This Row],[Reddito annuo]]&gt;=70000,"si","no")</f>
        <v>si</v>
      </c>
    </row>
    <row r="914" spans="1:12">
      <c r="A914">
        <v>100913</v>
      </c>
      <c r="B914">
        <v>44</v>
      </c>
      <c r="C914" s="2">
        <v>67400</v>
      </c>
      <c r="D914" t="s">
        <v>22</v>
      </c>
      <c r="E914" s="2">
        <v>0</v>
      </c>
      <c r="F914" s="2">
        <v>0</v>
      </c>
      <c r="G914" t="s">
        <v>28</v>
      </c>
      <c r="H914" t="s">
        <v>14</v>
      </c>
      <c r="I914" t="s">
        <v>18</v>
      </c>
      <c r="J914" s="3">
        <v>45910</v>
      </c>
      <c r="K914" s="4">
        <f>ClientiBanca[[#This Row],[Prestito]]+ClientiBanca[[#This Row],[Mutuo]]</f>
        <v>0</v>
      </c>
      <c r="L914" t="str">
        <f>IF(ClientiBanca[[#This Row],[Reddito annuo]]&gt;=70000,"si","no")</f>
        <v>no</v>
      </c>
    </row>
    <row r="915" spans="1:12">
      <c r="A915">
        <v>100914</v>
      </c>
      <c r="B915">
        <v>47</v>
      </c>
      <c r="C915" s="2">
        <v>49100</v>
      </c>
      <c r="D915" t="s">
        <v>12</v>
      </c>
      <c r="E915" s="2">
        <v>24100</v>
      </c>
      <c r="F915" s="2">
        <v>180000</v>
      </c>
      <c r="G915" t="s">
        <v>16</v>
      </c>
      <c r="H915" t="s">
        <v>17</v>
      </c>
      <c r="I915" t="s">
        <v>18</v>
      </c>
      <c r="J915" s="3">
        <v>45656</v>
      </c>
      <c r="K915" s="4">
        <f>ClientiBanca[[#This Row],[Prestito]]+ClientiBanca[[#This Row],[Mutuo]]</f>
        <v>204100</v>
      </c>
      <c r="L915" t="str">
        <f>IF(ClientiBanca[[#This Row],[Reddito annuo]]&gt;=70000,"si","no")</f>
        <v>no</v>
      </c>
    </row>
    <row r="916" spans="1:12">
      <c r="A916">
        <v>100915</v>
      </c>
      <c r="B916">
        <v>75</v>
      </c>
      <c r="C916" s="2">
        <v>48800</v>
      </c>
      <c r="D916" t="s">
        <v>21</v>
      </c>
      <c r="E916" s="2">
        <v>46300</v>
      </c>
      <c r="F916" s="2">
        <v>0</v>
      </c>
      <c r="G916" t="s">
        <v>24</v>
      </c>
      <c r="H916" t="s">
        <v>20</v>
      </c>
      <c r="I916" t="s">
        <v>18</v>
      </c>
      <c r="J916" s="3">
        <v>45835</v>
      </c>
      <c r="K916" s="4">
        <f>ClientiBanca[[#This Row],[Prestito]]+ClientiBanca[[#This Row],[Mutuo]]</f>
        <v>46300</v>
      </c>
      <c r="L916" t="str">
        <f>IF(ClientiBanca[[#This Row],[Reddito annuo]]&gt;=70000,"si","no")</f>
        <v>no</v>
      </c>
    </row>
    <row r="917" spans="1:12">
      <c r="A917">
        <v>100916</v>
      </c>
      <c r="B917">
        <v>37</v>
      </c>
      <c r="C917" s="2">
        <v>108000</v>
      </c>
      <c r="D917" t="s">
        <v>12</v>
      </c>
      <c r="E917" s="2">
        <v>31100</v>
      </c>
      <c r="F917" s="2">
        <v>0</v>
      </c>
      <c r="G917" t="s">
        <v>28</v>
      </c>
      <c r="H917" t="s">
        <v>17</v>
      </c>
      <c r="I917" t="s">
        <v>18</v>
      </c>
      <c r="J917" s="3">
        <v>45295</v>
      </c>
      <c r="K917" s="4">
        <f>ClientiBanca[[#This Row],[Prestito]]+ClientiBanca[[#This Row],[Mutuo]]</f>
        <v>31100</v>
      </c>
      <c r="L917" t="str">
        <f>IF(ClientiBanca[[#This Row],[Reddito annuo]]&gt;=70000,"si","no")</f>
        <v>si</v>
      </c>
    </row>
    <row r="918" spans="1:12">
      <c r="A918">
        <v>100917</v>
      </c>
      <c r="B918">
        <v>60</v>
      </c>
      <c r="C918" s="2">
        <v>109500</v>
      </c>
      <c r="D918" t="s">
        <v>12</v>
      </c>
      <c r="E918" s="2">
        <v>26300</v>
      </c>
      <c r="F918" s="2">
        <v>288000</v>
      </c>
      <c r="G918" t="s">
        <v>19</v>
      </c>
      <c r="H918" t="s">
        <v>17</v>
      </c>
      <c r="I918" t="s">
        <v>18</v>
      </c>
      <c r="J918" s="3">
        <v>45788</v>
      </c>
      <c r="K918" s="4">
        <f>ClientiBanca[[#This Row],[Prestito]]+ClientiBanca[[#This Row],[Mutuo]]</f>
        <v>314300</v>
      </c>
      <c r="L918" t="str">
        <f>IF(ClientiBanca[[#This Row],[Reddito annuo]]&gt;=70000,"si","no")</f>
        <v>si</v>
      </c>
    </row>
    <row r="919" spans="1:12">
      <c r="A919">
        <v>100918</v>
      </c>
      <c r="B919">
        <v>45</v>
      </c>
      <c r="C919" s="2">
        <v>79300</v>
      </c>
      <c r="D919" t="s">
        <v>12</v>
      </c>
      <c r="E919" s="2">
        <v>70400</v>
      </c>
      <c r="F919" s="2">
        <v>0</v>
      </c>
      <c r="G919" t="s">
        <v>28</v>
      </c>
      <c r="H919" t="s">
        <v>25</v>
      </c>
      <c r="I919" t="s">
        <v>18</v>
      </c>
      <c r="J919" s="3">
        <v>46218</v>
      </c>
      <c r="K919" s="4">
        <f>ClientiBanca[[#This Row],[Prestito]]+ClientiBanca[[#This Row],[Mutuo]]</f>
        <v>70400</v>
      </c>
      <c r="L919" t="str">
        <f>IF(ClientiBanca[[#This Row],[Reddito annuo]]&gt;=70000,"si","no")</f>
        <v>si</v>
      </c>
    </row>
    <row r="920" spans="1:12">
      <c r="A920">
        <v>100919</v>
      </c>
      <c r="B920">
        <v>26</v>
      </c>
      <c r="C920" s="2">
        <v>78800</v>
      </c>
      <c r="D920" t="s">
        <v>21</v>
      </c>
      <c r="E920" s="2">
        <v>16200</v>
      </c>
      <c r="F920" s="2">
        <v>0</v>
      </c>
      <c r="G920" t="s">
        <v>27</v>
      </c>
      <c r="H920" t="s">
        <v>20</v>
      </c>
      <c r="I920" t="s">
        <v>18</v>
      </c>
      <c r="J920" s="3">
        <v>45600</v>
      </c>
      <c r="K920" s="4">
        <f>ClientiBanca[[#This Row],[Prestito]]+ClientiBanca[[#This Row],[Mutuo]]</f>
        <v>16200</v>
      </c>
      <c r="L920" t="str">
        <f>IF(ClientiBanca[[#This Row],[Reddito annuo]]&gt;=70000,"si","no")</f>
        <v>si</v>
      </c>
    </row>
    <row r="921" spans="1:12">
      <c r="A921">
        <v>100920</v>
      </c>
      <c r="B921">
        <v>73</v>
      </c>
      <c r="C921" s="2">
        <v>73200</v>
      </c>
      <c r="D921" t="s">
        <v>12</v>
      </c>
      <c r="E921" s="2">
        <v>0</v>
      </c>
      <c r="F921" s="2">
        <v>197000</v>
      </c>
      <c r="G921" t="s">
        <v>13</v>
      </c>
      <c r="H921" t="s">
        <v>17</v>
      </c>
      <c r="I921" t="s">
        <v>18</v>
      </c>
      <c r="J921" s="3">
        <v>45845</v>
      </c>
      <c r="K921" s="4">
        <f>ClientiBanca[[#This Row],[Prestito]]+ClientiBanca[[#This Row],[Mutuo]]</f>
        <v>197000</v>
      </c>
      <c r="L921" t="str">
        <f>IF(ClientiBanca[[#This Row],[Reddito annuo]]&gt;=70000,"si","no")</f>
        <v>si</v>
      </c>
    </row>
    <row r="922" spans="1:12">
      <c r="A922">
        <v>100921</v>
      </c>
      <c r="B922">
        <v>35</v>
      </c>
      <c r="C922" s="2">
        <v>43600</v>
      </c>
      <c r="D922" t="s">
        <v>21</v>
      </c>
      <c r="E922" s="2">
        <v>0</v>
      </c>
      <c r="F922" s="2">
        <v>0</v>
      </c>
      <c r="G922" t="s">
        <v>13</v>
      </c>
      <c r="H922" t="s">
        <v>17</v>
      </c>
      <c r="I922" t="s">
        <v>18</v>
      </c>
      <c r="J922" s="3">
        <v>46024</v>
      </c>
      <c r="K922" s="4">
        <f>ClientiBanca[[#This Row],[Prestito]]+ClientiBanca[[#This Row],[Mutuo]]</f>
        <v>0</v>
      </c>
      <c r="L922" t="str">
        <f>IF(ClientiBanca[[#This Row],[Reddito annuo]]&gt;=70000,"si","no")</f>
        <v>no</v>
      </c>
    </row>
    <row r="923" spans="1:12">
      <c r="A923">
        <v>100922</v>
      </c>
      <c r="B923">
        <v>21</v>
      </c>
      <c r="C923" s="2">
        <v>38800</v>
      </c>
      <c r="D923" t="s">
        <v>22</v>
      </c>
      <c r="E923" s="2">
        <v>0</v>
      </c>
      <c r="F923" s="2">
        <v>0</v>
      </c>
      <c r="G923" t="s">
        <v>23</v>
      </c>
      <c r="H923" t="s">
        <v>14</v>
      </c>
      <c r="I923" t="s">
        <v>18</v>
      </c>
      <c r="J923" s="3">
        <v>45973</v>
      </c>
      <c r="K923" s="4">
        <f>ClientiBanca[[#This Row],[Prestito]]+ClientiBanca[[#This Row],[Mutuo]]</f>
        <v>0</v>
      </c>
      <c r="L923" t="str">
        <f>IF(ClientiBanca[[#This Row],[Reddito annuo]]&gt;=70000,"si","no")</f>
        <v>no</v>
      </c>
    </row>
    <row r="924" spans="1:12">
      <c r="A924">
        <v>100923</v>
      </c>
      <c r="B924">
        <v>50</v>
      </c>
      <c r="C924" s="2">
        <v>108100</v>
      </c>
      <c r="D924" t="s">
        <v>12</v>
      </c>
      <c r="E924" s="2">
        <v>67900</v>
      </c>
      <c r="F924" s="2">
        <v>0</v>
      </c>
      <c r="G924" t="s">
        <v>28</v>
      </c>
      <c r="H924" t="s">
        <v>20</v>
      </c>
      <c r="I924" t="s">
        <v>18</v>
      </c>
      <c r="J924" s="3">
        <v>46184</v>
      </c>
      <c r="K924" s="4">
        <f>ClientiBanca[[#This Row],[Prestito]]+ClientiBanca[[#This Row],[Mutuo]]</f>
        <v>67900</v>
      </c>
      <c r="L924" t="str">
        <f>IF(ClientiBanca[[#This Row],[Reddito annuo]]&gt;=70000,"si","no")</f>
        <v>si</v>
      </c>
    </row>
    <row r="925" spans="1:12">
      <c r="A925">
        <v>100924</v>
      </c>
      <c r="B925">
        <v>34</v>
      </c>
      <c r="C925" s="2">
        <v>104100</v>
      </c>
      <c r="D925" t="s">
        <v>12</v>
      </c>
      <c r="E925" s="2">
        <v>42500</v>
      </c>
      <c r="F925" s="2">
        <v>0</v>
      </c>
      <c r="G925" t="s">
        <v>16</v>
      </c>
      <c r="H925" t="s">
        <v>17</v>
      </c>
      <c r="I925" t="s">
        <v>18</v>
      </c>
      <c r="J925" s="3">
        <v>46168</v>
      </c>
      <c r="K925" s="4">
        <f>ClientiBanca[[#This Row],[Prestito]]+ClientiBanca[[#This Row],[Mutuo]]</f>
        <v>42500</v>
      </c>
      <c r="L925" t="str">
        <f>IF(ClientiBanca[[#This Row],[Reddito annuo]]&gt;=70000,"si","no")</f>
        <v>si</v>
      </c>
    </row>
    <row r="926" spans="1:12">
      <c r="A926">
        <v>100925</v>
      </c>
      <c r="B926">
        <v>47</v>
      </c>
      <c r="C926" s="2">
        <v>86500</v>
      </c>
      <c r="D926" t="s">
        <v>21</v>
      </c>
      <c r="E926" s="2">
        <v>13100</v>
      </c>
      <c r="F926" s="2">
        <v>267000</v>
      </c>
      <c r="G926" t="s">
        <v>23</v>
      </c>
      <c r="H926" t="s">
        <v>17</v>
      </c>
      <c r="I926" t="s">
        <v>18</v>
      </c>
      <c r="J926" s="3">
        <v>45668</v>
      </c>
      <c r="K926" s="4">
        <f>ClientiBanca[[#This Row],[Prestito]]+ClientiBanca[[#This Row],[Mutuo]]</f>
        <v>280100</v>
      </c>
      <c r="L926" t="str">
        <f>IF(ClientiBanca[[#This Row],[Reddito annuo]]&gt;=70000,"si","no")</f>
        <v>si</v>
      </c>
    </row>
    <row r="927" spans="1:12">
      <c r="A927">
        <v>100926</v>
      </c>
      <c r="B927">
        <v>28</v>
      </c>
      <c r="C927" s="2">
        <v>92000</v>
      </c>
      <c r="D927" t="s">
        <v>22</v>
      </c>
      <c r="E927" s="2">
        <v>3500</v>
      </c>
      <c r="F927" s="2">
        <v>216000</v>
      </c>
      <c r="G927" t="s">
        <v>16</v>
      </c>
      <c r="H927" t="s">
        <v>25</v>
      </c>
      <c r="I927" t="s">
        <v>18</v>
      </c>
      <c r="J927" s="3">
        <v>45665</v>
      </c>
      <c r="K927" s="4">
        <f>ClientiBanca[[#This Row],[Prestito]]+ClientiBanca[[#This Row],[Mutuo]]</f>
        <v>219500</v>
      </c>
      <c r="L927" t="str">
        <f>IF(ClientiBanca[[#This Row],[Reddito annuo]]&gt;=70000,"si","no")</f>
        <v>si</v>
      </c>
    </row>
    <row r="928" spans="1:12">
      <c r="A928">
        <v>100927</v>
      </c>
      <c r="B928">
        <v>71</v>
      </c>
      <c r="C928" s="2">
        <v>73800</v>
      </c>
      <c r="D928" t="s">
        <v>12</v>
      </c>
      <c r="E928" s="2">
        <v>39800</v>
      </c>
      <c r="F928" s="2">
        <v>0</v>
      </c>
      <c r="G928" t="s">
        <v>16</v>
      </c>
      <c r="H928" t="s">
        <v>20</v>
      </c>
      <c r="I928" t="s">
        <v>18</v>
      </c>
      <c r="J928" s="3">
        <v>45615</v>
      </c>
      <c r="K928" s="4">
        <f>ClientiBanca[[#This Row],[Prestito]]+ClientiBanca[[#This Row],[Mutuo]]</f>
        <v>39800</v>
      </c>
      <c r="L928" t="str">
        <f>IF(ClientiBanca[[#This Row],[Reddito annuo]]&gt;=70000,"si","no")</f>
        <v>si</v>
      </c>
    </row>
    <row r="929" spans="1:12">
      <c r="A929">
        <v>100928</v>
      </c>
      <c r="B929">
        <v>29</v>
      </c>
      <c r="C929" s="2">
        <v>87400</v>
      </c>
      <c r="D929" t="s">
        <v>21</v>
      </c>
      <c r="E929" s="2">
        <v>45000</v>
      </c>
      <c r="F929" s="2">
        <v>166000</v>
      </c>
      <c r="G929" t="s">
        <v>27</v>
      </c>
      <c r="H929" t="s">
        <v>17</v>
      </c>
      <c r="I929" t="s">
        <v>18</v>
      </c>
      <c r="J929" s="3">
        <v>45997</v>
      </c>
      <c r="K929" s="4">
        <f>ClientiBanca[[#This Row],[Prestito]]+ClientiBanca[[#This Row],[Mutuo]]</f>
        <v>211000</v>
      </c>
      <c r="L929" t="str">
        <f>IF(ClientiBanca[[#This Row],[Reddito annuo]]&gt;=70000,"si","no")</f>
        <v>si</v>
      </c>
    </row>
    <row r="930" spans="1:12">
      <c r="A930">
        <v>100929</v>
      </c>
      <c r="B930">
        <v>27</v>
      </c>
      <c r="C930" s="2">
        <v>45400</v>
      </c>
      <c r="D930" t="s">
        <v>22</v>
      </c>
      <c r="E930" s="2">
        <v>41700</v>
      </c>
      <c r="F930" s="2">
        <v>167000</v>
      </c>
      <c r="G930" t="s">
        <v>16</v>
      </c>
      <c r="H930" t="s">
        <v>20</v>
      </c>
      <c r="I930" t="s">
        <v>18</v>
      </c>
      <c r="J930" s="3">
        <v>45448</v>
      </c>
      <c r="K930" s="4">
        <f>ClientiBanca[[#This Row],[Prestito]]+ClientiBanca[[#This Row],[Mutuo]]</f>
        <v>208700</v>
      </c>
      <c r="L930" t="str">
        <f>IF(ClientiBanca[[#This Row],[Reddito annuo]]&gt;=70000,"si","no")</f>
        <v>no</v>
      </c>
    </row>
    <row r="931" spans="1:12">
      <c r="A931">
        <v>100930</v>
      </c>
      <c r="B931">
        <v>72</v>
      </c>
      <c r="C931" s="2">
        <v>77200</v>
      </c>
      <c r="D931" t="s">
        <v>22</v>
      </c>
      <c r="E931" s="2">
        <v>0</v>
      </c>
      <c r="F931" s="2">
        <v>0</v>
      </c>
      <c r="G931" t="s">
        <v>27</v>
      </c>
      <c r="H931" t="s">
        <v>14</v>
      </c>
      <c r="I931" t="s">
        <v>18</v>
      </c>
      <c r="J931" s="3">
        <v>46086</v>
      </c>
      <c r="K931" s="4">
        <f>ClientiBanca[[#This Row],[Prestito]]+ClientiBanca[[#This Row],[Mutuo]]</f>
        <v>0</v>
      </c>
      <c r="L931" t="str">
        <f>IF(ClientiBanca[[#This Row],[Reddito annuo]]&gt;=70000,"si","no")</f>
        <v>si</v>
      </c>
    </row>
    <row r="932" spans="1:12">
      <c r="A932">
        <v>100931</v>
      </c>
      <c r="B932">
        <v>31</v>
      </c>
      <c r="C932" s="2">
        <v>92400</v>
      </c>
      <c r="D932" t="s">
        <v>12</v>
      </c>
      <c r="E932" s="2">
        <v>55800</v>
      </c>
      <c r="F932" s="2">
        <v>0</v>
      </c>
      <c r="G932" t="s">
        <v>24</v>
      </c>
      <c r="H932" t="s">
        <v>25</v>
      </c>
      <c r="I932" t="s">
        <v>18</v>
      </c>
      <c r="J932" s="3">
        <v>45637</v>
      </c>
      <c r="K932" s="4">
        <f>ClientiBanca[[#This Row],[Prestito]]+ClientiBanca[[#This Row],[Mutuo]]</f>
        <v>55800</v>
      </c>
      <c r="L932" t="str">
        <f>IF(ClientiBanca[[#This Row],[Reddito annuo]]&gt;=70000,"si","no")</f>
        <v>si</v>
      </c>
    </row>
    <row r="933" spans="1:12">
      <c r="A933">
        <v>100932</v>
      </c>
      <c r="B933">
        <v>47</v>
      </c>
      <c r="C933" s="2">
        <v>73700</v>
      </c>
      <c r="D933" t="s">
        <v>22</v>
      </c>
      <c r="E933" s="2">
        <v>0</v>
      </c>
      <c r="F933" s="2">
        <v>0</v>
      </c>
      <c r="G933" t="s">
        <v>26</v>
      </c>
      <c r="H933" t="s">
        <v>20</v>
      </c>
      <c r="I933" t="s">
        <v>18</v>
      </c>
      <c r="J933" s="3">
        <v>46237</v>
      </c>
      <c r="K933" s="4">
        <f>ClientiBanca[[#This Row],[Prestito]]+ClientiBanca[[#This Row],[Mutuo]]</f>
        <v>0</v>
      </c>
      <c r="L933" t="str">
        <f>IF(ClientiBanca[[#This Row],[Reddito annuo]]&gt;=70000,"si","no")</f>
        <v>si</v>
      </c>
    </row>
    <row r="934" spans="1:12">
      <c r="A934">
        <v>100933</v>
      </c>
      <c r="B934">
        <v>32</v>
      </c>
      <c r="C934" s="2">
        <v>75700</v>
      </c>
      <c r="D934" t="s">
        <v>12</v>
      </c>
      <c r="E934" s="2">
        <v>24500</v>
      </c>
      <c r="F934" s="2">
        <v>0</v>
      </c>
      <c r="G934" t="s">
        <v>27</v>
      </c>
      <c r="H934" t="s">
        <v>14</v>
      </c>
      <c r="I934" t="s">
        <v>18</v>
      </c>
      <c r="J934" s="3">
        <v>45760</v>
      </c>
      <c r="K934" s="4">
        <f>ClientiBanca[[#This Row],[Prestito]]+ClientiBanca[[#This Row],[Mutuo]]</f>
        <v>24500</v>
      </c>
      <c r="L934" t="str">
        <f>IF(ClientiBanca[[#This Row],[Reddito annuo]]&gt;=70000,"si","no")</f>
        <v>si</v>
      </c>
    </row>
    <row r="935" spans="1:12">
      <c r="A935">
        <v>100934</v>
      </c>
      <c r="B935">
        <v>61</v>
      </c>
      <c r="C935" s="2">
        <v>39000</v>
      </c>
      <c r="D935" t="s">
        <v>21</v>
      </c>
      <c r="E935" s="2">
        <v>23000</v>
      </c>
      <c r="F935" s="2">
        <v>0</v>
      </c>
      <c r="G935" t="s">
        <v>23</v>
      </c>
      <c r="H935" t="s">
        <v>14</v>
      </c>
      <c r="I935" t="s">
        <v>18</v>
      </c>
      <c r="J935" s="3">
        <v>45958</v>
      </c>
      <c r="K935" s="4">
        <f>ClientiBanca[[#This Row],[Prestito]]+ClientiBanca[[#This Row],[Mutuo]]</f>
        <v>23000</v>
      </c>
      <c r="L935" t="str">
        <f>IF(ClientiBanca[[#This Row],[Reddito annuo]]&gt;=70000,"si","no")</f>
        <v>no</v>
      </c>
    </row>
    <row r="936" spans="1:12">
      <c r="A936">
        <v>100935</v>
      </c>
      <c r="B936">
        <v>20</v>
      </c>
      <c r="C936" s="2">
        <v>50700</v>
      </c>
      <c r="D936" t="s">
        <v>22</v>
      </c>
      <c r="E936" s="2">
        <v>53100</v>
      </c>
      <c r="F936" s="2">
        <v>0</v>
      </c>
      <c r="G936" t="s">
        <v>16</v>
      </c>
      <c r="H936" t="s">
        <v>25</v>
      </c>
      <c r="I936" t="s">
        <v>18</v>
      </c>
      <c r="J936" s="3">
        <v>46153</v>
      </c>
      <c r="K936" s="4">
        <f>ClientiBanca[[#This Row],[Prestito]]+ClientiBanca[[#This Row],[Mutuo]]</f>
        <v>53100</v>
      </c>
      <c r="L936" t="str">
        <f>IF(ClientiBanca[[#This Row],[Reddito annuo]]&gt;=70000,"si","no")</f>
        <v>no</v>
      </c>
    </row>
    <row r="937" spans="1:12">
      <c r="A937">
        <v>100936</v>
      </c>
      <c r="B937">
        <v>30</v>
      </c>
      <c r="C937" s="2">
        <v>103000</v>
      </c>
      <c r="D937" t="s">
        <v>21</v>
      </c>
      <c r="E937" s="2">
        <v>0</v>
      </c>
      <c r="F937" s="2">
        <v>106000</v>
      </c>
      <c r="G937" t="s">
        <v>19</v>
      </c>
      <c r="H937" t="s">
        <v>17</v>
      </c>
      <c r="I937" t="s">
        <v>18</v>
      </c>
      <c r="J937" s="3">
        <v>45444</v>
      </c>
      <c r="K937" s="4">
        <f>ClientiBanca[[#This Row],[Prestito]]+ClientiBanca[[#This Row],[Mutuo]]</f>
        <v>106000</v>
      </c>
      <c r="L937" t="str">
        <f>IF(ClientiBanca[[#This Row],[Reddito annuo]]&gt;=70000,"si","no")</f>
        <v>si</v>
      </c>
    </row>
    <row r="938" spans="1:12">
      <c r="A938">
        <v>100937</v>
      </c>
      <c r="B938">
        <v>60</v>
      </c>
      <c r="C938" s="2">
        <v>77700</v>
      </c>
      <c r="D938" t="s">
        <v>21</v>
      </c>
      <c r="E938" s="2">
        <v>28200</v>
      </c>
      <c r="F938" s="2">
        <v>0</v>
      </c>
      <c r="G938" t="s">
        <v>24</v>
      </c>
      <c r="H938" t="s">
        <v>17</v>
      </c>
      <c r="I938" t="s">
        <v>18</v>
      </c>
      <c r="J938" s="3">
        <v>46000</v>
      </c>
      <c r="K938" s="4">
        <f>ClientiBanca[[#This Row],[Prestito]]+ClientiBanca[[#This Row],[Mutuo]]</f>
        <v>28200</v>
      </c>
      <c r="L938" t="str">
        <f>IF(ClientiBanca[[#This Row],[Reddito annuo]]&gt;=70000,"si","no")</f>
        <v>si</v>
      </c>
    </row>
    <row r="939" spans="1:12">
      <c r="A939">
        <v>100938</v>
      </c>
      <c r="B939">
        <v>70</v>
      </c>
      <c r="C939" s="2">
        <v>73000</v>
      </c>
      <c r="D939" t="s">
        <v>21</v>
      </c>
      <c r="E939" s="2">
        <v>56100</v>
      </c>
      <c r="F939" s="2">
        <v>0</v>
      </c>
      <c r="G939" t="s">
        <v>28</v>
      </c>
      <c r="H939" t="s">
        <v>17</v>
      </c>
      <c r="I939" t="s">
        <v>18</v>
      </c>
      <c r="J939" s="3">
        <v>45376</v>
      </c>
      <c r="K939" s="4">
        <f>ClientiBanca[[#This Row],[Prestito]]+ClientiBanca[[#This Row],[Mutuo]]</f>
        <v>56100</v>
      </c>
      <c r="L939" t="str">
        <f>IF(ClientiBanca[[#This Row],[Reddito annuo]]&gt;=70000,"si","no")</f>
        <v>si</v>
      </c>
    </row>
    <row r="940" spans="1:12">
      <c r="A940">
        <v>100939</v>
      </c>
      <c r="B940">
        <v>27</v>
      </c>
      <c r="C940" s="2">
        <v>59000</v>
      </c>
      <c r="D940" t="s">
        <v>12</v>
      </c>
      <c r="E940" s="2">
        <v>7700</v>
      </c>
      <c r="F940" s="2">
        <v>0</v>
      </c>
      <c r="G940" t="s">
        <v>28</v>
      </c>
      <c r="H940" t="s">
        <v>20</v>
      </c>
      <c r="I940" t="s">
        <v>18</v>
      </c>
      <c r="J940" s="3">
        <v>46105</v>
      </c>
      <c r="K940" s="4">
        <f>ClientiBanca[[#This Row],[Prestito]]+ClientiBanca[[#This Row],[Mutuo]]</f>
        <v>7700</v>
      </c>
      <c r="L940" t="str">
        <f>IF(ClientiBanca[[#This Row],[Reddito annuo]]&gt;=70000,"si","no")</f>
        <v>no</v>
      </c>
    </row>
    <row r="941" spans="1:12">
      <c r="A941">
        <v>100940</v>
      </c>
      <c r="B941">
        <v>57</v>
      </c>
      <c r="C941" s="2">
        <v>40100</v>
      </c>
      <c r="D941" t="s">
        <v>21</v>
      </c>
      <c r="E941" s="2">
        <v>30100</v>
      </c>
      <c r="F941" s="2">
        <v>0</v>
      </c>
      <c r="G941" t="s">
        <v>13</v>
      </c>
      <c r="H941" t="s">
        <v>17</v>
      </c>
      <c r="I941" t="s">
        <v>18</v>
      </c>
      <c r="J941" s="3">
        <v>46174</v>
      </c>
      <c r="K941" s="4">
        <f>ClientiBanca[[#This Row],[Prestito]]+ClientiBanca[[#This Row],[Mutuo]]</f>
        <v>30100</v>
      </c>
      <c r="L941" t="str">
        <f>IF(ClientiBanca[[#This Row],[Reddito annuo]]&gt;=70000,"si","no")</f>
        <v>no</v>
      </c>
    </row>
    <row r="942" spans="1:12">
      <c r="A942">
        <v>100941</v>
      </c>
      <c r="B942">
        <v>70</v>
      </c>
      <c r="C942" s="2">
        <v>62500</v>
      </c>
      <c r="D942" t="s">
        <v>21</v>
      </c>
      <c r="E942" s="2">
        <v>28000</v>
      </c>
      <c r="F942" s="2">
        <v>0</v>
      </c>
      <c r="G942" t="s">
        <v>28</v>
      </c>
      <c r="H942" t="s">
        <v>20</v>
      </c>
      <c r="I942" t="s">
        <v>18</v>
      </c>
      <c r="J942" s="3">
        <v>45843</v>
      </c>
      <c r="K942" s="4">
        <f>ClientiBanca[[#This Row],[Prestito]]+ClientiBanca[[#This Row],[Mutuo]]</f>
        <v>28000</v>
      </c>
      <c r="L942" t="str">
        <f>IF(ClientiBanca[[#This Row],[Reddito annuo]]&gt;=70000,"si","no")</f>
        <v>no</v>
      </c>
    </row>
    <row r="943" spans="1:12">
      <c r="A943">
        <v>100942</v>
      </c>
      <c r="B943">
        <v>65</v>
      </c>
      <c r="C943" s="2">
        <v>87700</v>
      </c>
      <c r="D943" t="s">
        <v>12</v>
      </c>
      <c r="E943" s="2">
        <v>0</v>
      </c>
      <c r="F943" s="2">
        <v>245000</v>
      </c>
      <c r="G943" t="s">
        <v>13</v>
      </c>
      <c r="H943" t="s">
        <v>20</v>
      </c>
      <c r="I943" t="s">
        <v>18</v>
      </c>
      <c r="J943" s="3">
        <v>45905</v>
      </c>
      <c r="K943" s="4">
        <f>ClientiBanca[[#This Row],[Prestito]]+ClientiBanca[[#This Row],[Mutuo]]</f>
        <v>245000</v>
      </c>
      <c r="L943" t="str">
        <f>IF(ClientiBanca[[#This Row],[Reddito annuo]]&gt;=70000,"si","no")</f>
        <v>si</v>
      </c>
    </row>
    <row r="944" spans="1:12">
      <c r="A944">
        <v>100943</v>
      </c>
      <c r="B944">
        <v>64</v>
      </c>
      <c r="C944" s="2">
        <v>40000</v>
      </c>
      <c r="D944" t="s">
        <v>12</v>
      </c>
      <c r="E944" s="2">
        <v>0</v>
      </c>
      <c r="F944" s="2">
        <v>0</v>
      </c>
      <c r="G944" t="s">
        <v>24</v>
      </c>
      <c r="H944" t="s">
        <v>14</v>
      </c>
      <c r="I944" t="s">
        <v>18</v>
      </c>
      <c r="J944" s="3">
        <v>45960</v>
      </c>
      <c r="K944" s="4">
        <f>ClientiBanca[[#This Row],[Prestito]]+ClientiBanca[[#This Row],[Mutuo]]</f>
        <v>0</v>
      </c>
      <c r="L944" t="str">
        <f>IF(ClientiBanca[[#This Row],[Reddito annuo]]&gt;=70000,"si","no")</f>
        <v>no</v>
      </c>
    </row>
    <row r="945" spans="1:12">
      <c r="A945">
        <v>100944</v>
      </c>
      <c r="B945">
        <v>30</v>
      </c>
      <c r="C945" s="2">
        <v>33400</v>
      </c>
      <c r="D945" t="s">
        <v>21</v>
      </c>
      <c r="E945" s="2">
        <v>0</v>
      </c>
      <c r="F945" s="2">
        <v>130000</v>
      </c>
      <c r="G945" t="s">
        <v>26</v>
      </c>
      <c r="H945" t="s">
        <v>17</v>
      </c>
      <c r="I945" t="s">
        <v>18</v>
      </c>
      <c r="J945" s="3">
        <v>45849</v>
      </c>
      <c r="K945" s="4">
        <f>ClientiBanca[[#This Row],[Prestito]]+ClientiBanca[[#This Row],[Mutuo]]</f>
        <v>130000</v>
      </c>
      <c r="L945" t="str">
        <f>IF(ClientiBanca[[#This Row],[Reddito annuo]]&gt;=70000,"si","no")</f>
        <v>no</v>
      </c>
    </row>
    <row r="946" spans="1:12">
      <c r="A946">
        <v>100945</v>
      </c>
      <c r="B946">
        <v>30</v>
      </c>
      <c r="C946" s="2">
        <v>54600</v>
      </c>
      <c r="D946" t="s">
        <v>22</v>
      </c>
      <c r="E946" s="2">
        <v>23400</v>
      </c>
      <c r="F946" s="2">
        <v>0</v>
      </c>
      <c r="G946" t="s">
        <v>26</v>
      </c>
      <c r="H946" t="s">
        <v>17</v>
      </c>
      <c r="I946" t="s">
        <v>18</v>
      </c>
      <c r="J946" s="3">
        <v>45882</v>
      </c>
      <c r="K946" s="4">
        <f>ClientiBanca[[#This Row],[Prestito]]+ClientiBanca[[#This Row],[Mutuo]]</f>
        <v>23400</v>
      </c>
      <c r="L946" t="str">
        <f>IF(ClientiBanca[[#This Row],[Reddito annuo]]&gt;=70000,"si","no")</f>
        <v>no</v>
      </c>
    </row>
    <row r="947" spans="1:12">
      <c r="A947">
        <v>100946</v>
      </c>
      <c r="B947">
        <v>51</v>
      </c>
      <c r="C947" s="2">
        <v>75200</v>
      </c>
      <c r="D947" t="s">
        <v>12</v>
      </c>
      <c r="E947" s="2">
        <v>0</v>
      </c>
      <c r="F947" s="2">
        <v>0</v>
      </c>
      <c r="G947" t="s">
        <v>23</v>
      </c>
      <c r="H947" t="s">
        <v>17</v>
      </c>
      <c r="I947" t="s">
        <v>18</v>
      </c>
      <c r="J947" s="3">
        <v>45970</v>
      </c>
      <c r="K947" s="4">
        <f>ClientiBanca[[#This Row],[Prestito]]+ClientiBanca[[#This Row],[Mutuo]]</f>
        <v>0</v>
      </c>
      <c r="L947" t="str">
        <f>IF(ClientiBanca[[#This Row],[Reddito annuo]]&gt;=70000,"si","no")</f>
        <v>si</v>
      </c>
    </row>
    <row r="948" spans="1:12">
      <c r="A948">
        <v>100947</v>
      </c>
      <c r="B948">
        <v>72</v>
      </c>
      <c r="C948" s="2">
        <v>29000</v>
      </c>
      <c r="D948" t="s">
        <v>21</v>
      </c>
      <c r="E948" s="2">
        <v>36200</v>
      </c>
      <c r="F948" s="2">
        <v>0</v>
      </c>
      <c r="G948" t="s">
        <v>24</v>
      </c>
      <c r="H948" t="s">
        <v>14</v>
      </c>
      <c r="I948" t="s">
        <v>18</v>
      </c>
      <c r="J948" s="3">
        <v>45659</v>
      </c>
      <c r="K948" s="4">
        <f>ClientiBanca[[#This Row],[Prestito]]+ClientiBanca[[#This Row],[Mutuo]]</f>
        <v>36200</v>
      </c>
      <c r="L948" t="str">
        <f>IF(ClientiBanca[[#This Row],[Reddito annuo]]&gt;=70000,"si","no")</f>
        <v>no</v>
      </c>
    </row>
    <row r="949" spans="1:12">
      <c r="A949">
        <v>100948</v>
      </c>
      <c r="B949">
        <v>37</v>
      </c>
      <c r="C949" s="2">
        <v>36600</v>
      </c>
      <c r="D949" t="s">
        <v>12</v>
      </c>
      <c r="E949" s="2">
        <v>21300</v>
      </c>
      <c r="F949" s="2">
        <v>0</v>
      </c>
      <c r="G949" t="s">
        <v>24</v>
      </c>
      <c r="H949" t="s">
        <v>17</v>
      </c>
      <c r="I949" t="s">
        <v>18</v>
      </c>
      <c r="J949" s="3">
        <v>45552</v>
      </c>
      <c r="K949" s="4">
        <f>ClientiBanca[[#This Row],[Prestito]]+ClientiBanca[[#This Row],[Mutuo]]</f>
        <v>21300</v>
      </c>
      <c r="L949" t="str">
        <f>IF(ClientiBanca[[#This Row],[Reddito annuo]]&gt;=70000,"si","no")</f>
        <v>no</v>
      </c>
    </row>
    <row r="950" spans="1:12">
      <c r="A950">
        <v>100949</v>
      </c>
      <c r="B950">
        <v>63</v>
      </c>
      <c r="C950" s="2">
        <v>54700</v>
      </c>
      <c r="D950" t="s">
        <v>12</v>
      </c>
      <c r="E950" s="2">
        <v>12000</v>
      </c>
      <c r="F950" s="2">
        <v>0</v>
      </c>
      <c r="G950" t="s">
        <v>23</v>
      </c>
      <c r="H950" t="s">
        <v>17</v>
      </c>
      <c r="I950" t="s">
        <v>18</v>
      </c>
      <c r="J950" s="3">
        <v>45955</v>
      </c>
      <c r="K950" s="4">
        <f>ClientiBanca[[#This Row],[Prestito]]+ClientiBanca[[#This Row],[Mutuo]]</f>
        <v>12000</v>
      </c>
      <c r="L950" t="str">
        <f>IF(ClientiBanca[[#This Row],[Reddito annuo]]&gt;=70000,"si","no")</f>
        <v>no</v>
      </c>
    </row>
    <row r="951" spans="1:12">
      <c r="A951">
        <v>100950</v>
      </c>
      <c r="B951">
        <v>72</v>
      </c>
      <c r="C951" s="2">
        <v>60600</v>
      </c>
      <c r="D951" t="s">
        <v>21</v>
      </c>
      <c r="E951" s="2">
        <v>0</v>
      </c>
      <c r="F951" s="2">
        <v>0</v>
      </c>
      <c r="G951" t="s">
        <v>16</v>
      </c>
      <c r="H951" t="s">
        <v>17</v>
      </c>
      <c r="I951" t="s">
        <v>18</v>
      </c>
      <c r="J951" s="3">
        <v>45910</v>
      </c>
      <c r="K951" s="4">
        <f>ClientiBanca[[#This Row],[Prestito]]+ClientiBanca[[#This Row],[Mutuo]]</f>
        <v>0</v>
      </c>
      <c r="L951" t="str">
        <f>IF(ClientiBanca[[#This Row],[Reddito annuo]]&gt;=70000,"si","no")</f>
        <v>no</v>
      </c>
    </row>
    <row r="952" spans="1:12">
      <c r="A952">
        <v>100951</v>
      </c>
      <c r="B952">
        <v>35</v>
      </c>
      <c r="C952" s="2">
        <v>32400</v>
      </c>
      <c r="D952" t="s">
        <v>21</v>
      </c>
      <c r="E952" s="2">
        <v>36500</v>
      </c>
      <c r="F952" s="2">
        <v>240000</v>
      </c>
      <c r="G952" t="s">
        <v>19</v>
      </c>
      <c r="H952" t="s">
        <v>25</v>
      </c>
      <c r="I952" t="s">
        <v>18</v>
      </c>
      <c r="J952" s="3">
        <v>45441</v>
      </c>
      <c r="K952" s="4">
        <f>ClientiBanca[[#This Row],[Prestito]]+ClientiBanca[[#This Row],[Mutuo]]</f>
        <v>276500</v>
      </c>
      <c r="L952" t="str">
        <f>IF(ClientiBanca[[#This Row],[Reddito annuo]]&gt;=70000,"si","no")</f>
        <v>no</v>
      </c>
    </row>
    <row r="953" spans="1:12">
      <c r="A953">
        <v>100952</v>
      </c>
      <c r="B953">
        <v>75</v>
      </c>
      <c r="C953" s="2">
        <v>85400</v>
      </c>
      <c r="D953" t="s">
        <v>21</v>
      </c>
      <c r="E953" s="2">
        <v>78600</v>
      </c>
      <c r="F953" s="2">
        <v>0</v>
      </c>
      <c r="G953" t="s">
        <v>13</v>
      </c>
      <c r="H953" t="s">
        <v>17</v>
      </c>
      <c r="I953" t="s">
        <v>18</v>
      </c>
      <c r="J953" s="3">
        <v>45831</v>
      </c>
      <c r="K953" s="4">
        <f>ClientiBanca[[#This Row],[Prestito]]+ClientiBanca[[#This Row],[Mutuo]]</f>
        <v>78600</v>
      </c>
      <c r="L953" t="str">
        <f>IF(ClientiBanca[[#This Row],[Reddito annuo]]&gt;=70000,"si","no")</f>
        <v>si</v>
      </c>
    </row>
    <row r="954" spans="1:12">
      <c r="A954">
        <v>100953</v>
      </c>
      <c r="B954">
        <v>66</v>
      </c>
      <c r="C954" s="2">
        <v>95000</v>
      </c>
      <c r="D954" t="s">
        <v>12</v>
      </c>
      <c r="E954" s="2">
        <v>0</v>
      </c>
      <c r="F954" s="2">
        <v>178000</v>
      </c>
      <c r="G954" t="s">
        <v>26</v>
      </c>
      <c r="H954" t="s">
        <v>17</v>
      </c>
      <c r="I954" t="s">
        <v>18</v>
      </c>
      <c r="J954" s="3">
        <v>45914</v>
      </c>
      <c r="K954" s="4">
        <f>ClientiBanca[[#This Row],[Prestito]]+ClientiBanca[[#This Row],[Mutuo]]</f>
        <v>178000</v>
      </c>
      <c r="L954" t="str">
        <f>IF(ClientiBanca[[#This Row],[Reddito annuo]]&gt;=70000,"si","no")</f>
        <v>si</v>
      </c>
    </row>
    <row r="955" spans="1:12">
      <c r="A955">
        <v>100954</v>
      </c>
      <c r="B955">
        <v>26</v>
      </c>
      <c r="C955" s="2">
        <v>98100</v>
      </c>
      <c r="D955" t="s">
        <v>21</v>
      </c>
      <c r="E955" s="2">
        <v>0</v>
      </c>
      <c r="F955" s="2">
        <v>0</v>
      </c>
      <c r="G955" t="s">
        <v>19</v>
      </c>
      <c r="H955" t="s">
        <v>17</v>
      </c>
      <c r="I955" t="s">
        <v>18</v>
      </c>
      <c r="J955" s="3">
        <v>45986</v>
      </c>
      <c r="K955" s="4">
        <f>ClientiBanca[[#This Row],[Prestito]]+ClientiBanca[[#This Row],[Mutuo]]</f>
        <v>0</v>
      </c>
      <c r="L955" t="str">
        <f>IF(ClientiBanca[[#This Row],[Reddito annuo]]&gt;=70000,"si","no")</f>
        <v>si</v>
      </c>
    </row>
    <row r="956" spans="1:12">
      <c r="A956">
        <v>100955</v>
      </c>
      <c r="B956">
        <v>70</v>
      </c>
      <c r="C956" s="2">
        <v>62100</v>
      </c>
      <c r="D956" t="s">
        <v>12</v>
      </c>
      <c r="E956" s="2">
        <v>0</v>
      </c>
      <c r="F956" s="2">
        <v>0</v>
      </c>
      <c r="G956" t="s">
        <v>24</v>
      </c>
      <c r="H956" t="s">
        <v>20</v>
      </c>
      <c r="I956" t="s">
        <v>18</v>
      </c>
      <c r="J956" s="3">
        <v>45995</v>
      </c>
      <c r="K956" s="4">
        <f>ClientiBanca[[#This Row],[Prestito]]+ClientiBanca[[#This Row],[Mutuo]]</f>
        <v>0</v>
      </c>
      <c r="L956" t="str">
        <f>IF(ClientiBanca[[#This Row],[Reddito annuo]]&gt;=70000,"si","no")</f>
        <v>no</v>
      </c>
    </row>
    <row r="957" spans="1:12">
      <c r="A957">
        <v>100956</v>
      </c>
      <c r="B957">
        <v>52</v>
      </c>
      <c r="C957" s="2">
        <v>76800</v>
      </c>
      <c r="D957" t="s">
        <v>12</v>
      </c>
      <c r="E957" s="2">
        <v>37700</v>
      </c>
      <c r="F957" s="2">
        <v>334000</v>
      </c>
      <c r="G957" t="s">
        <v>19</v>
      </c>
      <c r="H957" t="s">
        <v>17</v>
      </c>
      <c r="I957" t="s">
        <v>18</v>
      </c>
      <c r="J957" s="3">
        <v>45915</v>
      </c>
      <c r="K957" s="4">
        <f>ClientiBanca[[#This Row],[Prestito]]+ClientiBanca[[#This Row],[Mutuo]]</f>
        <v>371700</v>
      </c>
      <c r="L957" t="str">
        <f>IF(ClientiBanca[[#This Row],[Reddito annuo]]&gt;=70000,"si","no")</f>
        <v>si</v>
      </c>
    </row>
    <row r="958" spans="1:12">
      <c r="A958">
        <v>100957</v>
      </c>
      <c r="B958">
        <v>46</v>
      </c>
      <c r="C958" s="2">
        <v>76200</v>
      </c>
      <c r="D958" t="s">
        <v>21</v>
      </c>
      <c r="E958" s="2">
        <v>0</v>
      </c>
      <c r="F958" s="2">
        <v>0</v>
      </c>
      <c r="G958" t="s">
        <v>26</v>
      </c>
      <c r="H958" t="s">
        <v>20</v>
      </c>
      <c r="I958" t="s">
        <v>18</v>
      </c>
      <c r="J958" s="3">
        <v>45730</v>
      </c>
      <c r="K958" s="4">
        <f>ClientiBanca[[#This Row],[Prestito]]+ClientiBanca[[#This Row],[Mutuo]]</f>
        <v>0</v>
      </c>
      <c r="L958" t="str">
        <f>IF(ClientiBanca[[#This Row],[Reddito annuo]]&gt;=70000,"si","no")</f>
        <v>si</v>
      </c>
    </row>
    <row r="959" spans="1:12">
      <c r="A959">
        <v>100958</v>
      </c>
      <c r="B959">
        <v>53</v>
      </c>
      <c r="C959" s="2">
        <v>106000</v>
      </c>
      <c r="D959" t="s">
        <v>22</v>
      </c>
      <c r="E959" s="2">
        <v>0</v>
      </c>
      <c r="F959" s="2">
        <v>0</v>
      </c>
      <c r="G959" t="s">
        <v>13</v>
      </c>
      <c r="H959" t="s">
        <v>14</v>
      </c>
      <c r="I959" t="s">
        <v>18</v>
      </c>
      <c r="J959" s="3">
        <v>45708</v>
      </c>
      <c r="K959" s="4">
        <f>ClientiBanca[[#This Row],[Prestito]]+ClientiBanca[[#This Row],[Mutuo]]</f>
        <v>0</v>
      </c>
      <c r="L959" t="str">
        <f>IF(ClientiBanca[[#This Row],[Reddito annuo]]&gt;=70000,"si","no")</f>
        <v>si</v>
      </c>
    </row>
    <row r="960" spans="1:12">
      <c r="A960">
        <v>100959</v>
      </c>
      <c r="B960">
        <v>69</v>
      </c>
      <c r="C960" s="2">
        <v>47700</v>
      </c>
      <c r="D960" t="s">
        <v>21</v>
      </c>
      <c r="E960" s="2">
        <v>48600</v>
      </c>
      <c r="F960" s="2">
        <v>0</v>
      </c>
      <c r="G960" t="s">
        <v>24</v>
      </c>
      <c r="H960" t="s">
        <v>17</v>
      </c>
      <c r="I960" t="s">
        <v>18</v>
      </c>
      <c r="J960" s="3">
        <v>45584</v>
      </c>
      <c r="K960" s="4">
        <f>ClientiBanca[[#This Row],[Prestito]]+ClientiBanca[[#This Row],[Mutuo]]</f>
        <v>48600</v>
      </c>
      <c r="L960" t="str">
        <f>IF(ClientiBanca[[#This Row],[Reddito annuo]]&gt;=70000,"si","no")</f>
        <v>no</v>
      </c>
    </row>
    <row r="961" spans="1:12">
      <c r="A961">
        <v>100960</v>
      </c>
      <c r="B961">
        <v>55</v>
      </c>
      <c r="C961" s="2">
        <v>103700</v>
      </c>
      <c r="D961" t="s">
        <v>12</v>
      </c>
      <c r="E961" s="2">
        <v>71900</v>
      </c>
      <c r="F961" s="2">
        <v>0</v>
      </c>
      <c r="G961" t="s">
        <v>24</v>
      </c>
      <c r="H961" t="s">
        <v>20</v>
      </c>
      <c r="I961" t="s">
        <v>18</v>
      </c>
      <c r="J961" s="3">
        <v>45985</v>
      </c>
      <c r="K961" s="4">
        <f>ClientiBanca[[#This Row],[Prestito]]+ClientiBanca[[#This Row],[Mutuo]]</f>
        <v>71900</v>
      </c>
      <c r="L961" t="str">
        <f>IF(ClientiBanca[[#This Row],[Reddito annuo]]&gt;=70000,"si","no")</f>
        <v>si</v>
      </c>
    </row>
    <row r="962" spans="1:12">
      <c r="A962">
        <v>100961</v>
      </c>
      <c r="B962">
        <v>54</v>
      </c>
      <c r="C962" s="2">
        <v>75400</v>
      </c>
      <c r="D962" t="s">
        <v>21</v>
      </c>
      <c r="E962" s="2">
        <v>66200</v>
      </c>
      <c r="F962" s="2">
        <v>0</v>
      </c>
      <c r="G962" t="s">
        <v>16</v>
      </c>
      <c r="H962" t="s">
        <v>17</v>
      </c>
      <c r="I962" t="s">
        <v>18</v>
      </c>
      <c r="J962" s="3">
        <v>45542</v>
      </c>
      <c r="K962" s="4">
        <f>ClientiBanca[[#This Row],[Prestito]]+ClientiBanca[[#This Row],[Mutuo]]</f>
        <v>66200</v>
      </c>
      <c r="L962" t="str">
        <f>IF(ClientiBanca[[#This Row],[Reddito annuo]]&gt;=70000,"si","no")</f>
        <v>si</v>
      </c>
    </row>
    <row r="963" spans="1:12">
      <c r="A963">
        <v>100962</v>
      </c>
      <c r="B963">
        <v>67</v>
      </c>
      <c r="C963" s="2">
        <v>72200</v>
      </c>
      <c r="D963" t="s">
        <v>22</v>
      </c>
      <c r="E963" s="2">
        <v>0</v>
      </c>
      <c r="F963" s="2">
        <v>0</v>
      </c>
      <c r="G963" t="s">
        <v>27</v>
      </c>
      <c r="H963" t="s">
        <v>17</v>
      </c>
      <c r="I963" t="s">
        <v>18</v>
      </c>
      <c r="J963" s="3">
        <v>45464</v>
      </c>
      <c r="K963" s="4">
        <f>ClientiBanca[[#This Row],[Prestito]]+ClientiBanca[[#This Row],[Mutuo]]</f>
        <v>0</v>
      </c>
      <c r="L963" t="str">
        <f>IF(ClientiBanca[[#This Row],[Reddito annuo]]&gt;=70000,"si","no")</f>
        <v>si</v>
      </c>
    </row>
    <row r="964" spans="1:12">
      <c r="A964">
        <v>100963</v>
      </c>
      <c r="B964">
        <v>63</v>
      </c>
      <c r="C964" s="2">
        <v>103800</v>
      </c>
      <c r="D964" t="s">
        <v>12</v>
      </c>
      <c r="E964" s="2">
        <v>0</v>
      </c>
      <c r="F964" s="2">
        <v>181000</v>
      </c>
      <c r="G964" t="s">
        <v>24</v>
      </c>
      <c r="H964" t="s">
        <v>17</v>
      </c>
      <c r="I964" t="s">
        <v>18</v>
      </c>
      <c r="J964" s="3">
        <v>45344</v>
      </c>
      <c r="K964" s="4">
        <f>ClientiBanca[[#This Row],[Prestito]]+ClientiBanca[[#This Row],[Mutuo]]</f>
        <v>181000</v>
      </c>
      <c r="L964" t="str">
        <f>IF(ClientiBanca[[#This Row],[Reddito annuo]]&gt;=70000,"si","no")</f>
        <v>si</v>
      </c>
    </row>
    <row r="965" spans="1:12">
      <c r="A965">
        <v>100964</v>
      </c>
      <c r="B965">
        <v>47</v>
      </c>
      <c r="C965" s="2">
        <v>59500</v>
      </c>
      <c r="D965" t="s">
        <v>21</v>
      </c>
      <c r="E965" s="2">
        <v>0</v>
      </c>
      <c r="F965" s="2">
        <v>0</v>
      </c>
      <c r="G965" t="s">
        <v>23</v>
      </c>
      <c r="H965" t="s">
        <v>14</v>
      </c>
      <c r="I965" t="s">
        <v>18</v>
      </c>
      <c r="J965" s="3">
        <v>46163</v>
      </c>
      <c r="K965" s="4">
        <f>ClientiBanca[[#This Row],[Prestito]]+ClientiBanca[[#This Row],[Mutuo]]</f>
        <v>0</v>
      </c>
      <c r="L965" t="str">
        <f>IF(ClientiBanca[[#This Row],[Reddito annuo]]&gt;=70000,"si","no")</f>
        <v>no</v>
      </c>
    </row>
    <row r="966" spans="1:12">
      <c r="A966">
        <v>100965</v>
      </c>
      <c r="B966">
        <v>69</v>
      </c>
      <c r="C966" s="2">
        <v>92600</v>
      </c>
      <c r="D966" t="s">
        <v>21</v>
      </c>
      <c r="E966" s="2">
        <v>21700</v>
      </c>
      <c r="F966" s="2">
        <v>238000</v>
      </c>
      <c r="G966" t="s">
        <v>16</v>
      </c>
      <c r="H966" t="s">
        <v>20</v>
      </c>
      <c r="I966" t="s">
        <v>18</v>
      </c>
      <c r="J966" s="3">
        <v>46247</v>
      </c>
      <c r="K966" s="4">
        <f>ClientiBanca[[#This Row],[Prestito]]+ClientiBanca[[#This Row],[Mutuo]]</f>
        <v>259700</v>
      </c>
      <c r="L966" t="str">
        <f>IF(ClientiBanca[[#This Row],[Reddito annuo]]&gt;=70000,"si","no")</f>
        <v>si</v>
      </c>
    </row>
    <row r="967" spans="1:12">
      <c r="A967">
        <v>100966</v>
      </c>
      <c r="B967">
        <v>61</v>
      </c>
      <c r="C967" s="2">
        <v>60900</v>
      </c>
      <c r="D967" t="s">
        <v>22</v>
      </c>
      <c r="E967" s="2">
        <v>0</v>
      </c>
      <c r="F967" s="2">
        <v>0</v>
      </c>
      <c r="G967" t="s">
        <v>28</v>
      </c>
      <c r="H967" t="s">
        <v>20</v>
      </c>
      <c r="I967" t="s">
        <v>18</v>
      </c>
      <c r="J967" s="3">
        <v>45298</v>
      </c>
      <c r="K967" s="4">
        <f>ClientiBanca[[#This Row],[Prestito]]+ClientiBanca[[#This Row],[Mutuo]]</f>
        <v>0</v>
      </c>
      <c r="L967" t="str">
        <f>IF(ClientiBanca[[#This Row],[Reddito annuo]]&gt;=70000,"si","no")</f>
        <v>no</v>
      </c>
    </row>
    <row r="968" spans="1:12">
      <c r="A968">
        <v>100967</v>
      </c>
      <c r="B968">
        <v>59</v>
      </c>
      <c r="C968" s="2">
        <v>57100</v>
      </c>
      <c r="D968" t="s">
        <v>21</v>
      </c>
      <c r="E968" s="2">
        <v>25800</v>
      </c>
      <c r="F968" s="2">
        <v>0</v>
      </c>
      <c r="G968" t="s">
        <v>16</v>
      </c>
      <c r="H968" t="s">
        <v>17</v>
      </c>
      <c r="I968" t="s">
        <v>18</v>
      </c>
      <c r="J968" s="3">
        <v>45795</v>
      </c>
      <c r="K968" s="4">
        <f>ClientiBanca[[#This Row],[Prestito]]+ClientiBanca[[#This Row],[Mutuo]]</f>
        <v>25800</v>
      </c>
      <c r="L968" t="str">
        <f>IF(ClientiBanca[[#This Row],[Reddito annuo]]&gt;=70000,"si","no")</f>
        <v>no</v>
      </c>
    </row>
    <row r="969" spans="1:12">
      <c r="A969">
        <v>100968</v>
      </c>
      <c r="B969">
        <v>32</v>
      </c>
      <c r="C969" s="2">
        <v>33100</v>
      </c>
      <c r="D969" t="s">
        <v>12</v>
      </c>
      <c r="E969" s="2">
        <v>15200</v>
      </c>
      <c r="F969" s="2">
        <v>0</v>
      </c>
      <c r="G969" t="s">
        <v>24</v>
      </c>
      <c r="H969" t="s">
        <v>14</v>
      </c>
      <c r="I969" t="s">
        <v>18</v>
      </c>
      <c r="J969" s="3">
        <v>45773</v>
      </c>
      <c r="K969" s="4">
        <f>ClientiBanca[[#This Row],[Prestito]]+ClientiBanca[[#This Row],[Mutuo]]</f>
        <v>15200</v>
      </c>
      <c r="L969" t="str">
        <f>IF(ClientiBanca[[#This Row],[Reddito annuo]]&gt;=70000,"si","no")</f>
        <v>no</v>
      </c>
    </row>
    <row r="970" spans="1:12">
      <c r="A970">
        <v>100969</v>
      </c>
      <c r="B970">
        <v>45</v>
      </c>
      <c r="C970" s="2">
        <v>51500</v>
      </c>
      <c r="D970" t="s">
        <v>21</v>
      </c>
      <c r="E970" s="2">
        <v>0</v>
      </c>
      <c r="F970" s="2">
        <v>0</v>
      </c>
      <c r="G970" t="s">
        <v>26</v>
      </c>
      <c r="H970" t="s">
        <v>20</v>
      </c>
      <c r="I970" t="s">
        <v>18</v>
      </c>
      <c r="J970" s="3">
        <v>45741</v>
      </c>
      <c r="K970" s="4">
        <f>ClientiBanca[[#This Row],[Prestito]]+ClientiBanca[[#This Row],[Mutuo]]</f>
        <v>0</v>
      </c>
      <c r="L970" t="str">
        <f>IF(ClientiBanca[[#This Row],[Reddito annuo]]&gt;=70000,"si","no")</f>
        <v>no</v>
      </c>
    </row>
    <row r="971" spans="1:12">
      <c r="A971">
        <v>100970</v>
      </c>
      <c r="B971">
        <v>62</v>
      </c>
      <c r="C971" s="2">
        <v>90200</v>
      </c>
      <c r="D971" t="s">
        <v>21</v>
      </c>
      <c r="E971" s="2">
        <v>30100</v>
      </c>
      <c r="F971" s="2">
        <v>0</v>
      </c>
      <c r="G971" t="s">
        <v>23</v>
      </c>
      <c r="H971" t="s">
        <v>20</v>
      </c>
      <c r="I971" t="s">
        <v>18</v>
      </c>
      <c r="J971" s="3">
        <v>45428</v>
      </c>
      <c r="K971" s="4">
        <f>ClientiBanca[[#This Row],[Prestito]]+ClientiBanca[[#This Row],[Mutuo]]</f>
        <v>30100</v>
      </c>
      <c r="L971" t="str">
        <f>IF(ClientiBanca[[#This Row],[Reddito annuo]]&gt;=70000,"si","no")</f>
        <v>si</v>
      </c>
    </row>
    <row r="972" spans="1:12">
      <c r="A972">
        <v>100971</v>
      </c>
      <c r="B972">
        <v>45</v>
      </c>
      <c r="C972" s="2">
        <v>54500</v>
      </c>
      <c r="D972" t="s">
        <v>21</v>
      </c>
      <c r="E972" s="2">
        <v>44000</v>
      </c>
      <c r="F972" s="2">
        <v>0</v>
      </c>
      <c r="G972" t="s">
        <v>26</v>
      </c>
      <c r="H972" t="s">
        <v>20</v>
      </c>
      <c r="I972" t="s">
        <v>18</v>
      </c>
      <c r="J972" s="3">
        <v>45799</v>
      </c>
      <c r="K972" s="4">
        <f>ClientiBanca[[#This Row],[Prestito]]+ClientiBanca[[#This Row],[Mutuo]]</f>
        <v>44000</v>
      </c>
      <c r="L972" t="str">
        <f>IF(ClientiBanca[[#This Row],[Reddito annuo]]&gt;=70000,"si","no")</f>
        <v>no</v>
      </c>
    </row>
    <row r="973" spans="1:12">
      <c r="A973">
        <v>100972</v>
      </c>
      <c r="B973">
        <v>71</v>
      </c>
      <c r="C973" s="2">
        <v>74000</v>
      </c>
      <c r="D973" t="s">
        <v>21</v>
      </c>
      <c r="E973" s="2">
        <v>0</v>
      </c>
      <c r="F973" s="2">
        <v>0</v>
      </c>
      <c r="G973" t="s">
        <v>16</v>
      </c>
      <c r="H973" t="s">
        <v>17</v>
      </c>
      <c r="I973" t="s">
        <v>18</v>
      </c>
      <c r="J973" s="3">
        <v>46237</v>
      </c>
      <c r="K973" s="4">
        <f>ClientiBanca[[#This Row],[Prestito]]+ClientiBanca[[#This Row],[Mutuo]]</f>
        <v>0</v>
      </c>
      <c r="L973" t="str">
        <f>IF(ClientiBanca[[#This Row],[Reddito annuo]]&gt;=70000,"si","no")</f>
        <v>si</v>
      </c>
    </row>
    <row r="974" spans="1:12">
      <c r="A974">
        <v>100973</v>
      </c>
      <c r="B974">
        <v>67</v>
      </c>
      <c r="C974" s="2">
        <v>90700</v>
      </c>
      <c r="D974" t="s">
        <v>21</v>
      </c>
      <c r="E974" s="2">
        <v>14300</v>
      </c>
      <c r="F974" s="2">
        <v>138000</v>
      </c>
      <c r="G974" t="s">
        <v>27</v>
      </c>
      <c r="H974" t="s">
        <v>17</v>
      </c>
      <c r="I974" t="s">
        <v>18</v>
      </c>
      <c r="J974" s="3">
        <v>45986</v>
      </c>
      <c r="K974" s="4">
        <f>ClientiBanca[[#This Row],[Prestito]]+ClientiBanca[[#This Row],[Mutuo]]</f>
        <v>152300</v>
      </c>
      <c r="L974" t="str">
        <f>IF(ClientiBanca[[#This Row],[Reddito annuo]]&gt;=70000,"si","no")</f>
        <v>si</v>
      </c>
    </row>
    <row r="975" spans="1:12">
      <c r="A975">
        <v>100974</v>
      </c>
      <c r="B975">
        <v>73</v>
      </c>
      <c r="C975" s="2">
        <v>49500</v>
      </c>
      <c r="D975" t="s">
        <v>22</v>
      </c>
      <c r="E975" s="2">
        <v>0</v>
      </c>
      <c r="F975" s="2">
        <v>0</v>
      </c>
      <c r="G975" t="s">
        <v>26</v>
      </c>
      <c r="H975" t="s">
        <v>20</v>
      </c>
      <c r="I975" t="s">
        <v>18</v>
      </c>
      <c r="J975" s="3">
        <v>45376</v>
      </c>
      <c r="K975" s="4">
        <f>ClientiBanca[[#This Row],[Prestito]]+ClientiBanca[[#This Row],[Mutuo]]</f>
        <v>0</v>
      </c>
      <c r="L975" t="str">
        <f>IF(ClientiBanca[[#This Row],[Reddito annuo]]&gt;=70000,"si","no")</f>
        <v>no</v>
      </c>
    </row>
    <row r="976" spans="1:12">
      <c r="A976">
        <v>100975</v>
      </c>
      <c r="B976">
        <v>68</v>
      </c>
      <c r="C976" s="2">
        <v>55000</v>
      </c>
      <c r="D976" t="s">
        <v>12</v>
      </c>
      <c r="E976" s="2">
        <v>0</v>
      </c>
      <c r="F976" s="2">
        <v>166000</v>
      </c>
      <c r="G976" t="s">
        <v>13</v>
      </c>
      <c r="H976" t="s">
        <v>14</v>
      </c>
      <c r="I976" t="s">
        <v>18</v>
      </c>
      <c r="J976" s="3">
        <v>46009</v>
      </c>
      <c r="K976" s="4">
        <f>ClientiBanca[[#This Row],[Prestito]]+ClientiBanca[[#This Row],[Mutuo]]</f>
        <v>166000</v>
      </c>
      <c r="L976" t="str">
        <f>IF(ClientiBanca[[#This Row],[Reddito annuo]]&gt;=70000,"si","no")</f>
        <v>no</v>
      </c>
    </row>
    <row r="977" spans="1:12">
      <c r="A977">
        <v>100976</v>
      </c>
      <c r="B977">
        <v>35</v>
      </c>
      <c r="C977" s="2">
        <v>72700</v>
      </c>
      <c r="D977" t="s">
        <v>21</v>
      </c>
      <c r="E977" s="2">
        <v>52900</v>
      </c>
      <c r="F977" s="2">
        <v>264000</v>
      </c>
      <c r="G977" t="s">
        <v>24</v>
      </c>
      <c r="H977" t="s">
        <v>20</v>
      </c>
      <c r="I977" t="s">
        <v>18</v>
      </c>
      <c r="J977" s="3">
        <v>45936</v>
      </c>
      <c r="K977" s="4">
        <f>ClientiBanca[[#This Row],[Prestito]]+ClientiBanca[[#This Row],[Mutuo]]</f>
        <v>316900</v>
      </c>
      <c r="L977" t="str">
        <f>IF(ClientiBanca[[#This Row],[Reddito annuo]]&gt;=70000,"si","no")</f>
        <v>si</v>
      </c>
    </row>
    <row r="978" spans="1:12">
      <c r="A978">
        <v>100977</v>
      </c>
      <c r="B978">
        <v>60</v>
      </c>
      <c r="C978" s="2">
        <v>38000</v>
      </c>
      <c r="D978" t="s">
        <v>21</v>
      </c>
      <c r="E978" s="2">
        <v>22200</v>
      </c>
      <c r="F978" s="2">
        <v>0</v>
      </c>
      <c r="G978" t="s">
        <v>24</v>
      </c>
      <c r="H978" t="s">
        <v>17</v>
      </c>
      <c r="I978" t="s">
        <v>18</v>
      </c>
      <c r="J978" s="3">
        <v>45385</v>
      </c>
      <c r="K978" s="4">
        <f>ClientiBanca[[#This Row],[Prestito]]+ClientiBanca[[#This Row],[Mutuo]]</f>
        <v>22200</v>
      </c>
      <c r="L978" t="str">
        <f>IF(ClientiBanca[[#This Row],[Reddito annuo]]&gt;=70000,"si","no")</f>
        <v>no</v>
      </c>
    </row>
    <row r="979" spans="1:12">
      <c r="A979">
        <v>100978</v>
      </c>
      <c r="B979">
        <v>75</v>
      </c>
      <c r="C979" s="2">
        <v>29700</v>
      </c>
      <c r="D979" t="s">
        <v>21</v>
      </c>
      <c r="E979" s="2">
        <v>37100</v>
      </c>
      <c r="F979" s="2">
        <v>0</v>
      </c>
      <c r="G979" t="s">
        <v>19</v>
      </c>
      <c r="H979" t="s">
        <v>17</v>
      </c>
      <c r="I979" t="s">
        <v>18</v>
      </c>
      <c r="J979" s="3">
        <v>45729</v>
      </c>
      <c r="K979" s="4">
        <f>ClientiBanca[[#This Row],[Prestito]]+ClientiBanca[[#This Row],[Mutuo]]</f>
        <v>37100</v>
      </c>
      <c r="L979" t="str">
        <f>IF(ClientiBanca[[#This Row],[Reddito annuo]]&gt;=70000,"si","no")</f>
        <v>no</v>
      </c>
    </row>
    <row r="980" spans="1:12">
      <c r="A980">
        <v>100979</v>
      </c>
      <c r="B980">
        <v>61</v>
      </c>
      <c r="C980" s="2">
        <v>29800</v>
      </c>
      <c r="D980" t="s">
        <v>21</v>
      </c>
      <c r="E980" s="2">
        <v>37200</v>
      </c>
      <c r="F980" s="2">
        <v>0</v>
      </c>
      <c r="G980" t="s">
        <v>23</v>
      </c>
      <c r="H980" t="s">
        <v>17</v>
      </c>
      <c r="I980" t="s">
        <v>15</v>
      </c>
      <c r="J980" s="3">
        <v>45333</v>
      </c>
      <c r="K980" s="4">
        <f>ClientiBanca[[#This Row],[Prestito]]+ClientiBanca[[#This Row],[Mutuo]]</f>
        <v>37200</v>
      </c>
      <c r="L980" t="str">
        <f>IF(ClientiBanca[[#This Row],[Reddito annuo]]&gt;=70000,"si","no")</f>
        <v>no</v>
      </c>
    </row>
    <row r="981" spans="1:12">
      <c r="A981">
        <v>100980</v>
      </c>
      <c r="B981">
        <v>20</v>
      </c>
      <c r="C981" s="2">
        <v>29800</v>
      </c>
      <c r="D981" t="s">
        <v>12</v>
      </c>
      <c r="E981" s="2">
        <v>32200</v>
      </c>
      <c r="F981" s="2">
        <v>0</v>
      </c>
      <c r="G981" t="s">
        <v>13</v>
      </c>
      <c r="H981" t="s">
        <v>17</v>
      </c>
      <c r="I981" t="s">
        <v>18</v>
      </c>
      <c r="J981" s="3">
        <v>45795</v>
      </c>
      <c r="K981" s="4">
        <f>ClientiBanca[[#This Row],[Prestito]]+ClientiBanca[[#This Row],[Mutuo]]</f>
        <v>32200</v>
      </c>
      <c r="L981" t="str">
        <f>IF(ClientiBanca[[#This Row],[Reddito annuo]]&gt;=70000,"si","no")</f>
        <v>no</v>
      </c>
    </row>
    <row r="982" spans="1:12">
      <c r="A982">
        <v>100981</v>
      </c>
      <c r="B982">
        <v>43</v>
      </c>
      <c r="C982" s="2">
        <v>49000</v>
      </c>
      <c r="D982" t="s">
        <v>21</v>
      </c>
      <c r="E982" s="2">
        <v>45200</v>
      </c>
      <c r="F982" s="2">
        <v>0</v>
      </c>
      <c r="G982" t="s">
        <v>24</v>
      </c>
      <c r="H982" t="s">
        <v>17</v>
      </c>
      <c r="I982" t="s">
        <v>18</v>
      </c>
      <c r="J982" s="3">
        <v>45662</v>
      </c>
      <c r="K982" s="4">
        <f>ClientiBanca[[#This Row],[Prestito]]+ClientiBanca[[#This Row],[Mutuo]]</f>
        <v>45200</v>
      </c>
      <c r="L982" t="str">
        <f>IF(ClientiBanca[[#This Row],[Reddito annuo]]&gt;=70000,"si","no")</f>
        <v>no</v>
      </c>
    </row>
    <row r="983" spans="1:12">
      <c r="A983">
        <v>100982</v>
      </c>
      <c r="B983">
        <v>67</v>
      </c>
      <c r="C983" s="2">
        <v>83300</v>
      </c>
      <c r="D983" t="s">
        <v>12</v>
      </c>
      <c r="E983" s="2">
        <v>42900</v>
      </c>
      <c r="F983" s="2">
        <v>185000</v>
      </c>
      <c r="G983" t="s">
        <v>13</v>
      </c>
      <c r="H983" t="s">
        <v>20</v>
      </c>
      <c r="I983" t="s">
        <v>18</v>
      </c>
      <c r="J983" s="3">
        <v>45415</v>
      </c>
      <c r="K983" s="4">
        <f>ClientiBanca[[#This Row],[Prestito]]+ClientiBanca[[#This Row],[Mutuo]]</f>
        <v>227900</v>
      </c>
      <c r="L983" t="str">
        <f>IF(ClientiBanca[[#This Row],[Reddito annuo]]&gt;=70000,"si","no")</f>
        <v>si</v>
      </c>
    </row>
    <row r="984" spans="1:12">
      <c r="A984">
        <v>100983</v>
      </c>
      <c r="B984">
        <v>22</v>
      </c>
      <c r="C984" s="2">
        <v>66200</v>
      </c>
      <c r="D984" t="s">
        <v>22</v>
      </c>
      <c r="E984" s="2">
        <v>18400</v>
      </c>
      <c r="F984" s="2">
        <v>0</v>
      </c>
      <c r="G984" t="s">
        <v>13</v>
      </c>
      <c r="H984" t="s">
        <v>20</v>
      </c>
      <c r="I984" t="s">
        <v>18</v>
      </c>
      <c r="J984" s="3">
        <v>45643</v>
      </c>
      <c r="K984" s="4">
        <f>ClientiBanca[[#This Row],[Prestito]]+ClientiBanca[[#This Row],[Mutuo]]</f>
        <v>18400</v>
      </c>
      <c r="L984" t="str">
        <f>IF(ClientiBanca[[#This Row],[Reddito annuo]]&gt;=70000,"si","no")</f>
        <v>no</v>
      </c>
    </row>
    <row r="985" spans="1:12">
      <c r="A985">
        <v>100984</v>
      </c>
      <c r="B985">
        <v>39</v>
      </c>
      <c r="C985" s="2">
        <v>78000</v>
      </c>
      <c r="D985" t="s">
        <v>22</v>
      </c>
      <c r="E985" s="2">
        <v>47900</v>
      </c>
      <c r="F985" s="2">
        <v>147000</v>
      </c>
      <c r="G985" t="s">
        <v>26</v>
      </c>
      <c r="H985" t="s">
        <v>14</v>
      </c>
      <c r="I985" t="s">
        <v>18</v>
      </c>
      <c r="J985" s="3">
        <v>46158</v>
      </c>
      <c r="K985" s="4">
        <f>ClientiBanca[[#This Row],[Prestito]]+ClientiBanca[[#This Row],[Mutuo]]</f>
        <v>194900</v>
      </c>
      <c r="L985" t="str">
        <f>IF(ClientiBanca[[#This Row],[Reddito annuo]]&gt;=70000,"si","no")</f>
        <v>si</v>
      </c>
    </row>
    <row r="986" spans="1:12">
      <c r="A986">
        <v>100985</v>
      </c>
      <c r="B986">
        <v>55</v>
      </c>
      <c r="C986" s="2">
        <v>114300</v>
      </c>
      <c r="D986" t="s">
        <v>22</v>
      </c>
      <c r="E986" s="2">
        <v>47700</v>
      </c>
      <c r="F986" s="2">
        <v>0</v>
      </c>
      <c r="G986" t="s">
        <v>13</v>
      </c>
      <c r="H986" t="s">
        <v>20</v>
      </c>
      <c r="I986" t="s">
        <v>18</v>
      </c>
      <c r="J986" s="3">
        <v>45807</v>
      </c>
      <c r="K986" s="4">
        <f>ClientiBanca[[#This Row],[Prestito]]+ClientiBanca[[#This Row],[Mutuo]]</f>
        <v>47700</v>
      </c>
      <c r="L986" t="str">
        <f>IF(ClientiBanca[[#This Row],[Reddito annuo]]&gt;=70000,"si","no")</f>
        <v>si</v>
      </c>
    </row>
    <row r="987" spans="1:12">
      <c r="A987">
        <v>100986</v>
      </c>
      <c r="B987">
        <v>70</v>
      </c>
      <c r="C987" s="2">
        <v>25700</v>
      </c>
      <c r="D987" t="s">
        <v>12</v>
      </c>
      <c r="E987" s="2">
        <v>15500</v>
      </c>
      <c r="F987" s="2">
        <v>222000</v>
      </c>
      <c r="G987" t="s">
        <v>23</v>
      </c>
      <c r="H987" t="s">
        <v>14</v>
      </c>
      <c r="I987" t="s">
        <v>18</v>
      </c>
      <c r="J987" s="3">
        <v>45993</v>
      </c>
      <c r="K987" s="4">
        <f>ClientiBanca[[#This Row],[Prestito]]+ClientiBanca[[#This Row],[Mutuo]]</f>
        <v>237500</v>
      </c>
      <c r="L987" t="str">
        <f>IF(ClientiBanca[[#This Row],[Reddito annuo]]&gt;=70000,"si","no")</f>
        <v>no</v>
      </c>
    </row>
    <row r="988" spans="1:12">
      <c r="A988">
        <v>100987</v>
      </c>
      <c r="B988">
        <v>54</v>
      </c>
      <c r="C988" s="2">
        <v>94200</v>
      </c>
      <c r="D988" t="s">
        <v>22</v>
      </c>
      <c r="E988" s="2">
        <v>50300</v>
      </c>
      <c r="F988" s="2">
        <v>0</v>
      </c>
      <c r="G988" t="s">
        <v>16</v>
      </c>
      <c r="H988" t="s">
        <v>20</v>
      </c>
      <c r="I988" t="s">
        <v>18</v>
      </c>
      <c r="J988" s="3">
        <v>45480</v>
      </c>
      <c r="K988" s="4">
        <f>ClientiBanca[[#This Row],[Prestito]]+ClientiBanca[[#This Row],[Mutuo]]</f>
        <v>50300</v>
      </c>
      <c r="L988" t="str">
        <f>IF(ClientiBanca[[#This Row],[Reddito annuo]]&gt;=70000,"si","no")</f>
        <v>si</v>
      </c>
    </row>
    <row r="989" spans="1:12">
      <c r="A989">
        <v>100988</v>
      </c>
      <c r="B989">
        <v>20</v>
      </c>
      <c r="C989" s="2">
        <v>38700</v>
      </c>
      <c r="D989" t="s">
        <v>21</v>
      </c>
      <c r="E989" s="2">
        <v>48400</v>
      </c>
      <c r="F989" s="2">
        <v>0</v>
      </c>
      <c r="G989" t="s">
        <v>28</v>
      </c>
      <c r="H989" t="s">
        <v>17</v>
      </c>
      <c r="I989" t="s">
        <v>18</v>
      </c>
      <c r="J989" s="3">
        <v>45557</v>
      </c>
      <c r="K989" s="4">
        <f>ClientiBanca[[#This Row],[Prestito]]+ClientiBanca[[#This Row],[Mutuo]]</f>
        <v>48400</v>
      </c>
      <c r="L989" t="str">
        <f>IF(ClientiBanca[[#This Row],[Reddito annuo]]&gt;=70000,"si","no")</f>
        <v>no</v>
      </c>
    </row>
    <row r="990" spans="1:12">
      <c r="A990">
        <v>100989</v>
      </c>
      <c r="B990">
        <v>39</v>
      </c>
      <c r="C990" s="2">
        <v>91900</v>
      </c>
      <c r="D990" t="s">
        <v>21</v>
      </c>
      <c r="E990" s="2">
        <v>14900</v>
      </c>
      <c r="F990" s="2">
        <v>215000</v>
      </c>
      <c r="G990" t="s">
        <v>26</v>
      </c>
      <c r="H990" t="s">
        <v>20</v>
      </c>
      <c r="I990" t="s">
        <v>18</v>
      </c>
      <c r="J990" s="3">
        <v>46196</v>
      </c>
      <c r="K990" s="4">
        <f>ClientiBanca[[#This Row],[Prestito]]+ClientiBanca[[#This Row],[Mutuo]]</f>
        <v>229900</v>
      </c>
      <c r="L990" t="str">
        <f>IF(ClientiBanca[[#This Row],[Reddito annuo]]&gt;=70000,"si","no")</f>
        <v>si</v>
      </c>
    </row>
    <row r="991" spans="1:12">
      <c r="A991">
        <v>100990</v>
      </c>
      <c r="B991">
        <v>37</v>
      </c>
      <c r="C991" s="2">
        <v>103200</v>
      </c>
      <c r="D991" t="s">
        <v>21</v>
      </c>
      <c r="E991" s="2">
        <v>0</v>
      </c>
      <c r="F991" s="2">
        <v>0</v>
      </c>
      <c r="G991" t="s">
        <v>23</v>
      </c>
      <c r="H991" t="s">
        <v>25</v>
      </c>
      <c r="I991" t="s">
        <v>18</v>
      </c>
      <c r="J991" s="3">
        <v>45507</v>
      </c>
      <c r="K991" s="4">
        <f>ClientiBanca[[#This Row],[Prestito]]+ClientiBanca[[#This Row],[Mutuo]]</f>
        <v>0</v>
      </c>
      <c r="L991" t="str">
        <f>IF(ClientiBanca[[#This Row],[Reddito annuo]]&gt;=70000,"si","no")</f>
        <v>si</v>
      </c>
    </row>
    <row r="992" spans="1:12">
      <c r="A992">
        <v>100991</v>
      </c>
      <c r="B992">
        <v>54</v>
      </c>
      <c r="C992" s="2">
        <v>35700</v>
      </c>
      <c r="D992" t="s">
        <v>12</v>
      </c>
      <c r="E992" s="2">
        <v>44600</v>
      </c>
      <c r="F992" s="2">
        <v>0</v>
      </c>
      <c r="G992" t="s">
        <v>26</v>
      </c>
      <c r="H992" t="s">
        <v>14</v>
      </c>
      <c r="I992" t="s">
        <v>18</v>
      </c>
      <c r="J992" s="3">
        <v>45918</v>
      </c>
      <c r="K992" s="4">
        <f>ClientiBanca[[#This Row],[Prestito]]+ClientiBanca[[#This Row],[Mutuo]]</f>
        <v>44600</v>
      </c>
      <c r="L992" t="str">
        <f>IF(ClientiBanca[[#This Row],[Reddito annuo]]&gt;=70000,"si","no")</f>
        <v>no</v>
      </c>
    </row>
    <row r="993" spans="1:12">
      <c r="A993">
        <v>100992</v>
      </c>
      <c r="B993">
        <v>38</v>
      </c>
      <c r="C993" s="2">
        <v>48400</v>
      </c>
      <c r="D993" t="s">
        <v>21</v>
      </c>
      <c r="E993" s="2">
        <v>0</v>
      </c>
      <c r="F993" s="2">
        <v>0</v>
      </c>
      <c r="G993" t="s">
        <v>23</v>
      </c>
      <c r="H993" t="s">
        <v>14</v>
      </c>
      <c r="I993" t="s">
        <v>18</v>
      </c>
      <c r="J993" s="3">
        <v>45578</v>
      </c>
      <c r="K993" s="4">
        <f>ClientiBanca[[#This Row],[Prestito]]+ClientiBanca[[#This Row],[Mutuo]]</f>
        <v>0</v>
      </c>
      <c r="L993" t="str">
        <f>IF(ClientiBanca[[#This Row],[Reddito annuo]]&gt;=70000,"si","no")</f>
        <v>no</v>
      </c>
    </row>
    <row r="994" spans="1:12">
      <c r="A994">
        <v>100993</v>
      </c>
      <c r="B994">
        <v>31</v>
      </c>
      <c r="C994" s="2">
        <v>44400</v>
      </c>
      <c r="D994" t="s">
        <v>21</v>
      </c>
      <c r="E994" s="2">
        <v>55500</v>
      </c>
      <c r="F994" s="2">
        <v>0</v>
      </c>
      <c r="G994" t="s">
        <v>13</v>
      </c>
      <c r="H994" t="s">
        <v>14</v>
      </c>
      <c r="I994" t="s">
        <v>18</v>
      </c>
      <c r="J994" s="3">
        <v>46260</v>
      </c>
      <c r="K994" s="4">
        <f>ClientiBanca[[#This Row],[Prestito]]+ClientiBanca[[#This Row],[Mutuo]]</f>
        <v>55500</v>
      </c>
      <c r="L994" t="str">
        <f>IF(ClientiBanca[[#This Row],[Reddito annuo]]&gt;=70000,"si","no")</f>
        <v>no</v>
      </c>
    </row>
    <row r="995" spans="1:12">
      <c r="A995">
        <v>100994</v>
      </c>
      <c r="B995">
        <v>61</v>
      </c>
      <c r="C995" s="2">
        <v>44400</v>
      </c>
      <c r="D995" t="s">
        <v>12</v>
      </c>
      <c r="E995" s="2">
        <v>19100</v>
      </c>
      <c r="F995" s="2">
        <v>0</v>
      </c>
      <c r="G995" t="s">
        <v>19</v>
      </c>
      <c r="H995" t="s">
        <v>17</v>
      </c>
      <c r="I995" t="s">
        <v>18</v>
      </c>
      <c r="J995" s="3">
        <v>46119</v>
      </c>
      <c r="K995" s="4">
        <f>ClientiBanca[[#This Row],[Prestito]]+ClientiBanca[[#This Row],[Mutuo]]</f>
        <v>19100</v>
      </c>
      <c r="L995" t="str">
        <f>IF(ClientiBanca[[#This Row],[Reddito annuo]]&gt;=70000,"si","no")</f>
        <v>no</v>
      </c>
    </row>
    <row r="996" spans="1:12">
      <c r="A996">
        <v>100995</v>
      </c>
      <c r="B996">
        <v>74</v>
      </c>
      <c r="C996" s="2">
        <v>80600</v>
      </c>
      <c r="D996" t="s">
        <v>21</v>
      </c>
      <c r="E996" s="2">
        <v>48400</v>
      </c>
      <c r="F996" s="2">
        <v>0</v>
      </c>
      <c r="G996" t="s">
        <v>28</v>
      </c>
      <c r="H996" t="s">
        <v>20</v>
      </c>
      <c r="I996" t="s">
        <v>18</v>
      </c>
      <c r="J996" s="3">
        <v>45481</v>
      </c>
      <c r="K996" s="4">
        <f>ClientiBanca[[#This Row],[Prestito]]+ClientiBanca[[#This Row],[Mutuo]]</f>
        <v>48400</v>
      </c>
      <c r="L996" t="str">
        <f>IF(ClientiBanca[[#This Row],[Reddito annuo]]&gt;=70000,"si","no")</f>
        <v>si</v>
      </c>
    </row>
    <row r="997" spans="1:12">
      <c r="A997">
        <v>100996</v>
      </c>
      <c r="B997">
        <v>72</v>
      </c>
      <c r="C997" s="2">
        <v>93200</v>
      </c>
      <c r="D997" t="s">
        <v>21</v>
      </c>
      <c r="E997" s="2">
        <v>48600</v>
      </c>
      <c r="F997" s="2">
        <v>0</v>
      </c>
      <c r="G997" t="s">
        <v>27</v>
      </c>
      <c r="H997" t="s">
        <v>20</v>
      </c>
      <c r="I997" t="s">
        <v>18</v>
      </c>
      <c r="J997" s="3">
        <v>46129</v>
      </c>
      <c r="K997" s="4">
        <f>ClientiBanca[[#This Row],[Prestito]]+ClientiBanca[[#This Row],[Mutuo]]</f>
        <v>48600</v>
      </c>
      <c r="L997" t="str">
        <f>IF(ClientiBanca[[#This Row],[Reddito annuo]]&gt;=70000,"si","no")</f>
        <v>si</v>
      </c>
    </row>
    <row r="998" spans="1:12">
      <c r="A998">
        <v>100997</v>
      </c>
      <c r="B998">
        <v>45</v>
      </c>
      <c r="C998" s="2">
        <v>74500</v>
      </c>
      <c r="D998" t="s">
        <v>21</v>
      </c>
      <c r="E998" s="2">
        <v>29700</v>
      </c>
      <c r="F998" s="2">
        <v>0</v>
      </c>
      <c r="G998" t="s">
        <v>16</v>
      </c>
      <c r="H998" t="s">
        <v>20</v>
      </c>
      <c r="I998" t="s">
        <v>18</v>
      </c>
      <c r="J998" s="3">
        <v>46036</v>
      </c>
      <c r="K998" s="4">
        <f>ClientiBanca[[#This Row],[Prestito]]+ClientiBanca[[#This Row],[Mutuo]]</f>
        <v>29700</v>
      </c>
      <c r="L998" t="str">
        <f>IF(ClientiBanca[[#This Row],[Reddito annuo]]&gt;=70000,"si","no")</f>
        <v>si</v>
      </c>
    </row>
    <row r="999" spans="1:12">
      <c r="A999">
        <v>100998</v>
      </c>
      <c r="B999">
        <v>68</v>
      </c>
      <c r="C999" s="2">
        <v>86500</v>
      </c>
      <c r="D999" t="s">
        <v>12</v>
      </c>
      <c r="E999" s="2">
        <v>7400</v>
      </c>
      <c r="F999" s="2">
        <v>0</v>
      </c>
      <c r="G999" t="s">
        <v>27</v>
      </c>
      <c r="H999" t="s">
        <v>20</v>
      </c>
      <c r="I999" t="s">
        <v>18</v>
      </c>
      <c r="J999" s="3">
        <v>45566</v>
      </c>
      <c r="K999" s="4">
        <f>ClientiBanca[[#This Row],[Prestito]]+ClientiBanca[[#This Row],[Mutuo]]</f>
        <v>7400</v>
      </c>
      <c r="L999" t="str">
        <f>IF(ClientiBanca[[#This Row],[Reddito annuo]]&gt;=70000,"si","no")</f>
        <v>si</v>
      </c>
    </row>
    <row r="1000" spans="1:12">
      <c r="A1000">
        <v>100999</v>
      </c>
      <c r="B1000">
        <v>29</v>
      </c>
      <c r="C1000" s="2">
        <v>105400</v>
      </c>
      <c r="D1000" t="s">
        <v>12</v>
      </c>
      <c r="E1000" s="2">
        <v>0</v>
      </c>
      <c r="F1000" s="2">
        <v>283000</v>
      </c>
      <c r="G1000" t="s">
        <v>19</v>
      </c>
      <c r="H1000" t="s">
        <v>14</v>
      </c>
      <c r="I1000" t="s">
        <v>18</v>
      </c>
      <c r="J1000" s="3">
        <v>45379</v>
      </c>
      <c r="K1000" s="4">
        <f>ClientiBanca[[#This Row],[Prestito]]+ClientiBanca[[#This Row],[Mutuo]]</f>
        <v>283000</v>
      </c>
      <c r="L1000" t="str">
        <f>IF(ClientiBanca[[#This Row],[Reddito annuo]]&gt;=70000,"si","no")</f>
        <v>si</v>
      </c>
    </row>
    <row r="1001" spans="1:12">
      <c r="A1001">
        <v>101000</v>
      </c>
      <c r="B1001">
        <v>32</v>
      </c>
      <c r="C1001" s="2">
        <v>37300</v>
      </c>
      <c r="D1001" t="s">
        <v>12</v>
      </c>
      <c r="E1001" s="2">
        <v>0</v>
      </c>
      <c r="F1001" s="2">
        <v>0</v>
      </c>
      <c r="G1001" t="s">
        <v>26</v>
      </c>
      <c r="H1001" t="s">
        <v>17</v>
      </c>
      <c r="I1001" t="s">
        <v>18</v>
      </c>
      <c r="J1001" s="3">
        <v>45450</v>
      </c>
      <c r="K1001" s="4">
        <f>ClientiBanca[[#This Row],[Prestito]]+ClientiBanca[[#This Row],[Mutuo]]</f>
        <v>0</v>
      </c>
      <c r="L1001" t="str">
        <f>IF(ClientiBanca[[#This Row],[Reddito annuo]]&gt;=70000,"si","no")</f>
        <v>no</v>
      </c>
    </row>
    <row r="1002" spans="1:12">
      <c r="A1002">
        <v>101001</v>
      </c>
      <c r="B1002">
        <v>35</v>
      </c>
      <c r="C1002" s="2">
        <v>30300</v>
      </c>
      <c r="D1002" t="s">
        <v>12</v>
      </c>
      <c r="E1002" s="2">
        <v>15200</v>
      </c>
      <c r="F1002" s="2">
        <v>0</v>
      </c>
      <c r="G1002" t="s">
        <v>13</v>
      </c>
      <c r="H1002" t="s">
        <v>14</v>
      </c>
      <c r="I1002" t="s">
        <v>15</v>
      </c>
      <c r="J1002" s="3">
        <v>46199</v>
      </c>
      <c r="K1002" s="4">
        <f>ClientiBanca[[#This Row],[Prestito]]+ClientiBanca[[#This Row],[Mutuo]]</f>
        <v>15200</v>
      </c>
      <c r="L1002" t="str">
        <f>IF(ClientiBanca[[#This Row],[Reddito annuo]]&gt;=70000,"si","no")</f>
        <v>no</v>
      </c>
    </row>
    <row r="1003" spans="1:12">
      <c r="A1003">
        <v>101002</v>
      </c>
      <c r="B1003">
        <v>73</v>
      </c>
      <c r="C1003" s="2">
        <v>54100</v>
      </c>
      <c r="D1003" t="s">
        <v>21</v>
      </c>
      <c r="E1003" s="2">
        <v>20000</v>
      </c>
      <c r="F1003" s="2">
        <v>0</v>
      </c>
      <c r="G1003" t="s">
        <v>19</v>
      </c>
      <c r="H1003" t="s">
        <v>17</v>
      </c>
      <c r="I1003" t="s">
        <v>18</v>
      </c>
      <c r="J1003" s="3">
        <v>46192</v>
      </c>
      <c r="K1003" s="4">
        <f>ClientiBanca[[#This Row],[Prestito]]+ClientiBanca[[#This Row],[Mutuo]]</f>
        <v>20000</v>
      </c>
      <c r="L1003" t="str">
        <f>IF(ClientiBanca[[#This Row],[Reddito annuo]]&gt;=70000,"si","no")</f>
        <v>no</v>
      </c>
    </row>
    <row r="1004" spans="1:12">
      <c r="A1004">
        <v>101003</v>
      </c>
      <c r="B1004">
        <v>63</v>
      </c>
      <c r="C1004" s="2">
        <v>52100</v>
      </c>
      <c r="D1004" t="s">
        <v>22</v>
      </c>
      <c r="E1004" s="2">
        <v>0</v>
      </c>
      <c r="F1004" s="2">
        <v>142000</v>
      </c>
      <c r="G1004" t="s">
        <v>13</v>
      </c>
      <c r="H1004" t="s">
        <v>20</v>
      </c>
      <c r="I1004" t="s">
        <v>18</v>
      </c>
      <c r="J1004" s="3">
        <v>45580</v>
      </c>
      <c r="K1004" s="4">
        <f>ClientiBanca[[#This Row],[Prestito]]+ClientiBanca[[#This Row],[Mutuo]]</f>
        <v>142000</v>
      </c>
      <c r="L1004" t="str">
        <f>IF(ClientiBanca[[#This Row],[Reddito annuo]]&gt;=70000,"si","no")</f>
        <v>no</v>
      </c>
    </row>
    <row r="1005" spans="1:12">
      <c r="A1005">
        <v>101004</v>
      </c>
      <c r="B1005">
        <v>42</v>
      </c>
      <c r="C1005" s="2">
        <v>32300</v>
      </c>
      <c r="D1005" t="s">
        <v>21</v>
      </c>
      <c r="E1005" s="2">
        <v>40400</v>
      </c>
      <c r="F1005" s="2">
        <v>101000</v>
      </c>
      <c r="G1005" t="s">
        <v>24</v>
      </c>
      <c r="H1005" t="s">
        <v>17</v>
      </c>
      <c r="I1005" t="s">
        <v>18</v>
      </c>
      <c r="J1005" s="3">
        <v>45906</v>
      </c>
      <c r="K1005" s="4">
        <f>ClientiBanca[[#This Row],[Prestito]]+ClientiBanca[[#This Row],[Mutuo]]</f>
        <v>141400</v>
      </c>
      <c r="L1005" t="str">
        <f>IF(ClientiBanca[[#This Row],[Reddito annuo]]&gt;=70000,"si","no")</f>
        <v>no</v>
      </c>
    </row>
    <row r="1006" spans="1:12">
      <c r="A1006">
        <v>101005</v>
      </c>
      <c r="B1006">
        <v>31</v>
      </c>
      <c r="C1006" s="2">
        <v>73800</v>
      </c>
      <c r="D1006" t="s">
        <v>21</v>
      </c>
      <c r="E1006" s="2">
        <v>23500</v>
      </c>
      <c r="F1006" s="2">
        <v>0</v>
      </c>
      <c r="G1006" t="s">
        <v>19</v>
      </c>
      <c r="H1006" t="s">
        <v>14</v>
      </c>
      <c r="I1006" t="s">
        <v>18</v>
      </c>
      <c r="J1006" s="3">
        <v>45803</v>
      </c>
      <c r="K1006" s="4">
        <f>ClientiBanca[[#This Row],[Prestito]]+ClientiBanca[[#This Row],[Mutuo]]</f>
        <v>23500</v>
      </c>
      <c r="L1006" t="str">
        <f>IF(ClientiBanca[[#This Row],[Reddito annuo]]&gt;=70000,"si","no")</f>
        <v>si</v>
      </c>
    </row>
    <row r="1007" spans="1:12">
      <c r="A1007">
        <v>101006</v>
      </c>
      <c r="B1007">
        <v>62</v>
      </c>
      <c r="C1007" s="2">
        <v>51100</v>
      </c>
      <c r="D1007" t="s">
        <v>21</v>
      </c>
      <c r="E1007" s="2">
        <v>0</v>
      </c>
      <c r="F1007" s="2">
        <v>0</v>
      </c>
      <c r="G1007" t="s">
        <v>27</v>
      </c>
      <c r="H1007" t="s">
        <v>14</v>
      </c>
      <c r="I1007" t="s">
        <v>18</v>
      </c>
      <c r="J1007" s="3">
        <v>45444</v>
      </c>
      <c r="K1007" s="4">
        <f>ClientiBanca[[#This Row],[Prestito]]+ClientiBanca[[#This Row],[Mutuo]]</f>
        <v>0</v>
      </c>
      <c r="L1007" t="str">
        <f>IF(ClientiBanca[[#This Row],[Reddito annuo]]&gt;=70000,"si","no")</f>
        <v>no</v>
      </c>
    </row>
    <row r="1008" spans="1:12">
      <c r="A1008">
        <v>101007</v>
      </c>
      <c r="B1008">
        <v>69</v>
      </c>
      <c r="C1008" s="2">
        <v>71800</v>
      </c>
      <c r="D1008" t="s">
        <v>21</v>
      </c>
      <c r="E1008" s="2">
        <v>48000</v>
      </c>
      <c r="F1008" s="2">
        <v>0</v>
      </c>
      <c r="G1008" t="s">
        <v>28</v>
      </c>
      <c r="H1008" t="s">
        <v>14</v>
      </c>
      <c r="I1008" t="s">
        <v>18</v>
      </c>
      <c r="J1008" s="3">
        <v>45729</v>
      </c>
      <c r="K1008" s="4">
        <f>ClientiBanca[[#This Row],[Prestito]]+ClientiBanca[[#This Row],[Mutuo]]</f>
        <v>48000</v>
      </c>
      <c r="L1008" t="str">
        <f>IF(ClientiBanca[[#This Row],[Reddito annuo]]&gt;=70000,"si","no")</f>
        <v>si</v>
      </c>
    </row>
    <row r="1009" spans="1:12">
      <c r="A1009">
        <v>101008</v>
      </c>
      <c r="B1009">
        <v>66</v>
      </c>
      <c r="C1009" s="2">
        <v>45700</v>
      </c>
      <c r="D1009" t="s">
        <v>21</v>
      </c>
      <c r="E1009" s="2">
        <v>0</v>
      </c>
      <c r="F1009" s="2">
        <v>185000</v>
      </c>
      <c r="G1009" t="s">
        <v>19</v>
      </c>
      <c r="H1009" t="s">
        <v>17</v>
      </c>
      <c r="I1009" t="s">
        <v>18</v>
      </c>
      <c r="J1009" s="3">
        <v>45784</v>
      </c>
      <c r="K1009" s="4">
        <f>ClientiBanca[[#This Row],[Prestito]]+ClientiBanca[[#This Row],[Mutuo]]</f>
        <v>185000</v>
      </c>
      <c r="L1009" t="str">
        <f>IF(ClientiBanca[[#This Row],[Reddito annuo]]&gt;=70000,"si","no")</f>
        <v>no</v>
      </c>
    </row>
    <row r="1010" spans="1:12">
      <c r="A1010">
        <v>101009</v>
      </c>
      <c r="B1010">
        <v>64</v>
      </c>
      <c r="C1010" s="2">
        <v>113600</v>
      </c>
      <c r="D1010" t="s">
        <v>12</v>
      </c>
      <c r="E1010" s="2">
        <v>16000</v>
      </c>
      <c r="F1010" s="2">
        <v>0</v>
      </c>
      <c r="G1010" t="s">
        <v>23</v>
      </c>
      <c r="H1010" t="s">
        <v>20</v>
      </c>
      <c r="I1010" t="s">
        <v>18</v>
      </c>
      <c r="J1010" s="3">
        <v>45843</v>
      </c>
      <c r="K1010" s="4">
        <f>ClientiBanca[[#This Row],[Prestito]]+ClientiBanca[[#This Row],[Mutuo]]</f>
        <v>16000</v>
      </c>
      <c r="L1010" t="str">
        <f>IF(ClientiBanca[[#This Row],[Reddito annuo]]&gt;=70000,"si","no")</f>
        <v>si</v>
      </c>
    </row>
    <row r="1011" spans="1:12">
      <c r="A1011">
        <v>101010</v>
      </c>
      <c r="B1011">
        <v>54</v>
      </c>
      <c r="C1011" s="2">
        <v>59300</v>
      </c>
      <c r="D1011" t="s">
        <v>12</v>
      </c>
      <c r="E1011" s="2">
        <v>12900</v>
      </c>
      <c r="F1011" s="2">
        <v>0</v>
      </c>
      <c r="G1011" t="s">
        <v>23</v>
      </c>
      <c r="H1011" t="s">
        <v>17</v>
      </c>
      <c r="I1011" t="s">
        <v>18</v>
      </c>
      <c r="J1011" s="3">
        <v>45294</v>
      </c>
      <c r="K1011" s="4">
        <f>ClientiBanca[[#This Row],[Prestito]]+ClientiBanca[[#This Row],[Mutuo]]</f>
        <v>12900</v>
      </c>
      <c r="L1011" t="str">
        <f>IF(ClientiBanca[[#This Row],[Reddito annuo]]&gt;=70000,"si","no")</f>
        <v>no</v>
      </c>
    </row>
    <row r="1012" spans="1:12">
      <c r="A1012">
        <v>101011</v>
      </c>
      <c r="B1012">
        <v>33</v>
      </c>
      <c r="C1012" s="2">
        <v>122200</v>
      </c>
      <c r="D1012" t="s">
        <v>21</v>
      </c>
      <c r="E1012" s="2">
        <v>73600</v>
      </c>
      <c r="F1012" s="2">
        <v>0</v>
      </c>
      <c r="G1012" t="s">
        <v>27</v>
      </c>
      <c r="H1012" t="s">
        <v>14</v>
      </c>
      <c r="I1012" t="s">
        <v>18</v>
      </c>
      <c r="J1012" s="3">
        <v>46161</v>
      </c>
      <c r="K1012" s="4">
        <f>ClientiBanca[[#This Row],[Prestito]]+ClientiBanca[[#This Row],[Mutuo]]</f>
        <v>73600</v>
      </c>
      <c r="L1012" t="str">
        <f>IF(ClientiBanca[[#This Row],[Reddito annuo]]&gt;=70000,"si","no")</f>
        <v>si</v>
      </c>
    </row>
    <row r="1013" spans="1:12">
      <c r="A1013">
        <v>101012</v>
      </c>
      <c r="B1013">
        <v>75</v>
      </c>
      <c r="C1013" s="2">
        <v>83300</v>
      </c>
      <c r="D1013" t="s">
        <v>21</v>
      </c>
      <c r="E1013" s="2">
        <v>57700</v>
      </c>
      <c r="F1013" s="2">
        <v>0</v>
      </c>
      <c r="G1013" t="s">
        <v>16</v>
      </c>
      <c r="H1013" t="s">
        <v>20</v>
      </c>
      <c r="I1013" t="s">
        <v>18</v>
      </c>
      <c r="J1013" s="3">
        <v>45349</v>
      </c>
      <c r="K1013" s="4">
        <f>ClientiBanca[[#This Row],[Prestito]]+ClientiBanca[[#This Row],[Mutuo]]</f>
        <v>57700</v>
      </c>
      <c r="L1013" t="str">
        <f>IF(ClientiBanca[[#This Row],[Reddito annuo]]&gt;=70000,"si","no")</f>
        <v>si</v>
      </c>
    </row>
    <row r="1014" spans="1:12">
      <c r="A1014">
        <v>101013</v>
      </c>
      <c r="B1014">
        <v>67</v>
      </c>
      <c r="C1014" s="2">
        <v>37200</v>
      </c>
      <c r="D1014" t="s">
        <v>22</v>
      </c>
      <c r="E1014" s="2">
        <v>27200</v>
      </c>
      <c r="F1014" s="2">
        <v>364000</v>
      </c>
      <c r="G1014" t="s">
        <v>19</v>
      </c>
      <c r="H1014" t="s">
        <v>20</v>
      </c>
      <c r="I1014" t="s">
        <v>18</v>
      </c>
      <c r="J1014" s="3">
        <v>45887</v>
      </c>
      <c r="K1014" s="4">
        <f>ClientiBanca[[#This Row],[Prestito]]+ClientiBanca[[#This Row],[Mutuo]]</f>
        <v>391200</v>
      </c>
      <c r="L1014" t="str">
        <f>IF(ClientiBanca[[#This Row],[Reddito annuo]]&gt;=70000,"si","no")</f>
        <v>no</v>
      </c>
    </row>
    <row r="1015" spans="1:12">
      <c r="A1015">
        <v>101014</v>
      </c>
      <c r="B1015">
        <v>24</v>
      </c>
      <c r="C1015" s="2">
        <v>58200</v>
      </c>
      <c r="D1015" t="s">
        <v>12</v>
      </c>
      <c r="E1015" s="2">
        <v>16400</v>
      </c>
      <c r="F1015" s="2">
        <v>159000</v>
      </c>
      <c r="G1015" t="s">
        <v>27</v>
      </c>
      <c r="H1015" t="s">
        <v>17</v>
      </c>
      <c r="I1015" t="s">
        <v>18</v>
      </c>
      <c r="J1015" s="3">
        <v>45445</v>
      </c>
      <c r="K1015" s="4">
        <f>ClientiBanca[[#This Row],[Prestito]]+ClientiBanca[[#This Row],[Mutuo]]</f>
        <v>175400</v>
      </c>
      <c r="L1015" t="str">
        <f>IF(ClientiBanca[[#This Row],[Reddito annuo]]&gt;=70000,"si","no")</f>
        <v>no</v>
      </c>
    </row>
    <row r="1016" spans="1:12">
      <c r="A1016">
        <v>101015</v>
      </c>
      <c r="B1016">
        <v>68</v>
      </c>
      <c r="C1016" s="2">
        <v>40100</v>
      </c>
      <c r="D1016" t="s">
        <v>12</v>
      </c>
      <c r="E1016" s="2">
        <v>0</v>
      </c>
      <c r="F1016" s="2">
        <v>0</v>
      </c>
      <c r="G1016" t="s">
        <v>26</v>
      </c>
      <c r="H1016" t="s">
        <v>17</v>
      </c>
      <c r="I1016" t="s">
        <v>18</v>
      </c>
      <c r="J1016" s="3">
        <v>46031</v>
      </c>
      <c r="K1016" s="4">
        <f>ClientiBanca[[#This Row],[Prestito]]+ClientiBanca[[#This Row],[Mutuo]]</f>
        <v>0</v>
      </c>
      <c r="L1016" t="str">
        <f>IF(ClientiBanca[[#This Row],[Reddito annuo]]&gt;=70000,"si","no")</f>
        <v>no</v>
      </c>
    </row>
    <row r="1017" spans="1:12">
      <c r="A1017">
        <v>101016</v>
      </c>
      <c r="B1017">
        <v>41</v>
      </c>
      <c r="C1017" s="2">
        <v>56000</v>
      </c>
      <c r="D1017" t="s">
        <v>12</v>
      </c>
      <c r="E1017" s="2">
        <v>14500</v>
      </c>
      <c r="F1017" s="2">
        <v>241000</v>
      </c>
      <c r="G1017" t="s">
        <v>24</v>
      </c>
      <c r="H1017" t="s">
        <v>17</v>
      </c>
      <c r="I1017" t="s">
        <v>15</v>
      </c>
      <c r="J1017" s="3">
        <v>46144</v>
      </c>
      <c r="K1017" s="4">
        <f>ClientiBanca[[#This Row],[Prestito]]+ClientiBanca[[#This Row],[Mutuo]]</f>
        <v>255500</v>
      </c>
      <c r="L1017" t="str">
        <f>IF(ClientiBanca[[#This Row],[Reddito annuo]]&gt;=70000,"si","no")</f>
        <v>no</v>
      </c>
    </row>
    <row r="1018" spans="1:12">
      <c r="A1018">
        <v>101017</v>
      </c>
      <c r="B1018">
        <v>47</v>
      </c>
      <c r="C1018" s="2">
        <v>73800</v>
      </c>
      <c r="D1018" t="s">
        <v>22</v>
      </c>
      <c r="E1018" s="2">
        <v>57100</v>
      </c>
      <c r="F1018" s="2">
        <v>0</v>
      </c>
      <c r="G1018" t="s">
        <v>26</v>
      </c>
      <c r="H1018" t="s">
        <v>17</v>
      </c>
      <c r="I1018" t="s">
        <v>18</v>
      </c>
      <c r="J1018" s="3">
        <v>45452</v>
      </c>
      <c r="K1018" s="4">
        <f>ClientiBanca[[#This Row],[Prestito]]+ClientiBanca[[#This Row],[Mutuo]]</f>
        <v>57100</v>
      </c>
      <c r="L1018" t="str">
        <f>IF(ClientiBanca[[#This Row],[Reddito annuo]]&gt;=70000,"si","no")</f>
        <v>si</v>
      </c>
    </row>
    <row r="1019" spans="1:12">
      <c r="A1019">
        <v>101018</v>
      </c>
      <c r="B1019">
        <v>37</v>
      </c>
      <c r="C1019" s="2">
        <v>113700</v>
      </c>
      <c r="D1019" t="s">
        <v>12</v>
      </c>
      <c r="E1019" s="2">
        <v>0</v>
      </c>
      <c r="F1019" s="2">
        <v>152000</v>
      </c>
      <c r="G1019" t="s">
        <v>27</v>
      </c>
      <c r="H1019" t="s">
        <v>20</v>
      </c>
      <c r="I1019" t="s">
        <v>18</v>
      </c>
      <c r="J1019" s="3">
        <v>45480</v>
      </c>
      <c r="K1019" s="4">
        <f>ClientiBanca[[#This Row],[Prestito]]+ClientiBanca[[#This Row],[Mutuo]]</f>
        <v>152000</v>
      </c>
      <c r="L1019" t="str">
        <f>IF(ClientiBanca[[#This Row],[Reddito annuo]]&gt;=70000,"si","no")</f>
        <v>si</v>
      </c>
    </row>
    <row r="1020" spans="1:12">
      <c r="A1020">
        <v>101019</v>
      </c>
      <c r="B1020">
        <v>72</v>
      </c>
      <c r="C1020" s="2">
        <v>80000</v>
      </c>
      <c r="D1020" t="s">
        <v>12</v>
      </c>
      <c r="E1020" s="2">
        <v>0</v>
      </c>
      <c r="F1020" s="2">
        <v>0</v>
      </c>
      <c r="G1020" t="s">
        <v>28</v>
      </c>
      <c r="H1020" t="s">
        <v>20</v>
      </c>
      <c r="I1020" t="s">
        <v>18</v>
      </c>
      <c r="J1020" s="3">
        <v>45960</v>
      </c>
      <c r="K1020" s="4">
        <f>ClientiBanca[[#This Row],[Prestito]]+ClientiBanca[[#This Row],[Mutuo]]</f>
        <v>0</v>
      </c>
      <c r="L1020" t="str">
        <f>IF(ClientiBanca[[#This Row],[Reddito annuo]]&gt;=70000,"si","no")</f>
        <v>si</v>
      </c>
    </row>
    <row r="1021" spans="1:12">
      <c r="A1021">
        <v>101020</v>
      </c>
      <c r="B1021">
        <v>61</v>
      </c>
      <c r="C1021" s="2">
        <v>53400</v>
      </c>
      <c r="D1021" t="s">
        <v>21</v>
      </c>
      <c r="E1021" s="2">
        <v>26900</v>
      </c>
      <c r="F1021" s="2">
        <v>0</v>
      </c>
      <c r="G1021" t="s">
        <v>26</v>
      </c>
      <c r="H1021" t="s">
        <v>20</v>
      </c>
      <c r="I1021" t="s">
        <v>18</v>
      </c>
      <c r="J1021" s="3">
        <v>45909</v>
      </c>
      <c r="K1021" s="4">
        <f>ClientiBanca[[#This Row],[Prestito]]+ClientiBanca[[#This Row],[Mutuo]]</f>
        <v>26900</v>
      </c>
      <c r="L1021" t="str">
        <f>IF(ClientiBanca[[#This Row],[Reddito annuo]]&gt;=70000,"si","no")</f>
        <v>no</v>
      </c>
    </row>
    <row r="1022" spans="1:12">
      <c r="A1022">
        <v>101021</v>
      </c>
      <c r="B1022">
        <v>69</v>
      </c>
      <c r="C1022" s="2">
        <v>91100</v>
      </c>
      <c r="D1022" t="s">
        <v>21</v>
      </c>
      <c r="E1022" s="2">
        <v>36100</v>
      </c>
      <c r="F1022" s="2">
        <v>230000</v>
      </c>
      <c r="G1022" t="s">
        <v>26</v>
      </c>
      <c r="H1022" t="s">
        <v>20</v>
      </c>
      <c r="I1022" t="s">
        <v>18</v>
      </c>
      <c r="J1022" s="3">
        <v>46243</v>
      </c>
      <c r="K1022" s="4">
        <f>ClientiBanca[[#This Row],[Prestito]]+ClientiBanca[[#This Row],[Mutuo]]</f>
        <v>266100</v>
      </c>
      <c r="L1022" t="str">
        <f>IF(ClientiBanca[[#This Row],[Reddito annuo]]&gt;=70000,"si","no")</f>
        <v>si</v>
      </c>
    </row>
    <row r="1023" spans="1:12">
      <c r="A1023">
        <v>101022</v>
      </c>
      <c r="B1023">
        <v>22</v>
      </c>
      <c r="C1023" s="2">
        <v>43500</v>
      </c>
      <c r="D1023" t="s">
        <v>21</v>
      </c>
      <c r="E1023" s="2">
        <v>9900</v>
      </c>
      <c r="F1023" s="2">
        <v>0</v>
      </c>
      <c r="G1023" t="s">
        <v>28</v>
      </c>
      <c r="H1023" t="s">
        <v>20</v>
      </c>
      <c r="I1023" t="s">
        <v>18</v>
      </c>
      <c r="J1023" s="3">
        <v>46258</v>
      </c>
      <c r="K1023" s="4">
        <f>ClientiBanca[[#This Row],[Prestito]]+ClientiBanca[[#This Row],[Mutuo]]</f>
        <v>9900</v>
      </c>
      <c r="L1023" t="str">
        <f>IF(ClientiBanca[[#This Row],[Reddito annuo]]&gt;=70000,"si","no")</f>
        <v>no</v>
      </c>
    </row>
    <row r="1024" spans="1:12">
      <c r="A1024">
        <v>101023</v>
      </c>
      <c r="B1024">
        <v>39</v>
      </c>
      <c r="C1024" s="2">
        <v>22800</v>
      </c>
      <c r="D1024" t="s">
        <v>21</v>
      </c>
      <c r="E1024" s="2">
        <v>28200</v>
      </c>
      <c r="F1024" s="2">
        <v>0</v>
      </c>
      <c r="G1024" t="s">
        <v>16</v>
      </c>
      <c r="H1024" t="s">
        <v>14</v>
      </c>
      <c r="I1024" t="s">
        <v>18</v>
      </c>
      <c r="J1024" s="3">
        <v>46011</v>
      </c>
      <c r="K1024" s="4">
        <f>ClientiBanca[[#This Row],[Prestito]]+ClientiBanca[[#This Row],[Mutuo]]</f>
        <v>28200</v>
      </c>
      <c r="L1024" t="str">
        <f>IF(ClientiBanca[[#This Row],[Reddito annuo]]&gt;=70000,"si","no")</f>
        <v>no</v>
      </c>
    </row>
    <row r="1025" spans="1:12">
      <c r="A1025">
        <v>101024</v>
      </c>
      <c r="B1025">
        <v>63</v>
      </c>
      <c r="C1025" s="2">
        <v>34200</v>
      </c>
      <c r="D1025" t="s">
        <v>21</v>
      </c>
      <c r="E1025" s="2">
        <v>0</v>
      </c>
      <c r="F1025" s="2">
        <v>288000</v>
      </c>
      <c r="G1025" t="s">
        <v>24</v>
      </c>
      <c r="H1025" t="s">
        <v>20</v>
      </c>
      <c r="I1025" t="s">
        <v>18</v>
      </c>
      <c r="J1025" s="3">
        <v>46107</v>
      </c>
      <c r="K1025" s="4">
        <f>ClientiBanca[[#This Row],[Prestito]]+ClientiBanca[[#This Row],[Mutuo]]</f>
        <v>288000</v>
      </c>
      <c r="L1025" t="str">
        <f>IF(ClientiBanca[[#This Row],[Reddito annuo]]&gt;=70000,"si","no")</f>
        <v>no</v>
      </c>
    </row>
    <row r="1026" spans="1:12">
      <c r="A1026">
        <v>101025</v>
      </c>
      <c r="B1026">
        <v>44</v>
      </c>
      <c r="C1026" s="2">
        <v>58200</v>
      </c>
      <c r="D1026" t="s">
        <v>22</v>
      </c>
      <c r="E1026" s="2">
        <v>17100</v>
      </c>
      <c r="F1026" s="2">
        <v>0</v>
      </c>
      <c r="G1026" t="s">
        <v>13</v>
      </c>
      <c r="H1026" t="s">
        <v>14</v>
      </c>
      <c r="I1026" t="s">
        <v>15</v>
      </c>
      <c r="J1026" s="3">
        <v>46027</v>
      </c>
      <c r="K1026" s="4">
        <f>ClientiBanca[[#This Row],[Prestito]]+ClientiBanca[[#This Row],[Mutuo]]</f>
        <v>17100</v>
      </c>
      <c r="L1026" t="str">
        <f>IF(ClientiBanca[[#This Row],[Reddito annuo]]&gt;=70000,"si","no")</f>
        <v>no</v>
      </c>
    </row>
    <row r="1027" spans="1:12">
      <c r="A1027">
        <v>101026</v>
      </c>
      <c r="B1027">
        <v>34</v>
      </c>
      <c r="C1027" s="2">
        <v>96200</v>
      </c>
      <c r="D1027" t="s">
        <v>12</v>
      </c>
      <c r="E1027" s="2">
        <v>51700</v>
      </c>
      <c r="F1027" s="2">
        <v>363000</v>
      </c>
      <c r="G1027" t="s">
        <v>19</v>
      </c>
      <c r="H1027" t="s">
        <v>20</v>
      </c>
      <c r="I1027" t="s">
        <v>18</v>
      </c>
      <c r="J1027" s="3">
        <v>45589</v>
      </c>
      <c r="K1027" s="4">
        <f>ClientiBanca[[#This Row],[Prestito]]+ClientiBanca[[#This Row],[Mutuo]]</f>
        <v>414700</v>
      </c>
      <c r="L1027" t="str">
        <f>IF(ClientiBanca[[#This Row],[Reddito annuo]]&gt;=70000,"si","no")</f>
        <v>si</v>
      </c>
    </row>
    <row r="1028" spans="1:12">
      <c r="A1028">
        <v>101027</v>
      </c>
      <c r="B1028">
        <v>43</v>
      </c>
      <c r="C1028" s="2">
        <v>69100</v>
      </c>
      <c r="D1028" t="s">
        <v>22</v>
      </c>
      <c r="E1028" s="2">
        <v>47300</v>
      </c>
      <c r="F1028" s="2">
        <v>0</v>
      </c>
      <c r="G1028" t="s">
        <v>23</v>
      </c>
      <c r="H1028" t="s">
        <v>20</v>
      </c>
      <c r="I1028" t="s">
        <v>18</v>
      </c>
      <c r="J1028" s="3">
        <v>45368</v>
      </c>
      <c r="K1028" s="4">
        <f>ClientiBanca[[#This Row],[Prestito]]+ClientiBanca[[#This Row],[Mutuo]]</f>
        <v>47300</v>
      </c>
      <c r="L1028" t="str">
        <f>IF(ClientiBanca[[#This Row],[Reddito annuo]]&gt;=70000,"si","no")</f>
        <v>no</v>
      </c>
    </row>
    <row r="1029" spans="1:12">
      <c r="A1029">
        <v>101028</v>
      </c>
      <c r="B1029">
        <v>29</v>
      </c>
      <c r="C1029" s="2">
        <v>64700</v>
      </c>
      <c r="D1029" t="s">
        <v>22</v>
      </c>
      <c r="E1029" s="2">
        <v>6600</v>
      </c>
      <c r="F1029" s="2">
        <v>0</v>
      </c>
      <c r="G1029" t="s">
        <v>26</v>
      </c>
      <c r="H1029" t="s">
        <v>17</v>
      </c>
      <c r="I1029" t="s">
        <v>18</v>
      </c>
      <c r="J1029" s="3">
        <v>46092</v>
      </c>
      <c r="K1029" s="4">
        <f>ClientiBanca[[#This Row],[Prestito]]+ClientiBanca[[#This Row],[Mutuo]]</f>
        <v>6600</v>
      </c>
      <c r="L1029" t="str">
        <f>IF(ClientiBanca[[#This Row],[Reddito annuo]]&gt;=70000,"si","no")</f>
        <v>no</v>
      </c>
    </row>
    <row r="1030" spans="1:12">
      <c r="A1030">
        <v>101029</v>
      </c>
      <c r="B1030">
        <v>25</v>
      </c>
      <c r="C1030" s="2">
        <v>59700</v>
      </c>
      <c r="D1030" t="s">
        <v>21</v>
      </c>
      <c r="E1030" s="2">
        <v>23200</v>
      </c>
      <c r="F1030" s="2">
        <v>225000</v>
      </c>
      <c r="G1030" t="s">
        <v>19</v>
      </c>
      <c r="H1030" t="s">
        <v>20</v>
      </c>
      <c r="I1030" t="s">
        <v>18</v>
      </c>
      <c r="J1030" s="3">
        <v>46082</v>
      </c>
      <c r="K1030" s="4">
        <f>ClientiBanca[[#This Row],[Prestito]]+ClientiBanca[[#This Row],[Mutuo]]</f>
        <v>248200</v>
      </c>
      <c r="L1030" t="str">
        <f>IF(ClientiBanca[[#This Row],[Reddito annuo]]&gt;=70000,"si","no")</f>
        <v>no</v>
      </c>
    </row>
    <row r="1031" spans="1:12">
      <c r="A1031">
        <v>101030</v>
      </c>
      <c r="B1031">
        <v>49</v>
      </c>
      <c r="C1031" s="2">
        <v>44500</v>
      </c>
      <c r="D1031" t="s">
        <v>21</v>
      </c>
      <c r="E1031" s="2">
        <v>55600</v>
      </c>
      <c r="F1031" s="2">
        <v>0</v>
      </c>
      <c r="G1031" t="s">
        <v>24</v>
      </c>
      <c r="H1031" t="s">
        <v>25</v>
      </c>
      <c r="I1031" t="s">
        <v>18</v>
      </c>
      <c r="J1031" s="3">
        <v>45791</v>
      </c>
      <c r="K1031" s="4">
        <f>ClientiBanca[[#This Row],[Prestito]]+ClientiBanca[[#This Row],[Mutuo]]</f>
        <v>55600</v>
      </c>
      <c r="L1031" t="str">
        <f>IF(ClientiBanca[[#This Row],[Reddito annuo]]&gt;=70000,"si","no")</f>
        <v>no</v>
      </c>
    </row>
    <row r="1032" spans="1:12">
      <c r="A1032">
        <v>101031</v>
      </c>
      <c r="B1032">
        <v>22</v>
      </c>
      <c r="C1032" s="2">
        <v>50800</v>
      </c>
      <c r="D1032" t="s">
        <v>21</v>
      </c>
      <c r="E1032" s="2">
        <v>40900</v>
      </c>
      <c r="F1032" s="2">
        <v>0</v>
      </c>
      <c r="G1032" t="s">
        <v>28</v>
      </c>
      <c r="H1032" t="s">
        <v>17</v>
      </c>
      <c r="I1032" t="s">
        <v>18</v>
      </c>
      <c r="J1032" s="3">
        <v>45613</v>
      </c>
      <c r="K1032" s="4">
        <f>ClientiBanca[[#This Row],[Prestito]]+ClientiBanca[[#This Row],[Mutuo]]</f>
        <v>40900</v>
      </c>
      <c r="L1032" t="str">
        <f>IF(ClientiBanca[[#This Row],[Reddito annuo]]&gt;=70000,"si","no")</f>
        <v>no</v>
      </c>
    </row>
    <row r="1033" spans="1:12">
      <c r="A1033">
        <v>101032</v>
      </c>
      <c r="B1033">
        <v>43</v>
      </c>
      <c r="C1033" s="2">
        <v>33000</v>
      </c>
      <c r="D1033" t="s">
        <v>21</v>
      </c>
      <c r="E1033" s="2">
        <v>41200</v>
      </c>
      <c r="F1033" s="2">
        <v>0</v>
      </c>
      <c r="G1033" t="s">
        <v>27</v>
      </c>
      <c r="H1033" t="s">
        <v>14</v>
      </c>
      <c r="I1033" t="s">
        <v>18</v>
      </c>
      <c r="J1033" s="3">
        <v>46050</v>
      </c>
      <c r="K1033" s="4">
        <f>ClientiBanca[[#This Row],[Prestito]]+ClientiBanca[[#This Row],[Mutuo]]</f>
        <v>41200</v>
      </c>
      <c r="L1033" t="str">
        <f>IF(ClientiBanca[[#This Row],[Reddito annuo]]&gt;=70000,"si","no")</f>
        <v>no</v>
      </c>
    </row>
    <row r="1034" spans="1:12">
      <c r="A1034">
        <v>101033</v>
      </c>
      <c r="B1034">
        <v>70</v>
      </c>
      <c r="C1034" s="2">
        <v>43700</v>
      </c>
      <c r="D1034" t="s">
        <v>22</v>
      </c>
      <c r="E1034" s="2">
        <v>54600</v>
      </c>
      <c r="F1034" s="2">
        <v>0</v>
      </c>
      <c r="G1034" t="s">
        <v>24</v>
      </c>
      <c r="H1034" t="s">
        <v>14</v>
      </c>
      <c r="I1034" t="s">
        <v>18</v>
      </c>
      <c r="J1034" s="3">
        <v>45520</v>
      </c>
      <c r="K1034" s="4">
        <f>ClientiBanca[[#This Row],[Prestito]]+ClientiBanca[[#This Row],[Mutuo]]</f>
        <v>54600</v>
      </c>
      <c r="L1034" t="str">
        <f>IF(ClientiBanca[[#This Row],[Reddito annuo]]&gt;=70000,"si","no")</f>
        <v>no</v>
      </c>
    </row>
    <row r="1035" spans="1:12">
      <c r="A1035">
        <v>101034</v>
      </c>
      <c r="B1035">
        <v>44</v>
      </c>
      <c r="C1035" s="2">
        <v>94800</v>
      </c>
      <c r="D1035" t="s">
        <v>12</v>
      </c>
      <c r="E1035" s="2">
        <v>32000</v>
      </c>
      <c r="F1035" s="2">
        <v>0</v>
      </c>
      <c r="G1035" t="s">
        <v>28</v>
      </c>
      <c r="H1035" t="s">
        <v>20</v>
      </c>
      <c r="I1035" t="s">
        <v>18</v>
      </c>
      <c r="J1035" s="3">
        <v>45402</v>
      </c>
      <c r="K1035" s="4">
        <f>ClientiBanca[[#This Row],[Prestito]]+ClientiBanca[[#This Row],[Mutuo]]</f>
        <v>32000</v>
      </c>
      <c r="L1035" t="str">
        <f>IF(ClientiBanca[[#This Row],[Reddito annuo]]&gt;=70000,"si","no")</f>
        <v>si</v>
      </c>
    </row>
    <row r="1036" spans="1:12">
      <c r="A1036">
        <v>101035</v>
      </c>
      <c r="B1036">
        <v>45</v>
      </c>
      <c r="C1036" s="2">
        <v>82200</v>
      </c>
      <c r="D1036" t="s">
        <v>21</v>
      </c>
      <c r="E1036" s="2">
        <v>24200</v>
      </c>
      <c r="F1036" s="2">
        <v>0</v>
      </c>
      <c r="G1036" t="s">
        <v>28</v>
      </c>
      <c r="H1036" t="s">
        <v>20</v>
      </c>
      <c r="I1036" t="s">
        <v>18</v>
      </c>
      <c r="J1036" s="3">
        <v>45409</v>
      </c>
      <c r="K1036" s="4">
        <f>ClientiBanca[[#This Row],[Prestito]]+ClientiBanca[[#This Row],[Mutuo]]</f>
        <v>24200</v>
      </c>
      <c r="L1036" t="str">
        <f>IF(ClientiBanca[[#This Row],[Reddito annuo]]&gt;=70000,"si","no")</f>
        <v>si</v>
      </c>
    </row>
    <row r="1037" spans="1:12">
      <c r="A1037">
        <v>101036</v>
      </c>
      <c r="B1037">
        <v>37</v>
      </c>
      <c r="C1037" s="2">
        <v>56700</v>
      </c>
      <c r="D1037" t="s">
        <v>12</v>
      </c>
      <c r="E1037" s="2">
        <v>0</v>
      </c>
      <c r="F1037" s="2">
        <v>152000</v>
      </c>
      <c r="G1037" t="s">
        <v>27</v>
      </c>
      <c r="H1037" t="s">
        <v>25</v>
      </c>
      <c r="I1037" t="s">
        <v>18</v>
      </c>
      <c r="J1037" s="3">
        <v>46084</v>
      </c>
      <c r="K1037" s="4">
        <f>ClientiBanca[[#This Row],[Prestito]]+ClientiBanca[[#This Row],[Mutuo]]</f>
        <v>152000</v>
      </c>
      <c r="L1037" t="str">
        <f>IF(ClientiBanca[[#This Row],[Reddito annuo]]&gt;=70000,"si","no")</f>
        <v>no</v>
      </c>
    </row>
    <row r="1038" spans="1:12">
      <c r="A1038">
        <v>101037</v>
      </c>
      <c r="B1038">
        <v>44</v>
      </c>
      <c r="C1038" s="2">
        <v>31000</v>
      </c>
      <c r="D1038" t="s">
        <v>12</v>
      </c>
      <c r="E1038" s="2">
        <v>0</v>
      </c>
      <c r="F1038" s="2">
        <v>0</v>
      </c>
      <c r="G1038" t="s">
        <v>23</v>
      </c>
      <c r="H1038" t="s">
        <v>20</v>
      </c>
      <c r="I1038" t="s">
        <v>18</v>
      </c>
      <c r="J1038" s="3">
        <v>46180</v>
      </c>
      <c r="K1038" s="4">
        <f>ClientiBanca[[#This Row],[Prestito]]+ClientiBanca[[#This Row],[Mutuo]]</f>
        <v>0</v>
      </c>
      <c r="L1038" t="str">
        <f>IF(ClientiBanca[[#This Row],[Reddito annuo]]&gt;=70000,"si","no")</f>
        <v>no</v>
      </c>
    </row>
    <row r="1039" spans="1:12">
      <c r="A1039">
        <v>101038</v>
      </c>
      <c r="B1039">
        <v>21</v>
      </c>
      <c r="C1039" s="2">
        <v>108400</v>
      </c>
      <c r="D1039" t="s">
        <v>12</v>
      </c>
      <c r="E1039" s="2">
        <v>42000</v>
      </c>
      <c r="F1039" s="2">
        <v>112000</v>
      </c>
      <c r="G1039" t="s">
        <v>16</v>
      </c>
      <c r="H1039" t="s">
        <v>20</v>
      </c>
      <c r="I1039" t="s">
        <v>18</v>
      </c>
      <c r="J1039" s="3">
        <v>45754</v>
      </c>
      <c r="K1039" s="4">
        <f>ClientiBanca[[#This Row],[Prestito]]+ClientiBanca[[#This Row],[Mutuo]]</f>
        <v>154000</v>
      </c>
      <c r="L1039" t="str">
        <f>IF(ClientiBanca[[#This Row],[Reddito annuo]]&gt;=70000,"si","no")</f>
        <v>si</v>
      </c>
    </row>
    <row r="1040" spans="1:12">
      <c r="A1040">
        <v>101039</v>
      </c>
      <c r="B1040">
        <v>75</v>
      </c>
      <c r="C1040" s="2">
        <v>54400</v>
      </c>
      <c r="D1040" t="s">
        <v>21</v>
      </c>
      <c r="E1040" s="2">
        <v>0</v>
      </c>
      <c r="F1040" s="2">
        <v>106000</v>
      </c>
      <c r="G1040" t="s">
        <v>16</v>
      </c>
      <c r="H1040" t="s">
        <v>17</v>
      </c>
      <c r="I1040" t="s">
        <v>18</v>
      </c>
      <c r="J1040" s="3">
        <v>46063</v>
      </c>
      <c r="K1040" s="4">
        <f>ClientiBanca[[#This Row],[Prestito]]+ClientiBanca[[#This Row],[Mutuo]]</f>
        <v>106000</v>
      </c>
      <c r="L1040" t="str">
        <f>IF(ClientiBanca[[#This Row],[Reddito annuo]]&gt;=70000,"si","no")</f>
        <v>no</v>
      </c>
    </row>
    <row r="1041" spans="1:12">
      <c r="A1041">
        <v>101040</v>
      </c>
      <c r="B1041">
        <v>39</v>
      </c>
      <c r="C1041" s="2">
        <v>39000</v>
      </c>
      <c r="D1041" t="s">
        <v>21</v>
      </c>
      <c r="E1041" s="2">
        <v>32400</v>
      </c>
      <c r="F1041" s="2">
        <v>0</v>
      </c>
      <c r="G1041" t="s">
        <v>24</v>
      </c>
      <c r="H1041" t="s">
        <v>25</v>
      </c>
      <c r="I1041" t="s">
        <v>18</v>
      </c>
      <c r="J1041" s="3">
        <v>46226</v>
      </c>
      <c r="K1041" s="4">
        <f>ClientiBanca[[#This Row],[Prestito]]+ClientiBanca[[#This Row],[Mutuo]]</f>
        <v>32400</v>
      </c>
      <c r="L1041" t="str">
        <f>IF(ClientiBanca[[#This Row],[Reddito annuo]]&gt;=70000,"si","no")</f>
        <v>no</v>
      </c>
    </row>
    <row r="1042" spans="1:12">
      <c r="A1042">
        <v>101041</v>
      </c>
      <c r="B1042">
        <v>64</v>
      </c>
      <c r="C1042" s="2">
        <v>64900</v>
      </c>
      <c r="D1042" t="s">
        <v>22</v>
      </c>
      <c r="E1042" s="2">
        <v>64100</v>
      </c>
      <c r="F1042" s="2">
        <v>262000</v>
      </c>
      <c r="G1042" t="s">
        <v>24</v>
      </c>
      <c r="H1042" t="s">
        <v>17</v>
      </c>
      <c r="I1042" t="s">
        <v>18</v>
      </c>
      <c r="J1042" s="3">
        <v>46253</v>
      </c>
      <c r="K1042" s="4">
        <f>ClientiBanca[[#This Row],[Prestito]]+ClientiBanca[[#This Row],[Mutuo]]</f>
        <v>326100</v>
      </c>
      <c r="L1042" t="str">
        <f>IF(ClientiBanca[[#This Row],[Reddito annuo]]&gt;=70000,"si","no")</f>
        <v>no</v>
      </c>
    </row>
    <row r="1043" spans="1:12">
      <c r="A1043">
        <v>101042</v>
      </c>
      <c r="B1043">
        <v>66</v>
      </c>
      <c r="C1043" s="2">
        <v>79700</v>
      </c>
      <c r="D1043" t="s">
        <v>12</v>
      </c>
      <c r="E1043" s="2">
        <v>16600</v>
      </c>
      <c r="F1043" s="2">
        <v>0</v>
      </c>
      <c r="G1043" t="s">
        <v>24</v>
      </c>
      <c r="H1043" t="s">
        <v>20</v>
      </c>
      <c r="I1043" t="s">
        <v>18</v>
      </c>
      <c r="J1043" s="3">
        <v>46103</v>
      </c>
      <c r="K1043" s="4">
        <f>ClientiBanca[[#This Row],[Prestito]]+ClientiBanca[[#This Row],[Mutuo]]</f>
        <v>16600</v>
      </c>
      <c r="L1043" t="str">
        <f>IF(ClientiBanca[[#This Row],[Reddito annuo]]&gt;=70000,"si","no")</f>
        <v>si</v>
      </c>
    </row>
    <row r="1044" spans="1:12">
      <c r="A1044">
        <v>101043</v>
      </c>
      <c r="B1044">
        <v>63</v>
      </c>
      <c r="C1044" s="2">
        <v>53500</v>
      </c>
      <c r="D1044" t="s">
        <v>12</v>
      </c>
      <c r="E1044" s="2">
        <v>31000</v>
      </c>
      <c r="F1044" s="2">
        <v>0</v>
      </c>
      <c r="G1044" t="s">
        <v>24</v>
      </c>
      <c r="H1044" t="s">
        <v>17</v>
      </c>
      <c r="I1044" t="s">
        <v>18</v>
      </c>
      <c r="J1044" s="3">
        <v>45884</v>
      </c>
      <c r="K1044" s="4">
        <f>ClientiBanca[[#This Row],[Prestito]]+ClientiBanca[[#This Row],[Mutuo]]</f>
        <v>31000</v>
      </c>
      <c r="L1044" t="str">
        <f>IF(ClientiBanca[[#This Row],[Reddito annuo]]&gt;=70000,"si","no")</f>
        <v>no</v>
      </c>
    </row>
    <row r="1045" spans="1:12">
      <c r="A1045">
        <v>101044</v>
      </c>
      <c r="B1045">
        <v>26</v>
      </c>
      <c r="C1045" s="2">
        <v>27900</v>
      </c>
      <c r="D1045" t="s">
        <v>12</v>
      </c>
      <c r="E1045" s="2">
        <v>34900</v>
      </c>
      <c r="F1045" s="2">
        <v>0</v>
      </c>
      <c r="G1045" t="s">
        <v>16</v>
      </c>
      <c r="H1045" t="s">
        <v>17</v>
      </c>
      <c r="I1045" t="s">
        <v>18</v>
      </c>
      <c r="J1045" s="3">
        <v>45487</v>
      </c>
      <c r="K1045" s="4">
        <f>ClientiBanca[[#This Row],[Prestito]]+ClientiBanca[[#This Row],[Mutuo]]</f>
        <v>34900</v>
      </c>
      <c r="L1045" t="str">
        <f>IF(ClientiBanca[[#This Row],[Reddito annuo]]&gt;=70000,"si","no")</f>
        <v>no</v>
      </c>
    </row>
    <row r="1046" spans="1:12">
      <c r="A1046">
        <v>101045</v>
      </c>
      <c r="B1046">
        <v>63</v>
      </c>
      <c r="C1046" s="2">
        <v>65400</v>
      </c>
      <c r="D1046" t="s">
        <v>21</v>
      </c>
      <c r="E1046" s="2">
        <v>0</v>
      </c>
      <c r="F1046" s="2">
        <v>324000</v>
      </c>
      <c r="G1046" t="s">
        <v>13</v>
      </c>
      <c r="H1046" t="s">
        <v>17</v>
      </c>
      <c r="I1046" t="s">
        <v>18</v>
      </c>
      <c r="J1046" s="3">
        <v>45956</v>
      </c>
      <c r="K1046" s="4">
        <f>ClientiBanca[[#This Row],[Prestito]]+ClientiBanca[[#This Row],[Mutuo]]</f>
        <v>324000</v>
      </c>
      <c r="L1046" t="str">
        <f>IF(ClientiBanca[[#This Row],[Reddito annuo]]&gt;=70000,"si","no")</f>
        <v>no</v>
      </c>
    </row>
    <row r="1047" spans="1:12">
      <c r="A1047">
        <v>101046</v>
      </c>
      <c r="B1047">
        <v>49</v>
      </c>
      <c r="C1047" s="2">
        <v>54000</v>
      </c>
      <c r="D1047" t="s">
        <v>21</v>
      </c>
      <c r="E1047" s="2">
        <v>0</v>
      </c>
      <c r="F1047" s="2">
        <v>0</v>
      </c>
      <c r="G1047" t="s">
        <v>19</v>
      </c>
      <c r="H1047" t="s">
        <v>20</v>
      </c>
      <c r="I1047" t="s">
        <v>18</v>
      </c>
      <c r="J1047" s="3">
        <v>45472</v>
      </c>
      <c r="K1047" s="4">
        <f>ClientiBanca[[#This Row],[Prestito]]+ClientiBanca[[#This Row],[Mutuo]]</f>
        <v>0</v>
      </c>
      <c r="L1047" t="str">
        <f>IF(ClientiBanca[[#This Row],[Reddito annuo]]&gt;=70000,"si","no")</f>
        <v>no</v>
      </c>
    </row>
    <row r="1048" spans="1:12">
      <c r="A1048">
        <v>101047</v>
      </c>
      <c r="B1048">
        <v>49</v>
      </c>
      <c r="C1048" s="2">
        <v>54900</v>
      </c>
      <c r="D1048" t="s">
        <v>21</v>
      </c>
      <c r="E1048" s="2">
        <v>36200</v>
      </c>
      <c r="F1048" s="2">
        <v>0</v>
      </c>
      <c r="G1048" t="s">
        <v>16</v>
      </c>
      <c r="H1048" t="s">
        <v>17</v>
      </c>
      <c r="I1048" t="s">
        <v>18</v>
      </c>
      <c r="J1048" s="3">
        <v>46252</v>
      </c>
      <c r="K1048" s="4">
        <f>ClientiBanca[[#This Row],[Prestito]]+ClientiBanca[[#This Row],[Mutuo]]</f>
        <v>36200</v>
      </c>
      <c r="L1048" t="str">
        <f>IF(ClientiBanca[[#This Row],[Reddito annuo]]&gt;=70000,"si","no")</f>
        <v>no</v>
      </c>
    </row>
    <row r="1049" spans="1:12">
      <c r="A1049">
        <v>101048</v>
      </c>
      <c r="B1049">
        <v>74</v>
      </c>
      <c r="C1049" s="2">
        <v>34300</v>
      </c>
      <c r="D1049" t="s">
        <v>21</v>
      </c>
      <c r="E1049" s="2">
        <v>0</v>
      </c>
      <c r="F1049" s="2">
        <v>86000</v>
      </c>
      <c r="G1049" t="s">
        <v>16</v>
      </c>
      <c r="H1049" t="s">
        <v>20</v>
      </c>
      <c r="I1049" t="s">
        <v>18</v>
      </c>
      <c r="J1049" s="3">
        <v>46059</v>
      </c>
      <c r="K1049" s="4">
        <f>ClientiBanca[[#This Row],[Prestito]]+ClientiBanca[[#This Row],[Mutuo]]</f>
        <v>86000</v>
      </c>
      <c r="L1049" t="str">
        <f>IF(ClientiBanca[[#This Row],[Reddito annuo]]&gt;=70000,"si","no")</f>
        <v>no</v>
      </c>
    </row>
    <row r="1050" spans="1:12">
      <c r="A1050">
        <v>101049</v>
      </c>
      <c r="B1050">
        <v>68</v>
      </c>
      <c r="C1050" s="2">
        <v>69100</v>
      </c>
      <c r="D1050" t="s">
        <v>12</v>
      </c>
      <c r="E1050" s="2">
        <v>33900</v>
      </c>
      <c r="F1050" s="2">
        <v>0</v>
      </c>
      <c r="G1050" t="s">
        <v>26</v>
      </c>
      <c r="H1050" t="s">
        <v>14</v>
      </c>
      <c r="I1050" t="s">
        <v>18</v>
      </c>
      <c r="J1050" s="3">
        <v>46087</v>
      </c>
      <c r="K1050" s="4">
        <f>ClientiBanca[[#This Row],[Prestito]]+ClientiBanca[[#This Row],[Mutuo]]</f>
        <v>33900</v>
      </c>
      <c r="L1050" t="str">
        <f>IF(ClientiBanca[[#This Row],[Reddito annuo]]&gt;=70000,"si","no")</f>
        <v>no</v>
      </c>
    </row>
    <row r="1051" spans="1:12">
      <c r="A1051">
        <v>101050</v>
      </c>
      <c r="B1051">
        <v>49</v>
      </c>
      <c r="C1051" s="2">
        <v>63500</v>
      </c>
      <c r="D1051" t="s">
        <v>21</v>
      </c>
      <c r="E1051" s="2">
        <v>0</v>
      </c>
      <c r="F1051" s="2">
        <v>0</v>
      </c>
      <c r="G1051" t="s">
        <v>19</v>
      </c>
      <c r="H1051" t="s">
        <v>25</v>
      </c>
      <c r="I1051" t="s">
        <v>18</v>
      </c>
      <c r="J1051" s="3">
        <v>46227</v>
      </c>
      <c r="K1051" s="4">
        <f>ClientiBanca[[#This Row],[Prestito]]+ClientiBanca[[#This Row],[Mutuo]]</f>
        <v>0</v>
      </c>
      <c r="L1051" t="str">
        <f>IF(ClientiBanca[[#This Row],[Reddito annuo]]&gt;=70000,"si","no")</f>
        <v>no</v>
      </c>
    </row>
    <row r="1052" spans="1:12">
      <c r="A1052">
        <v>101051</v>
      </c>
      <c r="B1052">
        <v>49</v>
      </c>
      <c r="C1052" s="2">
        <v>53900</v>
      </c>
      <c r="D1052" t="s">
        <v>22</v>
      </c>
      <c r="E1052" s="2">
        <v>49500</v>
      </c>
      <c r="F1052" s="2">
        <v>183000</v>
      </c>
      <c r="G1052" t="s">
        <v>23</v>
      </c>
      <c r="H1052" t="s">
        <v>17</v>
      </c>
      <c r="I1052" t="s">
        <v>18</v>
      </c>
      <c r="J1052" s="3">
        <v>45966</v>
      </c>
      <c r="K1052" s="4">
        <f>ClientiBanca[[#This Row],[Prestito]]+ClientiBanca[[#This Row],[Mutuo]]</f>
        <v>232500</v>
      </c>
      <c r="L1052" t="str">
        <f>IF(ClientiBanca[[#This Row],[Reddito annuo]]&gt;=70000,"si","no")</f>
        <v>no</v>
      </c>
    </row>
    <row r="1053" spans="1:12">
      <c r="A1053">
        <v>101052</v>
      </c>
      <c r="B1053">
        <v>36</v>
      </c>
      <c r="C1053" s="2">
        <v>47400</v>
      </c>
      <c r="D1053" t="s">
        <v>22</v>
      </c>
      <c r="E1053" s="2">
        <v>0</v>
      </c>
      <c r="F1053" s="2">
        <v>0</v>
      </c>
      <c r="G1053" t="s">
        <v>27</v>
      </c>
      <c r="H1053" t="s">
        <v>14</v>
      </c>
      <c r="I1053" t="s">
        <v>18</v>
      </c>
      <c r="J1053" s="3">
        <v>45716</v>
      </c>
      <c r="K1053" s="4">
        <f>ClientiBanca[[#This Row],[Prestito]]+ClientiBanca[[#This Row],[Mutuo]]</f>
        <v>0</v>
      </c>
      <c r="L1053" t="str">
        <f>IF(ClientiBanca[[#This Row],[Reddito annuo]]&gt;=70000,"si","no")</f>
        <v>no</v>
      </c>
    </row>
    <row r="1054" spans="1:12">
      <c r="A1054">
        <v>101053</v>
      </c>
      <c r="B1054">
        <v>22</v>
      </c>
      <c r="C1054" s="2">
        <v>24500</v>
      </c>
      <c r="D1054" t="s">
        <v>21</v>
      </c>
      <c r="E1054" s="2">
        <v>30600</v>
      </c>
      <c r="F1054" s="2">
        <v>0</v>
      </c>
      <c r="G1054" t="s">
        <v>19</v>
      </c>
      <c r="H1054" t="s">
        <v>17</v>
      </c>
      <c r="I1054" t="s">
        <v>18</v>
      </c>
      <c r="J1054" s="3">
        <v>45732</v>
      </c>
      <c r="K1054" s="4">
        <f>ClientiBanca[[#This Row],[Prestito]]+ClientiBanca[[#This Row],[Mutuo]]</f>
        <v>30600</v>
      </c>
      <c r="L1054" t="str">
        <f>IF(ClientiBanca[[#This Row],[Reddito annuo]]&gt;=70000,"si","no")</f>
        <v>no</v>
      </c>
    </row>
    <row r="1055" spans="1:12">
      <c r="A1055">
        <v>101054</v>
      </c>
      <c r="B1055">
        <v>35</v>
      </c>
      <c r="C1055" s="2">
        <v>63800</v>
      </c>
      <c r="D1055" t="s">
        <v>21</v>
      </c>
      <c r="E1055" s="2">
        <v>28000</v>
      </c>
      <c r="F1055" s="2">
        <v>342000</v>
      </c>
      <c r="G1055" t="s">
        <v>16</v>
      </c>
      <c r="H1055" t="s">
        <v>20</v>
      </c>
      <c r="I1055" t="s">
        <v>18</v>
      </c>
      <c r="J1055" s="3">
        <v>46037</v>
      </c>
      <c r="K1055" s="4">
        <f>ClientiBanca[[#This Row],[Prestito]]+ClientiBanca[[#This Row],[Mutuo]]</f>
        <v>370000</v>
      </c>
      <c r="L1055" t="str">
        <f>IF(ClientiBanca[[#This Row],[Reddito annuo]]&gt;=70000,"si","no")</f>
        <v>no</v>
      </c>
    </row>
    <row r="1056" spans="1:12">
      <c r="A1056">
        <v>101055</v>
      </c>
      <c r="B1056">
        <v>31</v>
      </c>
      <c r="C1056" s="2">
        <v>53300</v>
      </c>
      <c r="D1056" t="s">
        <v>21</v>
      </c>
      <c r="E1056" s="2">
        <v>20200</v>
      </c>
      <c r="F1056" s="2">
        <v>0</v>
      </c>
      <c r="G1056" t="s">
        <v>24</v>
      </c>
      <c r="H1056" t="s">
        <v>17</v>
      </c>
      <c r="I1056" t="s">
        <v>18</v>
      </c>
      <c r="J1056" s="3">
        <v>46095</v>
      </c>
      <c r="K1056" s="4">
        <f>ClientiBanca[[#This Row],[Prestito]]+ClientiBanca[[#This Row],[Mutuo]]</f>
        <v>20200</v>
      </c>
      <c r="L1056" t="str">
        <f>IF(ClientiBanca[[#This Row],[Reddito annuo]]&gt;=70000,"si","no")</f>
        <v>no</v>
      </c>
    </row>
    <row r="1057" spans="1:12">
      <c r="A1057">
        <v>101056</v>
      </c>
      <c r="B1057">
        <v>45</v>
      </c>
      <c r="C1057" s="2">
        <v>90700</v>
      </c>
      <c r="D1057" t="s">
        <v>12</v>
      </c>
      <c r="E1057" s="2">
        <v>36800</v>
      </c>
      <c r="F1057" s="2">
        <v>0</v>
      </c>
      <c r="G1057" t="s">
        <v>23</v>
      </c>
      <c r="H1057" t="s">
        <v>20</v>
      </c>
      <c r="I1057" t="s">
        <v>18</v>
      </c>
      <c r="J1057" s="3">
        <v>45303</v>
      </c>
      <c r="K1057" s="4">
        <f>ClientiBanca[[#This Row],[Prestito]]+ClientiBanca[[#This Row],[Mutuo]]</f>
        <v>36800</v>
      </c>
      <c r="L1057" t="str">
        <f>IF(ClientiBanca[[#This Row],[Reddito annuo]]&gt;=70000,"si","no")</f>
        <v>si</v>
      </c>
    </row>
    <row r="1058" spans="1:12">
      <c r="A1058">
        <v>101057</v>
      </c>
      <c r="B1058">
        <v>60</v>
      </c>
      <c r="C1058" s="2">
        <v>82400</v>
      </c>
      <c r="D1058" t="s">
        <v>21</v>
      </c>
      <c r="E1058" s="2">
        <v>36200</v>
      </c>
      <c r="F1058" s="2">
        <v>0</v>
      </c>
      <c r="G1058" t="s">
        <v>16</v>
      </c>
      <c r="H1058" t="s">
        <v>20</v>
      </c>
      <c r="I1058" t="s">
        <v>18</v>
      </c>
      <c r="J1058" s="3">
        <v>45756</v>
      </c>
      <c r="K1058" s="4">
        <f>ClientiBanca[[#This Row],[Prestito]]+ClientiBanca[[#This Row],[Mutuo]]</f>
        <v>36200</v>
      </c>
      <c r="L1058" t="str">
        <f>IF(ClientiBanca[[#This Row],[Reddito annuo]]&gt;=70000,"si","no")</f>
        <v>si</v>
      </c>
    </row>
    <row r="1059" spans="1:12">
      <c r="A1059">
        <v>101058</v>
      </c>
      <c r="B1059">
        <v>60</v>
      </c>
      <c r="C1059" s="2">
        <v>69700</v>
      </c>
      <c r="D1059" t="s">
        <v>21</v>
      </c>
      <c r="E1059" s="2">
        <v>64600</v>
      </c>
      <c r="F1059" s="2">
        <v>0</v>
      </c>
      <c r="G1059" t="s">
        <v>23</v>
      </c>
      <c r="H1059" t="s">
        <v>14</v>
      </c>
      <c r="I1059" t="s">
        <v>18</v>
      </c>
      <c r="J1059" s="3">
        <v>45679</v>
      </c>
      <c r="K1059" s="4">
        <f>ClientiBanca[[#This Row],[Prestito]]+ClientiBanca[[#This Row],[Mutuo]]</f>
        <v>64600</v>
      </c>
      <c r="L1059" t="str">
        <f>IF(ClientiBanca[[#This Row],[Reddito annuo]]&gt;=70000,"si","no")</f>
        <v>no</v>
      </c>
    </row>
    <row r="1060" spans="1:12">
      <c r="A1060">
        <v>101059</v>
      </c>
      <c r="B1060">
        <v>69</v>
      </c>
      <c r="C1060" s="2">
        <v>44600</v>
      </c>
      <c r="D1060" t="s">
        <v>21</v>
      </c>
      <c r="E1060" s="2">
        <v>16200</v>
      </c>
      <c r="F1060" s="2">
        <v>383000</v>
      </c>
      <c r="G1060" t="s">
        <v>13</v>
      </c>
      <c r="H1060" t="s">
        <v>20</v>
      </c>
      <c r="I1060" t="s">
        <v>18</v>
      </c>
      <c r="J1060" s="3">
        <v>45417</v>
      </c>
      <c r="K1060" s="4">
        <f>ClientiBanca[[#This Row],[Prestito]]+ClientiBanca[[#This Row],[Mutuo]]</f>
        <v>399200</v>
      </c>
      <c r="L1060" t="str">
        <f>IF(ClientiBanca[[#This Row],[Reddito annuo]]&gt;=70000,"si","no")</f>
        <v>no</v>
      </c>
    </row>
    <row r="1061" spans="1:12">
      <c r="A1061">
        <v>101060</v>
      </c>
      <c r="B1061">
        <v>26</v>
      </c>
      <c r="C1061" s="2">
        <v>37500</v>
      </c>
      <c r="D1061" t="s">
        <v>21</v>
      </c>
      <c r="E1061" s="2">
        <v>12400</v>
      </c>
      <c r="F1061" s="2">
        <v>0</v>
      </c>
      <c r="G1061" t="s">
        <v>23</v>
      </c>
      <c r="H1061" t="s">
        <v>17</v>
      </c>
      <c r="I1061" t="s">
        <v>18</v>
      </c>
      <c r="J1061" s="3">
        <v>45314</v>
      </c>
      <c r="K1061" s="4">
        <f>ClientiBanca[[#This Row],[Prestito]]+ClientiBanca[[#This Row],[Mutuo]]</f>
        <v>12400</v>
      </c>
      <c r="L1061" t="str">
        <f>IF(ClientiBanca[[#This Row],[Reddito annuo]]&gt;=70000,"si","no")</f>
        <v>no</v>
      </c>
    </row>
    <row r="1062" spans="1:12">
      <c r="A1062">
        <v>101061</v>
      </c>
      <c r="B1062">
        <v>46</v>
      </c>
      <c r="C1062" s="2">
        <v>32100</v>
      </c>
      <c r="D1062" t="s">
        <v>22</v>
      </c>
      <c r="E1062" s="2">
        <v>40100</v>
      </c>
      <c r="F1062" s="2">
        <v>0</v>
      </c>
      <c r="G1062" t="s">
        <v>19</v>
      </c>
      <c r="H1062" t="s">
        <v>14</v>
      </c>
      <c r="I1062" t="s">
        <v>18</v>
      </c>
      <c r="J1062" s="3">
        <v>45456</v>
      </c>
      <c r="K1062" s="4">
        <f>ClientiBanca[[#This Row],[Prestito]]+ClientiBanca[[#This Row],[Mutuo]]</f>
        <v>40100</v>
      </c>
      <c r="L1062" t="str">
        <f>IF(ClientiBanca[[#This Row],[Reddito annuo]]&gt;=70000,"si","no")</f>
        <v>no</v>
      </c>
    </row>
    <row r="1063" spans="1:12">
      <c r="A1063">
        <v>101062</v>
      </c>
      <c r="B1063">
        <v>31</v>
      </c>
      <c r="C1063" s="2">
        <v>46900</v>
      </c>
      <c r="D1063" t="s">
        <v>22</v>
      </c>
      <c r="E1063" s="2">
        <v>41700</v>
      </c>
      <c r="F1063" s="2">
        <v>0</v>
      </c>
      <c r="G1063" t="s">
        <v>13</v>
      </c>
      <c r="H1063" t="s">
        <v>25</v>
      </c>
      <c r="I1063" t="s">
        <v>18</v>
      </c>
      <c r="J1063" s="3">
        <v>45787</v>
      </c>
      <c r="K1063" s="4">
        <f>ClientiBanca[[#This Row],[Prestito]]+ClientiBanca[[#This Row],[Mutuo]]</f>
        <v>41700</v>
      </c>
      <c r="L1063" t="str">
        <f>IF(ClientiBanca[[#This Row],[Reddito annuo]]&gt;=70000,"si","no")</f>
        <v>no</v>
      </c>
    </row>
    <row r="1064" spans="1:12">
      <c r="A1064">
        <v>101063</v>
      </c>
      <c r="B1064">
        <v>59</v>
      </c>
      <c r="C1064" s="2">
        <v>67200</v>
      </c>
      <c r="D1064" t="s">
        <v>21</v>
      </c>
      <c r="E1064" s="2">
        <v>21300</v>
      </c>
      <c r="F1064" s="2">
        <v>232000</v>
      </c>
      <c r="G1064" t="s">
        <v>27</v>
      </c>
      <c r="H1064" t="s">
        <v>17</v>
      </c>
      <c r="I1064" t="s">
        <v>18</v>
      </c>
      <c r="J1064" s="3">
        <v>45513</v>
      </c>
      <c r="K1064" s="4">
        <f>ClientiBanca[[#This Row],[Prestito]]+ClientiBanca[[#This Row],[Mutuo]]</f>
        <v>253300</v>
      </c>
      <c r="L1064" t="str">
        <f>IF(ClientiBanca[[#This Row],[Reddito annuo]]&gt;=70000,"si","no")</f>
        <v>no</v>
      </c>
    </row>
    <row r="1065" spans="1:12">
      <c r="A1065">
        <v>101064</v>
      </c>
      <c r="B1065">
        <v>75</v>
      </c>
      <c r="C1065" s="2">
        <v>50900</v>
      </c>
      <c r="D1065" t="s">
        <v>22</v>
      </c>
      <c r="E1065" s="2">
        <v>16000</v>
      </c>
      <c r="F1065" s="2">
        <v>253000</v>
      </c>
      <c r="G1065" t="s">
        <v>24</v>
      </c>
      <c r="H1065" t="s">
        <v>20</v>
      </c>
      <c r="I1065" t="s">
        <v>18</v>
      </c>
      <c r="J1065" s="3">
        <v>45386</v>
      </c>
      <c r="K1065" s="4">
        <f>ClientiBanca[[#This Row],[Prestito]]+ClientiBanca[[#This Row],[Mutuo]]</f>
        <v>269000</v>
      </c>
      <c r="L1065" t="str">
        <f>IF(ClientiBanca[[#This Row],[Reddito annuo]]&gt;=70000,"si","no")</f>
        <v>no</v>
      </c>
    </row>
    <row r="1066" spans="1:12">
      <c r="A1066">
        <v>101065</v>
      </c>
      <c r="B1066">
        <v>42</v>
      </c>
      <c r="C1066" s="2">
        <v>76400</v>
      </c>
      <c r="D1066" t="s">
        <v>12</v>
      </c>
      <c r="E1066" s="2">
        <v>55200</v>
      </c>
      <c r="F1066" s="2">
        <v>0</v>
      </c>
      <c r="G1066" t="s">
        <v>16</v>
      </c>
      <c r="H1066" t="s">
        <v>14</v>
      </c>
      <c r="I1066" t="s">
        <v>18</v>
      </c>
      <c r="J1066" s="3">
        <v>45494</v>
      </c>
      <c r="K1066" s="4">
        <f>ClientiBanca[[#This Row],[Prestito]]+ClientiBanca[[#This Row],[Mutuo]]</f>
        <v>55200</v>
      </c>
      <c r="L1066" t="str">
        <f>IF(ClientiBanca[[#This Row],[Reddito annuo]]&gt;=70000,"si","no")</f>
        <v>si</v>
      </c>
    </row>
    <row r="1067" spans="1:12">
      <c r="A1067">
        <v>101066</v>
      </c>
      <c r="B1067">
        <v>63</v>
      </c>
      <c r="C1067" s="2">
        <v>91000</v>
      </c>
      <c r="D1067" t="s">
        <v>12</v>
      </c>
      <c r="E1067" s="2">
        <v>0</v>
      </c>
      <c r="F1067" s="2">
        <v>284000</v>
      </c>
      <c r="G1067" t="s">
        <v>26</v>
      </c>
      <c r="H1067" t="s">
        <v>20</v>
      </c>
      <c r="I1067" t="s">
        <v>18</v>
      </c>
      <c r="J1067" s="3">
        <v>45502</v>
      </c>
      <c r="K1067" s="4">
        <f>ClientiBanca[[#This Row],[Prestito]]+ClientiBanca[[#This Row],[Mutuo]]</f>
        <v>284000</v>
      </c>
      <c r="L1067" t="str">
        <f>IF(ClientiBanca[[#This Row],[Reddito annuo]]&gt;=70000,"si","no")</f>
        <v>si</v>
      </c>
    </row>
    <row r="1068" spans="1:12">
      <c r="A1068">
        <v>101067</v>
      </c>
      <c r="B1068">
        <v>66</v>
      </c>
      <c r="C1068" s="2">
        <v>59000</v>
      </c>
      <c r="D1068" t="s">
        <v>22</v>
      </c>
      <c r="E1068" s="2">
        <v>50000</v>
      </c>
      <c r="F1068" s="2">
        <v>0</v>
      </c>
      <c r="G1068" t="s">
        <v>13</v>
      </c>
      <c r="H1068" t="s">
        <v>17</v>
      </c>
      <c r="I1068" t="s">
        <v>18</v>
      </c>
      <c r="J1068" s="3">
        <v>45872</v>
      </c>
      <c r="K1068" s="4">
        <f>ClientiBanca[[#This Row],[Prestito]]+ClientiBanca[[#This Row],[Mutuo]]</f>
        <v>50000</v>
      </c>
      <c r="L1068" t="str">
        <f>IF(ClientiBanca[[#This Row],[Reddito annuo]]&gt;=70000,"si","no")</f>
        <v>no</v>
      </c>
    </row>
    <row r="1069" spans="1:12">
      <c r="A1069">
        <v>101068</v>
      </c>
      <c r="B1069">
        <v>42</v>
      </c>
      <c r="C1069" s="2">
        <v>51400</v>
      </c>
      <c r="D1069" t="s">
        <v>12</v>
      </c>
      <c r="E1069" s="2">
        <v>17300</v>
      </c>
      <c r="F1069" s="2">
        <v>210000</v>
      </c>
      <c r="G1069" t="s">
        <v>16</v>
      </c>
      <c r="H1069" t="s">
        <v>20</v>
      </c>
      <c r="I1069" t="s">
        <v>18</v>
      </c>
      <c r="J1069" s="3">
        <v>45952</v>
      </c>
      <c r="K1069" s="4">
        <f>ClientiBanca[[#This Row],[Prestito]]+ClientiBanca[[#This Row],[Mutuo]]</f>
        <v>227300</v>
      </c>
      <c r="L1069" t="str">
        <f>IF(ClientiBanca[[#This Row],[Reddito annuo]]&gt;=70000,"si","no")</f>
        <v>no</v>
      </c>
    </row>
    <row r="1070" spans="1:12">
      <c r="A1070">
        <v>101069</v>
      </c>
      <c r="B1070">
        <v>53</v>
      </c>
      <c r="C1070" s="2">
        <v>50100</v>
      </c>
      <c r="D1070" t="s">
        <v>21</v>
      </c>
      <c r="E1070" s="2">
        <v>24500</v>
      </c>
      <c r="F1070" s="2">
        <v>0</v>
      </c>
      <c r="G1070" t="s">
        <v>19</v>
      </c>
      <c r="H1070" t="s">
        <v>20</v>
      </c>
      <c r="I1070" t="s">
        <v>18</v>
      </c>
      <c r="J1070" s="3">
        <v>45672</v>
      </c>
      <c r="K1070" s="4">
        <f>ClientiBanca[[#This Row],[Prestito]]+ClientiBanca[[#This Row],[Mutuo]]</f>
        <v>24500</v>
      </c>
      <c r="L1070" t="str">
        <f>IF(ClientiBanca[[#This Row],[Reddito annuo]]&gt;=70000,"si","no")</f>
        <v>no</v>
      </c>
    </row>
    <row r="1071" spans="1:12">
      <c r="A1071">
        <v>101070</v>
      </c>
      <c r="B1071">
        <v>43</v>
      </c>
      <c r="C1071" s="2">
        <v>37700</v>
      </c>
      <c r="D1071" t="s">
        <v>21</v>
      </c>
      <c r="E1071" s="2">
        <v>45600</v>
      </c>
      <c r="F1071" s="2">
        <v>0</v>
      </c>
      <c r="G1071" t="s">
        <v>23</v>
      </c>
      <c r="H1071" t="s">
        <v>17</v>
      </c>
      <c r="I1071" t="s">
        <v>18</v>
      </c>
      <c r="J1071" s="3">
        <v>46212</v>
      </c>
      <c r="K1071" s="4">
        <f>ClientiBanca[[#This Row],[Prestito]]+ClientiBanca[[#This Row],[Mutuo]]</f>
        <v>45600</v>
      </c>
      <c r="L1071" t="str">
        <f>IF(ClientiBanca[[#This Row],[Reddito annuo]]&gt;=70000,"si","no")</f>
        <v>no</v>
      </c>
    </row>
    <row r="1072" spans="1:12">
      <c r="A1072">
        <v>101071</v>
      </c>
      <c r="B1072">
        <v>34</v>
      </c>
      <c r="C1072" s="2">
        <v>64300</v>
      </c>
      <c r="D1072" t="s">
        <v>21</v>
      </c>
      <c r="E1072" s="2">
        <v>35300</v>
      </c>
      <c r="F1072" s="2">
        <v>165000</v>
      </c>
      <c r="G1072" t="s">
        <v>13</v>
      </c>
      <c r="H1072" t="s">
        <v>17</v>
      </c>
      <c r="I1072" t="s">
        <v>18</v>
      </c>
      <c r="J1072" s="3">
        <v>45990</v>
      </c>
      <c r="K1072" s="4">
        <f>ClientiBanca[[#This Row],[Prestito]]+ClientiBanca[[#This Row],[Mutuo]]</f>
        <v>200300</v>
      </c>
      <c r="L1072" t="str">
        <f>IF(ClientiBanca[[#This Row],[Reddito annuo]]&gt;=70000,"si","no")</f>
        <v>no</v>
      </c>
    </row>
    <row r="1073" spans="1:12">
      <c r="A1073">
        <v>101072</v>
      </c>
      <c r="B1073">
        <v>68</v>
      </c>
      <c r="C1073" s="2">
        <v>55400</v>
      </c>
      <c r="D1073" t="s">
        <v>12</v>
      </c>
      <c r="E1073" s="2">
        <v>10400</v>
      </c>
      <c r="F1073" s="2">
        <v>0</v>
      </c>
      <c r="G1073" t="s">
        <v>27</v>
      </c>
      <c r="H1073" t="s">
        <v>25</v>
      </c>
      <c r="I1073" t="s">
        <v>18</v>
      </c>
      <c r="J1073" s="3">
        <v>45419</v>
      </c>
      <c r="K1073" s="4">
        <f>ClientiBanca[[#This Row],[Prestito]]+ClientiBanca[[#This Row],[Mutuo]]</f>
        <v>10400</v>
      </c>
      <c r="L1073" t="str">
        <f>IF(ClientiBanca[[#This Row],[Reddito annuo]]&gt;=70000,"si","no")</f>
        <v>no</v>
      </c>
    </row>
    <row r="1074" spans="1:12">
      <c r="A1074">
        <v>101073</v>
      </c>
      <c r="B1074">
        <v>48</v>
      </c>
      <c r="C1074" s="2">
        <v>39400</v>
      </c>
      <c r="D1074" t="s">
        <v>21</v>
      </c>
      <c r="E1074" s="2">
        <v>38200</v>
      </c>
      <c r="F1074" s="2">
        <v>0</v>
      </c>
      <c r="G1074" t="s">
        <v>27</v>
      </c>
      <c r="H1074" t="s">
        <v>25</v>
      </c>
      <c r="I1074" t="s">
        <v>18</v>
      </c>
      <c r="J1074" s="3">
        <v>46153</v>
      </c>
      <c r="K1074" s="4">
        <f>ClientiBanca[[#This Row],[Prestito]]+ClientiBanca[[#This Row],[Mutuo]]</f>
        <v>38200</v>
      </c>
      <c r="L1074" t="str">
        <f>IF(ClientiBanca[[#This Row],[Reddito annuo]]&gt;=70000,"si","no")</f>
        <v>no</v>
      </c>
    </row>
    <row r="1075" spans="1:12">
      <c r="A1075">
        <v>101074</v>
      </c>
      <c r="B1075">
        <v>45</v>
      </c>
      <c r="C1075" s="2">
        <v>28000</v>
      </c>
      <c r="D1075" t="s">
        <v>12</v>
      </c>
      <c r="E1075" s="2">
        <v>25200</v>
      </c>
      <c r="F1075" s="2">
        <v>202000</v>
      </c>
      <c r="G1075" t="s">
        <v>16</v>
      </c>
      <c r="H1075" t="s">
        <v>14</v>
      </c>
      <c r="I1075" t="s">
        <v>18</v>
      </c>
      <c r="J1075" s="3">
        <v>46063</v>
      </c>
      <c r="K1075" s="4">
        <f>ClientiBanca[[#This Row],[Prestito]]+ClientiBanca[[#This Row],[Mutuo]]</f>
        <v>227200</v>
      </c>
      <c r="L1075" t="str">
        <f>IF(ClientiBanca[[#This Row],[Reddito annuo]]&gt;=70000,"si","no")</f>
        <v>no</v>
      </c>
    </row>
    <row r="1076" spans="1:12">
      <c r="A1076">
        <v>101075</v>
      </c>
      <c r="B1076">
        <v>42</v>
      </c>
      <c r="C1076" s="2">
        <v>53100</v>
      </c>
      <c r="D1076" t="s">
        <v>12</v>
      </c>
      <c r="E1076" s="2">
        <v>40400</v>
      </c>
      <c r="F1076" s="2">
        <v>0</v>
      </c>
      <c r="G1076" t="s">
        <v>28</v>
      </c>
      <c r="H1076" t="s">
        <v>17</v>
      </c>
      <c r="I1076" t="s">
        <v>18</v>
      </c>
      <c r="J1076" s="3">
        <v>46224</v>
      </c>
      <c r="K1076" s="4">
        <f>ClientiBanca[[#This Row],[Prestito]]+ClientiBanca[[#This Row],[Mutuo]]</f>
        <v>40400</v>
      </c>
      <c r="L1076" t="str">
        <f>IF(ClientiBanca[[#This Row],[Reddito annuo]]&gt;=70000,"si","no")</f>
        <v>no</v>
      </c>
    </row>
    <row r="1077" spans="1:12">
      <c r="A1077">
        <v>101076</v>
      </c>
      <c r="B1077">
        <v>27</v>
      </c>
      <c r="C1077" s="2">
        <v>90700</v>
      </c>
      <c r="D1077" t="s">
        <v>22</v>
      </c>
      <c r="E1077" s="2">
        <v>19900</v>
      </c>
      <c r="F1077" s="2">
        <v>0</v>
      </c>
      <c r="G1077" t="s">
        <v>24</v>
      </c>
      <c r="H1077" t="s">
        <v>20</v>
      </c>
      <c r="I1077" t="s">
        <v>18</v>
      </c>
      <c r="J1077" s="3">
        <v>45996</v>
      </c>
      <c r="K1077" s="4">
        <f>ClientiBanca[[#This Row],[Prestito]]+ClientiBanca[[#This Row],[Mutuo]]</f>
        <v>19900</v>
      </c>
      <c r="L1077" t="str">
        <f>IF(ClientiBanca[[#This Row],[Reddito annuo]]&gt;=70000,"si","no")</f>
        <v>si</v>
      </c>
    </row>
    <row r="1078" spans="1:12">
      <c r="A1078">
        <v>101077</v>
      </c>
      <c r="B1078">
        <v>66</v>
      </c>
      <c r="C1078" s="2">
        <v>55400</v>
      </c>
      <c r="D1078" t="s">
        <v>21</v>
      </c>
      <c r="E1078" s="2">
        <v>65100</v>
      </c>
      <c r="F1078" s="2">
        <v>0</v>
      </c>
      <c r="G1078" t="s">
        <v>27</v>
      </c>
      <c r="H1078" t="s">
        <v>14</v>
      </c>
      <c r="I1078" t="s">
        <v>18</v>
      </c>
      <c r="J1078" s="3">
        <v>45557</v>
      </c>
      <c r="K1078" s="4">
        <f>ClientiBanca[[#This Row],[Prestito]]+ClientiBanca[[#This Row],[Mutuo]]</f>
        <v>65100</v>
      </c>
      <c r="L1078" t="str">
        <f>IF(ClientiBanca[[#This Row],[Reddito annuo]]&gt;=70000,"si","no")</f>
        <v>no</v>
      </c>
    </row>
    <row r="1079" spans="1:12">
      <c r="A1079">
        <v>101078</v>
      </c>
      <c r="B1079">
        <v>70</v>
      </c>
      <c r="C1079" s="2">
        <v>28800</v>
      </c>
      <c r="D1079" t="s">
        <v>21</v>
      </c>
      <c r="E1079" s="2">
        <v>21700</v>
      </c>
      <c r="F1079" s="2">
        <v>0</v>
      </c>
      <c r="G1079" t="s">
        <v>16</v>
      </c>
      <c r="H1079" t="s">
        <v>17</v>
      </c>
      <c r="I1079" t="s">
        <v>18</v>
      </c>
      <c r="J1079" s="3">
        <v>45433</v>
      </c>
      <c r="K1079" s="4">
        <f>ClientiBanca[[#This Row],[Prestito]]+ClientiBanca[[#This Row],[Mutuo]]</f>
        <v>21700</v>
      </c>
      <c r="L1079" t="str">
        <f>IF(ClientiBanca[[#This Row],[Reddito annuo]]&gt;=70000,"si","no")</f>
        <v>no</v>
      </c>
    </row>
    <row r="1080" spans="1:12">
      <c r="A1080">
        <v>101079</v>
      </c>
      <c r="B1080">
        <v>57</v>
      </c>
      <c r="C1080" s="2">
        <v>57100</v>
      </c>
      <c r="D1080" t="s">
        <v>21</v>
      </c>
      <c r="E1080" s="2">
        <v>0</v>
      </c>
      <c r="F1080" s="2">
        <v>0</v>
      </c>
      <c r="G1080" t="s">
        <v>16</v>
      </c>
      <c r="H1080" t="s">
        <v>17</v>
      </c>
      <c r="I1080" t="s">
        <v>18</v>
      </c>
      <c r="J1080" s="3">
        <v>45976</v>
      </c>
      <c r="K1080" s="4">
        <f>ClientiBanca[[#This Row],[Prestito]]+ClientiBanca[[#This Row],[Mutuo]]</f>
        <v>0</v>
      </c>
      <c r="L1080" t="str">
        <f>IF(ClientiBanca[[#This Row],[Reddito annuo]]&gt;=70000,"si","no")</f>
        <v>no</v>
      </c>
    </row>
    <row r="1081" spans="1:12">
      <c r="A1081">
        <v>101080</v>
      </c>
      <c r="B1081">
        <v>27</v>
      </c>
      <c r="C1081" s="2">
        <v>61300</v>
      </c>
      <c r="D1081" t="s">
        <v>21</v>
      </c>
      <c r="E1081" s="2">
        <v>33200</v>
      </c>
      <c r="F1081" s="2">
        <v>0</v>
      </c>
      <c r="G1081" t="s">
        <v>28</v>
      </c>
      <c r="H1081" t="s">
        <v>20</v>
      </c>
      <c r="I1081" t="s">
        <v>18</v>
      </c>
      <c r="J1081" s="3">
        <v>45595</v>
      </c>
      <c r="K1081" s="4">
        <f>ClientiBanca[[#This Row],[Prestito]]+ClientiBanca[[#This Row],[Mutuo]]</f>
        <v>33200</v>
      </c>
      <c r="L1081" t="str">
        <f>IF(ClientiBanca[[#This Row],[Reddito annuo]]&gt;=70000,"si","no")</f>
        <v>no</v>
      </c>
    </row>
    <row r="1082" spans="1:12">
      <c r="A1082">
        <v>101081</v>
      </c>
      <c r="B1082">
        <v>65</v>
      </c>
      <c r="C1082" s="2">
        <v>32900</v>
      </c>
      <c r="D1082" t="s">
        <v>12</v>
      </c>
      <c r="E1082" s="2">
        <v>0</v>
      </c>
      <c r="F1082" s="2">
        <v>0</v>
      </c>
      <c r="G1082" t="s">
        <v>23</v>
      </c>
      <c r="H1082" t="s">
        <v>14</v>
      </c>
      <c r="I1082" t="s">
        <v>18</v>
      </c>
      <c r="J1082" s="3">
        <v>45368</v>
      </c>
      <c r="K1082" s="4">
        <f>ClientiBanca[[#This Row],[Prestito]]+ClientiBanca[[#This Row],[Mutuo]]</f>
        <v>0</v>
      </c>
      <c r="L1082" t="str">
        <f>IF(ClientiBanca[[#This Row],[Reddito annuo]]&gt;=70000,"si","no")</f>
        <v>no</v>
      </c>
    </row>
    <row r="1083" spans="1:12">
      <c r="A1083">
        <v>101082</v>
      </c>
      <c r="B1083">
        <v>51</v>
      </c>
      <c r="C1083" s="2">
        <v>30700</v>
      </c>
      <c r="D1083" t="s">
        <v>21</v>
      </c>
      <c r="E1083" s="2">
        <v>38400</v>
      </c>
      <c r="F1083" s="2">
        <v>0</v>
      </c>
      <c r="G1083" t="s">
        <v>13</v>
      </c>
      <c r="H1083" t="s">
        <v>17</v>
      </c>
      <c r="I1083" t="s">
        <v>18</v>
      </c>
      <c r="J1083" s="3">
        <v>46071</v>
      </c>
      <c r="K1083" s="4">
        <f>ClientiBanca[[#This Row],[Prestito]]+ClientiBanca[[#This Row],[Mutuo]]</f>
        <v>38400</v>
      </c>
      <c r="L1083" t="str">
        <f>IF(ClientiBanca[[#This Row],[Reddito annuo]]&gt;=70000,"si","no")</f>
        <v>no</v>
      </c>
    </row>
    <row r="1084" spans="1:12">
      <c r="A1084">
        <v>101083</v>
      </c>
      <c r="B1084">
        <v>53</v>
      </c>
      <c r="C1084" s="2">
        <v>60800</v>
      </c>
      <c r="D1084" t="s">
        <v>21</v>
      </c>
      <c r="E1084" s="2">
        <v>0</v>
      </c>
      <c r="F1084" s="2">
        <v>0</v>
      </c>
      <c r="G1084" t="s">
        <v>24</v>
      </c>
      <c r="H1084" t="s">
        <v>14</v>
      </c>
      <c r="I1084" t="s">
        <v>18</v>
      </c>
      <c r="J1084" s="3">
        <v>45400</v>
      </c>
      <c r="K1084" s="4">
        <f>ClientiBanca[[#This Row],[Prestito]]+ClientiBanca[[#This Row],[Mutuo]]</f>
        <v>0</v>
      </c>
      <c r="L1084" t="str">
        <f>IF(ClientiBanca[[#This Row],[Reddito annuo]]&gt;=70000,"si","no")</f>
        <v>no</v>
      </c>
    </row>
    <row r="1085" spans="1:12">
      <c r="A1085">
        <v>101084</v>
      </c>
      <c r="B1085">
        <v>28</v>
      </c>
      <c r="C1085" s="2">
        <v>42300</v>
      </c>
      <c r="D1085" t="s">
        <v>21</v>
      </c>
      <c r="E1085" s="2">
        <v>0</v>
      </c>
      <c r="F1085" s="2">
        <v>0</v>
      </c>
      <c r="G1085" t="s">
        <v>23</v>
      </c>
      <c r="H1085" t="s">
        <v>14</v>
      </c>
      <c r="I1085" t="s">
        <v>18</v>
      </c>
      <c r="J1085" s="3">
        <v>45484</v>
      </c>
      <c r="K1085" s="4">
        <f>ClientiBanca[[#This Row],[Prestito]]+ClientiBanca[[#This Row],[Mutuo]]</f>
        <v>0</v>
      </c>
      <c r="L1085" t="str">
        <f>IF(ClientiBanca[[#This Row],[Reddito annuo]]&gt;=70000,"si","no")</f>
        <v>no</v>
      </c>
    </row>
    <row r="1086" spans="1:12">
      <c r="A1086">
        <v>101085</v>
      </c>
      <c r="B1086">
        <v>24</v>
      </c>
      <c r="C1086" s="2">
        <v>45600</v>
      </c>
      <c r="D1086" t="s">
        <v>21</v>
      </c>
      <c r="E1086" s="2">
        <v>57000</v>
      </c>
      <c r="F1086" s="2">
        <v>0</v>
      </c>
      <c r="G1086" t="s">
        <v>24</v>
      </c>
      <c r="H1086" t="s">
        <v>17</v>
      </c>
      <c r="I1086" t="s">
        <v>18</v>
      </c>
      <c r="J1086" s="3">
        <v>45404</v>
      </c>
      <c r="K1086" s="4">
        <f>ClientiBanca[[#This Row],[Prestito]]+ClientiBanca[[#This Row],[Mutuo]]</f>
        <v>57000</v>
      </c>
      <c r="L1086" t="str">
        <f>IF(ClientiBanca[[#This Row],[Reddito annuo]]&gt;=70000,"si","no")</f>
        <v>no</v>
      </c>
    </row>
    <row r="1087" spans="1:12">
      <c r="A1087">
        <v>101086</v>
      </c>
      <c r="B1087">
        <v>35</v>
      </c>
      <c r="C1087" s="2">
        <v>24700</v>
      </c>
      <c r="D1087" t="s">
        <v>21</v>
      </c>
      <c r="E1087" s="2">
        <v>30900</v>
      </c>
      <c r="F1087" s="2">
        <v>0</v>
      </c>
      <c r="G1087" t="s">
        <v>19</v>
      </c>
      <c r="H1087" t="s">
        <v>17</v>
      </c>
      <c r="I1087" t="s">
        <v>18</v>
      </c>
      <c r="J1087" s="3">
        <v>45378</v>
      </c>
      <c r="K1087" s="4">
        <f>ClientiBanca[[#This Row],[Prestito]]+ClientiBanca[[#This Row],[Mutuo]]</f>
        <v>30900</v>
      </c>
      <c r="L1087" t="str">
        <f>IF(ClientiBanca[[#This Row],[Reddito annuo]]&gt;=70000,"si","no")</f>
        <v>no</v>
      </c>
    </row>
    <row r="1088" spans="1:12">
      <c r="A1088">
        <v>101087</v>
      </c>
      <c r="B1088">
        <v>42</v>
      </c>
      <c r="C1088" s="2">
        <v>55100</v>
      </c>
      <c r="D1088" t="s">
        <v>21</v>
      </c>
      <c r="E1088" s="2">
        <v>34200</v>
      </c>
      <c r="F1088" s="2">
        <v>164000</v>
      </c>
      <c r="G1088" t="s">
        <v>13</v>
      </c>
      <c r="H1088" t="s">
        <v>20</v>
      </c>
      <c r="I1088" t="s">
        <v>18</v>
      </c>
      <c r="J1088" s="3">
        <v>46242</v>
      </c>
      <c r="K1088" s="4">
        <f>ClientiBanca[[#This Row],[Prestito]]+ClientiBanca[[#This Row],[Mutuo]]</f>
        <v>198200</v>
      </c>
      <c r="L1088" t="str">
        <f>IF(ClientiBanca[[#This Row],[Reddito annuo]]&gt;=70000,"si","no")</f>
        <v>no</v>
      </c>
    </row>
    <row r="1089" spans="1:12">
      <c r="A1089">
        <v>101088</v>
      </c>
      <c r="B1089">
        <v>47</v>
      </c>
      <c r="C1089" s="2">
        <v>40800</v>
      </c>
      <c r="D1089" t="s">
        <v>21</v>
      </c>
      <c r="E1089" s="2">
        <v>22300</v>
      </c>
      <c r="F1089" s="2">
        <v>0</v>
      </c>
      <c r="G1089" t="s">
        <v>16</v>
      </c>
      <c r="H1089" t="s">
        <v>20</v>
      </c>
      <c r="I1089" t="s">
        <v>18</v>
      </c>
      <c r="J1089" s="3">
        <v>45546</v>
      </c>
      <c r="K1089" s="4">
        <f>ClientiBanca[[#This Row],[Prestito]]+ClientiBanca[[#This Row],[Mutuo]]</f>
        <v>22300</v>
      </c>
      <c r="L1089" t="str">
        <f>IF(ClientiBanca[[#This Row],[Reddito annuo]]&gt;=70000,"si","no")</f>
        <v>no</v>
      </c>
    </row>
    <row r="1090" spans="1:12">
      <c r="A1090">
        <v>101089</v>
      </c>
      <c r="B1090">
        <v>27</v>
      </c>
      <c r="C1090" s="2">
        <v>42300</v>
      </c>
      <c r="D1090" t="s">
        <v>21</v>
      </c>
      <c r="E1090" s="2">
        <v>21800</v>
      </c>
      <c r="F1090" s="2">
        <v>123000</v>
      </c>
      <c r="G1090" t="s">
        <v>23</v>
      </c>
      <c r="H1090" t="s">
        <v>25</v>
      </c>
      <c r="I1090" t="s">
        <v>18</v>
      </c>
      <c r="J1090" s="3">
        <v>45706</v>
      </c>
      <c r="K1090" s="4">
        <f>ClientiBanca[[#This Row],[Prestito]]+ClientiBanca[[#This Row],[Mutuo]]</f>
        <v>144800</v>
      </c>
      <c r="L1090" t="str">
        <f>IF(ClientiBanca[[#This Row],[Reddito annuo]]&gt;=70000,"si","no")</f>
        <v>no</v>
      </c>
    </row>
    <row r="1091" spans="1:12">
      <c r="A1091">
        <v>101090</v>
      </c>
      <c r="B1091">
        <v>45</v>
      </c>
      <c r="C1091" s="2">
        <v>52600</v>
      </c>
      <c r="D1091" t="s">
        <v>21</v>
      </c>
      <c r="E1091" s="2">
        <v>0</v>
      </c>
      <c r="F1091" s="2">
        <v>0</v>
      </c>
      <c r="G1091" t="s">
        <v>28</v>
      </c>
      <c r="H1091" t="s">
        <v>20</v>
      </c>
      <c r="I1091" t="s">
        <v>18</v>
      </c>
      <c r="J1091" s="3">
        <v>46096</v>
      </c>
      <c r="K1091" s="4">
        <f>ClientiBanca[[#This Row],[Prestito]]+ClientiBanca[[#This Row],[Mutuo]]</f>
        <v>0</v>
      </c>
      <c r="L1091" t="str">
        <f>IF(ClientiBanca[[#This Row],[Reddito annuo]]&gt;=70000,"si","no")</f>
        <v>no</v>
      </c>
    </row>
    <row r="1092" spans="1:12">
      <c r="A1092">
        <v>101091</v>
      </c>
      <c r="B1092">
        <v>33</v>
      </c>
      <c r="C1092" s="2">
        <v>49800</v>
      </c>
      <c r="D1092" t="s">
        <v>21</v>
      </c>
      <c r="E1092" s="2">
        <v>48900</v>
      </c>
      <c r="F1092" s="2">
        <v>209000</v>
      </c>
      <c r="G1092" t="s">
        <v>28</v>
      </c>
      <c r="H1092" t="s">
        <v>14</v>
      </c>
      <c r="I1092" t="s">
        <v>18</v>
      </c>
      <c r="J1092" s="3">
        <v>45996</v>
      </c>
      <c r="K1092" s="4">
        <f>ClientiBanca[[#This Row],[Prestito]]+ClientiBanca[[#This Row],[Mutuo]]</f>
        <v>257900</v>
      </c>
      <c r="L1092" t="str">
        <f>IF(ClientiBanca[[#This Row],[Reddito annuo]]&gt;=70000,"si","no")</f>
        <v>no</v>
      </c>
    </row>
    <row r="1093" spans="1:12">
      <c r="A1093">
        <v>101092</v>
      </c>
      <c r="B1093">
        <v>35</v>
      </c>
      <c r="C1093" s="2">
        <v>39400</v>
      </c>
      <c r="D1093" t="s">
        <v>12</v>
      </c>
      <c r="E1093" s="2">
        <v>25000</v>
      </c>
      <c r="F1093" s="2">
        <v>0</v>
      </c>
      <c r="G1093" t="s">
        <v>27</v>
      </c>
      <c r="H1093" t="s">
        <v>14</v>
      </c>
      <c r="I1093" t="s">
        <v>18</v>
      </c>
      <c r="J1093" s="3">
        <v>45313</v>
      </c>
      <c r="K1093" s="4">
        <f>ClientiBanca[[#This Row],[Prestito]]+ClientiBanca[[#This Row],[Mutuo]]</f>
        <v>25000</v>
      </c>
      <c r="L1093" t="str">
        <f>IF(ClientiBanca[[#This Row],[Reddito annuo]]&gt;=70000,"si","no")</f>
        <v>no</v>
      </c>
    </row>
    <row r="1094" spans="1:12">
      <c r="A1094">
        <v>101093</v>
      </c>
      <c r="B1094">
        <v>31</v>
      </c>
      <c r="C1094" s="2">
        <v>114100</v>
      </c>
      <c r="D1094" t="s">
        <v>22</v>
      </c>
      <c r="E1094" s="2">
        <v>51000</v>
      </c>
      <c r="F1094" s="2">
        <v>179000</v>
      </c>
      <c r="G1094" t="s">
        <v>28</v>
      </c>
      <c r="H1094" t="s">
        <v>17</v>
      </c>
      <c r="I1094" t="s">
        <v>18</v>
      </c>
      <c r="J1094" s="3">
        <v>45545</v>
      </c>
      <c r="K1094" s="4">
        <f>ClientiBanca[[#This Row],[Prestito]]+ClientiBanca[[#This Row],[Mutuo]]</f>
        <v>230000</v>
      </c>
      <c r="L1094" t="str">
        <f>IF(ClientiBanca[[#This Row],[Reddito annuo]]&gt;=70000,"si","no")</f>
        <v>si</v>
      </c>
    </row>
    <row r="1095" spans="1:12">
      <c r="A1095">
        <v>101094</v>
      </c>
      <c r="B1095">
        <v>50</v>
      </c>
      <c r="C1095" s="2">
        <v>35100</v>
      </c>
      <c r="D1095" t="s">
        <v>12</v>
      </c>
      <c r="E1095" s="2">
        <v>43900</v>
      </c>
      <c r="F1095" s="2">
        <v>0</v>
      </c>
      <c r="G1095" t="s">
        <v>24</v>
      </c>
      <c r="H1095" t="s">
        <v>14</v>
      </c>
      <c r="I1095" t="s">
        <v>18</v>
      </c>
      <c r="J1095" s="3">
        <v>45394</v>
      </c>
      <c r="K1095" s="4">
        <f>ClientiBanca[[#This Row],[Prestito]]+ClientiBanca[[#This Row],[Mutuo]]</f>
        <v>43900</v>
      </c>
      <c r="L1095" t="str">
        <f>IF(ClientiBanca[[#This Row],[Reddito annuo]]&gt;=70000,"si","no")</f>
        <v>no</v>
      </c>
    </row>
    <row r="1096" spans="1:12">
      <c r="A1096">
        <v>101095</v>
      </c>
      <c r="B1096">
        <v>39</v>
      </c>
      <c r="C1096" s="2">
        <v>86000</v>
      </c>
      <c r="D1096" t="s">
        <v>21</v>
      </c>
      <c r="E1096" s="2">
        <v>25900</v>
      </c>
      <c r="F1096" s="2">
        <v>0</v>
      </c>
      <c r="G1096" t="s">
        <v>28</v>
      </c>
      <c r="H1096" t="s">
        <v>20</v>
      </c>
      <c r="I1096" t="s">
        <v>18</v>
      </c>
      <c r="J1096" s="3">
        <v>46139</v>
      </c>
      <c r="K1096" s="4">
        <f>ClientiBanca[[#This Row],[Prestito]]+ClientiBanca[[#This Row],[Mutuo]]</f>
        <v>25900</v>
      </c>
      <c r="L1096" t="str">
        <f>IF(ClientiBanca[[#This Row],[Reddito annuo]]&gt;=70000,"si","no")</f>
        <v>si</v>
      </c>
    </row>
    <row r="1097" spans="1:12">
      <c r="A1097">
        <v>101096</v>
      </c>
      <c r="B1097">
        <v>42</v>
      </c>
      <c r="C1097" s="2">
        <v>47000</v>
      </c>
      <c r="D1097" t="s">
        <v>21</v>
      </c>
      <c r="E1097" s="2">
        <v>43900</v>
      </c>
      <c r="F1097" s="2">
        <v>0</v>
      </c>
      <c r="G1097" t="s">
        <v>28</v>
      </c>
      <c r="H1097" t="s">
        <v>20</v>
      </c>
      <c r="I1097" t="s">
        <v>18</v>
      </c>
      <c r="J1097" s="3">
        <v>46037</v>
      </c>
      <c r="K1097" s="4">
        <f>ClientiBanca[[#This Row],[Prestito]]+ClientiBanca[[#This Row],[Mutuo]]</f>
        <v>43900</v>
      </c>
      <c r="L1097" t="str">
        <f>IF(ClientiBanca[[#This Row],[Reddito annuo]]&gt;=70000,"si","no")</f>
        <v>no</v>
      </c>
    </row>
    <row r="1098" spans="1:12">
      <c r="A1098">
        <v>101097</v>
      </c>
      <c r="B1098">
        <v>60</v>
      </c>
      <c r="C1098" s="2">
        <v>25500</v>
      </c>
      <c r="D1098" t="s">
        <v>22</v>
      </c>
      <c r="E1098" s="2">
        <v>0</v>
      </c>
      <c r="F1098" s="2">
        <v>0</v>
      </c>
      <c r="G1098" t="s">
        <v>24</v>
      </c>
      <c r="H1098" t="s">
        <v>17</v>
      </c>
      <c r="I1098" t="s">
        <v>18</v>
      </c>
      <c r="J1098" s="3">
        <v>45323</v>
      </c>
      <c r="K1098" s="4">
        <f>ClientiBanca[[#This Row],[Prestito]]+ClientiBanca[[#This Row],[Mutuo]]</f>
        <v>0</v>
      </c>
      <c r="L1098" t="str">
        <f>IF(ClientiBanca[[#This Row],[Reddito annuo]]&gt;=70000,"si","no")</f>
        <v>no</v>
      </c>
    </row>
    <row r="1099" spans="1:12">
      <c r="A1099">
        <v>101098</v>
      </c>
      <c r="B1099">
        <v>35</v>
      </c>
      <c r="C1099" s="2">
        <v>65500</v>
      </c>
      <c r="D1099" t="s">
        <v>12</v>
      </c>
      <c r="E1099" s="2">
        <v>19100</v>
      </c>
      <c r="F1099" s="2">
        <v>335000</v>
      </c>
      <c r="G1099" t="s">
        <v>16</v>
      </c>
      <c r="H1099" t="s">
        <v>17</v>
      </c>
      <c r="I1099" t="s">
        <v>18</v>
      </c>
      <c r="J1099" s="3">
        <v>46190</v>
      </c>
      <c r="K1099" s="4">
        <f>ClientiBanca[[#This Row],[Prestito]]+ClientiBanca[[#This Row],[Mutuo]]</f>
        <v>354100</v>
      </c>
      <c r="L1099" t="str">
        <f>IF(ClientiBanca[[#This Row],[Reddito annuo]]&gt;=70000,"si","no")</f>
        <v>no</v>
      </c>
    </row>
    <row r="1100" spans="1:12">
      <c r="A1100">
        <v>101099</v>
      </c>
      <c r="B1100">
        <v>60</v>
      </c>
      <c r="C1100" s="2">
        <v>73700</v>
      </c>
      <c r="D1100" t="s">
        <v>22</v>
      </c>
      <c r="E1100" s="2">
        <v>73700</v>
      </c>
      <c r="F1100" s="2">
        <v>0</v>
      </c>
      <c r="G1100" t="s">
        <v>26</v>
      </c>
      <c r="H1100" t="s">
        <v>14</v>
      </c>
      <c r="I1100" t="s">
        <v>18</v>
      </c>
      <c r="J1100" s="3">
        <v>45631</v>
      </c>
      <c r="K1100" s="4">
        <f>ClientiBanca[[#This Row],[Prestito]]+ClientiBanca[[#This Row],[Mutuo]]</f>
        <v>73700</v>
      </c>
      <c r="L1100" t="str">
        <f>IF(ClientiBanca[[#This Row],[Reddito annuo]]&gt;=70000,"si","no")</f>
        <v>si</v>
      </c>
    </row>
    <row r="1101" spans="1:12">
      <c r="A1101">
        <v>101100</v>
      </c>
      <c r="B1101">
        <v>45</v>
      </c>
      <c r="C1101" s="2">
        <v>66400</v>
      </c>
      <c r="D1101" t="s">
        <v>22</v>
      </c>
      <c r="E1101" s="2">
        <v>18400</v>
      </c>
      <c r="F1101" s="2">
        <v>0</v>
      </c>
      <c r="G1101" t="s">
        <v>19</v>
      </c>
      <c r="H1101" t="s">
        <v>14</v>
      </c>
      <c r="I1101" t="s">
        <v>18</v>
      </c>
      <c r="J1101" s="3">
        <v>46106</v>
      </c>
      <c r="K1101" s="4">
        <f>ClientiBanca[[#This Row],[Prestito]]+ClientiBanca[[#This Row],[Mutuo]]</f>
        <v>18400</v>
      </c>
      <c r="L1101" t="str">
        <f>IF(ClientiBanca[[#This Row],[Reddito annuo]]&gt;=70000,"si","no")</f>
        <v>no</v>
      </c>
    </row>
    <row r="1102" spans="1:12">
      <c r="A1102">
        <v>101101</v>
      </c>
      <c r="B1102">
        <v>49</v>
      </c>
      <c r="C1102" s="2">
        <v>64600</v>
      </c>
      <c r="D1102" t="s">
        <v>12</v>
      </c>
      <c r="E1102" s="2">
        <v>14500</v>
      </c>
      <c r="F1102" s="2">
        <v>339000</v>
      </c>
      <c r="G1102" t="s">
        <v>24</v>
      </c>
      <c r="H1102" t="s">
        <v>17</v>
      </c>
      <c r="I1102" t="s">
        <v>18</v>
      </c>
      <c r="J1102" s="3">
        <v>45588</v>
      </c>
      <c r="K1102" s="4">
        <f>ClientiBanca[[#This Row],[Prestito]]+ClientiBanca[[#This Row],[Mutuo]]</f>
        <v>353500</v>
      </c>
      <c r="L1102" t="str">
        <f>IF(ClientiBanca[[#This Row],[Reddito annuo]]&gt;=70000,"si","no")</f>
        <v>no</v>
      </c>
    </row>
    <row r="1103" spans="1:12">
      <c r="A1103">
        <v>101102</v>
      </c>
      <c r="B1103">
        <v>59</v>
      </c>
      <c r="C1103" s="2">
        <v>64000</v>
      </c>
      <c r="D1103" t="s">
        <v>21</v>
      </c>
      <c r="E1103" s="2">
        <v>11500</v>
      </c>
      <c r="F1103" s="2">
        <v>0</v>
      </c>
      <c r="G1103" t="s">
        <v>28</v>
      </c>
      <c r="H1103" t="s">
        <v>20</v>
      </c>
      <c r="I1103" t="s">
        <v>18</v>
      </c>
      <c r="J1103" s="3">
        <v>45899</v>
      </c>
      <c r="K1103" s="4">
        <f>ClientiBanca[[#This Row],[Prestito]]+ClientiBanca[[#This Row],[Mutuo]]</f>
        <v>11500</v>
      </c>
      <c r="L1103" t="str">
        <f>IF(ClientiBanca[[#This Row],[Reddito annuo]]&gt;=70000,"si","no")</f>
        <v>no</v>
      </c>
    </row>
    <row r="1104" spans="1:12">
      <c r="A1104">
        <v>101103</v>
      </c>
      <c r="B1104">
        <v>27</v>
      </c>
      <c r="C1104" s="2">
        <v>30000</v>
      </c>
      <c r="D1104" t="s">
        <v>21</v>
      </c>
      <c r="E1104" s="2">
        <v>37500</v>
      </c>
      <c r="F1104" s="2">
        <v>160000</v>
      </c>
      <c r="G1104" t="s">
        <v>19</v>
      </c>
      <c r="H1104" t="s">
        <v>25</v>
      </c>
      <c r="I1104" t="s">
        <v>18</v>
      </c>
      <c r="J1104" s="3">
        <v>45806</v>
      </c>
      <c r="K1104" s="4">
        <f>ClientiBanca[[#This Row],[Prestito]]+ClientiBanca[[#This Row],[Mutuo]]</f>
        <v>197500</v>
      </c>
      <c r="L1104" t="str">
        <f>IF(ClientiBanca[[#This Row],[Reddito annuo]]&gt;=70000,"si","no")</f>
        <v>no</v>
      </c>
    </row>
    <row r="1105" spans="1:12">
      <c r="A1105">
        <v>101104</v>
      </c>
      <c r="B1105">
        <v>62</v>
      </c>
      <c r="C1105" s="2">
        <v>109800</v>
      </c>
      <c r="D1105" t="s">
        <v>12</v>
      </c>
      <c r="E1105" s="2">
        <v>0</v>
      </c>
      <c r="F1105" s="2">
        <v>0</v>
      </c>
      <c r="G1105" t="s">
        <v>24</v>
      </c>
      <c r="H1105" t="s">
        <v>25</v>
      </c>
      <c r="I1105" t="s">
        <v>18</v>
      </c>
      <c r="J1105" s="3">
        <v>45493</v>
      </c>
      <c r="K1105" s="4">
        <f>ClientiBanca[[#This Row],[Prestito]]+ClientiBanca[[#This Row],[Mutuo]]</f>
        <v>0</v>
      </c>
      <c r="L1105" t="str">
        <f>IF(ClientiBanca[[#This Row],[Reddito annuo]]&gt;=70000,"si","no")</f>
        <v>si</v>
      </c>
    </row>
    <row r="1106" spans="1:12">
      <c r="A1106">
        <v>101105</v>
      </c>
      <c r="B1106">
        <v>47</v>
      </c>
      <c r="C1106" s="2">
        <v>66100</v>
      </c>
      <c r="D1106" t="s">
        <v>21</v>
      </c>
      <c r="E1106" s="2">
        <v>32200</v>
      </c>
      <c r="F1106" s="2">
        <v>0</v>
      </c>
      <c r="G1106" t="s">
        <v>16</v>
      </c>
      <c r="H1106" t="s">
        <v>17</v>
      </c>
      <c r="I1106" t="s">
        <v>18</v>
      </c>
      <c r="J1106" s="3">
        <v>45392</v>
      </c>
      <c r="K1106" s="4">
        <f>ClientiBanca[[#This Row],[Prestito]]+ClientiBanca[[#This Row],[Mutuo]]</f>
        <v>32200</v>
      </c>
      <c r="L1106" t="str">
        <f>IF(ClientiBanca[[#This Row],[Reddito annuo]]&gt;=70000,"si","no")</f>
        <v>no</v>
      </c>
    </row>
    <row r="1107" spans="1:12">
      <c r="A1107">
        <v>101106</v>
      </c>
      <c r="B1107">
        <v>36</v>
      </c>
      <c r="C1107" s="2">
        <v>102000</v>
      </c>
      <c r="D1107" t="s">
        <v>12</v>
      </c>
      <c r="E1107" s="2">
        <v>30200</v>
      </c>
      <c r="F1107" s="2">
        <v>0</v>
      </c>
      <c r="G1107" t="s">
        <v>24</v>
      </c>
      <c r="H1107" t="s">
        <v>17</v>
      </c>
      <c r="I1107" t="s">
        <v>18</v>
      </c>
      <c r="J1107" s="3">
        <v>45430</v>
      </c>
      <c r="K1107" s="4">
        <f>ClientiBanca[[#This Row],[Prestito]]+ClientiBanca[[#This Row],[Mutuo]]</f>
        <v>30200</v>
      </c>
      <c r="L1107" t="str">
        <f>IF(ClientiBanca[[#This Row],[Reddito annuo]]&gt;=70000,"si","no")</f>
        <v>si</v>
      </c>
    </row>
    <row r="1108" spans="1:12">
      <c r="A1108">
        <v>101107</v>
      </c>
      <c r="B1108">
        <v>46</v>
      </c>
      <c r="C1108" s="2">
        <v>63700</v>
      </c>
      <c r="D1108" t="s">
        <v>21</v>
      </c>
      <c r="E1108" s="2">
        <v>37600</v>
      </c>
      <c r="F1108" s="2">
        <v>0</v>
      </c>
      <c r="G1108" t="s">
        <v>24</v>
      </c>
      <c r="H1108" t="s">
        <v>17</v>
      </c>
      <c r="I1108" t="s">
        <v>18</v>
      </c>
      <c r="J1108" s="3">
        <v>45739</v>
      </c>
      <c r="K1108" s="4">
        <f>ClientiBanca[[#This Row],[Prestito]]+ClientiBanca[[#This Row],[Mutuo]]</f>
        <v>37600</v>
      </c>
      <c r="L1108" t="str">
        <f>IF(ClientiBanca[[#This Row],[Reddito annuo]]&gt;=70000,"si","no")</f>
        <v>no</v>
      </c>
    </row>
    <row r="1109" spans="1:12">
      <c r="A1109">
        <v>101108</v>
      </c>
      <c r="B1109">
        <v>26</v>
      </c>
      <c r="C1109" s="2">
        <v>37300</v>
      </c>
      <c r="D1109" t="s">
        <v>21</v>
      </c>
      <c r="E1109" s="2">
        <v>46600</v>
      </c>
      <c r="F1109" s="2">
        <v>0</v>
      </c>
      <c r="G1109" t="s">
        <v>28</v>
      </c>
      <c r="H1109" t="s">
        <v>17</v>
      </c>
      <c r="I1109" t="s">
        <v>18</v>
      </c>
      <c r="J1109" s="3">
        <v>45712</v>
      </c>
      <c r="K1109" s="4">
        <f>ClientiBanca[[#This Row],[Prestito]]+ClientiBanca[[#This Row],[Mutuo]]</f>
        <v>46600</v>
      </c>
      <c r="L1109" t="str">
        <f>IF(ClientiBanca[[#This Row],[Reddito annuo]]&gt;=70000,"si","no")</f>
        <v>no</v>
      </c>
    </row>
    <row r="1110" spans="1:12">
      <c r="A1110">
        <v>101109</v>
      </c>
      <c r="B1110">
        <v>49</v>
      </c>
      <c r="C1110" s="2">
        <v>26600</v>
      </c>
      <c r="D1110" t="s">
        <v>12</v>
      </c>
      <c r="E1110" s="2">
        <v>0</v>
      </c>
      <c r="F1110" s="2">
        <v>0</v>
      </c>
      <c r="G1110" t="s">
        <v>24</v>
      </c>
      <c r="H1110" t="s">
        <v>14</v>
      </c>
      <c r="I1110" t="s">
        <v>18</v>
      </c>
      <c r="J1110" s="3">
        <v>45601</v>
      </c>
      <c r="K1110" s="4">
        <f>ClientiBanca[[#This Row],[Prestito]]+ClientiBanca[[#This Row],[Mutuo]]</f>
        <v>0</v>
      </c>
      <c r="L1110" t="str">
        <f>IF(ClientiBanca[[#This Row],[Reddito annuo]]&gt;=70000,"si","no")</f>
        <v>no</v>
      </c>
    </row>
    <row r="1111" spans="1:12">
      <c r="A1111">
        <v>101110</v>
      </c>
      <c r="B1111">
        <v>70</v>
      </c>
      <c r="C1111" s="2">
        <v>43600</v>
      </c>
      <c r="D1111" t="s">
        <v>12</v>
      </c>
      <c r="E1111" s="2">
        <v>36200</v>
      </c>
      <c r="F1111" s="2">
        <v>0</v>
      </c>
      <c r="G1111" t="s">
        <v>26</v>
      </c>
      <c r="H1111" t="s">
        <v>20</v>
      </c>
      <c r="I1111" t="s">
        <v>18</v>
      </c>
      <c r="J1111" s="3">
        <v>45420</v>
      </c>
      <c r="K1111" s="4">
        <f>ClientiBanca[[#This Row],[Prestito]]+ClientiBanca[[#This Row],[Mutuo]]</f>
        <v>36200</v>
      </c>
      <c r="L1111" t="str">
        <f>IF(ClientiBanca[[#This Row],[Reddito annuo]]&gt;=70000,"si","no")</f>
        <v>no</v>
      </c>
    </row>
    <row r="1112" spans="1:12">
      <c r="A1112">
        <v>101111</v>
      </c>
      <c r="B1112">
        <v>45</v>
      </c>
      <c r="C1112" s="2">
        <v>73000</v>
      </c>
      <c r="D1112" t="s">
        <v>21</v>
      </c>
      <c r="E1112" s="2">
        <v>0</v>
      </c>
      <c r="F1112" s="2">
        <v>0</v>
      </c>
      <c r="G1112" t="s">
        <v>27</v>
      </c>
      <c r="H1112" t="s">
        <v>20</v>
      </c>
      <c r="I1112" t="s">
        <v>18</v>
      </c>
      <c r="J1112" s="3">
        <v>45568</v>
      </c>
      <c r="K1112" s="4">
        <f>ClientiBanca[[#This Row],[Prestito]]+ClientiBanca[[#This Row],[Mutuo]]</f>
        <v>0</v>
      </c>
      <c r="L1112" t="str">
        <f>IF(ClientiBanca[[#This Row],[Reddito annuo]]&gt;=70000,"si","no")</f>
        <v>si</v>
      </c>
    </row>
    <row r="1113" spans="1:12">
      <c r="A1113">
        <v>101112</v>
      </c>
      <c r="B1113">
        <v>73</v>
      </c>
      <c r="C1113" s="2">
        <v>118300</v>
      </c>
      <c r="D1113" t="s">
        <v>21</v>
      </c>
      <c r="E1113" s="2">
        <v>56400</v>
      </c>
      <c r="F1113" s="2">
        <v>0</v>
      </c>
      <c r="G1113" t="s">
        <v>19</v>
      </c>
      <c r="H1113" t="s">
        <v>14</v>
      </c>
      <c r="I1113" t="s">
        <v>18</v>
      </c>
      <c r="J1113" s="3">
        <v>45890</v>
      </c>
      <c r="K1113" s="4">
        <f>ClientiBanca[[#This Row],[Prestito]]+ClientiBanca[[#This Row],[Mutuo]]</f>
        <v>56400</v>
      </c>
      <c r="L1113" t="str">
        <f>IF(ClientiBanca[[#This Row],[Reddito annuo]]&gt;=70000,"si","no")</f>
        <v>si</v>
      </c>
    </row>
    <row r="1114" spans="1:12">
      <c r="A1114">
        <v>101113</v>
      </c>
      <c r="B1114">
        <v>63</v>
      </c>
      <c r="C1114" s="2">
        <v>60600</v>
      </c>
      <c r="D1114" t="s">
        <v>12</v>
      </c>
      <c r="E1114" s="2">
        <v>34600</v>
      </c>
      <c r="F1114" s="2">
        <v>0</v>
      </c>
      <c r="G1114" t="s">
        <v>28</v>
      </c>
      <c r="H1114" t="s">
        <v>20</v>
      </c>
      <c r="I1114" t="s">
        <v>18</v>
      </c>
      <c r="J1114" s="3">
        <v>45947</v>
      </c>
      <c r="K1114" s="4">
        <f>ClientiBanca[[#This Row],[Prestito]]+ClientiBanca[[#This Row],[Mutuo]]</f>
        <v>34600</v>
      </c>
      <c r="L1114" t="str">
        <f>IF(ClientiBanca[[#This Row],[Reddito annuo]]&gt;=70000,"si","no")</f>
        <v>no</v>
      </c>
    </row>
    <row r="1115" spans="1:12">
      <c r="A1115">
        <v>101114</v>
      </c>
      <c r="B1115">
        <v>74</v>
      </c>
      <c r="C1115" s="2">
        <v>38400</v>
      </c>
      <c r="D1115" t="s">
        <v>12</v>
      </c>
      <c r="E1115" s="2">
        <v>48000</v>
      </c>
      <c r="F1115" s="2">
        <v>0</v>
      </c>
      <c r="G1115" t="s">
        <v>23</v>
      </c>
      <c r="H1115" t="s">
        <v>20</v>
      </c>
      <c r="I1115" t="s">
        <v>15</v>
      </c>
      <c r="J1115" s="3">
        <v>45910</v>
      </c>
      <c r="K1115" s="4">
        <f>ClientiBanca[[#This Row],[Prestito]]+ClientiBanca[[#This Row],[Mutuo]]</f>
        <v>48000</v>
      </c>
      <c r="L1115" t="str">
        <f>IF(ClientiBanca[[#This Row],[Reddito annuo]]&gt;=70000,"si","no")</f>
        <v>no</v>
      </c>
    </row>
    <row r="1116" spans="1:12">
      <c r="A1116">
        <v>101115</v>
      </c>
      <c r="B1116">
        <v>27</v>
      </c>
      <c r="C1116" s="2">
        <v>61200</v>
      </c>
      <c r="D1116" t="s">
        <v>21</v>
      </c>
      <c r="E1116" s="2">
        <v>7900</v>
      </c>
      <c r="F1116" s="2">
        <v>0</v>
      </c>
      <c r="G1116" t="s">
        <v>16</v>
      </c>
      <c r="H1116" t="s">
        <v>20</v>
      </c>
      <c r="I1116" t="s">
        <v>18</v>
      </c>
      <c r="J1116" s="3">
        <v>45706</v>
      </c>
      <c r="K1116" s="4">
        <f>ClientiBanca[[#This Row],[Prestito]]+ClientiBanca[[#This Row],[Mutuo]]</f>
        <v>7900</v>
      </c>
      <c r="L1116" t="str">
        <f>IF(ClientiBanca[[#This Row],[Reddito annuo]]&gt;=70000,"si","no")</f>
        <v>no</v>
      </c>
    </row>
    <row r="1117" spans="1:12">
      <c r="A1117">
        <v>101116</v>
      </c>
      <c r="B1117">
        <v>50</v>
      </c>
      <c r="C1117" s="2">
        <v>116900</v>
      </c>
      <c r="D1117" t="s">
        <v>22</v>
      </c>
      <c r="E1117" s="2">
        <v>0</v>
      </c>
      <c r="F1117" s="2">
        <v>0</v>
      </c>
      <c r="G1117" t="s">
        <v>28</v>
      </c>
      <c r="H1117" t="s">
        <v>14</v>
      </c>
      <c r="I1117" t="s">
        <v>18</v>
      </c>
      <c r="J1117" s="3">
        <v>45923</v>
      </c>
      <c r="K1117" s="4">
        <f>ClientiBanca[[#This Row],[Prestito]]+ClientiBanca[[#This Row],[Mutuo]]</f>
        <v>0</v>
      </c>
      <c r="L1117" t="str">
        <f>IF(ClientiBanca[[#This Row],[Reddito annuo]]&gt;=70000,"si","no")</f>
        <v>si</v>
      </c>
    </row>
    <row r="1118" spans="1:12">
      <c r="A1118">
        <v>101117</v>
      </c>
      <c r="B1118">
        <v>27</v>
      </c>
      <c r="C1118" s="2">
        <v>55200</v>
      </c>
      <c r="D1118" t="s">
        <v>12</v>
      </c>
      <c r="E1118" s="2">
        <v>56100</v>
      </c>
      <c r="F1118" s="2">
        <v>0</v>
      </c>
      <c r="G1118" t="s">
        <v>24</v>
      </c>
      <c r="H1118" t="s">
        <v>17</v>
      </c>
      <c r="I1118" t="s">
        <v>18</v>
      </c>
      <c r="J1118" s="3">
        <v>45497</v>
      </c>
      <c r="K1118" s="4">
        <f>ClientiBanca[[#This Row],[Prestito]]+ClientiBanca[[#This Row],[Mutuo]]</f>
        <v>56100</v>
      </c>
      <c r="L1118" t="str">
        <f>IF(ClientiBanca[[#This Row],[Reddito annuo]]&gt;=70000,"si","no")</f>
        <v>no</v>
      </c>
    </row>
    <row r="1119" spans="1:12">
      <c r="A1119">
        <v>101118</v>
      </c>
      <c r="B1119">
        <v>50</v>
      </c>
      <c r="C1119" s="2">
        <v>58400</v>
      </c>
      <c r="D1119" t="s">
        <v>21</v>
      </c>
      <c r="E1119" s="2">
        <v>39000</v>
      </c>
      <c r="F1119" s="2">
        <v>0</v>
      </c>
      <c r="G1119" t="s">
        <v>26</v>
      </c>
      <c r="H1119" t="s">
        <v>17</v>
      </c>
      <c r="I1119" t="s">
        <v>18</v>
      </c>
      <c r="J1119" s="3">
        <v>45401</v>
      </c>
      <c r="K1119" s="4">
        <f>ClientiBanca[[#This Row],[Prestito]]+ClientiBanca[[#This Row],[Mutuo]]</f>
        <v>39000</v>
      </c>
      <c r="L1119" t="str">
        <f>IF(ClientiBanca[[#This Row],[Reddito annuo]]&gt;=70000,"si","no")</f>
        <v>no</v>
      </c>
    </row>
    <row r="1120" spans="1:12">
      <c r="A1120">
        <v>101119</v>
      </c>
      <c r="B1120">
        <v>49</v>
      </c>
      <c r="C1120" s="2">
        <v>54200</v>
      </c>
      <c r="D1120" t="s">
        <v>21</v>
      </c>
      <c r="E1120" s="2">
        <v>31300</v>
      </c>
      <c r="F1120" s="2">
        <v>0</v>
      </c>
      <c r="G1120" t="s">
        <v>27</v>
      </c>
      <c r="H1120" t="s">
        <v>17</v>
      </c>
      <c r="I1120" t="s">
        <v>15</v>
      </c>
      <c r="J1120" s="3">
        <v>45958</v>
      </c>
      <c r="K1120" s="4">
        <f>ClientiBanca[[#This Row],[Prestito]]+ClientiBanca[[#This Row],[Mutuo]]</f>
        <v>31300</v>
      </c>
      <c r="L1120" t="str">
        <f>IF(ClientiBanca[[#This Row],[Reddito annuo]]&gt;=70000,"si","no")</f>
        <v>no</v>
      </c>
    </row>
    <row r="1121" spans="1:12">
      <c r="A1121">
        <v>101120</v>
      </c>
      <c r="B1121">
        <v>62</v>
      </c>
      <c r="C1121" s="2">
        <v>68800</v>
      </c>
      <c r="D1121" t="s">
        <v>21</v>
      </c>
      <c r="E1121" s="2">
        <v>0</v>
      </c>
      <c r="F1121" s="2">
        <v>0</v>
      </c>
      <c r="G1121" t="s">
        <v>28</v>
      </c>
      <c r="H1121" t="s">
        <v>14</v>
      </c>
      <c r="I1121" t="s">
        <v>18</v>
      </c>
      <c r="J1121" s="3">
        <v>45761</v>
      </c>
      <c r="K1121" s="4">
        <f>ClientiBanca[[#This Row],[Prestito]]+ClientiBanca[[#This Row],[Mutuo]]</f>
        <v>0</v>
      </c>
      <c r="L1121" t="str">
        <f>IF(ClientiBanca[[#This Row],[Reddito annuo]]&gt;=70000,"si","no")</f>
        <v>no</v>
      </c>
    </row>
    <row r="1122" spans="1:12">
      <c r="A1122">
        <v>101121</v>
      </c>
      <c r="B1122">
        <v>37</v>
      </c>
      <c r="C1122" s="2">
        <v>23000</v>
      </c>
      <c r="D1122" t="s">
        <v>21</v>
      </c>
      <c r="E1122" s="2">
        <v>28800</v>
      </c>
      <c r="F1122" s="2">
        <v>0</v>
      </c>
      <c r="G1122" t="s">
        <v>16</v>
      </c>
      <c r="H1122" t="s">
        <v>17</v>
      </c>
      <c r="I1122" t="s">
        <v>18</v>
      </c>
      <c r="J1122" s="3">
        <v>45447</v>
      </c>
      <c r="K1122" s="4">
        <f>ClientiBanca[[#This Row],[Prestito]]+ClientiBanca[[#This Row],[Mutuo]]</f>
        <v>28800</v>
      </c>
      <c r="L1122" t="str">
        <f>IF(ClientiBanca[[#This Row],[Reddito annuo]]&gt;=70000,"si","no")</f>
        <v>no</v>
      </c>
    </row>
    <row r="1123" spans="1:12">
      <c r="A1123">
        <v>101122</v>
      </c>
      <c r="B1123">
        <v>42</v>
      </c>
      <c r="C1123" s="2">
        <v>71800</v>
      </c>
      <c r="D1123" t="s">
        <v>12</v>
      </c>
      <c r="E1123" s="2">
        <v>60100</v>
      </c>
      <c r="F1123" s="2">
        <v>281000</v>
      </c>
      <c r="G1123" t="s">
        <v>26</v>
      </c>
      <c r="H1123" t="s">
        <v>14</v>
      </c>
      <c r="I1123" t="s">
        <v>15</v>
      </c>
      <c r="J1123" s="3">
        <v>46151</v>
      </c>
      <c r="K1123" s="4">
        <f>ClientiBanca[[#This Row],[Prestito]]+ClientiBanca[[#This Row],[Mutuo]]</f>
        <v>341100</v>
      </c>
      <c r="L1123" t="str">
        <f>IF(ClientiBanca[[#This Row],[Reddito annuo]]&gt;=70000,"si","no")</f>
        <v>si</v>
      </c>
    </row>
    <row r="1124" spans="1:12">
      <c r="A1124">
        <v>101123</v>
      </c>
      <c r="B1124">
        <v>61</v>
      </c>
      <c r="C1124" s="2">
        <v>58700</v>
      </c>
      <c r="D1124" t="s">
        <v>22</v>
      </c>
      <c r="E1124" s="2">
        <v>17900</v>
      </c>
      <c r="F1124" s="2">
        <v>0</v>
      </c>
      <c r="G1124" t="s">
        <v>26</v>
      </c>
      <c r="H1124" t="s">
        <v>20</v>
      </c>
      <c r="I1124" t="s">
        <v>18</v>
      </c>
      <c r="J1124" s="3">
        <v>45886</v>
      </c>
      <c r="K1124" s="4">
        <f>ClientiBanca[[#This Row],[Prestito]]+ClientiBanca[[#This Row],[Mutuo]]</f>
        <v>17900</v>
      </c>
      <c r="L1124" t="str">
        <f>IF(ClientiBanca[[#This Row],[Reddito annuo]]&gt;=70000,"si","no")</f>
        <v>no</v>
      </c>
    </row>
    <row r="1125" spans="1:12">
      <c r="A1125">
        <v>101124</v>
      </c>
      <c r="B1125">
        <v>42</v>
      </c>
      <c r="C1125" s="2">
        <v>66000</v>
      </c>
      <c r="D1125" t="s">
        <v>22</v>
      </c>
      <c r="E1125" s="2">
        <v>8400</v>
      </c>
      <c r="F1125" s="2">
        <v>0</v>
      </c>
      <c r="G1125" t="s">
        <v>23</v>
      </c>
      <c r="H1125" t="s">
        <v>20</v>
      </c>
      <c r="I1125" t="s">
        <v>18</v>
      </c>
      <c r="J1125" s="3">
        <v>46248</v>
      </c>
      <c r="K1125" s="4">
        <f>ClientiBanca[[#This Row],[Prestito]]+ClientiBanca[[#This Row],[Mutuo]]</f>
        <v>8400</v>
      </c>
      <c r="L1125" t="str">
        <f>IF(ClientiBanca[[#This Row],[Reddito annuo]]&gt;=70000,"si","no")</f>
        <v>no</v>
      </c>
    </row>
    <row r="1126" spans="1:12">
      <c r="A1126">
        <v>101125</v>
      </c>
      <c r="B1126">
        <v>63</v>
      </c>
      <c r="C1126" s="2">
        <v>58200</v>
      </c>
      <c r="D1126" t="s">
        <v>12</v>
      </c>
      <c r="E1126" s="2">
        <v>0</v>
      </c>
      <c r="F1126" s="2">
        <v>0</v>
      </c>
      <c r="G1126" t="s">
        <v>23</v>
      </c>
      <c r="H1126" t="s">
        <v>20</v>
      </c>
      <c r="I1126" t="s">
        <v>18</v>
      </c>
      <c r="J1126" s="3">
        <v>46193</v>
      </c>
      <c r="K1126" s="4">
        <f>ClientiBanca[[#This Row],[Prestito]]+ClientiBanca[[#This Row],[Mutuo]]</f>
        <v>0</v>
      </c>
      <c r="L1126" t="str">
        <f>IF(ClientiBanca[[#This Row],[Reddito annuo]]&gt;=70000,"si","no")</f>
        <v>no</v>
      </c>
    </row>
    <row r="1127" spans="1:12">
      <c r="A1127">
        <v>101126</v>
      </c>
      <c r="B1127">
        <v>31</v>
      </c>
      <c r="C1127" s="2">
        <v>78200</v>
      </c>
      <c r="D1127" t="s">
        <v>21</v>
      </c>
      <c r="E1127" s="2">
        <v>0</v>
      </c>
      <c r="F1127" s="2">
        <v>0</v>
      </c>
      <c r="G1127" t="s">
        <v>27</v>
      </c>
      <c r="H1127" t="s">
        <v>17</v>
      </c>
      <c r="I1127" t="s">
        <v>18</v>
      </c>
      <c r="J1127" s="3">
        <v>45409</v>
      </c>
      <c r="K1127" s="4">
        <f>ClientiBanca[[#This Row],[Prestito]]+ClientiBanca[[#This Row],[Mutuo]]</f>
        <v>0</v>
      </c>
      <c r="L1127" t="str">
        <f>IF(ClientiBanca[[#This Row],[Reddito annuo]]&gt;=70000,"si","no")</f>
        <v>si</v>
      </c>
    </row>
    <row r="1128" spans="1:12">
      <c r="A1128">
        <v>101127</v>
      </c>
      <c r="B1128">
        <v>22</v>
      </c>
      <c r="C1128" s="2">
        <v>91100</v>
      </c>
      <c r="D1128" t="s">
        <v>21</v>
      </c>
      <c r="E1128" s="2">
        <v>0</v>
      </c>
      <c r="F1128" s="2">
        <v>0</v>
      </c>
      <c r="G1128" t="s">
        <v>27</v>
      </c>
      <c r="H1128" t="s">
        <v>14</v>
      </c>
      <c r="I1128" t="s">
        <v>18</v>
      </c>
      <c r="J1128" s="3">
        <v>45620</v>
      </c>
      <c r="K1128" s="4">
        <f>ClientiBanca[[#This Row],[Prestito]]+ClientiBanca[[#This Row],[Mutuo]]</f>
        <v>0</v>
      </c>
      <c r="L1128" t="str">
        <f>IF(ClientiBanca[[#This Row],[Reddito annuo]]&gt;=70000,"si","no")</f>
        <v>si</v>
      </c>
    </row>
    <row r="1129" spans="1:12">
      <c r="A1129">
        <v>101128</v>
      </c>
      <c r="B1129">
        <v>26</v>
      </c>
      <c r="C1129" s="2">
        <v>75500</v>
      </c>
      <c r="D1129" t="s">
        <v>21</v>
      </c>
      <c r="E1129" s="2">
        <v>0</v>
      </c>
      <c r="F1129" s="2">
        <v>0</v>
      </c>
      <c r="G1129" t="s">
        <v>23</v>
      </c>
      <c r="H1129" t="s">
        <v>20</v>
      </c>
      <c r="I1129" t="s">
        <v>18</v>
      </c>
      <c r="J1129" s="3">
        <v>45794</v>
      </c>
      <c r="K1129" s="4">
        <f>ClientiBanca[[#This Row],[Prestito]]+ClientiBanca[[#This Row],[Mutuo]]</f>
        <v>0</v>
      </c>
      <c r="L1129" t="str">
        <f>IF(ClientiBanca[[#This Row],[Reddito annuo]]&gt;=70000,"si","no")</f>
        <v>si</v>
      </c>
    </row>
    <row r="1130" spans="1:12">
      <c r="A1130">
        <v>101129</v>
      </c>
      <c r="B1130">
        <v>48</v>
      </c>
      <c r="C1130" s="2">
        <v>73700</v>
      </c>
      <c r="D1130" t="s">
        <v>21</v>
      </c>
      <c r="E1130" s="2">
        <v>0</v>
      </c>
      <c r="F1130" s="2">
        <v>0</v>
      </c>
      <c r="G1130" t="s">
        <v>23</v>
      </c>
      <c r="H1130" t="s">
        <v>20</v>
      </c>
      <c r="I1130" t="s">
        <v>18</v>
      </c>
      <c r="J1130" s="3">
        <v>45316</v>
      </c>
      <c r="K1130" s="4">
        <f>ClientiBanca[[#This Row],[Prestito]]+ClientiBanca[[#This Row],[Mutuo]]</f>
        <v>0</v>
      </c>
      <c r="L1130" t="str">
        <f>IF(ClientiBanca[[#This Row],[Reddito annuo]]&gt;=70000,"si","no")</f>
        <v>si</v>
      </c>
    </row>
    <row r="1131" spans="1:12">
      <c r="A1131">
        <v>101130</v>
      </c>
      <c r="B1131">
        <v>60</v>
      </c>
      <c r="C1131" s="2">
        <v>110100</v>
      </c>
      <c r="D1131" t="s">
        <v>21</v>
      </c>
      <c r="E1131" s="2">
        <v>16100</v>
      </c>
      <c r="F1131" s="2">
        <v>278000</v>
      </c>
      <c r="G1131" t="s">
        <v>13</v>
      </c>
      <c r="H1131" t="s">
        <v>20</v>
      </c>
      <c r="I1131" t="s">
        <v>18</v>
      </c>
      <c r="J1131" s="3">
        <v>46224</v>
      </c>
      <c r="K1131" s="4">
        <f>ClientiBanca[[#This Row],[Prestito]]+ClientiBanca[[#This Row],[Mutuo]]</f>
        <v>294100</v>
      </c>
      <c r="L1131" t="str">
        <f>IF(ClientiBanca[[#This Row],[Reddito annuo]]&gt;=70000,"si","no")</f>
        <v>si</v>
      </c>
    </row>
    <row r="1132" spans="1:12">
      <c r="A1132">
        <v>101131</v>
      </c>
      <c r="B1132">
        <v>66</v>
      </c>
      <c r="C1132" s="2">
        <v>70600</v>
      </c>
      <c r="D1132" t="s">
        <v>21</v>
      </c>
      <c r="E1132" s="2">
        <v>0</v>
      </c>
      <c r="F1132" s="2">
        <v>0</v>
      </c>
      <c r="G1132" t="s">
        <v>28</v>
      </c>
      <c r="H1132" t="s">
        <v>17</v>
      </c>
      <c r="I1132" t="s">
        <v>18</v>
      </c>
      <c r="J1132" s="3">
        <v>45657</v>
      </c>
      <c r="K1132" s="4">
        <f>ClientiBanca[[#This Row],[Prestito]]+ClientiBanca[[#This Row],[Mutuo]]</f>
        <v>0</v>
      </c>
      <c r="L1132" t="str">
        <f>IF(ClientiBanca[[#This Row],[Reddito annuo]]&gt;=70000,"si","no")</f>
        <v>si</v>
      </c>
    </row>
    <row r="1133" spans="1:12">
      <c r="A1133">
        <v>101132</v>
      </c>
      <c r="B1133">
        <v>59</v>
      </c>
      <c r="C1133" s="2">
        <v>98600</v>
      </c>
      <c r="D1133" t="s">
        <v>22</v>
      </c>
      <c r="E1133" s="2">
        <v>0</v>
      </c>
      <c r="F1133" s="2">
        <v>0</v>
      </c>
      <c r="G1133" t="s">
        <v>16</v>
      </c>
      <c r="H1133" t="s">
        <v>14</v>
      </c>
      <c r="I1133" t="s">
        <v>18</v>
      </c>
      <c r="J1133" s="3">
        <v>45874</v>
      </c>
      <c r="K1133" s="4">
        <f>ClientiBanca[[#This Row],[Prestito]]+ClientiBanca[[#This Row],[Mutuo]]</f>
        <v>0</v>
      </c>
      <c r="L1133" t="str">
        <f>IF(ClientiBanca[[#This Row],[Reddito annuo]]&gt;=70000,"si","no")</f>
        <v>si</v>
      </c>
    </row>
    <row r="1134" spans="1:12">
      <c r="A1134">
        <v>101133</v>
      </c>
      <c r="B1134">
        <v>25</v>
      </c>
      <c r="C1134" s="2">
        <v>36500</v>
      </c>
      <c r="D1134" t="s">
        <v>12</v>
      </c>
      <c r="E1134" s="2">
        <v>33600</v>
      </c>
      <c r="F1134" s="2">
        <v>217000</v>
      </c>
      <c r="G1134" t="s">
        <v>27</v>
      </c>
      <c r="H1134" t="s">
        <v>17</v>
      </c>
      <c r="I1134" t="s">
        <v>18</v>
      </c>
      <c r="J1134" s="3">
        <v>46236</v>
      </c>
      <c r="K1134" s="4">
        <f>ClientiBanca[[#This Row],[Prestito]]+ClientiBanca[[#This Row],[Mutuo]]</f>
        <v>250600</v>
      </c>
      <c r="L1134" t="str">
        <f>IF(ClientiBanca[[#This Row],[Reddito annuo]]&gt;=70000,"si","no")</f>
        <v>no</v>
      </c>
    </row>
    <row r="1135" spans="1:12">
      <c r="A1135">
        <v>101134</v>
      </c>
      <c r="B1135">
        <v>73</v>
      </c>
      <c r="C1135" s="2">
        <v>44100</v>
      </c>
      <c r="D1135" t="s">
        <v>12</v>
      </c>
      <c r="E1135" s="2">
        <v>55100</v>
      </c>
      <c r="F1135" s="2">
        <v>0</v>
      </c>
      <c r="G1135" t="s">
        <v>13</v>
      </c>
      <c r="H1135" t="s">
        <v>14</v>
      </c>
      <c r="I1135" t="s">
        <v>18</v>
      </c>
      <c r="J1135" s="3">
        <v>45822</v>
      </c>
      <c r="K1135" s="4">
        <f>ClientiBanca[[#This Row],[Prestito]]+ClientiBanca[[#This Row],[Mutuo]]</f>
        <v>55100</v>
      </c>
      <c r="L1135" t="str">
        <f>IF(ClientiBanca[[#This Row],[Reddito annuo]]&gt;=70000,"si","no")</f>
        <v>no</v>
      </c>
    </row>
    <row r="1136" spans="1:12">
      <c r="A1136">
        <v>101135</v>
      </c>
      <c r="B1136">
        <v>59</v>
      </c>
      <c r="C1136" s="2">
        <v>59800</v>
      </c>
      <c r="D1136" t="s">
        <v>21</v>
      </c>
      <c r="E1136" s="2">
        <v>46200</v>
      </c>
      <c r="F1136" s="2">
        <v>202000</v>
      </c>
      <c r="G1136" t="s">
        <v>26</v>
      </c>
      <c r="H1136" t="s">
        <v>17</v>
      </c>
      <c r="I1136" t="s">
        <v>15</v>
      </c>
      <c r="J1136" s="3">
        <v>45723</v>
      </c>
      <c r="K1136" s="4">
        <f>ClientiBanca[[#This Row],[Prestito]]+ClientiBanca[[#This Row],[Mutuo]]</f>
        <v>248200</v>
      </c>
      <c r="L1136" t="str">
        <f>IF(ClientiBanca[[#This Row],[Reddito annuo]]&gt;=70000,"si","no")</f>
        <v>no</v>
      </c>
    </row>
    <row r="1137" spans="1:12">
      <c r="A1137">
        <v>101136</v>
      </c>
      <c r="B1137">
        <v>36</v>
      </c>
      <c r="C1137" s="2">
        <v>41200</v>
      </c>
      <c r="D1137" t="s">
        <v>22</v>
      </c>
      <c r="E1137" s="2">
        <v>19000</v>
      </c>
      <c r="F1137" s="2">
        <v>0</v>
      </c>
      <c r="G1137" t="s">
        <v>19</v>
      </c>
      <c r="H1137" t="s">
        <v>25</v>
      </c>
      <c r="I1137" t="s">
        <v>18</v>
      </c>
      <c r="J1137" s="3">
        <v>46191</v>
      </c>
      <c r="K1137" s="4">
        <f>ClientiBanca[[#This Row],[Prestito]]+ClientiBanca[[#This Row],[Mutuo]]</f>
        <v>19000</v>
      </c>
      <c r="L1137" t="str">
        <f>IF(ClientiBanca[[#This Row],[Reddito annuo]]&gt;=70000,"si","no")</f>
        <v>no</v>
      </c>
    </row>
    <row r="1138" spans="1:12">
      <c r="A1138">
        <v>101137</v>
      </c>
      <c r="B1138">
        <v>23</v>
      </c>
      <c r="C1138" s="2">
        <v>43200</v>
      </c>
      <c r="D1138" t="s">
        <v>21</v>
      </c>
      <c r="E1138" s="2">
        <v>0</v>
      </c>
      <c r="F1138" s="2">
        <v>0</v>
      </c>
      <c r="G1138" t="s">
        <v>27</v>
      </c>
      <c r="H1138" t="s">
        <v>17</v>
      </c>
      <c r="I1138" t="s">
        <v>18</v>
      </c>
      <c r="J1138" s="3">
        <v>45364</v>
      </c>
      <c r="K1138" s="4">
        <f>ClientiBanca[[#This Row],[Prestito]]+ClientiBanca[[#This Row],[Mutuo]]</f>
        <v>0</v>
      </c>
      <c r="L1138" t="str">
        <f>IF(ClientiBanca[[#This Row],[Reddito annuo]]&gt;=70000,"si","no")</f>
        <v>no</v>
      </c>
    </row>
    <row r="1139" spans="1:12">
      <c r="A1139">
        <v>101138</v>
      </c>
      <c r="B1139">
        <v>46</v>
      </c>
      <c r="C1139" s="2">
        <v>67100</v>
      </c>
      <c r="D1139" t="s">
        <v>12</v>
      </c>
      <c r="E1139" s="2">
        <v>36700</v>
      </c>
      <c r="F1139" s="2">
        <v>0</v>
      </c>
      <c r="G1139" t="s">
        <v>26</v>
      </c>
      <c r="H1139" t="s">
        <v>14</v>
      </c>
      <c r="I1139" t="s">
        <v>15</v>
      </c>
      <c r="J1139" s="3">
        <v>45800</v>
      </c>
      <c r="K1139" s="4">
        <f>ClientiBanca[[#This Row],[Prestito]]+ClientiBanca[[#This Row],[Mutuo]]</f>
        <v>36700</v>
      </c>
      <c r="L1139" t="str">
        <f>IF(ClientiBanca[[#This Row],[Reddito annuo]]&gt;=70000,"si","no")</f>
        <v>no</v>
      </c>
    </row>
    <row r="1140" spans="1:12">
      <c r="A1140">
        <v>101139</v>
      </c>
      <c r="B1140">
        <v>52</v>
      </c>
      <c r="C1140" s="2">
        <v>42600</v>
      </c>
      <c r="D1140" t="s">
        <v>21</v>
      </c>
      <c r="E1140" s="2">
        <v>52800</v>
      </c>
      <c r="F1140" s="2">
        <v>0</v>
      </c>
      <c r="G1140" t="s">
        <v>23</v>
      </c>
      <c r="H1140" t="s">
        <v>20</v>
      </c>
      <c r="I1140" t="s">
        <v>18</v>
      </c>
      <c r="J1140" s="3">
        <v>46084</v>
      </c>
      <c r="K1140" s="4">
        <f>ClientiBanca[[#This Row],[Prestito]]+ClientiBanca[[#This Row],[Mutuo]]</f>
        <v>52800</v>
      </c>
      <c r="L1140" t="str">
        <f>IF(ClientiBanca[[#This Row],[Reddito annuo]]&gt;=70000,"si","no")</f>
        <v>no</v>
      </c>
    </row>
    <row r="1141" spans="1:12">
      <c r="A1141">
        <v>101140</v>
      </c>
      <c r="B1141">
        <v>70</v>
      </c>
      <c r="C1141" s="2">
        <v>86900</v>
      </c>
      <c r="D1141" t="s">
        <v>12</v>
      </c>
      <c r="E1141" s="2">
        <v>0</v>
      </c>
      <c r="F1141" s="2">
        <v>0</v>
      </c>
      <c r="G1141" t="s">
        <v>27</v>
      </c>
      <c r="H1141" t="s">
        <v>17</v>
      </c>
      <c r="I1141" t="s">
        <v>18</v>
      </c>
      <c r="J1141" s="3">
        <v>45345</v>
      </c>
      <c r="K1141" s="4">
        <f>ClientiBanca[[#This Row],[Prestito]]+ClientiBanca[[#This Row],[Mutuo]]</f>
        <v>0</v>
      </c>
      <c r="L1141" t="str">
        <f>IF(ClientiBanca[[#This Row],[Reddito annuo]]&gt;=70000,"si","no")</f>
        <v>si</v>
      </c>
    </row>
    <row r="1142" spans="1:12">
      <c r="A1142">
        <v>101141</v>
      </c>
      <c r="B1142">
        <v>44</v>
      </c>
      <c r="C1142" s="2">
        <v>81900</v>
      </c>
      <c r="D1142" t="s">
        <v>12</v>
      </c>
      <c r="E1142" s="2">
        <v>29700</v>
      </c>
      <c r="F1142" s="2">
        <v>195000</v>
      </c>
      <c r="G1142" t="s">
        <v>19</v>
      </c>
      <c r="H1142" t="s">
        <v>20</v>
      </c>
      <c r="I1142" t="s">
        <v>18</v>
      </c>
      <c r="J1142" s="3">
        <v>46232</v>
      </c>
      <c r="K1142" s="4">
        <f>ClientiBanca[[#This Row],[Prestito]]+ClientiBanca[[#This Row],[Mutuo]]</f>
        <v>224700</v>
      </c>
      <c r="L1142" t="str">
        <f>IF(ClientiBanca[[#This Row],[Reddito annuo]]&gt;=70000,"si","no")</f>
        <v>si</v>
      </c>
    </row>
    <row r="1143" spans="1:12">
      <c r="A1143">
        <v>101142</v>
      </c>
      <c r="B1143">
        <v>23</v>
      </c>
      <c r="C1143" s="2">
        <v>43300</v>
      </c>
      <c r="D1143" t="s">
        <v>21</v>
      </c>
      <c r="E1143" s="2">
        <v>29000</v>
      </c>
      <c r="F1143" s="2">
        <v>0</v>
      </c>
      <c r="G1143" t="s">
        <v>27</v>
      </c>
      <c r="H1143" t="s">
        <v>25</v>
      </c>
      <c r="I1143" t="s">
        <v>15</v>
      </c>
      <c r="J1143" s="3">
        <v>46029</v>
      </c>
      <c r="K1143" s="4">
        <f>ClientiBanca[[#This Row],[Prestito]]+ClientiBanca[[#This Row],[Mutuo]]</f>
        <v>29000</v>
      </c>
      <c r="L1143" t="str">
        <f>IF(ClientiBanca[[#This Row],[Reddito annuo]]&gt;=70000,"si","no")</f>
        <v>no</v>
      </c>
    </row>
    <row r="1144" spans="1:12">
      <c r="A1144">
        <v>101143</v>
      </c>
      <c r="B1144">
        <v>35</v>
      </c>
      <c r="C1144" s="2">
        <v>87000</v>
      </c>
      <c r="D1144" t="s">
        <v>21</v>
      </c>
      <c r="E1144" s="2">
        <v>17900</v>
      </c>
      <c r="F1144" s="2">
        <v>178000</v>
      </c>
      <c r="G1144" t="s">
        <v>23</v>
      </c>
      <c r="H1144" t="s">
        <v>25</v>
      </c>
      <c r="I1144" t="s">
        <v>15</v>
      </c>
      <c r="J1144" s="3">
        <v>45699</v>
      </c>
      <c r="K1144" s="4">
        <f>ClientiBanca[[#This Row],[Prestito]]+ClientiBanca[[#This Row],[Mutuo]]</f>
        <v>195900</v>
      </c>
      <c r="L1144" t="str">
        <f>IF(ClientiBanca[[#This Row],[Reddito annuo]]&gt;=70000,"si","no")</f>
        <v>si</v>
      </c>
    </row>
    <row r="1145" spans="1:12">
      <c r="A1145">
        <v>101144</v>
      </c>
      <c r="B1145">
        <v>50</v>
      </c>
      <c r="C1145" s="2">
        <v>71900</v>
      </c>
      <c r="D1145" t="s">
        <v>12</v>
      </c>
      <c r="E1145" s="2">
        <v>70200</v>
      </c>
      <c r="F1145" s="2">
        <v>257000</v>
      </c>
      <c r="G1145" t="s">
        <v>19</v>
      </c>
      <c r="H1145" t="s">
        <v>14</v>
      </c>
      <c r="I1145" t="s">
        <v>18</v>
      </c>
      <c r="J1145" s="3">
        <v>45746</v>
      </c>
      <c r="K1145" s="4">
        <f>ClientiBanca[[#This Row],[Prestito]]+ClientiBanca[[#This Row],[Mutuo]]</f>
        <v>327200</v>
      </c>
      <c r="L1145" t="str">
        <f>IF(ClientiBanca[[#This Row],[Reddito annuo]]&gt;=70000,"si","no")</f>
        <v>si</v>
      </c>
    </row>
    <row r="1146" spans="1:12">
      <c r="A1146">
        <v>101145</v>
      </c>
      <c r="B1146">
        <v>65</v>
      </c>
      <c r="C1146" s="2">
        <v>47100</v>
      </c>
      <c r="D1146" t="s">
        <v>21</v>
      </c>
      <c r="E1146" s="2">
        <v>58900</v>
      </c>
      <c r="F1146" s="2">
        <v>0</v>
      </c>
      <c r="G1146" t="s">
        <v>26</v>
      </c>
      <c r="H1146" t="s">
        <v>17</v>
      </c>
      <c r="I1146" t="s">
        <v>18</v>
      </c>
      <c r="J1146" s="3">
        <v>45398</v>
      </c>
      <c r="K1146" s="4">
        <f>ClientiBanca[[#This Row],[Prestito]]+ClientiBanca[[#This Row],[Mutuo]]</f>
        <v>58900</v>
      </c>
      <c r="L1146" t="str">
        <f>IF(ClientiBanca[[#This Row],[Reddito annuo]]&gt;=70000,"si","no")</f>
        <v>no</v>
      </c>
    </row>
    <row r="1147" spans="1:12">
      <c r="A1147">
        <v>101146</v>
      </c>
      <c r="B1147">
        <v>23</v>
      </c>
      <c r="C1147" s="2">
        <v>49800</v>
      </c>
      <c r="D1147" t="s">
        <v>21</v>
      </c>
      <c r="E1147" s="2">
        <v>0</v>
      </c>
      <c r="F1147" s="2">
        <v>0</v>
      </c>
      <c r="G1147" t="s">
        <v>13</v>
      </c>
      <c r="H1147" t="s">
        <v>20</v>
      </c>
      <c r="I1147" t="s">
        <v>18</v>
      </c>
      <c r="J1147" s="3">
        <v>45432</v>
      </c>
      <c r="K1147" s="4">
        <f>ClientiBanca[[#This Row],[Prestito]]+ClientiBanca[[#This Row],[Mutuo]]</f>
        <v>0</v>
      </c>
      <c r="L1147" t="str">
        <f>IF(ClientiBanca[[#This Row],[Reddito annuo]]&gt;=70000,"si","no")</f>
        <v>no</v>
      </c>
    </row>
    <row r="1148" spans="1:12">
      <c r="A1148">
        <v>101147</v>
      </c>
      <c r="B1148">
        <v>73</v>
      </c>
      <c r="C1148" s="2">
        <v>114600</v>
      </c>
      <c r="D1148" t="s">
        <v>21</v>
      </c>
      <c r="E1148" s="2">
        <v>0</v>
      </c>
      <c r="F1148" s="2">
        <v>182000</v>
      </c>
      <c r="G1148" t="s">
        <v>24</v>
      </c>
      <c r="H1148" t="s">
        <v>20</v>
      </c>
      <c r="I1148" t="s">
        <v>18</v>
      </c>
      <c r="J1148" s="3">
        <v>45532</v>
      </c>
      <c r="K1148" s="4">
        <f>ClientiBanca[[#This Row],[Prestito]]+ClientiBanca[[#This Row],[Mutuo]]</f>
        <v>182000</v>
      </c>
      <c r="L1148" t="str">
        <f>IF(ClientiBanca[[#This Row],[Reddito annuo]]&gt;=70000,"si","no")</f>
        <v>si</v>
      </c>
    </row>
    <row r="1149" spans="1:12">
      <c r="A1149">
        <v>101148</v>
      </c>
      <c r="B1149">
        <v>64</v>
      </c>
      <c r="C1149" s="2">
        <v>55700</v>
      </c>
      <c r="D1149" t="s">
        <v>12</v>
      </c>
      <c r="E1149" s="2">
        <v>0</v>
      </c>
      <c r="F1149" s="2">
        <v>299000</v>
      </c>
      <c r="G1149" t="s">
        <v>26</v>
      </c>
      <c r="H1149" t="s">
        <v>20</v>
      </c>
      <c r="I1149" t="s">
        <v>18</v>
      </c>
      <c r="J1149" s="3">
        <v>45685</v>
      </c>
      <c r="K1149" s="4">
        <f>ClientiBanca[[#This Row],[Prestito]]+ClientiBanca[[#This Row],[Mutuo]]</f>
        <v>299000</v>
      </c>
      <c r="L1149" t="str">
        <f>IF(ClientiBanca[[#This Row],[Reddito annuo]]&gt;=70000,"si","no")</f>
        <v>no</v>
      </c>
    </row>
    <row r="1150" spans="1:12">
      <c r="A1150">
        <v>101149</v>
      </c>
      <c r="B1150">
        <v>39</v>
      </c>
      <c r="C1150" s="2">
        <v>88700</v>
      </c>
      <c r="D1150" t="s">
        <v>21</v>
      </c>
      <c r="E1150" s="2">
        <v>40300</v>
      </c>
      <c r="F1150" s="2">
        <v>0</v>
      </c>
      <c r="G1150" t="s">
        <v>16</v>
      </c>
      <c r="H1150" t="s">
        <v>20</v>
      </c>
      <c r="I1150" t="s">
        <v>18</v>
      </c>
      <c r="J1150" s="3">
        <v>45502</v>
      </c>
      <c r="K1150" s="4">
        <f>ClientiBanca[[#This Row],[Prestito]]+ClientiBanca[[#This Row],[Mutuo]]</f>
        <v>40300</v>
      </c>
      <c r="L1150" t="str">
        <f>IF(ClientiBanca[[#This Row],[Reddito annuo]]&gt;=70000,"si","no")</f>
        <v>si</v>
      </c>
    </row>
    <row r="1151" spans="1:12">
      <c r="A1151">
        <v>101150</v>
      </c>
      <c r="B1151">
        <v>44</v>
      </c>
      <c r="C1151" s="2">
        <v>40300</v>
      </c>
      <c r="D1151" t="s">
        <v>21</v>
      </c>
      <c r="E1151" s="2">
        <v>23600</v>
      </c>
      <c r="F1151" s="2">
        <v>0</v>
      </c>
      <c r="G1151" t="s">
        <v>19</v>
      </c>
      <c r="H1151" t="s">
        <v>25</v>
      </c>
      <c r="I1151" t="s">
        <v>18</v>
      </c>
      <c r="J1151" s="3">
        <v>46064</v>
      </c>
      <c r="K1151" s="4">
        <f>ClientiBanca[[#This Row],[Prestito]]+ClientiBanca[[#This Row],[Mutuo]]</f>
        <v>23600</v>
      </c>
      <c r="L1151" t="str">
        <f>IF(ClientiBanca[[#This Row],[Reddito annuo]]&gt;=70000,"si","no")</f>
        <v>no</v>
      </c>
    </row>
    <row r="1152" spans="1:12">
      <c r="A1152">
        <v>101151</v>
      </c>
      <c r="B1152">
        <v>41</v>
      </c>
      <c r="C1152" s="2">
        <v>102400</v>
      </c>
      <c r="D1152" t="s">
        <v>22</v>
      </c>
      <c r="E1152" s="2">
        <v>0</v>
      </c>
      <c r="F1152" s="2">
        <v>0</v>
      </c>
      <c r="G1152" t="s">
        <v>27</v>
      </c>
      <c r="H1152" t="s">
        <v>20</v>
      </c>
      <c r="I1152" t="s">
        <v>18</v>
      </c>
      <c r="J1152" s="3">
        <v>46141</v>
      </c>
      <c r="K1152" s="4">
        <f>ClientiBanca[[#This Row],[Prestito]]+ClientiBanca[[#This Row],[Mutuo]]</f>
        <v>0</v>
      </c>
      <c r="L1152" t="str">
        <f>IF(ClientiBanca[[#This Row],[Reddito annuo]]&gt;=70000,"si","no")</f>
        <v>si</v>
      </c>
    </row>
    <row r="1153" spans="1:12">
      <c r="A1153">
        <v>101152</v>
      </c>
      <c r="B1153">
        <v>59</v>
      </c>
      <c r="C1153" s="2">
        <v>55300</v>
      </c>
      <c r="D1153" t="s">
        <v>21</v>
      </c>
      <c r="E1153" s="2">
        <v>0</v>
      </c>
      <c r="F1153" s="2">
        <v>0</v>
      </c>
      <c r="G1153" t="s">
        <v>27</v>
      </c>
      <c r="H1153" t="s">
        <v>14</v>
      </c>
      <c r="I1153" t="s">
        <v>18</v>
      </c>
      <c r="J1153" s="3">
        <v>45858</v>
      </c>
      <c r="K1153" s="4">
        <f>ClientiBanca[[#This Row],[Prestito]]+ClientiBanca[[#This Row],[Mutuo]]</f>
        <v>0</v>
      </c>
      <c r="L1153" t="str">
        <f>IF(ClientiBanca[[#This Row],[Reddito annuo]]&gt;=70000,"si","no")</f>
        <v>no</v>
      </c>
    </row>
    <row r="1154" spans="1:12">
      <c r="A1154">
        <v>101153</v>
      </c>
      <c r="B1154">
        <v>44</v>
      </c>
      <c r="C1154" s="2">
        <v>108400</v>
      </c>
      <c r="D1154" t="s">
        <v>22</v>
      </c>
      <c r="E1154" s="2">
        <v>82400</v>
      </c>
      <c r="F1154" s="2">
        <v>0</v>
      </c>
      <c r="G1154" t="s">
        <v>16</v>
      </c>
      <c r="H1154" t="s">
        <v>17</v>
      </c>
      <c r="I1154" t="s">
        <v>18</v>
      </c>
      <c r="J1154" s="3">
        <v>45823</v>
      </c>
      <c r="K1154" s="4">
        <f>ClientiBanca[[#This Row],[Prestito]]+ClientiBanca[[#This Row],[Mutuo]]</f>
        <v>82400</v>
      </c>
      <c r="L1154" t="str">
        <f>IF(ClientiBanca[[#This Row],[Reddito annuo]]&gt;=70000,"si","no")</f>
        <v>si</v>
      </c>
    </row>
    <row r="1155" spans="1:12">
      <c r="A1155">
        <v>101154</v>
      </c>
      <c r="B1155">
        <v>36</v>
      </c>
      <c r="C1155" s="2">
        <v>38900</v>
      </c>
      <c r="D1155" t="s">
        <v>21</v>
      </c>
      <c r="E1155" s="2">
        <v>0</v>
      </c>
      <c r="F1155" s="2">
        <v>0</v>
      </c>
      <c r="G1155" t="s">
        <v>24</v>
      </c>
      <c r="H1155" t="s">
        <v>25</v>
      </c>
      <c r="I1155" t="s">
        <v>18</v>
      </c>
      <c r="J1155" s="3">
        <v>45579</v>
      </c>
      <c r="K1155" s="4">
        <f>ClientiBanca[[#This Row],[Prestito]]+ClientiBanca[[#This Row],[Mutuo]]</f>
        <v>0</v>
      </c>
      <c r="L1155" t="str">
        <f>IF(ClientiBanca[[#This Row],[Reddito annuo]]&gt;=70000,"si","no")</f>
        <v>no</v>
      </c>
    </row>
    <row r="1156" spans="1:12">
      <c r="A1156">
        <v>101155</v>
      </c>
      <c r="B1156">
        <v>71</v>
      </c>
      <c r="C1156" s="2">
        <v>74100</v>
      </c>
      <c r="D1156" t="s">
        <v>21</v>
      </c>
      <c r="E1156" s="2">
        <v>0</v>
      </c>
      <c r="F1156" s="2">
        <v>0</v>
      </c>
      <c r="G1156" t="s">
        <v>26</v>
      </c>
      <c r="H1156" t="s">
        <v>17</v>
      </c>
      <c r="I1156" t="s">
        <v>18</v>
      </c>
      <c r="J1156" s="3">
        <v>45696</v>
      </c>
      <c r="K1156" s="4">
        <f>ClientiBanca[[#This Row],[Prestito]]+ClientiBanca[[#This Row],[Mutuo]]</f>
        <v>0</v>
      </c>
      <c r="L1156" t="str">
        <f>IF(ClientiBanca[[#This Row],[Reddito annuo]]&gt;=70000,"si","no")</f>
        <v>si</v>
      </c>
    </row>
    <row r="1157" spans="1:12">
      <c r="A1157">
        <v>101156</v>
      </c>
      <c r="B1157">
        <v>22</v>
      </c>
      <c r="C1157" s="2">
        <v>68400</v>
      </c>
      <c r="D1157" t="s">
        <v>21</v>
      </c>
      <c r="E1157" s="2">
        <v>52900</v>
      </c>
      <c r="F1157" s="2">
        <v>0</v>
      </c>
      <c r="G1157" t="s">
        <v>27</v>
      </c>
      <c r="H1157" t="s">
        <v>20</v>
      </c>
      <c r="I1157" t="s">
        <v>18</v>
      </c>
      <c r="J1157" s="3">
        <v>45620</v>
      </c>
      <c r="K1157" s="4">
        <f>ClientiBanca[[#This Row],[Prestito]]+ClientiBanca[[#This Row],[Mutuo]]</f>
        <v>52900</v>
      </c>
      <c r="L1157" t="str">
        <f>IF(ClientiBanca[[#This Row],[Reddito annuo]]&gt;=70000,"si","no")</f>
        <v>no</v>
      </c>
    </row>
    <row r="1158" spans="1:12">
      <c r="A1158">
        <v>101157</v>
      </c>
      <c r="B1158">
        <v>73</v>
      </c>
      <c r="C1158" s="2">
        <v>44900</v>
      </c>
      <c r="D1158" t="s">
        <v>21</v>
      </c>
      <c r="E1158" s="2">
        <v>30400</v>
      </c>
      <c r="F1158" s="2">
        <v>0</v>
      </c>
      <c r="G1158" t="s">
        <v>19</v>
      </c>
      <c r="H1158" t="s">
        <v>17</v>
      </c>
      <c r="I1158" t="s">
        <v>18</v>
      </c>
      <c r="J1158" s="3">
        <v>45515</v>
      </c>
      <c r="K1158" s="4">
        <f>ClientiBanca[[#This Row],[Prestito]]+ClientiBanca[[#This Row],[Mutuo]]</f>
        <v>30400</v>
      </c>
      <c r="L1158" t="str">
        <f>IF(ClientiBanca[[#This Row],[Reddito annuo]]&gt;=70000,"si","no")</f>
        <v>no</v>
      </c>
    </row>
    <row r="1159" spans="1:12">
      <c r="A1159">
        <v>101158</v>
      </c>
      <c r="B1159">
        <v>46</v>
      </c>
      <c r="C1159" s="2">
        <v>30500</v>
      </c>
      <c r="D1159" t="s">
        <v>22</v>
      </c>
      <c r="E1159" s="2">
        <v>38100</v>
      </c>
      <c r="F1159" s="2">
        <v>0</v>
      </c>
      <c r="G1159" t="s">
        <v>13</v>
      </c>
      <c r="H1159" t="s">
        <v>17</v>
      </c>
      <c r="I1159" t="s">
        <v>18</v>
      </c>
      <c r="J1159" s="3">
        <v>46097</v>
      </c>
      <c r="K1159" s="4">
        <f>ClientiBanca[[#This Row],[Prestito]]+ClientiBanca[[#This Row],[Mutuo]]</f>
        <v>38100</v>
      </c>
      <c r="L1159" t="str">
        <f>IF(ClientiBanca[[#This Row],[Reddito annuo]]&gt;=70000,"si","no")</f>
        <v>no</v>
      </c>
    </row>
    <row r="1160" spans="1:12">
      <c r="A1160">
        <v>101159</v>
      </c>
      <c r="B1160">
        <v>37</v>
      </c>
      <c r="C1160" s="2">
        <v>44600</v>
      </c>
      <c r="D1160" t="s">
        <v>21</v>
      </c>
      <c r="E1160" s="2">
        <v>17700</v>
      </c>
      <c r="F1160" s="2">
        <v>0</v>
      </c>
      <c r="G1160" t="s">
        <v>27</v>
      </c>
      <c r="H1160" t="s">
        <v>17</v>
      </c>
      <c r="I1160" t="s">
        <v>18</v>
      </c>
      <c r="J1160" s="3">
        <v>45480</v>
      </c>
      <c r="K1160" s="4">
        <f>ClientiBanca[[#This Row],[Prestito]]+ClientiBanca[[#This Row],[Mutuo]]</f>
        <v>17700</v>
      </c>
      <c r="L1160" t="str">
        <f>IF(ClientiBanca[[#This Row],[Reddito annuo]]&gt;=70000,"si","no")</f>
        <v>no</v>
      </c>
    </row>
    <row r="1161" spans="1:12">
      <c r="A1161">
        <v>101160</v>
      </c>
      <c r="B1161">
        <v>63</v>
      </c>
      <c r="C1161" s="2">
        <v>60300</v>
      </c>
      <c r="D1161" t="s">
        <v>21</v>
      </c>
      <c r="E1161" s="2">
        <v>36800</v>
      </c>
      <c r="F1161" s="2">
        <v>0</v>
      </c>
      <c r="G1161" t="s">
        <v>26</v>
      </c>
      <c r="H1161" t="s">
        <v>25</v>
      </c>
      <c r="I1161" t="s">
        <v>15</v>
      </c>
      <c r="J1161" s="3">
        <v>46157</v>
      </c>
      <c r="K1161" s="4">
        <f>ClientiBanca[[#This Row],[Prestito]]+ClientiBanca[[#This Row],[Mutuo]]</f>
        <v>36800</v>
      </c>
      <c r="L1161" t="str">
        <f>IF(ClientiBanca[[#This Row],[Reddito annuo]]&gt;=70000,"si","no")</f>
        <v>no</v>
      </c>
    </row>
    <row r="1162" spans="1:12">
      <c r="A1162">
        <v>101161</v>
      </c>
      <c r="B1162">
        <v>74</v>
      </c>
      <c r="C1162" s="2">
        <v>91500</v>
      </c>
      <c r="D1162" t="s">
        <v>12</v>
      </c>
      <c r="E1162" s="2">
        <v>20400</v>
      </c>
      <c r="F1162" s="2">
        <v>209000</v>
      </c>
      <c r="G1162" t="s">
        <v>13</v>
      </c>
      <c r="H1162" t="s">
        <v>17</v>
      </c>
      <c r="I1162" t="s">
        <v>18</v>
      </c>
      <c r="J1162" s="3">
        <v>45625</v>
      </c>
      <c r="K1162" s="4">
        <f>ClientiBanca[[#This Row],[Prestito]]+ClientiBanca[[#This Row],[Mutuo]]</f>
        <v>229400</v>
      </c>
      <c r="L1162" t="str">
        <f>IF(ClientiBanca[[#This Row],[Reddito annuo]]&gt;=70000,"si","no")</f>
        <v>si</v>
      </c>
    </row>
    <row r="1163" spans="1:12">
      <c r="A1163">
        <v>101162</v>
      </c>
      <c r="B1163">
        <v>56</v>
      </c>
      <c r="C1163" s="2">
        <v>51300</v>
      </c>
      <c r="D1163" t="s">
        <v>22</v>
      </c>
      <c r="E1163" s="2">
        <v>42400</v>
      </c>
      <c r="F1163" s="2">
        <v>0</v>
      </c>
      <c r="G1163" t="s">
        <v>24</v>
      </c>
      <c r="H1163" t="s">
        <v>20</v>
      </c>
      <c r="I1163" t="s">
        <v>18</v>
      </c>
      <c r="J1163" s="3">
        <v>45660</v>
      </c>
      <c r="K1163" s="4">
        <f>ClientiBanca[[#This Row],[Prestito]]+ClientiBanca[[#This Row],[Mutuo]]</f>
        <v>42400</v>
      </c>
      <c r="L1163" t="str">
        <f>IF(ClientiBanca[[#This Row],[Reddito annuo]]&gt;=70000,"si","no")</f>
        <v>no</v>
      </c>
    </row>
    <row r="1164" spans="1:12">
      <c r="A1164">
        <v>101163</v>
      </c>
      <c r="B1164">
        <v>41</v>
      </c>
      <c r="C1164" s="2">
        <v>114300</v>
      </c>
      <c r="D1164" t="s">
        <v>22</v>
      </c>
      <c r="E1164" s="2">
        <v>70900</v>
      </c>
      <c r="F1164" s="2">
        <v>0</v>
      </c>
      <c r="G1164" t="s">
        <v>27</v>
      </c>
      <c r="H1164" t="s">
        <v>20</v>
      </c>
      <c r="I1164" t="s">
        <v>18</v>
      </c>
      <c r="J1164" s="3">
        <v>46244</v>
      </c>
      <c r="K1164" s="4">
        <f>ClientiBanca[[#This Row],[Prestito]]+ClientiBanca[[#This Row],[Mutuo]]</f>
        <v>70900</v>
      </c>
      <c r="L1164" t="str">
        <f>IF(ClientiBanca[[#This Row],[Reddito annuo]]&gt;=70000,"si","no")</f>
        <v>si</v>
      </c>
    </row>
    <row r="1165" spans="1:12">
      <c r="A1165">
        <v>101164</v>
      </c>
      <c r="B1165">
        <v>29</v>
      </c>
      <c r="C1165" s="2">
        <v>100500</v>
      </c>
      <c r="D1165" t="s">
        <v>21</v>
      </c>
      <c r="E1165" s="2">
        <v>55100</v>
      </c>
      <c r="F1165" s="2">
        <v>0</v>
      </c>
      <c r="G1165" t="s">
        <v>19</v>
      </c>
      <c r="H1165" t="s">
        <v>14</v>
      </c>
      <c r="I1165" t="s">
        <v>18</v>
      </c>
      <c r="J1165" s="3">
        <v>45888</v>
      </c>
      <c r="K1165" s="4">
        <f>ClientiBanca[[#This Row],[Prestito]]+ClientiBanca[[#This Row],[Mutuo]]</f>
        <v>55100</v>
      </c>
      <c r="L1165" t="str">
        <f>IF(ClientiBanca[[#This Row],[Reddito annuo]]&gt;=70000,"si","no")</f>
        <v>si</v>
      </c>
    </row>
    <row r="1166" spans="1:12">
      <c r="A1166">
        <v>101165</v>
      </c>
      <c r="B1166">
        <v>22</v>
      </c>
      <c r="C1166" s="2">
        <v>71900</v>
      </c>
      <c r="D1166" t="s">
        <v>21</v>
      </c>
      <c r="E1166" s="2">
        <v>0</v>
      </c>
      <c r="F1166" s="2">
        <v>0</v>
      </c>
      <c r="G1166" t="s">
        <v>13</v>
      </c>
      <c r="H1166" t="s">
        <v>25</v>
      </c>
      <c r="I1166" t="s">
        <v>18</v>
      </c>
      <c r="J1166" s="3">
        <v>45521</v>
      </c>
      <c r="K1166" s="4">
        <f>ClientiBanca[[#This Row],[Prestito]]+ClientiBanca[[#This Row],[Mutuo]]</f>
        <v>0</v>
      </c>
      <c r="L1166" t="str">
        <f>IF(ClientiBanca[[#This Row],[Reddito annuo]]&gt;=70000,"si","no")</f>
        <v>si</v>
      </c>
    </row>
    <row r="1167" spans="1:12">
      <c r="A1167">
        <v>101166</v>
      </c>
      <c r="B1167">
        <v>56</v>
      </c>
      <c r="C1167" s="2">
        <v>60000</v>
      </c>
      <c r="D1167" t="s">
        <v>12</v>
      </c>
      <c r="E1167" s="2">
        <v>29300</v>
      </c>
      <c r="F1167" s="2">
        <v>0</v>
      </c>
      <c r="G1167" t="s">
        <v>27</v>
      </c>
      <c r="H1167" t="s">
        <v>17</v>
      </c>
      <c r="I1167" t="s">
        <v>18</v>
      </c>
      <c r="J1167" s="3">
        <v>45824</v>
      </c>
      <c r="K1167" s="4">
        <f>ClientiBanca[[#This Row],[Prestito]]+ClientiBanca[[#This Row],[Mutuo]]</f>
        <v>29300</v>
      </c>
      <c r="L1167" t="str">
        <f>IF(ClientiBanca[[#This Row],[Reddito annuo]]&gt;=70000,"si","no")</f>
        <v>no</v>
      </c>
    </row>
    <row r="1168" spans="1:12">
      <c r="A1168">
        <v>101167</v>
      </c>
      <c r="B1168">
        <v>48</v>
      </c>
      <c r="C1168" s="2">
        <v>47900</v>
      </c>
      <c r="D1168" t="s">
        <v>21</v>
      </c>
      <c r="E1168" s="2">
        <v>59900</v>
      </c>
      <c r="F1168" s="2">
        <v>0</v>
      </c>
      <c r="G1168" t="s">
        <v>19</v>
      </c>
      <c r="H1168" t="s">
        <v>20</v>
      </c>
      <c r="I1168" t="s">
        <v>18</v>
      </c>
      <c r="J1168" s="3">
        <v>45410</v>
      </c>
      <c r="K1168" s="4">
        <f>ClientiBanca[[#This Row],[Prestito]]+ClientiBanca[[#This Row],[Mutuo]]</f>
        <v>59900</v>
      </c>
      <c r="L1168" t="str">
        <f>IF(ClientiBanca[[#This Row],[Reddito annuo]]&gt;=70000,"si","no")</f>
        <v>no</v>
      </c>
    </row>
    <row r="1169" spans="1:12">
      <c r="A1169">
        <v>101168</v>
      </c>
      <c r="B1169">
        <v>64</v>
      </c>
      <c r="C1169" s="2">
        <v>43500</v>
      </c>
      <c r="D1169" t="s">
        <v>12</v>
      </c>
      <c r="E1169" s="2">
        <v>0</v>
      </c>
      <c r="F1169" s="2">
        <v>0</v>
      </c>
      <c r="G1169" t="s">
        <v>19</v>
      </c>
      <c r="H1169" t="s">
        <v>14</v>
      </c>
      <c r="I1169" t="s">
        <v>18</v>
      </c>
      <c r="J1169" s="3">
        <v>45370</v>
      </c>
      <c r="K1169" s="4">
        <f>ClientiBanca[[#This Row],[Prestito]]+ClientiBanca[[#This Row],[Mutuo]]</f>
        <v>0</v>
      </c>
      <c r="L1169" t="str">
        <f>IF(ClientiBanca[[#This Row],[Reddito annuo]]&gt;=70000,"si","no")</f>
        <v>no</v>
      </c>
    </row>
    <row r="1170" spans="1:12">
      <c r="A1170">
        <v>101169</v>
      </c>
      <c r="B1170">
        <v>43</v>
      </c>
      <c r="C1170" s="2">
        <v>71500</v>
      </c>
      <c r="D1170" t="s">
        <v>12</v>
      </c>
      <c r="E1170" s="2">
        <v>29300</v>
      </c>
      <c r="F1170" s="2">
        <v>0</v>
      </c>
      <c r="G1170" t="s">
        <v>24</v>
      </c>
      <c r="H1170" t="s">
        <v>14</v>
      </c>
      <c r="I1170" t="s">
        <v>18</v>
      </c>
      <c r="J1170" s="3">
        <v>46223</v>
      </c>
      <c r="K1170" s="4">
        <f>ClientiBanca[[#This Row],[Prestito]]+ClientiBanca[[#This Row],[Mutuo]]</f>
        <v>29300</v>
      </c>
      <c r="L1170" t="str">
        <f>IF(ClientiBanca[[#This Row],[Reddito annuo]]&gt;=70000,"si","no")</f>
        <v>si</v>
      </c>
    </row>
    <row r="1171" spans="1:12">
      <c r="A1171">
        <v>101170</v>
      </c>
      <c r="B1171">
        <v>46</v>
      </c>
      <c r="C1171" s="2">
        <v>73300</v>
      </c>
      <c r="D1171" t="s">
        <v>12</v>
      </c>
      <c r="E1171" s="2">
        <v>54000</v>
      </c>
      <c r="F1171" s="2">
        <v>0</v>
      </c>
      <c r="G1171" t="s">
        <v>13</v>
      </c>
      <c r="H1171" t="s">
        <v>20</v>
      </c>
      <c r="I1171" t="s">
        <v>18</v>
      </c>
      <c r="J1171" s="3">
        <v>45443</v>
      </c>
      <c r="K1171" s="4">
        <f>ClientiBanca[[#This Row],[Prestito]]+ClientiBanca[[#This Row],[Mutuo]]</f>
        <v>54000</v>
      </c>
      <c r="L1171" t="str">
        <f>IF(ClientiBanca[[#This Row],[Reddito annuo]]&gt;=70000,"si","no")</f>
        <v>si</v>
      </c>
    </row>
    <row r="1172" spans="1:12">
      <c r="A1172">
        <v>101171</v>
      </c>
      <c r="B1172">
        <v>56</v>
      </c>
      <c r="C1172" s="2">
        <v>59400</v>
      </c>
      <c r="D1172" t="s">
        <v>22</v>
      </c>
      <c r="E1172" s="2">
        <v>17900</v>
      </c>
      <c r="F1172" s="2">
        <v>0</v>
      </c>
      <c r="G1172" t="s">
        <v>24</v>
      </c>
      <c r="H1172" t="s">
        <v>20</v>
      </c>
      <c r="I1172" t="s">
        <v>18</v>
      </c>
      <c r="J1172" s="3">
        <v>45859</v>
      </c>
      <c r="K1172" s="4">
        <f>ClientiBanca[[#This Row],[Prestito]]+ClientiBanca[[#This Row],[Mutuo]]</f>
        <v>17900</v>
      </c>
      <c r="L1172" t="str">
        <f>IF(ClientiBanca[[#This Row],[Reddito annuo]]&gt;=70000,"si","no")</f>
        <v>no</v>
      </c>
    </row>
    <row r="1173" spans="1:12">
      <c r="A1173">
        <v>101172</v>
      </c>
      <c r="B1173">
        <v>65</v>
      </c>
      <c r="C1173" s="2">
        <v>103800</v>
      </c>
      <c r="D1173" t="s">
        <v>12</v>
      </c>
      <c r="E1173" s="2">
        <v>8900</v>
      </c>
      <c r="F1173" s="2">
        <v>0</v>
      </c>
      <c r="G1173" t="s">
        <v>24</v>
      </c>
      <c r="H1173" t="s">
        <v>25</v>
      </c>
      <c r="I1173" t="s">
        <v>15</v>
      </c>
      <c r="J1173" s="3">
        <v>46179</v>
      </c>
      <c r="K1173" s="4">
        <f>ClientiBanca[[#This Row],[Prestito]]+ClientiBanca[[#This Row],[Mutuo]]</f>
        <v>8900</v>
      </c>
      <c r="L1173" t="str">
        <f>IF(ClientiBanca[[#This Row],[Reddito annuo]]&gt;=70000,"si","no")</f>
        <v>si</v>
      </c>
    </row>
    <row r="1174" spans="1:12">
      <c r="A1174">
        <v>101173</v>
      </c>
      <c r="B1174">
        <v>53</v>
      </c>
      <c r="C1174" s="2">
        <v>101700</v>
      </c>
      <c r="D1174" t="s">
        <v>22</v>
      </c>
      <c r="E1174" s="2">
        <v>28500</v>
      </c>
      <c r="F1174" s="2">
        <v>0</v>
      </c>
      <c r="G1174" t="s">
        <v>26</v>
      </c>
      <c r="H1174" t="s">
        <v>20</v>
      </c>
      <c r="I1174" t="s">
        <v>18</v>
      </c>
      <c r="J1174" s="3">
        <v>46211</v>
      </c>
      <c r="K1174" s="4">
        <f>ClientiBanca[[#This Row],[Prestito]]+ClientiBanca[[#This Row],[Mutuo]]</f>
        <v>28500</v>
      </c>
      <c r="L1174" t="str">
        <f>IF(ClientiBanca[[#This Row],[Reddito annuo]]&gt;=70000,"si","no")</f>
        <v>si</v>
      </c>
    </row>
    <row r="1175" spans="1:12">
      <c r="A1175">
        <v>101174</v>
      </c>
      <c r="B1175">
        <v>41</v>
      </c>
      <c r="C1175" s="2">
        <v>66500</v>
      </c>
      <c r="D1175" t="s">
        <v>12</v>
      </c>
      <c r="E1175" s="2">
        <v>0</v>
      </c>
      <c r="F1175" s="2">
        <v>267000</v>
      </c>
      <c r="G1175" t="s">
        <v>19</v>
      </c>
      <c r="H1175" t="s">
        <v>25</v>
      </c>
      <c r="I1175" t="s">
        <v>18</v>
      </c>
      <c r="J1175" s="3">
        <v>46224</v>
      </c>
      <c r="K1175" s="4">
        <f>ClientiBanca[[#This Row],[Prestito]]+ClientiBanca[[#This Row],[Mutuo]]</f>
        <v>267000</v>
      </c>
      <c r="L1175" t="str">
        <f>IF(ClientiBanca[[#This Row],[Reddito annuo]]&gt;=70000,"si","no")</f>
        <v>no</v>
      </c>
    </row>
    <row r="1176" spans="1:12">
      <c r="A1176">
        <v>101175</v>
      </c>
      <c r="B1176">
        <v>46</v>
      </c>
      <c r="C1176" s="2">
        <v>69700</v>
      </c>
      <c r="D1176" t="s">
        <v>12</v>
      </c>
      <c r="E1176" s="2">
        <v>50800</v>
      </c>
      <c r="F1176" s="2">
        <v>0</v>
      </c>
      <c r="G1176" t="s">
        <v>24</v>
      </c>
      <c r="H1176" t="s">
        <v>14</v>
      </c>
      <c r="I1176" t="s">
        <v>18</v>
      </c>
      <c r="J1176" s="3">
        <v>46131</v>
      </c>
      <c r="K1176" s="4">
        <f>ClientiBanca[[#This Row],[Prestito]]+ClientiBanca[[#This Row],[Mutuo]]</f>
        <v>50800</v>
      </c>
      <c r="L1176" t="str">
        <f>IF(ClientiBanca[[#This Row],[Reddito annuo]]&gt;=70000,"si","no")</f>
        <v>no</v>
      </c>
    </row>
    <row r="1177" spans="1:12">
      <c r="A1177">
        <v>101176</v>
      </c>
      <c r="B1177">
        <v>52</v>
      </c>
      <c r="C1177" s="2">
        <v>33000</v>
      </c>
      <c r="D1177" t="s">
        <v>22</v>
      </c>
      <c r="E1177" s="2">
        <v>26800</v>
      </c>
      <c r="F1177" s="2">
        <v>0</v>
      </c>
      <c r="G1177" t="s">
        <v>16</v>
      </c>
      <c r="H1177" t="s">
        <v>17</v>
      </c>
      <c r="I1177" t="s">
        <v>18</v>
      </c>
      <c r="J1177" s="3">
        <v>46031</v>
      </c>
      <c r="K1177" s="4">
        <f>ClientiBanca[[#This Row],[Prestito]]+ClientiBanca[[#This Row],[Mutuo]]</f>
        <v>26800</v>
      </c>
      <c r="L1177" t="str">
        <f>IF(ClientiBanca[[#This Row],[Reddito annuo]]&gt;=70000,"si","no")</f>
        <v>no</v>
      </c>
    </row>
    <row r="1178" spans="1:12">
      <c r="A1178">
        <v>101177</v>
      </c>
      <c r="B1178">
        <v>57</v>
      </c>
      <c r="C1178" s="2">
        <v>45700</v>
      </c>
      <c r="D1178" t="s">
        <v>12</v>
      </c>
      <c r="E1178" s="2">
        <v>33300</v>
      </c>
      <c r="F1178" s="2">
        <v>212000</v>
      </c>
      <c r="G1178" t="s">
        <v>16</v>
      </c>
      <c r="H1178" t="s">
        <v>20</v>
      </c>
      <c r="I1178" t="s">
        <v>18</v>
      </c>
      <c r="J1178" s="3">
        <v>46067</v>
      </c>
      <c r="K1178" s="4">
        <f>ClientiBanca[[#This Row],[Prestito]]+ClientiBanca[[#This Row],[Mutuo]]</f>
        <v>245300</v>
      </c>
      <c r="L1178" t="str">
        <f>IF(ClientiBanca[[#This Row],[Reddito annuo]]&gt;=70000,"si","no")</f>
        <v>no</v>
      </c>
    </row>
    <row r="1179" spans="1:12">
      <c r="A1179">
        <v>101178</v>
      </c>
      <c r="B1179">
        <v>31</v>
      </c>
      <c r="C1179" s="2">
        <v>108600</v>
      </c>
      <c r="D1179" t="s">
        <v>21</v>
      </c>
      <c r="E1179" s="2">
        <v>0</v>
      </c>
      <c r="F1179" s="2">
        <v>0</v>
      </c>
      <c r="G1179" t="s">
        <v>23</v>
      </c>
      <c r="H1179" t="s">
        <v>20</v>
      </c>
      <c r="I1179" t="s">
        <v>18</v>
      </c>
      <c r="J1179" s="3">
        <v>45576</v>
      </c>
      <c r="K1179" s="4">
        <f>ClientiBanca[[#This Row],[Prestito]]+ClientiBanca[[#This Row],[Mutuo]]</f>
        <v>0</v>
      </c>
      <c r="L1179" t="str">
        <f>IF(ClientiBanca[[#This Row],[Reddito annuo]]&gt;=70000,"si","no")</f>
        <v>si</v>
      </c>
    </row>
    <row r="1180" spans="1:12">
      <c r="A1180">
        <v>101179</v>
      </c>
      <c r="B1180">
        <v>56</v>
      </c>
      <c r="C1180" s="2">
        <v>95500</v>
      </c>
      <c r="D1180" t="s">
        <v>21</v>
      </c>
      <c r="E1180" s="2">
        <v>17300</v>
      </c>
      <c r="F1180" s="2">
        <v>0</v>
      </c>
      <c r="G1180" t="s">
        <v>28</v>
      </c>
      <c r="H1180" t="s">
        <v>20</v>
      </c>
      <c r="I1180" t="s">
        <v>18</v>
      </c>
      <c r="J1180" s="3">
        <v>45587</v>
      </c>
      <c r="K1180" s="4">
        <f>ClientiBanca[[#This Row],[Prestito]]+ClientiBanca[[#This Row],[Mutuo]]</f>
        <v>17300</v>
      </c>
      <c r="L1180" t="str">
        <f>IF(ClientiBanca[[#This Row],[Reddito annuo]]&gt;=70000,"si","no")</f>
        <v>si</v>
      </c>
    </row>
    <row r="1181" spans="1:12">
      <c r="A1181">
        <v>101180</v>
      </c>
      <c r="B1181">
        <v>36</v>
      </c>
      <c r="C1181" s="2">
        <v>119500</v>
      </c>
      <c r="D1181" t="s">
        <v>12</v>
      </c>
      <c r="E1181" s="2">
        <v>0</v>
      </c>
      <c r="F1181" s="2">
        <v>0</v>
      </c>
      <c r="G1181" t="s">
        <v>24</v>
      </c>
      <c r="H1181" t="s">
        <v>20</v>
      </c>
      <c r="I1181" t="s">
        <v>18</v>
      </c>
      <c r="J1181" s="3">
        <v>45857</v>
      </c>
      <c r="K1181" s="4">
        <f>ClientiBanca[[#This Row],[Prestito]]+ClientiBanca[[#This Row],[Mutuo]]</f>
        <v>0</v>
      </c>
      <c r="L1181" t="str">
        <f>IF(ClientiBanca[[#This Row],[Reddito annuo]]&gt;=70000,"si","no")</f>
        <v>si</v>
      </c>
    </row>
    <row r="1182" spans="1:12">
      <c r="A1182">
        <v>101181</v>
      </c>
      <c r="B1182">
        <v>73</v>
      </c>
      <c r="C1182" s="2">
        <v>60400</v>
      </c>
      <c r="D1182" t="s">
        <v>21</v>
      </c>
      <c r="E1182" s="2">
        <v>9500</v>
      </c>
      <c r="F1182" s="2">
        <v>0</v>
      </c>
      <c r="G1182" t="s">
        <v>23</v>
      </c>
      <c r="H1182" t="s">
        <v>20</v>
      </c>
      <c r="I1182" t="s">
        <v>18</v>
      </c>
      <c r="J1182" s="3">
        <v>45318</v>
      </c>
      <c r="K1182" s="4">
        <f>ClientiBanca[[#This Row],[Prestito]]+ClientiBanca[[#This Row],[Mutuo]]</f>
        <v>9500</v>
      </c>
      <c r="L1182" t="str">
        <f>IF(ClientiBanca[[#This Row],[Reddito annuo]]&gt;=70000,"si","no")</f>
        <v>no</v>
      </c>
    </row>
    <row r="1183" spans="1:12">
      <c r="A1183">
        <v>101182</v>
      </c>
      <c r="B1183">
        <v>43</v>
      </c>
      <c r="C1183" s="2">
        <v>41400</v>
      </c>
      <c r="D1183" t="s">
        <v>22</v>
      </c>
      <c r="E1183" s="2">
        <v>48800</v>
      </c>
      <c r="F1183" s="2">
        <v>0</v>
      </c>
      <c r="G1183" t="s">
        <v>28</v>
      </c>
      <c r="H1183" t="s">
        <v>17</v>
      </c>
      <c r="I1183" t="s">
        <v>18</v>
      </c>
      <c r="J1183" s="3">
        <v>46015</v>
      </c>
      <c r="K1183" s="4">
        <f>ClientiBanca[[#This Row],[Prestito]]+ClientiBanca[[#This Row],[Mutuo]]</f>
        <v>48800</v>
      </c>
      <c r="L1183" t="str">
        <f>IF(ClientiBanca[[#This Row],[Reddito annuo]]&gt;=70000,"si","no")</f>
        <v>no</v>
      </c>
    </row>
    <row r="1184" spans="1:12">
      <c r="A1184">
        <v>101183</v>
      </c>
      <c r="B1184">
        <v>74</v>
      </c>
      <c r="C1184" s="2">
        <v>36000</v>
      </c>
      <c r="D1184" t="s">
        <v>22</v>
      </c>
      <c r="E1184" s="2">
        <v>13100</v>
      </c>
      <c r="F1184" s="2">
        <v>0</v>
      </c>
      <c r="G1184" t="s">
        <v>26</v>
      </c>
      <c r="H1184" t="s">
        <v>14</v>
      </c>
      <c r="I1184" t="s">
        <v>18</v>
      </c>
      <c r="J1184" s="3">
        <v>45654</v>
      </c>
      <c r="K1184" s="4">
        <f>ClientiBanca[[#This Row],[Prestito]]+ClientiBanca[[#This Row],[Mutuo]]</f>
        <v>13100</v>
      </c>
      <c r="L1184" t="str">
        <f>IF(ClientiBanca[[#This Row],[Reddito annuo]]&gt;=70000,"si","no")</f>
        <v>no</v>
      </c>
    </row>
    <row r="1185" spans="1:12">
      <c r="A1185">
        <v>101184</v>
      </c>
      <c r="B1185">
        <v>71</v>
      </c>
      <c r="C1185" s="2">
        <v>32600</v>
      </c>
      <c r="D1185" t="s">
        <v>12</v>
      </c>
      <c r="E1185" s="2">
        <v>0</v>
      </c>
      <c r="F1185" s="2">
        <v>0</v>
      </c>
      <c r="G1185" t="s">
        <v>19</v>
      </c>
      <c r="H1185" t="s">
        <v>17</v>
      </c>
      <c r="I1185" t="s">
        <v>18</v>
      </c>
      <c r="J1185" s="3">
        <v>45937</v>
      </c>
      <c r="K1185" s="4">
        <f>ClientiBanca[[#This Row],[Prestito]]+ClientiBanca[[#This Row],[Mutuo]]</f>
        <v>0</v>
      </c>
      <c r="L1185" t="str">
        <f>IF(ClientiBanca[[#This Row],[Reddito annuo]]&gt;=70000,"si","no")</f>
        <v>no</v>
      </c>
    </row>
    <row r="1186" spans="1:12">
      <c r="A1186">
        <v>101185</v>
      </c>
      <c r="B1186">
        <v>67</v>
      </c>
      <c r="C1186" s="2">
        <v>60700</v>
      </c>
      <c r="D1186" t="s">
        <v>12</v>
      </c>
      <c r="E1186" s="2">
        <v>24100</v>
      </c>
      <c r="F1186" s="2">
        <v>0</v>
      </c>
      <c r="G1186" t="s">
        <v>16</v>
      </c>
      <c r="H1186" t="s">
        <v>20</v>
      </c>
      <c r="I1186" t="s">
        <v>18</v>
      </c>
      <c r="J1186" s="3">
        <v>45825</v>
      </c>
      <c r="K1186" s="4">
        <f>ClientiBanca[[#This Row],[Prestito]]+ClientiBanca[[#This Row],[Mutuo]]</f>
        <v>24100</v>
      </c>
      <c r="L1186" t="str">
        <f>IF(ClientiBanca[[#This Row],[Reddito annuo]]&gt;=70000,"si","no")</f>
        <v>no</v>
      </c>
    </row>
    <row r="1187" spans="1:12">
      <c r="A1187">
        <v>101186</v>
      </c>
      <c r="B1187">
        <v>40</v>
      </c>
      <c r="C1187" s="2">
        <v>40600</v>
      </c>
      <c r="D1187" t="s">
        <v>12</v>
      </c>
      <c r="E1187" s="2">
        <v>0</v>
      </c>
      <c r="F1187" s="2">
        <v>0</v>
      </c>
      <c r="G1187" t="s">
        <v>27</v>
      </c>
      <c r="H1187" t="s">
        <v>17</v>
      </c>
      <c r="I1187" t="s">
        <v>18</v>
      </c>
      <c r="J1187" s="3">
        <v>45892</v>
      </c>
      <c r="K1187" s="4">
        <f>ClientiBanca[[#This Row],[Prestito]]+ClientiBanca[[#This Row],[Mutuo]]</f>
        <v>0</v>
      </c>
      <c r="L1187" t="str">
        <f>IF(ClientiBanca[[#This Row],[Reddito annuo]]&gt;=70000,"si","no")</f>
        <v>no</v>
      </c>
    </row>
    <row r="1188" spans="1:12">
      <c r="A1188">
        <v>101187</v>
      </c>
      <c r="B1188">
        <v>44</v>
      </c>
      <c r="C1188" s="2">
        <v>94500</v>
      </c>
      <c r="D1188" t="s">
        <v>21</v>
      </c>
      <c r="E1188" s="2">
        <v>32100</v>
      </c>
      <c r="F1188" s="2">
        <v>0</v>
      </c>
      <c r="G1188" t="s">
        <v>24</v>
      </c>
      <c r="H1188" t="s">
        <v>17</v>
      </c>
      <c r="I1188" t="s">
        <v>18</v>
      </c>
      <c r="J1188" s="3">
        <v>45495</v>
      </c>
      <c r="K1188" s="4">
        <f>ClientiBanca[[#This Row],[Prestito]]+ClientiBanca[[#This Row],[Mutuo]]</f>
        <v>32100</v>
      </c>
      <c r="L1188" t="str">
        <f>IF(ClientiBanca[[#This Row],[Reddito annuo]]&gt;=70000,"si","no")</f>
        <v>si</v>
      </c>
    </row>
    <row r="1189" spans="1:12">
      <c r="A1189">
        <v>101188</v>
      </c>
      <c r="B1189">
        <v>60</v>
      </c>
      <c r="C1189" s="2">
        <v>95000</v>
      </c>
      <c r="D1189" t="s">
        <v>22</v>
      </c>
      <c r="E1189" s="2">
        <v>0</v>
      </c>
      <c r="F1189" s="2">
        <v>0</v>
      </c>
      <c r="G1189" t="s">
        <v>27</v>
      </c>
      <c r="H1189" t="s">
        <v>20</v>
      </c>
      <c r="I1189" t="s">
        <v>18</v>
      </c>
      <c r="J1189" s="3">
        <v>45794</v>
      </c>
      <c r="K1189" s="4">
        <f>ClientiBanca[[#This Row],[Prestito]]+ClientiBanca[[#This Row],[Mutuo]]</f>
        <v>0</v>
      </c>
      <c r="L1189" t="str">
        <f>IF(ClientiBanca[[#This Row],[Reddito annuo]]&gt;=70000,"si","no")</f>
        <v>si</v>
      </c>
    </row>
    <row r="1190" spans="1:12">
      <c r="A1190">
        <v>101189</v>
      </c>
      <c r="B1190">
        <v>55</v>
      </c>
      <c r="C1190" s="2">
        <v>68100</v>
      </c>
      <c r="D1190" t="s">
        <v>12</v>
      </c>
      <c r="E1190" s="2">
        <v>45500</v>
      </c>
      <c r="F1190" s="2">
        <v>0</v>
      </c>
      <c r="G1190" t="s">
        <v>23</v>
      </c>
      <c r="H1190" t="s">
        <v>17</v>
      </c>
      <c r="I1190" t="s">
        <v>18</v>
      </c>
      <c r="J1190" s="3">
        <v>45964</v>
      </c>
      <c r="K1190" s="4">
        <f>ClientiBanca[[#This Row],[Prestito]]+ClientiBanca[[#This Row],[Mutuo]]</f>
        <v>45500</v>
      </c>
      <c r="L1190" t="str">
        <f>IF(ClientiBanca[[#This Row],[Reddito annuo]]&gt;=70000,"si","no")</f>
        <v>no</v>
      </c>
    </row>
    <row r="1191" spans="1:12">
      <c r="A1191">
        <v>101190</v>
      </c>
      <c r="B1191">
        <v>31</v>
      </c>
      <c r="C1191" s="2">
        <v>95300</v>
      </c>
      <c r="D1191" t="s">
        <v>22</v>
      </c>
      <c r="E1191" s="2">
        <v>0</v>
      </c>
      <c r="F1191" s="2">
        <v>0</v>
      </c>
      <c r="G1191" t="s">
        <v>28</v>
      </c>
      <c r="H1191" t="s">
        <v>17</v>
      </c>
      <c r="I1191" t="s">
        <v>18</v>
      </c>
      <c r="J1191" s="3">
        <v>45693</v>
      </c>
      <c r="K1191" s="4">
        <f>ClientiBanca[[#This Row],[Prestito]]+ClientiBanca[[#This Row],[Mutuo]]</f>
        <v>0</v>
      </c>
      <c r="L1191" t="str">
        <f>IF(ClientiBanca[[#This Row],[Reddito annuo]]&gt;=70000,"si","no")</f>
        <v>si</v>
      </c>
    </row>
    <row r="1192" spans="1:12">
      <c r="A1192">
        <v>101191</v>
      </c>
      <c r="B1192">
        <v>58</v>
      </c>
      <c r="C1192" s="2">
        <v>50400</v>
      </c>
      <c r="D1192" t="s">
        <v>21</v>
      </c>
      <c r="E1192" s="2">
        <v>14600</v>
      </c>
      <c r="F1192" s="2">
        <v>0</v>
      </c>
      <c r="G1192" t="s">
        <v>26</v>
      </c>
      <c r="H1192" t="s">
        <v>17</v>
      </c>
      <c r="I1192" t="s">
        <v>18</v>
      </c>
      <c r="J1192" s="3">
        <v>45545</v>
      </c>
      <c r="K1192" s="4">
        <f>ClientiBanca[[#This Row],[Prestito]]+ClientiBanca[[#This Row],[Mutuo]]</f>
        <v>14600</v>
      </c>
      <c r="L1192" t="str">
        <f>IF(ClientiBanca[[#This Row],[Reddito annuo]]&gt;=70000,"si","no")</f>
        <v>no</v>
      </c>
    </row>
    <row r="1193" spans="1:12">
      <c r="A1193">
        <v>101192</v>
      </c>
      <c r="B1193">
        <v>62</v>
      </c>
      <c r="C1193" s="2">
        <v>54700</v>
      </c>
      <c r="D1193" t="s">
        <v>21</v>
      </c>
      <c r="E1193" s="2">
        <v>0</v>
      </c>
      <c r="F1193" s="2">
        <v>0</v>
      </c>
      <c r="G1193" t="s">
        <v>19</v>
      </c>
      <c r="H1193" t="s">
        <v>17</v>
      </c>
      <c r="I1193" t="s">
        <v>18</v>
      </c>
      <c r="J1193" s="3">
        <v>46013</v>
      </c>
      <c r="K1193" s="4">
        <f>ClientiBanca[[#This Row],[Prestito]]+ClientiBanca[[#This Row],[Mutuo]]</f>
        <v>0</v>
      </c>
      <c r="L1193" t="str">
        <f>IF(ClientiBanca[[#This Row],[Reddito annuo]]&gt;=70000,"si","no")</f>
        <v>no</v>
      </c>
    </row>
    <row r="1194" spans="1:12">
      <c r="A1194">
        <v>101193</v>
      </c>
      <c r="B1194">
        <v>28</v>
      </c>
      <c r="C1194" s="2">
        <v>82800</v>
      </c>
      <c r="D1194" t="s">
        <v>21</v>
      </c>
      <c r="E1194" s="2">
        <v>0</v>
      </c>
      <c r="F1194" s="2">
        <v>0</v>
      </c>
      <c r="G1194" t="s">
        <v>16</v>
      </c>
      <c r="H1194" t="s">
        <v>17</v>
      </c>
      <c r="I1194" t="s">
        <v>18</v>
      </c>
      <c r="J1194" s="3">
        <v>45321</v>
      </c>
      <c r="K1194" s="4">
        <f>ClientiBanca[[#This Row],[Prestito]]+ClientiBanca[[#This Row],[Mutuo]]</f>
        <v>0</v>
      </c>
      <c r="L1194" t="str">
        <f>IF(ClientiBanca[[#This Row],[Reddito annuo]]&gt;=70000,"si","no")</f>
        <v>si</v>
      </c>
    </row>
    <row r="1195" spans="1:12">
      <c r="A1195">
        <v>101194</v>
      </c>
      <c r="B1195">
        <v>38</v>
      </c>
      <c r="C1195" s="2">
        <v>45100</v>
      </c>
      <c r="D1195" t="s">
        <v>21</v>
      </c>
      <c r="E1195" s="2">
        <v>0</v>
      </c>
      <c r="F1195" s="2">
        <v>0</v>
      </c>
      <c r="G1195" t="s">
        <v>19</v>
      </c>
      <c r="H1195" t="s">
        <v>20</v>
      </c>
      <c r="I1195" t="s">
        <v>18</v>
      </c>
      <c r="J1195" s="3">
        <v>45617</v>
      </c>
      <c r="K1195" s="4">
        <f>ClientiBanca[[#This Row],[Prestito]]+ClientiBanca[[#This Row],[Mutuo]]</f>
        <v>0</v>
      </c>
      <c r="L1195" t="str">
        <f>IF(ClientiBanca[[#This Row],[Reddito annuo]]&gt;=70000,"si","no")</f>
        <v>no</v>
      </c>
    </row>
    <row r="1196" spans="1:12">
      <c r="A1196">
        <v>101195</v>
      </c>
      <c r="B1196">
        <v>46</v>
      </c>
      <c r="C1196" s="2">
        <v>52500</v>
      </c>
      <c r="D1196" t="s">
        <v>21</v>
      </c>
      <c r="E1196" s="2">
        <v>65600</v>
      </c>
      <c r="F1196" s="2">
        <v>264000</v>
      </c>
      <c r="G1196" t="s">
        <v>19</v>
      </c>
      <c r="H1196" t="s">
        <v>17</v>
      </c>
      <c r="I1196" t="s">
        <v>15</v>
      </c>
      <c r="J1196" s="3">
        <v>45750</v>
      </c>
      <c r="K1196" s="4">
        <f>ClientiBanca[[#This Row],[Prestito]]+ClientiBanca[[#This Row],[Mutuo]]</f>
        <v>329600</v>
      </c>
      <c r="L1196" t="str">
        <f>IF(ClientiBanca[[#This Row],[Reddito annuo]]&gt;=70000,"si","no")</f>
        <v>no</v>
      </c>
    </row>
    <row r="1197" spans="1:12">
      <c r="A1197">
        <v>101196</v>
      </c>
      <c r="B1197">
        <v>46</v>
      </c>
      <c r="C1197" s="2">
        <v>42400</v>
      </c>
      <c r="D1197" t="s">
        <v>22</v>
      </c>
      <c r="E1197" s="2">
        <v>52600</v>
      </c>
      <c r="F1197" s="2">
        <v>367000</v>
      </c>
      <c r="G1197" t="s">
        <v>19</v>
      </c>
      <c r="H1197" t="s">
        <v>20</v>
      </c>
      <c r="I1197" t="s">
        <v>18</v>
      </c>
      <c r="J1197" s="3">
        <v>46265</v>
      </c>
      <c r="K1197" s="4">
        <f>ClientiBanca[[#This Row],[Prestito]]+ClientiBanca[[#This Row],[Mutuo]]</f>
        <v>419600</v>
      </c>
      <c r="L1197" t="str">
        <f>IF(ClientiBanca[[#This Row],[Reddito annuo]]&gt;=70000,"si","no")</f>
        <v>no</v>
      </c>
    </row>
    <row r="1198" spans="1:12">
      <c r="A1198">
        <v>101197</v>
      </c>
      <c r="B1198">
        <v>66</v>
      </c>
      <c r="C1198" s="2">
        <v>25500</v>
      </c>
      <c r="D1198" t="s">
        <v>21</v>
      </c>
      <c r="E1198" s="2">
        <v>0</v>
      </c>
      <c r="F1198" s="2">
        <v>0</v>
      </c>
      <c r="G1198" t="s">
        <v>19</v>
      </c>
      <c r="H1198" t="s">
        <v>14</v>
      </c>
      <c r="I1198" t="s">
        <v>18</v>
      </c>
      <c r="J1198" s="3">
        <v>45858</v>
      </c>
      <c r="K1198" s="4">
        <f>ClientiBanca[[#This Row],[Prestito]]+ClientiBanca[[#This Row],[Mutuo]]</f>
        <v>0</v>
      </c>
      <c r="L1198" t="str">
        <f>IF(ClientiBanca[[#This Row],[Reddito annuo]]&gt;=70000,"si","no")</f>
        <v>no</v>
      </c>
    </row>
    <row r="1199" spans="1:12">
      <c r="A1199">
        <v>101198</v>
      </c>
      <c r="B1199">
        <v>24</v>
      </c>
      <c r="C1199" s="2">
        <v>71700</v>
      </c>
      <c r="D1199" t="s">
        <v>12</v>
      </c>
      <c r="E1199" s="2">
        <v>18700</v>
      </c>
      <c r="F1199" s="2">
        <v>216000</v>
      </c>
      <c r="G1199" t="s">
        <v>23</v>
      </c>
      <c r="H1199" t="s">
        <v>20</v>
      </c>
      <c r="I1199" t="s">
        <v>18</v>
      </c>
      <c r="J1199" s="3">
        <v>45674</v>
      </c>
      <c r="K1199" s="4">
        <f>ClientiBanca[[#This Row],[Prestito]]+ClientiBanca[[#This Row],[Mutuo]]</f>
        <v>234700</v>
      </c>
      <c r="L1199" t="str">
        <f>IF(ClientiBanca[[#This Row],[Reddito annuo]]&gt;=70000,"si","no")</f>
        <v>si</v>
      </c>
    </row>
    <row r="1200" spans="1:12">
      <c r="A1200">
        <v>101199</v>
      </c>
      <c r="B1200">
        <v>41</v>
      </c>
      <c r="C1200" s="2">
        <v>54000</v>
      </c>
      <c r="D1200" t="s">
        <v>12</v>
      </c>
      <c r="E1200" s="2">
        <v>6400</v>
      </c>
      <c r="F1200" s="2">
        <v>0</v>
      </c>
      <c r="G1200" t="s">
        <v>13</v>
      </c>
      <c r="H1200" t="s">
        <v>17</v>
      </c>
      <c r="I1200" t="s">
        <v>18</v>
      </c>
      <c r="J1200" s="3">
        <v>45335</v>
      </c>
      <c r="K1200" s="4">
        <f>ClientiBanca[[#This Row],[Prestito]]+ClientiBanca[[#This Row],[Mutuo]]</f>
        <v>6400</v>
      </c>
      <c r="L1200" t="str">
        <f>IF(ClientiBanca[[#This Row],[Reddito annuo]]&gt;=70000,"si","no")</f>
        <v>no</v>
      </c>
    </row>
    <row r="1201" spans="1:12">
      <c r="A1201">
        <v>101200</v>
      </c>
      <c r="B1201">
        <v>30</v>
      </c>
      <c r="C1201" s="2">
        <v>45900</v>
      </c>
      <c r="D1201" t="s">
        <v>21</v>
      </c>
      <c r="E1201" s="2">
        <v>45500</v>
      </c>
      <c r="F1201" s="2">
        <v>270000</v>
      </c>
      <c r="G1201" t="s">
        <v>16</v>
      </c>
      <c r="H1201" t="s">
        <v>17</v>
      </c>
      <c r="I1201" t="s">
        <v>18</v>
      </c>
      <c r="J1201" s="3">
        <v>46050</v>
      </c>
      <c r="K1201" s="4">
        <f>ClientiBanca[[#This Row],[Prestito]]+ClientiBanca[[#This Row],[Mutuo]]</f>
        <v>315500</v>
      </c>
      <c r="L1201" t="str">
        <f>IF(ClientiBanca[[#This Row],[Reddito annuo]]&gt;=70000,"si","no")</f>
        <v>no</v>
      </c>
    </row>
    <row r="1202" spans="1:12">
      <c r="A1202">
        <v>101201</v>
      </c>
      <c r="B1202">
        <v>37</v>
      </c>
      <c r="C1202" s="2">
        <v>93100</v>
      </c>
      <c r="D1202" t="s">
        <v>21</v>
      </c>
      <c r="E1202" s="2">
        <v>46700</v>
      </c>
      <c r="F1202" s="2">
        <v>0</v>
      </c>
      <c r="G1202" t="s">
        <v>27</v>
      </c>
      <c r="H1202" t="s">
        <v>20</v>
      </c>
      <c r="I1202" t="s">
        <v>18</v>
      </c>
      <c r="J1202" s="3">
        <v>45911</v>
      </c>
      <c r="K1202" s="4">
        <f>ClientiBanca[[#This Row],[Prestito]]+ClientiBanca[[#This Row],[Mutuo]]</f>
        <v>46700</v>
      </c>
      <c r="L1202" t="str">
        <f>IF(ClientiBanca[[#This Row],[Reddito annuo]]&gt;=70000,"si","no")</f>
        <v>si</v>
      </c>
    </row>
    <row r="1203" spans="1:12">
      <c r="A1203">
        <v>101202</v>
      </c>
      <c r="B1203">
        <v>29</v>
      </c>
      <c r="C1203" s="2">
        <v>34000</v>
      </c>
      <c r="D1203" t="s">
        <v>12</v>
      </c>
      <c r="E1203" s="2">
        <v>42500</v>
      </c>
      <c r="F1203" s="2">
        <v>0</v>
      </c>
      <c r="G1203" t="s">
        <v>19</v>
      </c>
      <c r="H1203" t="s">
        <v>17</v>
      </c>
      <c r="I1203" t="s">
        <v>18</v>
      </c>
      <c r="J1203" s="3">
        <v>45601</v>
      </c>
      <c r="K1203" s="4">
        <f>ClientiBanca[[#This Row],[Prestito]]+ClientiBanca[[#This Row],[Mutuo]]</f>
        <v>42500</v>
      </c>
      <c r="L1203" t="str">
        <f>IF(ClientiBanca[[#This Row],[Reddito annuo]]&gt;=70000,"si","no")</f>
        <v>no</v>
      </c>
    </row>
    <row r="1204" spans="1:12">
      <c r="A1204">
        <v>101203</v>
      </c>
      <c r="B1204">
        <v>37</v>
      </c>
      <c r="C1204" s="2">
        <v>57000</v>
      </c>
      <c r="D1204" t="s">
        <v>21</v>
      </c>
      <c r="E1204" s="2">
        <v>0</v>
      </c>
      <c r="F1204" s="2">
        <v>0</v>
      </c>
      <c r="G1204" t="s">
        <v>16</v>
      </c>
      <c r="H1204" t="s">
        <v>20</v>
      </c>
      <c r="I1204" t="s">
        <v>18</v>
      </c>
      <c r="J1204" s="3">
        <v>45387</v>
      </c>
      <c r="K1204" s="4">
        <f>ClientiBanca[[#This Row],[Prestito]]+ClientiBanca[[#This Row],[Mutuo]]</f>
        <v>0</v>
      </c>
      <c r="L1204" t="str">
        <f>IF(ClientiBanca[[#This Row],[Reddito annuo]]&gt;=70000,"si","no")</f>
        <v>no</v>
      </c>
    </row>
    <row r="1205" spans="1:12">
      <c r="A1205">
        <v>101204</v>
      </c>
      <c r="B1205">
        <v>34</v>
      </c>
      <c r="C1205" s="2">
        <v>111900</v>
      </c>
      <c r="D1205" t="s">
        <v>12</v>
      </c>
      <c r="E1205" s="2">
        <v>65800</v>
      </c>
      <c r="F1205" s="2">
        <v>0</v>
      </c>
      <c r="G1205" t="s">
        <v>23</v>
      </c>
      <c r="H1205" t="s">
        <v>20</v>
      </c>
      <c r="I1205" t="s">
        <v>18</v>
      </c>
      <c r="J1205" s="3">
        <v>46037</v>
      </c>
      <c r="K1205" s="4">
        <f>ClientiBanca[[#This Row],[Prestito]]+ClientiBanca[[#This Row],[Mutuo]]</f>
        <v>65800</v>
      </c>
      <c r="L1205" t="str">
        <f>IF(ClientiBanca[[#This Row],[Reddito annuo]]&gt;=70000,"si","no")</f>
        <v>si</v>
      </c>
    </row>
    <row r="1206" spans="1:12">
      <c r="A1206">
        <v>101205</v>
      </c>
      <c r="B1206">
        <v>45</v>
      </c>
      <c r="C1206" s="2">
        <v>108100</v>
      </c>
      <c r="D1206" t="s">
        <v>12</v>
      </c>
      <c r="E1206" s="2">
        <v>31100</v>
      </c>
      <c r="F1206" s="2">
        <v>0</v>
      </c>
      <c r="G1206" t="s">
        <v>27</v>
      </c>
      <c r="H1206" t="s">
        <v>20</v>
      </c>
      <c r="I1206" t="s">
        <v>18</v>
      </c>
      <c r="J1206" s="3">
        <v>45670</v>
      </c>
      <c r="K1206" s="4">
        <f>ClientiBanca[[#This Row],[Prestito]]+ClientiBanca[[#This Row],[Mutuo]]</f>
        <v>31100</v>
      </c>
      <c r="L1206" t="str">
        <f>IF(ClientiBanca[[#This Row],[Reddito annuo]]&gt;=70000,"si","no")</f>
        <v>si</v>
      </c>
    </row>
    <row r="1207" spans="1:12">
      <c r="A1207">
        <v>101206</v>
      </c>
      <c r="B1207">
        <v>50</v>
      </c>
      <c r="C1207" s="2">
        <v>64400</v>
      </c>
      <c r="D1207" t="s">
        <v>12</v>
      </c>
      <c r="E1207" s="2">
        <v>55300</v>
      </c>
      <c r="F1207" s="2">
        <v>0</v>
      </c>
      <c r="G1207" t="s">
        <v>13</v>
      </c>
      <c r="H1207" t="s">
        <v>17</v>
      </c>
      <c r="I1207" t="s">
        <v>18</v>
      </c>
      <c r="J1207" s="3">
        <v>46256</v>
      </c>
      <c r="K1207" s="4">
        <f>ClientiBanca[[#This Row],[Prestito]]+ClientiBanca[[#This Row],[Mutuo]]</f>
        <v>55300</v>
      </c>
      <c r="L1207" t="str">
        <f>IF(ClientiBanca[[#This Row],[Reddito annuo]]&gt;=70000,"si","no")</f>
        <v>no</v>
      </c>
    </row>
    <row r="1208" spans="1:12">
      <c r="A1208">
        <v>101207</v>
      </c>
      <c r="B1208">
        <v>51</v>
      </c>
      <c r="C1208" s="2">
        <v>66700</v>
      </c>
      <c r="D1208" t="s">
        <v>21</v>
      </c>
      <c r="E1208" s="2">
        <v>58000</v>
      </c>
      <c r="F1208" s="2">
        <v>0</v>
      </c>
      <c r="G1208" t="s">
        <v>23</v>
      </c>
      <c r="H1208" t="s">
        <v>20</v>
      </c>
      <c r="I1208" t="s">
        <v>18</v>
      </c>
      <c r="J1208" s="3">
        <v>45713</v>
      </c>
      <c r="K1208" s="4">
        <f>ClientiBanca[[#This Row],[Prestito]]+ClientiBanca[[#This Row],[Mutuo]]</f>
        <v>58000</v>
      </c>
      <c r="L1208" t="str">
        <f>IF(ClientiBanca[[#This Row],[Reddito annuo]]&gt;=70000,"si","no")</f>
        <v>no</v>
      </c>
    </row>
    <row r="1209" spans="1:12">
      <c r="A1209">
        <v>101208</v>
      </c>
      <c r="B1209">
        <v>39</v>
      </c>
      <c r="C1209" s="2">
        <v>79400</v>
      </c>
      <c r="D1209" t="s">
        <v>22</v>
      </c>
      <c r="E1209" s="2">
        <v>45600</v>
      </c>
      <c r="F1209" s="2">
        <v>0</v>
      </c>
      <c r="G1209" t="s">
        <v>27</v>
      </c>
      <c r="H1209" t="s">
        <v>20</v>
      </c>
      <c r="I1209" t="s">
        <v>18</v>
      </c>
      <c r="J1209" s="3">
        <v>45867</v>
      </c>
      <c r="K1209" s="4">
        <f>ClientiBanca[[#This Row],[Prestito]]+ClientiBanca[[#This Row],[Mutuo]]</f>
        <v>45600</v>
      </c>
      <c r="L1209" t="str">
        <f>IF(ClientiBanca[[#This Row],[Reddito annuo]]&gt;=70000,"si","no")</f>
        <v>si</v>
      </c>
    </row>
    <row r="1210" spans="1:12">
      <c r="A1210">
        <v>101209</v>
      </c>
      <c r="B1210">
        <v>70</v>
      </c>
      <c r="C1210" s="2">
        <v>59000</v>
      </c>
      <c r="D1210" t="s">
        <v>21</v>
      </c>
      <c r="E1210" s="2">
        <v>0</v>
      </c>
      <c r="F1210" s="2">
        <v>0</v>
      </c>
      <c r="G1210" t="s">
        <v>28</v>
      </c>
      <c r="H1210" t="s">
        <v>17</v>
      </c>
      <c r="I1210" t="s">
        <v>18</v>
      </c>
      <c r="J1210" s="3">
        <v>45818</v>
      </c>
      <c r="K1210" s="4">
        <f>ClientiBanca[[#This Row],[Prestito]]+ClientiBanca[[#This Row],[Mutuo]]</f>
        <v>0</v>
      </c>
      <c r="L1210" t="str">
        <f>IF(ClientiBanca[[#This Row],[Reddito annuo]]&gt;=70000,"si","no")</f>
        <v>no</v>
      </c>
    </row>
    <row r="1211" spans="1:12">
      <c r="A1211">
        <v>101210</v>
      </c>
      <c r="B1211">
        <v>55</v>
      </c>
      <c r="C1211" s="2">
        <v>92700</v>
      </c>
      <c r="D1211" t="s">
        <v>22</v>
      </c>
      <c r="E1211" s="2">
        <v>14200</v>
      </c>
      <c r="F1211" s="2">
        <v>0</v>
      </c>
      <c r="G1211" t="s">
        <v>16</v>
      </c>
      <c r="H1211" t="s">
        <v>20</v>
      </c>
      <c r="I1211" t="s">
        <v>15</v>
      </c>
      <c r="J1211" s="3">
        <v>45824</v>
      </c>
      <c r="K1211" s="4">
        <f>ClientiBanca[[#This Row],[Prestito]]+ClientiBanca[[#This Row],[Mutuo]]</f>
        <v>14200</v>
      </c>
      <c r="L1211" t="str">
        <f>IF(ClientiBanca[[#This Row],[Reddito annuo]]&gt;=70000,"si","no")</f>
        <v>si</v>
      </c>
    </row>
    <row r="1212" spans="1:12">
      <c r="A1212">
        <v>101211</v>
      </c>
      <c r="B1212">
        <v>67</v>
      </c>
      <c r="C1212" s="2">
        <v>36100</v>
      </c>
      <c r="D1212" t="s">
        <v>21</v>
      </c>
      <c r="E1212" s="2">
        <v>0</v>
      </c>
      <c r="F1212" s="2">
        <v>318000</v>
      </c>
      <c r="G1212" t="s">
        <v>28</v>
      </c>
      <c r="H1212" t="s">
        <v>17</v>
      </c>
      <c r="I1212" t="s">
        <v>18</v>
      </c>
      <c r="J1212" s="3">
        <v>46114</v>
      </c>
      <c r="K1212" s="4">
        <f>ClientiBanca[[#This Row],[Prestito]]+ClientiBanca[[#This Row],[Mutuo]]</f>
        <v>318000</v>
      </c>
      <c r="L1212" t="str">
        <f>IF(ClientiBanca[[#This Row],[Reddito annuo]]&gt;=70000,"si","no")</f>
        <v>no</v>
      </c>
    </row>
    <row r="1213" spans="1:12">
      <c r="A1213">
        <v>101212</v>
      </c>
      <c r="B1213">
        <v>53</v>
      </c>
      <c r="C1213" s="2">
        <v>58900</v>
      </c>
      <c r="D1213" t="s">
        <v>12</v>
      </c>
      <c r="E1213" s="2">
        <v>28300</v>
      </c>
      <c r="F1213" s="2">
        <v>0</v>
      </c>
      <c r="G1213" t="s">
        <v>16</v>
      </c>
      <c r="H1213" t="s">
        <v>25</v>
      </c>
      <c r="I1213" t="s">
        <v>18</v>
      </c>
      <c r="J1213" s="3">
        <v>46193</v>
      </c>
      <c r="K1213" s="4">
        <f>ClientiBanca[[#This Row],[Prestito]]+ClientiBanca[[#This Row],[Mutuo]]</f>
        <v>28300</v>
      </c>
      <c r="L1213" t="str">
        <f>IF(ClientiBanca[[#This Row],[Reddito annuo]]&gt;=70000,"si","no")</f>
        <v>no</v>
      </c>
    </row>
    <row r="1214" spans="1:12">
      <c r="A1214">
        <v>101213</v>
      </c>
      <c r="B1214">
        <v>63</v>
      </c>
      <c r="C1214" s="2">
        <v>45200</v>
      </c>
      <c r="D1214" t="s">
        <v>21</v>
      </c>
      <c r="E1214" s="2">
        <v>0</v>
      </c>
      <c r="F1214" s="2">
        <v>0</v>
      </c>
      <c r="G1214" t="s">
        <v>24</v>
      </c>
      <c r="H1214" t="s">
        <v>20</v>
      </c>
      <c r="I1214" t="s">
        <v>18</v>
      </c>
      <c r="J1214" s="3">
        <v>45827</v>
      </c>
      <c r="K1214" s="4">
        <f>ClientiBanca[[#This Row],[Prestito]]+ClientiBanca[[#This Row],[Mutuo]]</f>
        <v>0</v>
      </c>
      <c r="L1214" t="str">
        <f>IF(ClientiBanca[[#This Row],[Reddito annuo]]&gt;=70000,"si","no")</f>
        <v>no</v>
      </c>
    </row>
    <row r="1215" spans="1:12">
      <c r="A1215">
        <v>101214</v>
      </c>
      <c r="B1215">
        <v>63</v>
      </c>
      <c r="C1215" s="2">
        <v>41400</v>
      </c>
      <c r="D1215" t="s">
        <v>12</v>
      </c>
      <c r="E1215" s="2">
        <v>34800</v>
      </c>
      <c r="F1215" s="2">
        <v>0</v>
      </c>
      <c r="G1215" t="s">
        <v>28</v>
      </c>
      <c r="H1215" t="s">
        <v>17</v>
      </c>
      <c r="I1215" t="s">
        <v>18</v>
      </c>
      <c r="J1215" s="3">
        <v>46056</v>
      </c>
      <c r="K1215" s="4">
        <f>ClientiBanca[[#This Row],[Prestito]]+ClientiBanca[[#This Row],[Mutuo]]</f>
        <v>34800</v>
      </c>
      <c r="L1215" t="str">
        <f>IF(ClientiBanca[[#This Row],[Reddito annuo]]&gt;=70000,"si","no")</f>
        <v>no</v>
      </c>
    </row>
    <row r="1216" spans="1:12">
      <c r="A1216">
        <v>101215</v>
      </c>
      <c r="B1216">
        <v>66</v>
      </c>
      <c r="C1216" s="2">
        <v>123900</v>
      </c>
      <c r="D1216" t="s">
        <v>22</v>
      </c>
      <c r="E1216" s="2">
        <v>47500</v>
      </c>
      <c r="F1216" s="2">
        <v>0</v>
      </c>
      <c r="G1216" t="s">
        <v>19</v>
      </c>
      <c r="H1216" t="s">
        <v>20</v>
      </c>
      <c r="I1216" t="s">
        <v>18</v>
      </c>
      <c r="J1216" s="3">
        <v>45360</v>
      </c>
      <c r="K1216" s="4">
        <f>ClientiBanca[[#This Row],[Prestito]]+ClientiBanca[[#This Row],[Mutuo]]</f>
        <v>47500</v>
      </c>
      <c r="L1216" t="str">
        <f>IF(ClientiBanca[[#This Row],[Reddito annuo]]&gt;=70000,"si","no")</f>
        <v>si</v>
      </c>
    </row>
    <row r="1217" spans="1:12">
      <c r="A1217">
        <v>101216</v>
      </c>
      <c r="B1217">
        <v>20</v>
      </c>
      <c r="C1217" s="2">
        <v>47600</v>
      </c>
      <c r="D1217" t="s">
        <v>21</v>
      </c>
      <c r="E1217" s="2">
        <v>35900</v>
      </c>
      <c r="F1217" s="2">
        <v>0</v>
      </c>
      <c r="G1217" t="s">
        <v>27</v>
      </c>
      <c r="H1217" t="s">
        <v>17</v>
      </c>
      <c r="I1217" t="s">
        <v>18</v>
      </c>
      <c r="J1217" s="3">
        <v>45360</v>
      </c>
      <c r="K1217" s="4">
        <f>ClientiBanca[[#This Row],[Prestito]]+ClientiBanca[[#This Row],[Mutuo]]</f>
        <v>35900</v>
      </c>
      <c r="L1217" t="str">
        <f>IF(ClientiBanca[[#This Row],[Reddito annuo]]&gt;=70000,"si","no")</f>
        <v>no</v>
      </c>
    </row>
    <row r="1218" spans="1:12">
      <c r="A1218">
        <v>101217</v>
      </c>
      <c r="B1218">
        <v>42</v>
      </c>
      <c r="C1218" s="2">
        <v>70100</v>
      </c>
      <c r="D1218" t="s">
        <v>22</v>
      </c>
      <c r="E1218" s="2">
        <v>6500</v>
      </c>
      <c r="F1218" s="2">
        <v>166000</v>
      </c>
      <c r="G1218" t="s">
        <v>16</v>
      </c>
      <c r="H1218" t="s">
        <v>17</v>
      </c>
      <c r="I1218" t="s">
        <v>18</v>
      </c>
      <c r="J1218" s="3">
        <v>45931</v>
      </c>
      <c r="K1218" s="4">
        <f>ClientiBanca[[#This Row],[Prestito]]+ClientiBanca[[#This Row],[Mutuo]]</f>
        <v>172500</v>
      </c>
      <c r="L1218" t="str">
        <f>IF(ClientiBanca[[#This Row],[Reddito annuo]]&gt;=70000,"si","no")</f>
        <v>si</v>
      </c>
    </row>
    <row r="1219" spans="1:12">
      <c r="A1219">
        <v>101218</v>
      </c>
      <c r="B1219">
        <v>69</v>
      </c>
      <c r="C1219" s="2">
        <v>53300</v>
      </c>
      <c r="D1219" t="s">
        <v>21</v>
      </c>
      <c r="E1219" s="2">
        <v>43500</v>
      </c>
      <c r="F1219" s="2">
        <v>138000</v>
      </c>
      <c r="G1219" t="s">
        <v>23</v>
      </c>
      <c r="H1219" t="s">
        <v>20</v>
      </c>
      <c r="I1219" t="s">
        <v>18</v>
      </c>
      <c r="J1219" s="3">
        <v>45396</v>
      </c>
      <c r="K1219" s="4">
        <f>ClientiBanca[[#This Row],[Prestito]]+ClientiBanca[[#This Row],[Mutuo]]</f>
        <v>181500</v>
      </c>
      <c r="L1219" t="str">
        <f>IF(ClientiBanca[[#This Row],[Reddito annuo]]&gt;=70000,"si","no")</f>
        <v>no</v>
      </c>
    </row>
    <row r="1220" spans="1:12">
      <c r="A1220">
        <v>101219</v>
      </c>
      <c r="B1220">
        <v>28</v>
      </c>
      <c r="C1220" s="2">
        <v>85300</v>
      </c>
      <c r="D1220" t="s">
        <v>12</v>
      </c>
      <c r="E1220" s="2">
        <v>0</v>
      </c>
      <c r="F1220" s="2">
        <v>0</v>
      </c>
      <c r="G1220" t="s">
        <v>26</v>
      </c>
      <c r="H1220" t="s">
        <v>25</v>
      </c>
      <c r="I1220" t="s">
        <v>18</v>
      </c>
      <c r="J1220" s="3">
        <v>46046</v>
      </c>
      <c r="K1220" s="4">
        <f>ClientiBanca[[#This Row],[Prestito]]+ClientiBanca[[#This Row],[Mutuo]]</f>
        <v>0</v>
      </c>
      <c r="L1220" t="str">
        <f>IF(ClientiBanca[[#This Row],[Reddito annuo]]&gt;=70000,"si","no")</f>
        <v>si</v>
      </c>
    </row>
    <row r="1221" spans="1:12">
      <c r="A1221">
        <v>101220</v>
      </c>
      <c r="B1221">
        <v>75</v>
      </c>
      <c r="C1221" s="2">
        <v>68500</v>
      </c>
      <c r="D1221" t="s">
        <v>22</v>
      </c>
      <c r="E1221" s="2">
        <v>3900</v>
      </c>
      <c r="F1221" s="2">
        <v>0</v>
      </c>
      <c r="G1221" t="s">
        <v>23</v>
      </c>
      <c r="H1221" t="s">
        <v>20</v>
      </c>
      <c r="I1221" t="s">
        <v>18</v>
      </c>
      <c r="J1221" s="3">
        <v>45442</v>
      </c>
      <c r="K1221" s="4">
        <f>ClientiBanca[[#This Row],[Prestito]]+ClientiBanca[[#This Row],[Mutuo]]</f>
        <v>3900</v>
      </c>
      <c r="L1221" t="str">
        <f>IF(ClientiBanca[[#This Row],[Reddito annuo]]&gt;=70000,"si","no")</f>
        <v>no</v>
      </c>
    </row>
    <row r="1222" spans="1:12">
      <c r="A1222">
        <v>101221</v>
      </c>
      <c r="B1222">
        <v>29</v>
      </c>
      <c r="C1222" s="2">
        <v>39000</v>
      </c>
      <c r="D1222" t="s">
        <v>22</v>
      </c>
      <c r="E1222" s="2">
        <v>48800</v>
      </c>
      <c r="F1222" s="2">
        <v>210000</v>
      </c>
      <c r="G1222" t="s">
        <v>28</v>
      </c>
      <c r="H1222" t="s">
        <v>17</v>
      </c>
      <c r="I1222" t="s">
        <v>18</v>
      </c>
      <c r="J1222" s="3">
        <v>45601</v>
      </c>
      <c r="K1222" s="4">
        <f>ClientiBanca[[#This Row],[Prestito]]+ClientiBanca[[#This Row],[Mutuo]]</f>
        <v>258800</v>
      </c>
      <c r="L1222" t="str">
        <f>IF(ClientiBanca[[#This Row],[Reddito annuo]]&gt;=70000,"si","no")</f>
        <v>no</v>
      </c>
    </row>
    <row r="1223" spans="1:12">
      <c r="A1223">
        <v>101222</v>
      </c>
      <c r="B1223">
        <v>52</v>
      </c>
      <c r="C1223" s="2">
        <v>81400</v>
      </c>
      <c r="D1223" t="s">
        <v>21</v>
      </c>
      <c r="E1223" s="2">
        <v>52200</v>
      </c>
      <c r="F1223" s="2">
        <v>0</v>
      </c>
      <c r="G1223" t="s">
        <v>19</v>
      </c>
      <c r="H1223" t="s">
        <v>20</v>
      </c>
      <c r="I1223" t="s">
        <v>18</v>
      </c>
      <c r="J1223" s="3">
        <v>45835</v>
      </c>
      <c r="K1223" s="4">
        <f>ClientiBanca[[#This Row],[Prestito]]+ClientiBanca[[#This Row],[Mutuo]]</f>
        <v>52200</v>
      </c>
      <c r="L1223" t="str">
        <f>IF(ClientiBanca[[#This Row],[Reddito annuo]]&gt;=70000,"si","no")</f>
        <v>si</v>
      </c>
    </row>
    <row r="1224" spans="1:12">
      <c r="A1224">
        <v>101223</v>
      </c>
      <c r="B1224">
        <v>25</v>
      </c>
      <c r="C1224" s="2">
        <v>96100</v>
      </c>
      <c r="D1224" t="s">
        <v>22</v>
      </c>
      <c r="E1224" s="2">
        <v>0</v>
      </c>
      <c r="F1224" s="2">
        <v>0</v>
      </c>
      <c r="G1224" t="s">
        <v>26</v>
      </c>
      <c r="H1224" t="s">
        <v>17</v>
      </c>
      <c r="I1224" t="s">
        <v>18</v>
      </c>
      <c r="J1224" s="3">
        <v>46152</v>
      </c>
      <c r="K1224" s="4">
        <f>ClientiBanca[[#This Row],[Prestito]]+ClientiBanca[[#This Row],[Mutuo]]</f>
        <v>0</v>
      </c>
      <c r="L1224" t="str">
        <f>IF(ClientiBanca[[#This Row],[Reddito annuo]]&gt;=70000,"si","no")</f>
        <v>si</v>
      </c>
    </row>
    <row r="1225" spans="1:12">
      <c r="A1225">
        <v>101224</v>
      </c>
      <c r="B1225">
        <v>47</v>
      </c>
      <c r="C1225" s="2">
        <v>64200</v>
      </c>
      <c r="D1225" t="s">
        <v>21</v>
      </c>
      <c r="E1225" s="2">
        <v>0</v>
      </c>
      <c r="F1225" s="2">
        <v>0</v>
      </c>
      <c r="G1225" t="s">
        <v>16</v>
      </c>
      <c r="H1225" t="s">
        <v>17</v>
      </c>
      <c r="I1225" t="s">
        <v>18</v>
      </c>
      <c r="J1225" s="3">
        <v>45474</v>
      </c>
      <c r="K1225" s="4">
        <f>ClientiBanca[[#This Row],[Prestito]]+ClientiBanca[[#This Row],[Mutuo]]</f>
        <v>0</v>
      </c>
      <c r="L1225" t="str">
        <f>IF(ClientiBanca[[#This Row],[Reddito annuo]]&gt;=70000,"si","no")</f>
        <v>no</v>
      </c>
    </row>
    <row r="1226" spans="1:12">
      <c r="A1226">
        <v>101225</v>
      </c>
      <c r="B1226">
        <v>21</v>
      </c>
      <c r="C1226" s="2">
        <v>93700</v>
      </c>
      <c r="D1226" t="s">
        <v>22</v>
      </c>
      <c r="E1226" s="2">
        <v>0</v>
      </c>
      <c r="F1226" s="2">
        <v>0</v>
      </c>
      <c r="G1226" t="s">
        <v>16</v>
      </c>
      <c r="H1226" t="s">
        <v>20</v>
      </c>
      <c r="I1226" t="s">
        <v>18</v>
      </c>
      <c r="J1226" s="3">
        <v>45865</v>
      </c>
      <c r="K1226" s="4">
        <f>ClientiBanca[[#This Row],[Prestito]]+ClientiBanca[[#This Row],[Mutuo]]</f>
        <v>0</v>
      </c>
      <c r="L1226" t="str">
        <f>IF(ClientiBanca[[#This Row],[Reddito annuo]]&gt;=70000,"si","no")</f>
        <v>si</v>
      </c>
    </row>
    <row r="1227" spans="1:12">
      <c r="A1227">
        <v>101226</v>
      </c>
      <c r="B1227">
        <v>32</v>
      </c>
      <c r="C1227" s="2">
        <v>52000</v>
      </c>
      <c r="D1227" t="s">
        <v>21</v>
      </c>
      <c r="E1227" s="2">
        <v>0</v>
      </c>
      <c r="F1227" s="2">
        <v>196000</v>
      </c>
      <c r="G1227" t="s">
        <v>23</v>
      </c>
      <c r="H1227" t="s">
        <v>20</v>
      </c>
      <c r="I1227" t="s">
        <v>18</v>
      </c>
      <c r="J1227" s="3">
        <v>45609</v>
      </c>
      <c r="K1227" s="4">
        <f>ClientiBanca[[#This Row],[Prestito]]+ClientiBanca[[#This Row],[Mutuo]]</f>
        <v>196000</v>
      </c>
      <c r="L1227" t="str">
        <f>IF(ClientiBanca[[#This Row],[Reddito annuo]]&gt;=70000,"si","no")</f>
        <v>no</v>
      </c>
    </row>
    <row r="1228" spans="1:12">
      <c r="A1228">
        <v>101227</v>
      </c>
      <c r="B1228">
        <v>41</v>
      </c>
      <c r="C1228" s="2">
        <v>33900</v>
      </c>
      <c r="D1228" t="s">
        <v>21</v>
      </c>
      <c r="E1228" s="2">
        <v>42400</v>
      </c>
      <c r="F1228" s="2">
        <v>0</v>
      </c>
      <c r="G1228" t="s">
        <v>27</v>
      </c>
      <c r="H1228" t="s">
        <v>14</v>
      </c>
      <c r="I1228" t="s">
        <v>18</v>
      </c>
      <c r="J1228" s="3">
        <v>45699</v>
      </c>
      <c r="K1228" s="4">
        <f>ClientiBanca[[#This Row],[Prestito]]+ClientiBanca[[#This Row],[Mutuo]]</f>
        <v>42400</v>
      </c>
      <c r="L1228" t="str">
        <f>IF(ClientiBanca[[#This Row],[Reddito annuo]]&gt;=70000,"si","no")</f>
        <v>no</v>
      </c>
    </row>
    <row r="1229" spans="1:12">
      <c r="A1229">
        <v>101228</v>
      </c>
      <c r="B1229">
        <v>22</v>
      </c>
      <c r="C1229" s="2">
        <v>123500</v>
      </c>
      <c r="D1229" t="s">
        <v>12</v>
      </c>
      <c r="E1229" s="2">
        <v>11000</v>
      </c>
      <c r="F1229" s="2">
        <v>0</v>
      </c>
      <c r="G1229" t="s">
        <v>27</v>
      </c>
      <c r="H1229" t="s">
        <v>14</v>
      </c>
      <c r="I1229" t="s">
        <v>18</v>
      </c>
      <c r="J1229" s="3">
        <v>45914</v>
      </c>
      <c r="K1229" s="4">
        <f>ClientiBanca[[#This Row],[Prestito]]+ClientiBanca[[#This Row],[Mutuo]]</f>
        <v>11000</v>
      </c>
      <c r="L1229" t="str">
        <f>IF(ClientiBanca[[#This Row],[Reddito annuo]]&gt;=70000,"si","no")</f>
        <v>si</v>
      </c>
    </row>
    <row r="1230" spans="1:12">
      <c r="A1230">
        <v>101229</v>
      </c>
      <c r="B1230">
        <v>60</v>
      </c>
      <c r="C1230" s="2">
        <v>56700</v>
      </c>
      <c r="D1230" t="s">
        <v>21</v>
      </c>
      <c r="E1230" s="2">
        <v>0</v>
      </c>
      <c r="F1230" s="2">
        <v>0</v>
      </c>
      <c r="G1230" t="s">
        <v>13</v>
      </c>
      <c r="H1230" t="s">
        <v>20</v>
      </c>
      <c r="I1230" t="s">
        <v>18</v>
      </c>
      <c r="J1230" s="3">
        <v>45321</v>
      </c>
      <c r="K1230" s="4">
        <f>ClientiBanca[[#This Row],[Prestito]]+ClientiBanca[[#This Row],[Mutuo]]</f>
        <v>0</v>
      </c>
      <c r="L1230" t="str">
        <f>IF(ClientiBanca[[#This Row],[Reddito annuo]]&gt;=70000,"si","no")</f>
        <v>no</v>
      </c>
    </row>
    <row r="1231" spans="1:12">
      <c r="A1231">
        <v>101230</v>
      </c>
      <c r="B1231">
        <v>59</v>
      </c>
      <c r="C1231" s="2">
        <v>97700</v>
      </c>
      <c r="D1231" t="s">
        <v>21</v>
      </c>
      <c r="E1231" s="2">
        <v>0</v>
      </c>
      <c r="F1231" s="2">
        <v>0</v>
      </c>
      <c r="G1231" t="s">
        <v>24</v>
      </c>
      <c r="H1231" t="s">
        <v>20</v>
      </c>
      <c r="I1231" t="s">
        <v>18</v>
      </c>
      <c r="J1231" s="3">
        <v>46146</v>
      </c>
      <c r="K1231" s="4">
        <f>ClientiBanca[[#This Row],[Prestito]]+ClientiBanca[[#This Row],[Mutuo]]</f>
        <v>0</v>
      </c>
      <c r="L1231" t="str">
        <f>IF(ClientiBanca[[#This Row],[Reddito annuo]]&gt;=70000,"si","no")</f>
        <v>si</v>
      </c>
    </row>
    <row r="1232" spans="1:12">
      <c r="A1232">
        <v>101231</v>
      </c>
      <c r="B1232">
        <v>74</v>
      </c>
      <c r="C1232" s="2">
        <v>35900</v>
      </c>
      <c r="D1232" t="s">
        <v>21</v>
      </c>
      <c r="E1232" s="2">
        <v>24100</v>
      </c>
      <c r="F1232" s="2">
        <v>0</v>
      </c>
      <c r="G1232" t="s">
        <v>26</v>
      </c>
      <c r="H1232" t="s">
        <v>25</v>
      </c>
      <c r="I1232" t="s">
        <v>15</v>
      </c>
      <c r="J1232" s="3">
        <v>45920</v>
      </c>
      <c r="K1232" s="4">
        <f>ClientiBanca[[#This Row],[Prestito]]+ClientiBanca[[#This Row],[Mutuo]]</f>
        <v>24100</v>
      </c>
      <c r="L1232" t="str">
        <f>IF(ClientiBanca[[#This Row],[Reddito annuo]]&gt;=70000,"si","no")</f>
        <v>no</v>
      </c>
    </row>
    <row r="1233" spans="1:12">
      <c r="A1233">
        <v>101232</v>
      </c>
      <c r="B1233">
        <v>67</v>
      </c>
      <c r="C1233" s="2">
        <v>24700</v>
      </c>
      <c r="D1233" t="s">
        <v>22</v>
      </c>
      <c r="E1233" s="2">
        <v>0</v>
      </c>
      <c r="F1233" s="2">
        <v>0</v>
      </c>
      <c r="G1233" t="s">
        <v>24</v>
      </c>
      <c r="H1233" t="s">
        <v>25</v>
      </c>
      <c r="I1233" t="s">
        <v>18</v>
      </c>
      <c r="J1233" s="3">
        <v>45892</v>
      </c>
      <c r="K1233" s="4">
        <f>ClientiBanca[[#This Row],[Prestito]]+ClientiBanca[[#This Row],[Mutuo]]</f>
        <v>0</v>
      </c>
      <c r="L1233" t="str">
        <f>IF(ClientiBanca[[#This Row],[Reddito annuo]]&gt;=70000,"si","no")</f>
        <v>no</v>
      </c>
    </row>
    <row r="1234" spans="1:12">
      <c r="A1234">
        <v>101233</v>
      </c>
      <c r="B1234">
        <v>66</v>
      </c>
      <c r="C1234" s="2">
        <v>106600</v>
      </c>
      <c r="D1234" t="s">
        <v>12</v>
      </c>
      <c r="E1234" s="2">
        <v>0</v>
      </c>
      <c r="F1234" s="2">
        <v>0</v>
      </c>
      <c r="G1234" t="s">
        <v>27</v>
      </c>
      <c r="H1234" t="s">
        <v>20</v>
      </c>
      <c r="I1234" t="s">
        <v>18</v>
      </c>
      <c r="J1234" s="3">
        <v>46136</v>
      </c>
      <c r="K1234" s="4">
        <f>ClientiBanca[[#This Row],[Prestito]]+ClientiBanca[[#This Row],[Mutuo]]</f>
        <v>0</v>
      </c>
      <c r="L1234" t="str">
        <f>IF(ClientiBanca[[#This Row],[Reddito annuo]]&gt;=70000,"si","no")</f>
        <v>si</v>
      </c>
    </row>
    <row r="1235" spans="1:12">
      <c r="A1235">
        <v>101234</v>
      </c>
      <c r="B1235">
        <v>68</v>
      </c>
      <c r="C1235" s="2">
        <v>59900</v>
      </c>
      <c r="D1235" t="s">
        <v>12</v>
      </c>
      <c r="E1235" s="2">
        <v>30600</v>
      </c>
      <c r="F1235" s="2">
        <v>0</v>
      </c>
      <c r="G1235" t="s">
        <v>23</v>
      </c>
      <c r="H1235" t="s">
        <v>17</v>
      </c>
      <c r="I1235" t="s">
        <v>18</v>
      </c>
      <c r="J1235" s="3">
        <v>45942</v>
      </c>
      <c r="K1235" s="4">
        <f>ClientiBanca[[#This Row],[Prestito]]+ClientiBanca[[#This Row],[Mutuo]]</f>
        <v>30600</v>
      </c>
      <c r="L1235" t="str">
        <f>IF(ClientiBanca[[#This Row],[Reddito annuo]]&gt;=70000,"si","no")</f>
        <v>no</v>
      </c>
    </row>
    <row r="1236" spans="1:12">
      <c r="A1236">
        <v>101235</v>
      </c>
      <c r="B1236">
        <v>67</v>
      </c>
      <c r="C1236" s="2">
        <v>90600</v>
      </c>
      <c r="D1236" t="s">
        <v>22</v>
      </c>
      <c r="E1236" s="2">
        <v>37200</v>
      </c>
      <c r="F1236" s="2">
        <v>201000</v>
      </c>
      <c r="G1236" t="s">
        <v>13</v>
      </c>
      <c r="H1236" t="s">
        <v>17</v>
      </c>
      <c r="I1236" t="s">
        <v>18</v>
      </c>
      <c r="J1236" s="3">
        <v>45411</v>
      </c>
      <c r="K1236" s="4">
        <f>ClientiBanca[[#This Row],[Prestito]]+ClientiBanca[[#This Row],[Mutuo]]</f>
        <v>238200</v>
      </c>
      <c r="L1236" t="str">
        <f>IF(ClientiBanca[[#This Row],[Reddito annuo]]&gt;=70000,"si","no")</f>
        <v>si</v>
      </c>
    </row>
    <row r="1237" spans="1:12">
      <c r="A1237">
        <v>101236</v>
      </c>
      <c r="B1237">
        <v>25</v>
      </c>
      <c r="C1237" s="2">
        <v>40100</v>
      </c>
      <c r="D1237" t="s">
        <v>21</v>
      </c>
      <c r="E1237" s="2">
        <v>41400</v>
      </c>
      <c r="F1237" s="2">
        <v>142000</v>
      </c>
      <c r="G1237" t="s">
        <v>27</v>
      </c>
      <c r="H1237" t="s">
        <v>17</v>
      </c>
      <c r="I1237" t="s">
        <v>18</v>
      </c>
      <c r="J1237" s="3">
        <v>45375</v>
      </c>
      <c r="K1237" s="4">
        <f>ClientiBanca[[#This Row],[Prestito]]+ClientiBanca[[#This Row],[Mutuo]]</f>
        <v>183400</v>
      </c>
      <c r="L1237" t="str">
        <f>IF(ClientiBanca[[#This Row],[Reddito annuo]]&gt;=70000,"si","no")</f>
        <v>no</v>
      </c>
    </row>
    <row r="1238" spans="1:12">
      <c r="A1238">
        <v>101237</v>
      </c>
      <c r="B1238">
        <v>66</v>
      </c>
      <c r="C1238" s="2">
        <v>106300</v>
      </c>
      <c r="D1238" t="s">
        <v>21</v>
      </c>
      <c r="E1238" s="2">
        <v>70900</v>
      </c>
      <c r="F1238" s="2">
        <v>0</v>
      </c>
      <c r="G1238" t="s">
        <v>24</v>
      </c>
      <c r="H1238" t="s">
        <v>20</v>
      </c>
      <c r="I1238" t="s">
        <v>18</v>
      </c>
      <c r="J1238" s="3">
        <v>45585</v>
      </c>
      <c r="K1238" s="4">
        <f>ClientiBanca[[#This Row],[Prestito]]+ClientiBanca[[#This Row],[Mutuo]]</f>
        <v>70900</v>
      </c>
      <c r="L1238" t="str">
        <f>IF(ClientiBanca[[#This Row],[Reddito annuo]]&gt;=70000,"si","no")</f>
        <v>si</v>
      </c>
    </row>
    <row r="1239" spans="1:12">
      <c r="A1239">
        <v>101238</v>
      </c>
      <c r="B1239">
        <v>31</v>
      </c>
      <c r="C1239" s="2">
        <v>45700</v>
      </c>
      <c r="D1239" t="s">
        <v>12</v>
      </c>
      <c r="E1239" s="2">
        <v>57100</v>
      </c>
      <c r="F1239" s="2">
        <v>149000</v>
      </c>
      <c r="G1239" t="s">
        <v>26</v>
      </c>
      <c r="H1239" t="s">
        <v>20</v>
      </c>
      <c r="I1239" t="s">
        <v>18</v>
      </c>
      <c r="J1239" s="3">
        <v>45386</v>
      </c>
      <c r="K1239" s="4">
        <f>ClientiBanca[[#This Row],[Prestito]]+ClientiBanca[[#This Row],[Mutuo]]</f>
        <v>206100</v>
      </c>
      <c r="L1239" t="str">
        <f>IF(ClientiBanca[[#This Row],[Reddito annuo]]&gt;=70000,"si","no")</f>
        <v>no</v>
      </c>
    </row>
    <row r="1240" spans="1:12">
      <c r="A1240">
        <v>101239</v>
      </c>
      <c r="B1240">
        <v>51</v>
      </c>
      <c r="C1240" s="2">
        <v>50300</v>
      </c>
      <c r="D1240" t="s">
        <v>21</v>
      </c>
      <c r="E1240" s="2">
        <v>0</v>
      </c>
      <c r="F1240" s="2">
        <v>0</v>
      </c>
      <c r="G1240" t="s">
        <v>24</v>
      </c>
      <c r="H1240" t="s">
        <v>20</v>
      </c>
      <c r="I1240" t="s">
        <v>18</v>
      </c>
      <c r="J1240" s="3">
        <v>46146</v>
      </c>
      <c r="K1240" s="4">
        <f>ClientiBanca[[#This Row],[Prestito]]+ClientiBanca[[#This Row],[Mutuo]]</f>
        <v>0</v>
      </c>
      <c r="L1240" t="str">
        <f>IF(ClientiBanca[[#This Row],[Reddito annuo]]&gt;=70000,"si","no")</f>
        <v>no</v>
      </c>
    </row>
    <row r="1241" spans="1:12">
      <c r="A1241">
        <v>101240</v>
      </c>
      <c r="B1241">
        <v>57</v>
      </c>
      <c r="C1241" s="2">
        <v>52200</v>
      </c>
      <c r="D1241" t="s">
        <v>12</v>
      </c>
      <c r="E1241" s="2">
        <v>46600</v>
      </c>
      <c r="F1241" s="2">
        <v>0</v>
      </c>
      <c r="G1241" t="s">
        <v>26</v>
      </c>
      <c r="H1241" t="s">
        <v>20</v>
      </c>
      <c r="I1241" t="s">
        <v>18</v>
      </c>
      <c r="J1241" s="3">
        <v>45807</v>
      </c>
      <c r="K1241" s="4">
        <f>ClientiBanca[[#This Row],[Prestito]]+ClientiBanca[[#This Row],[Mutuo]]</f>
        <v>46600</v>
      </c>
      <c r="L1241" t="str">
        <f>IF(ClientiBanca[[#This Row],[Reddito annuo]]&gt;=70000,"si","no")</f>
        <v>no</v>
      </c>
    </row>
    <row r="1242" spans="1:12">
      <c r="A1242">
        <v>101241</v>
      </c>
      <c r="B1242">
        <v>55</v>
      </c>
      <c r="C1242" s="2">
        <v>89000</v>
      </c>
      <c r="D1242" t="s">
        <v>12</v>
      </c>
      <c r="E1242" s="2">
        <v>52100</v>
      </c>
      <c r="F1242" s="2">
        <v>201000</v>
      </c>
      <c r="G1242" t="s">
        <v>27</v>
      </c>
      <c r="H1242" t="s">
        <v>14</v>
      </c>
      <c r="I1242" t="s">
        <v>18</v>
      </c>
      <c r="J1242" s="3">
        <v>45938</v>
      </c>
      <c r="K1242" s="4">
        <f>ClientiBanca[[#This Row],[Prestito]]+ClientiBanca[[#This Row],[Mutuo]]</f>
        <v>253100</v>
      </c>
      <c r="L1242" t="str">
        <f>IF(ClientiBanca[[#This Row],[Reddito annuo]]&gt;=70000,"si","no")</f>
        <v>si</v>
      </c>
    </row>
    <row r="1243" spans="1:12">
      <c r="A1243">
        <v>101242</v>
      </c>
      <c r="B1243">
        <v>31</v>
      </c>
      <c r="C1243" s="2">
        <v>58100</v>
      </c>
      <c r="D1243" t="s">
        <v>21</v>
      </c>
      <c r="E1243" s="2">
        <v>37400</v>
      </c>
      <c r="F1243" s="2">
        <v>0</v>
      </c>
      <c r="G1243" t="s">
        <v>27</v>
      </c>
      <c r="H1243" t="s">
        <v>17</v>
      </c>
      <c r="I1243" t="s">
        <v>18</v>
      </c>
      <c r="J1243" s="3">
        <v>45659</v>
      </c>
      <c r="K1243" s="4">
        <f>ClientiBanca[[#This Row],[Prestito]]+ClientiBanca[[#This Row],[Mutuo]]</f>
        <v>37400</v>
      </c>
      <c r="L1243" t="str">
        <f>IF(ClientiBanca[[#This Row],[Reddito annuo]]&gt;=70000,"si","no")</f>
        <v>no</v>
      </c>
    </row>
    <row r="1244" spans="1:12">
      <c r="A1244">
        <v>101243</v>
      </c>
      <c r="B1244">
        <v>75</v>
      </c>
      <c r="C1244" s="2">
        <v>98800</v>
      </c>
      <c r="D1244" t="s">
        <v>21</v>
      </c>
      <c r="E1244" s="2">
        <v>25200</v>
      </c>
      <c r="F1244" s="2">
        <v>0</v>
      </c>
      <c r="G1244" t="s">
        <v>24</v>
      </c>
      <c r="H1244" t="s">
        <v>14</v>
      </c>
      <c r="I1244" t="s">
        <v>18</v>
      </c>
      <c r="J1244" s="3">
        <v>45770</v>
      </c>
      <c r="K1244" s="4">
        <f>ClientiBanca[[#This Row],[Prestito]]+ClientiBanca[[#This Row],[Mutuo]]</f>
        <v>25200</v>
      </c>
      <c r="L1244" t="str">
        <f>IF(ClientiBanca[[#This Row],[Reddito annuo]]&gt;=70000,"si","no")</f>
        <v>si</v>
      </c>
    </row>
    <row r="1245" spans="1:12">
      <c r="A1245">
        <v>101244</v>
      </c>
      <c r="B1245">
        <v>54</v>
      </c>
      <c r="C1245" s="2">
        <v>40400</v>
      </c>
      <c r="D1245" t="s">
        <v>21</v>
      </c>
      <c r="E1245" s="2">
        <v>0</v>
      </c>
      <c r="F1245" s="2">
        <v>0</v>
      </c>
      <c r="G1245" t="s">
        <v>16</v>
      </c>
      <c r="H1245" t="s">
        <v>14</v>
      </c>
      <c r="I1245" t="s">
        <v>18</v>
      </c>
      <c r="J1245" s="3">
        <v>45776</v>
      </c>
      <c r="K1245" s="4">
        <f>ClientiBanca[[#This Row],[Prestito]]+ClientiBanca[[#This Row],[Mutuo]]</f>
        <v>0</v>
      </c>
      <c r="L1245" t="str">
        <f>IF(ClientiBanca[[#This Row],[Reddito annuo]]&gt;=70000,"si","no")</f>
        <v>no</v>
      </c>
    </row>
    <row r="1246" spans="1:12">
      <c r="A1246">
        <v>101245</v>
      </c>
      <c r="B1246">
        <v>73</v>
      </c>
      <c r="C1246" s="2">
        <v>43700</v>
      </c>
      <c r="D1246" t="s">
        <v>12</v>
      </c>
      <c r="E1246" s="2">
        <v>32700</v>
      </c>
      <c r="F1246" s="2">
        <v>0</v>
      </c>
      <c r="G1246" t="s">
        <v>27</v>
      </c>
      <c r="H1246" t="s">
        <v>25</v>
      </c>
      <c r="I1246" t="s">
        <v>18</v>
      </c>
      <c r="J1246" s="3">
        <v>46073</v>
      </c>
      <c r="K1246" s="4">
        <f>ClientiBanca[[#This Row],[Prestito]]+ClientiBanca[[#This Row],[Mutuo]]</f>
        <v>32700</v>
      </c>
      <c r="L1246" t="str">
        <f>IF(ClientiBanca[[#This Row],[Reddito annuo]]&gt;=70000,"si","no")</f>
        <v>no</v>
      </c>
    </row>
    <row r="1247" spans="1:12">
      <c r="A1247">
        <v>101246</v>
      </c>
      <c r="B1247">
        <v>52</v>
      </c>
      <c r="C1247" s="2">
        <v>35000</v>
      </c>
      <c r="D1247" t="s">
        <v>21</v>
      </c>
      <c r="E1247" s="2">
        <v>38300</v>
      </c>
      <c r="F1247" s="2">
        <v>0</v>
      </c>
      <c r="G1247" t="s">
        <v>24</v>
      </c>
      <c r="H1247" t="s">
        <v>17</v>
      </c>
      <c r="I1247" t="s">
        <v>18</v>
      </c>
      <c r="J1247" s="3">
        <v>46199</v>
      </c>
      <c r="K1247" s="4">
        <f>ClientiBanca[[#This Row],[Prestito]]+ClientiBanca[[#This Row],[Mutuo]]</f>
        <v>38300</v>
      </c>
      <c r="L1247" t="str">
        <f>IF(ClientiBanca[[#This Row],[Reddito annuo]]&gt;=70000,"si","no")</f>
        <v>no</v>
      </c>
    </row>
    <row r="1248" spans="1:12">
      <c r="A1248">
        <v>101247</v>
      </c>
      <c r="B1248">
        <v>58</v>
      </c>
      <c r="C1248" s="2">
        <v>111500</v>
      </c>
      <c r="D1248" t="s">
        <v>22</v>
      </c>
      <c r="E1248" s="2">
        <v>76800</v>
      </c>
      <c r="F1248" s="2">
        <v>0</v>
      </c>
      <c r="G1248" t="s">
        <v>24</v>
      </c>
      <c r="H1248" t="s">
        <v>17</v>
      </c>
      <c r="I1248" t="s">
        <v>18</v>
      </c>
      <c r="J1248" s="3">
        <v>45347</v>
      </c>
      <c r="K1248" s="4">
        <f>ClientiBanca[[#This Row],[Prestito]]+ClientiBanca[[#This Row],[Mutuo]]</f>
        <v>76800</v>
      </c>
      <c r="L1248" t="str">
        <f>IF(ClientiBanca[[#This Row],[Reddito annuo]]&gt;=70000,"si","no")</f>
        <v>si</v>
      </c>
    </row>
    <row r="1249" spans="1:12">
      <c r="A1249">
        <v>101248</v>
      </c>
      <c r="B1249">
        <v>25</v>
      </c>
      <c r="C1249" s="2">
        <v>47500</v>
      </c>
      <c r="D1249" t="s">
        <v>12</v>
      </c>
      <c r="E1249" s="2">
        <v>0</v>
      </c>
      <c r="F1249" s="2">
        <v>0</v>
      </c>
      <c r="G1249" t="s">
        <v>24</v>
      </c>
      <c r="H1249" t="s">
        <v>17</v>
      </c>
      <c r="I1249" t="s">
        <v>18</v>
      </c>
      <c r="J1249" s="3">
        <v>45966</v>
      </c>
      <c r="K1249" s="4">
        <f>ClientiBanca[[#This Row],[Prestito]]+ClientiBanca[[#This Row],[Mutuo]]</f>
        <v>0</v>
      </c>
      <c r="L1249" t="str">
        <f>IF(ClientiBanca[[#This Row],[Reddito annuo]]&gt;=70000,"si","no")</f>
        <v>no</v>
      </c>
    </row>
    <row r="1250" spans="1:12">
      <c r="A1250">
        <v>101249</v>
      </c>
      <c r="B1250">
        <v>29</v>
      </c>
      <c r="C1250" s="2">
        <v>41200</v>
      </c>
      <c r="D1250" t="s">
        <v>21</v>
      </c>
      <c r="E1250" s="2">
        <v>18100</v>
      </c>
      <c r="F1250" s="2">
        <v>0</v>
      </c>
      <c r="G1250" t="s">
        <v>16</v>
      </c>
      <c r="H1250" t="s">
        <v>20</v>
      </c>
      <c r="I1250" t="s">
        <v>18</v>
      </c>
      <c r="J1250" s="3">
        <v>45993</v>
      </c>
      <c r="K1250" s="4">
        <f>ClientiBanca[[#This Row],[Prestito]]+ClientiBanca[[#This Row],[Mutuo]]</f>
        <v>18100</v>
      </c>
      <c r="L1250" t="str">
        <f>IF(ClientiBanca[[#This Row],[Reddito annuo]]&gt;=70000,"si","no")</f>
        <v>no</v>
      </c>
    </row>
    <row r="1251" spans="1:12">
      <c r="A1251">
        <v>101250</v>
      </c>
      <c r="B1251">
        <v>55</v>
      </c>
      <c r="C1251" s="2">
        <v>91000</v>
      </c>
      <c r="D1251" t="s">
        <v>21</v>
      </c>
      <c r="E1251" s="2">
        <v>25600</v>
      </c>
      <c r="F1251" s="2">
        <v>0</v>
      </c>
      <c r="G1251" t="s">
        <v>16</v>
      </c>
      <c r="H1251" t="s">
        <v>17</v>
      </c>
      <c r="I1251" t="s">
        <v>18</v>
      </c>
      <c r="J1251" s="3">
        <v>45976</v>
      </c>
      <c r="K1251" s="4">
        <f>ClientiBanca[[#This Row],[Prestito]]+ClientiBanca[[#This Row],[Mutuo]]</f>
        <v>25600</v>
      </c>
      <c r="L1251" t="str">
        <f>IF(ClientiBanca[[#This Row],[Reddito annuo]]&gt;=70000,"si","no")</f>
        <v>si</v>
      </c>
    </row>
    <row r="1252" spans="1:12">
      <c r="A1252">
        <v>101251</v>
      </c>
      <c r="B1252">
        <v>44</v>
      </c>
      <c r="C1252" s="2">
        <v>89200</v>
      </c>
      <c r="D1252" t="s">
        <v>12</v>
      </c>
      <c r="E1252" s="2">
        <v>0</v>
      </c>
      <c r="F1252" s="2">
        <v>131000</v>
      </c>
      <c r="G1252" t="s">
        <v>24</v>
      </c>
      <c r="H1252" t="s">
        <v>20</v>
      </c>
      <c r="I1252" t="s">
        <v>18</v>
      </c>
      <c r="J1252" s="3">
        <v>45626</v>
      </c>
      <c r="K1252" s="4">
        <f>ClientiBanca[[#This Row],[Prestito]]+ClientiBanca[[#This Row],[Mutuo]]</f>
        <v>131000</v>
      </c>
      <c r="L1252" t="str">
        <f>IF(ClientiBanca[[#This Row],[Reddito annuo]]&gt;=70000,"si","no")</f>
        <v>si</v>
      </c>
    </row>
    <row r="1253" spans="1:12">
      <c r="A1253">
        <v>101252</v>
      </c>
      <c r="B1253">
        <v>38</v>
      </c>
      <c r="C1253" s="2">
        <v>87900</v>
      </c>
      <c r="D1253" t="s">
        <v>12</v>
      </c>
      <c r="E1253" s="2">
        <v>28000</v>
      </c>
      <c r="F1253" s="2">
        <v>205000</v>
      </c>
      <c r="G1253" t="s">
        <v>27</v>
      </c>
      <c r="H1253" t="s">
        <v>20</v>
      </c>
      <c r="I1253" t="s">
        <v>18</v>
      </c>
      <c r="J1253" s="3">
        <v>46078</v>
      </c>
      <c r="K1253" s="4">
        <f>ClientiBanca[[#This Row],[Prestito]]+ClientiBanca[[#This Row],[Mutuo]]</f>
        <v>233000</v>
      </c>
      <c r="L1253" t="str">
        <f>IF(ClientiBanca[[#This Row],[Reddito annuo]]&gt;=70000,"si","no")</f>
        <v>si</v>
      </c>
    </row>
    <row r="1254" spans="1:12">
      <c r="A1254">
        <v>101253</v>
      </c>
      <c r="B1254">
        <v>35</v>
      </c>
      <c r="C1254" s="2">
        <v>51100</v>
      </c>
      <c r="D1254" t="s">
        <v>21</v>
      </c>
      <c r="E1254" s="2">
        <v>0</v>
      </c>
      <c r="F1254" s="2">
        <v>0</v>
      </c>
      <c r="G1254" t="s">
        <v>16</v>
      </c>
      <c r="H1254" t="s">
        <v>14</v>
      </c>
      <c r="I1254" t="s">
        <v>18</v>
      </c>
      <c r="J1254" s="3">
        <v>45953</v>
      </c>
      <c r="K1254" s="4">
        <f>ClientiBanca[[#This Row],[Prestito]]+ClientiBanca[[#This Row],[Mutuo]]</f>
        <v>0</v>
      </c>
      <c r="L1254" t="str">
        <f>IF(ClientiBanca[[#This Row],[Reddito annuo]]&gt;=70000,"si","no")</f>
        <v>no</v>
      </c>
    </row>
    <row r="1255" spans="1:12">
      <c r="A1255">
        <v>101254</v>
      </c>
      <c r="B1255">
        <v>34</v>
      </c>
      <c r="C1255" s="2">
        <v>37300</v>
      </c>
      <c r="D1255" t="s">
        <v>21</v>
      </c>
      <c r="E1255" s="2">
        <v>30200</v>
      </c>
      <c r="F1255" s="2">
        <v>0</v>
      </c>
      <c r="G1255" t="s">
        <v>24</v>
      </c>
      <c r="H1255" t="s">
        <v>17</v>
      </c>
      <c r="I1255" t="s">
        <v>18</v>
      </c>
      <c r="J1255" s="3">
        <v>45688</v>
      </c>
      <c r="K1255" s="4">
        <f>ClientiBanca[[#This Row],[Prestito]]+ClientiBanca[[#This Row],[Mutuo]]</f>
        <v>30200</v>
      </c>
      <c r="L1255" t="str">
        <f>IF(ClientiBanca[[#This Row],[Reddito annuo]]&gt;=70000,"si","no")</f>
        <v>no</v>
      </c>
    </row>
    <row r="1256" spans="1:12">
      <c r="A1256">
        <v>101255</v>
      </c>
      <c r="B1256">
        <v>63</v>
      </c>
      <c r="C1256" s="2">
        <v>88000</v>
      </c>
      <c r="D1256" t="s">
        <v>21</v>
      </c>
      <c r="E1256" s="2">
        <v>0</v>
      </c>
      <c r="F1256" s="2">
        <v>0</v>
      </c>
      <c r="G1256" t="s">
        <v>24</v>
      </c>
      <c r="H1256" t="s">
        <v>20</v>
      </c>
      <c r="I1256" t="s">
        <v>18</v>
      </c>
      <c r="J1256" s="3">
        <v>45821</v>
      </c>
      <c r="K1256" s="4">
        <f>ClientiBanca[[#This Row],[Prestito]]+ClientiBanca[[#This Row],[Mutuo]]</f>
        <v>0</v>
      </c>
      <c r="L1256" t="str">
        <f>IF(ClientiBanca[[#This Row],[Reddito annuo]]&gt;=70000,"si","no")</f>
        <v>si</v>
      </c>
    </row>
    <row r="1257" spans="1:12">
      <c r="A1257">
        <v>101256</v>
      </c>
      <c r="B1257">
        <v>73</v>
      </c>
      <c r="C1257" s="2">
        <v>34900</v>
      </c>
      <c r="D1257" t="s">
        <v>12</v>
      </c>
      <c r="E1257" s="2">
        <v>43600</v>
      </c>
      <c r="F1257" s="2">
        <v>0</v>
      </c>
      <c r="G1257" t="s">
        <v>16</v>
      </c>
      <c r="H1257" t="s">
        <v>14</v>
      </c>
      <c r="I1257" t="s">
        <v>15</v>
      </c>
      <c r="J1257" s="3">
        <v>45618</v>
      </c>
      <c r="K1257" s="4">
        <f>ClientiBanca[[#This Row],[Prestito]]+ClientiBanca[[#This Row],[Mutuo]]</f>
        <v>43600</v>
      </c>
      <c r="L1257" t="str">
        <f>IF(ClientiBanca[[#This Row],[Reddito annuo]]&gt;=70000,"si","no")</f>
        <v>no</v>
      </c>
    </row>
    <row r="1258" spans="1:12">
      <c r="A1258">
        <v>101257</v>
      </c>
      <c r="B1258">
        <v>28</v>
      </c>
      <c r="C1258" s="2">
        <v>65300</v>
      </c>
      <c r="D1258" t="s">
        <v>21</v>
      </c>
      <c r="E1258" s="2">
        <v>32900</v>
      </c>
      <c r="F1258" s="2">
        <v>0</v>
      </c>
      <c r="G1258" t="s">
        <v>16</v>
      </c>
      <c r="H1258" t="s">
        <v>17</v>
      </c>
      <c r="I1258" t="s">
        <v>15</v>
      </c>
      <c r="J1258" s="3">
        <v>45727</v>
      </c>
      <c r="K1258" s="4">
        <f>ClientiBanca[[#This Row],[Prestito]]+ClientiBanca[[#This Row],[Mutuo]]</f>
        <v>32900</v>
      </c>
      <c r="L1258" t="str">
        <f>IF(ClientiBanca[[#This Row],[Reddito annuo]]&gt;=70000,"si","no")</f>
        <v>no</v>
      </c>
    </row>
    <row r="1259" spans="1:12">
      <c r="A1259">
        <v>101258</v>
      </c>
      <c r="B1259">
        <v>36</v>
      </c>
      <c r="C1259" s="2">
        <v>79600</v>
      </c>
      <c r="D1259" t="s">
        <v>21</v>
      </c>
      <c r="E1259" s="2">
        <v>0</v>
      </c>
      <c r="F1259" s="2">
        <v>0</v>
      </c>
      <c r="G1259" t="s">
        <v>19</v>
      </c>
      <c r="H1259" t="s">
        <v>17</v>
      </c>
      <c r="I1259" t="s">
        <v>18</v>
      </c>
      <c r="J1259" s="3">
        <v>46021</v>
      </c>
      <c r="K1259" s="4">
        <f>ClientiBanca[[#This Row],[Prestito]]+ClientiBanca[[#This Row],[Mutuo]]</f>
        <v>0</v>
      </c>
      <c r="L1259" t="str">
        <f>IF(ClientiBanca[[#This Row],[Reddito annuo]]&gt;=70000,"si","no")</f>
        <v>si</v>
      </c>
    </row>
    <row r="1260" spans="1:12">
      <c r="A1260">
        <v>101259</v>
      </c>
      <c r="B1260">
        <v>41</v>
      </c>
      <c r="C1260" s="2">
        <v>90800</v>
      </c>
      <c r="D1260" t="s">
        <v>22</v>
      </c>
      <c r="E1260" s="2">
        <v>17900</v>
      </c>
      <c r="F1260" s="2">
        <v>0</v>
      </c>
      <c r="G1260" t="s">
        <v>16</v>
      </c>
      <c r="H1260" t="s">
        <v>14</v>
      </c>
      <c r="I1260" t="s">
        <v>15</v>
      </c>
      <c r="J1260" s="3">
        <v>45299</v>
      </c>
      <c r="K1260" s="4">
        <f>ClientiBanca[[#This Row],[Prestito]]+ClientiBanca[[#This Row],[Mutuo]]</f>
        <v>17900</v>
      </c>
      <c r="L1260" t="str">
        <f>IF(ClientiBanca[[#This Row],[Reddito annuo]]&gt;=70000,"si","no")</f>
        <v>si</v>
      </c>
    </row>
    <row r="1261" spans="1:12">
      <c r="A1261">
        <v>101260</v>
      </c>
      <c r="B1261">
        <v>41</v>
      </c>
      <c r="C1261" s="2">
        <v>107400</v>
      </c>
      <c r="D1261" t="s">
        <v>12</v>
      </c>
      <c r="E1261" s="2">
        <v>34600</v>
      </c>
      <c r="F1261" s="2">
        <v>0</v>
      </c>
      <c r="G1261" t="s">
        <v>28</v>
      </c>
      <c r="H1261" t="s">
        <v>20</v>
      </c>
      <c r="I1261" t="s">
        <v>18</v>
      </c>
      <c r="J1261" s="3">
        <v>45332</v>
      </c>
      <c r="K1261" s="4">
        <f>ClientiBanca[[#This Row],[Prestito]]+ClientiBanca[[#This Row],[Mutuo]]</f>
        <v>34600</v>
      </c>
      <c r="L1261" t="str">
        <f>IF(ClientiBanca[[#This Row],[Reddito annuo]]&gt;=70000,"si","no")</f>
        <v>si</v>
      </c>
    </row>
    <row r="1262" spans="1:12">
      <c r="A1262">
        <v>101261</v>
      </c>
      <c r="B1262">
        <v>27</v>
      </c>
      <c r="C1262" s="2">
        <v>93900</v>
      </c>
      <c r="D1262" t="s">
        <v>21</v>
      </c>
      <c r="E1262" s="2">
        <v>39600</v>
      </c>
      <c r="F1262" s="2">
        <v>0</v>
      </c>
      <c r="G1262" t="s">
        <v>16</v>
      </c>
      <c r="H1262" t="s">
        <v>20</v>
      </c>
      <c r="I1262" t="s">
        <v>18</v>
      </c>
      <c r="J1262" s="3">
        <v>46130</v>
      </c>
      <c r="K1262" s="4">
        <f>ClientiBanca[[#This Row],[Prestito]]+ClientiBanca[[#This Row],[Mutuo]]</f>
        <v>39600</v>
      </c>
      <c r="L1262" t="str">
        <f>IF(ClientiBanca[[#This Row],[Reddito annuo]]&gt;=70000,"si","no")</f>
        <v>si</v>
      </c>
    </row>
    <row r="1263" spans="1:12">
      <c r="A1263">
        <v>101262</v>
      </c>
      <c r="B1263">
        <v>21</v>
      </c>
      <c r="C1263" s="2">
        <v>62900</v>
      </c>
      <c r="D1263" t="s">
        <v>21</v>
      </c>
      <c r="E1263" s="2">
        <v>7000</v>
      </c>
      <c r="F1263" s="2">
        <v>0</v>
      </c>
      <c r="G1263" t="s">
        <v>27</v>
      </c>
      <c r="H1263" t="s">
        <v>17</v>
      </c>
      <c r="I1263" t="s">
        <v>18</v>
      </c>
      <c r="J1263" s="3">
        <v>45329</v>
      </c>
      <c r="K1263" s="4">
        <f>ClientiBanca[[#This Row],[Prestito]]+ClientiBanca[[#This Row],[Mutuo]]</f>
        <v>7000</v>
      </c>
      <c r="L1263" t="str">
        <f>IF(ClientiBanca[[#This Row],[Reddito annuo]]&gt;=70000,"si","no")</f>
        <v>no</v>
      </c>
    </row>
    <row r="1264" spans="1:12">
      <c r="A1264">
        <v>101263</v>
      </c>
      <c r="B1264">
        <v>54</v>
      </c>
      <c r="C1264" s="2">
        <v>79200</v>
      </c>
      <c r="D1264" t="s">
        <v>21</v>
      </c>
      <c r="E1264" s="2">
        <v>13500</v>
      </c>
      <c r="F1264" s="2">
        <v>0</v>
      </c>
      <c r="G1264" t="s">
        <v>28</v>
      </c>
      <c r="H1264" t="s">
        <v>20</v>
      </c>
      <c r="I1264" t="s">
        <v>18</v>
      </c>
      <c r="J1264" s="3">
        <v>45761</v>
      </c>
      <c r="K1264" s="4">
        <f>ClientiBanca[[#This Row],[Prestito]]+ClientiBanca[[#This Row],[Mutuo]]</f>
        <v>13500</v>
      </c>
      <c r="L1264" t="str">
        <f>IF(ClientiBanca[[#This Row],[Reddito annuo]]&gt;=70000,"si","no")</f>
        <v>si</v>
      </c>
    </row>
    <row r="1265" spans="1:12">
      <c r="A1265">
        <v>101264</v>
      </c>
      <c r="B1265">
        <v>64</v>
      </c>
      <c r="C1265" s="2">
        <v>68600</v>
      </c>
      <c r="D1265" t="s">
        <v>22</v>
      </c>
      <c r="E1265" s="2">
        <v>0</v>
      </c>
      <c r="F1265" s="2">
        <v>0</v>
      </c>
      <c r="G1265" t="s">
        <v>28</v>
      </c>
      <c r="H1265" t="s">
        <v>20</v>
      </c>
      <c r="I1265" t="s">
        <v>18</v>
      </c>
      <c r="J1265" s="3">
        <v>45626</v>
      </c>
      <c r="K1265" s="4">
        <f>ClientiBanca[[#This Row],[Prestito]]+ClientiBanca[[#This Row],[Mutuo]]</f>
        <v>0</v>
      </c>
      <c r="L1265" t="str">
        <f>IF(ClientiBanca[[#This Row],[Reddito annuo]]&gt;=70000,"si","no")</f>
        <v>no</v>
      </c>
    </row>
    <row r="1266" spans="1:12">
      <c r="A1266">
        <v>101265</v>
      </c>
      <c r="B1266">
        <v>43</v>
      </c>
      <c r="C1266" s="2">
        <v>28100</v>
      </c>
      <c r="D1266" t="s">
        <v>12</v>
      </c>
      <c r="E1266" s="2">
        <v>0</v>
      </c>
      <c r="F1266" s="2">
        <v>0</v>
      </c>
      <c r="G1266" t="s">
        <v>13</v>
      </c>
      <c r="H1266" t="s">
        <v>17</v>
      </c>
      <c r="I1266" t="s">
        <v>18</v>
      </c>
      <c r="J1266" s="3">
        <v>46034</v>
      </c>
      <c r="K1266" s="4">
        <f>ClientiBanca[[#This Row],[Prestito]]+ClientiBanca[[#This Row],[Mutuo]]</f>
        <v>0</v>
      </c>
      <c r="L1266" t="str">
        <f>IF(ClientiBanca[[#This Row],[Reddito annuo]]&gt;=70000,"si","no")</f>
        <v>no</v>
      </c>
    </row>
    <row r="1267" spans="1:12">
      <c r="A1267">
        <v>101266</v>
      </c>
      <c r="B1267">
        <v>25</v>
      </c>
      <c r="C1267" s="2">
        <v>49200</v>
      </c>
      <c r="D1267" t="s">
        <v>12</v>
      </c>
      <c r="E1267" s="2">
        <v>28400</v>
      </c>
      <c r="F1267" s="2">
        <v>269000</v>
      </c>
      <c r="G1267" t="s">
        <v>13</v>
      </c>
      <c r="H1267" t="s">
        <v>14</v>
      </c>
      <c r="I1267" t="s">
        <v>18</v>
      </c>
      <c r="J1267" s="3">
        <v>45411</v>
      </c>
      <c r="K1267" s="4">
        <f>ClientiBanca[[#This Row],[Prestito]]+ClientiBanca[[#This Row],[Mutuo]]</f>
        <v>297400</v>
      </c>
      <c r="L1267" t="str">
        <f>IF(ClientiBanca[[#This Row],[Reddito annuo]]&gt;=70000,"si","no")</f>
        <v>no</v>
      </c>
    </row>
    <row r="1268" spans="1:12">
      <c r="A1268">
        <v>101267</v>
      </c>
      <c r="B1268">
        <v>70</v>
      </c>
      <c r="C1268" s="2">
        <v>40700</v>
      </c>
      <c r="D1268" t="s">
        <v>21</v>
      </c>
      <c r="E1268" s="2">
        <v>34500</v>
      </c>
      <c r="F1268" s="2">
        <v>0</v>
      </c>
      <c r="G1268" t="s">
        <v>23</v>
      </c>
      <c r="H1268" t="s">
        <v>14</v>
      </c>
      <c r="I1268" t="s">
        <v>15</v>
      </c>
      <c r="J1268" s="3">
        <v>45879</v>
      </c>
      <c r="K1268" s="4">
        <f>ClientiBanca[[#This Row],[Prestito]]+ClientiBanca[[#This Row],[Mutuo]]</f>
        <v>34500</v>
      </c>
      <c r="L1268" t="str">
        <f>IF(ClientiBanca[[#This Row],[Reddito annuo]]&gt;=70000,"si","no")</f>
        <v>no</v>
      </c>
    </row>
    <row r="1269" spans="1:12">
      <c r="A1269">
        <v>101268</v>
      </c>
      <c r="B1269">
        <v>50</v>
      </c>
      <c r="C1269" s="2">
        <v>42100</v>
      </c>
      <c r="D1269" t="s">
        <v>22</v>
      </c>
      <c r="E1269" s="2">
        <v>45600</v>
      </c>
      <c r="F1269" s="2">
        <v>0</v>
      </c>
      <c r="G1269" t="s">
        <v>27</v>
      </c>
      <c r="H1269" t="s">
        <v>14</v>
      </c>
      <c r="I1269" t="s">
        <v>18</v>
      </c>
      <c r="J1269" s="3">
        <v>45986</v>
      </c>
      <c r="K1269" s="4">
        <f>ClientiBanca[[#This Row],[Prestito]]+ClientiBanca[[#This Row],[Mutuo]]</f>
        <v>45600</v>
      </c>
      <c r="L1269" t="str">
        <f>IF(ClientiBanca[[#This Row],[Reddito annuo]]&gt;=70000,"si","no")</f>
        <v>no</v>
      </c>
    </row>
    <row r="1270" spans="1:12">
      <c r="A1270">
        <v>101269</v>
      </c>
      <c r="B1270">
        <v>38</v>
      </c>
      <c r="C1270" s="2">
        <v>45300</v>
      </c>
      <c r="D1270" t="s">
        <v>21</v>
      </c>
      <c r="E1270" s="2">
        <v>29100</v>
      </c>
      <c r="F1270" s="2">
        <v>163000</v>
      </c>
      <c r="G1270" t="s">
        <v>19</v>
      </c>
      <c r="H1270" t="s">
        <v>20</v>
      </c>
      <c r="I1270" t="s">
        <v>18</v>
      </c>
      <c r="J1270" s="3">
        <v>46018</v>
      </c>
      <c r="K1270" s="4">
        <f>ClientiBanca[[#This Row],[Prestito]]+ClientiBanca[[#This Row],[Mutuo]]</f>
        <v>192100</v>
      </c>
      <c r="L1270" t="str">
        <f>IF(ClientiBanca[[#This Row],[Reddito annuo]]&gt;=70000,"si","no")</f>
        <v>no</v>
      </c>
    </row>
    <row r="1271" spans="1:12">
      <c r="A1271">
        <v>101270</v>
      </c>
      <c r="B1271">
        <v>40</v>
      </c>
      <c r="C1271" s="2">
        <v>42400</v>
      </c>
      <c r="D1271" t="s">
        <v>12</v>
      </c>
      <c r="E1271" s="2">
        <v>0</v>
      </c>
      <c r="F1271" s="2">
        <v>0</v>
      </c>
      <c r="G1271" t="s">
        <v>28</v>
      </c>
      <c r="H1271" t="s">
        <v>14</v>
      </c>
      <c r="I1271" t="s">
        <v>18</v>
      </c>
      <c r="J1271" s="3">
        <v>45942</v>
      </c>
      <c r="K1271" s="4">
        <f>ClientiBanca[[#This Row],[Prestito]]+ClientiBanca[[#This Row],[Mutuo]]</f>
        <v>0</v>
      </c>
      <c r="L1271" t="str">
        <f>IF(ClientiBanca[[#This Row],[Reddito annuo]]&gt;=70000,"si","no")</f>
        <v>no</v>
      </c>
    </row>
    <row r="1272" spans="1:12">
      <c r="A1272">
        <v>101271</v>
      </c>
      <c r="B1272">
        <v>58</v>
      </c>
      <c r="C1272" s="2">
        <v>48700</v>
      </c>
      <c r="D1272" t="s">
        <v>21</v>
      </c>
      <c r="E1272" s="2">
        <v>0</v>
      </c>
      <c r="F1272" s="2">
        <v>176000</v>
      </c>
      <c r="G1272" t="s">
        <v>19</v>
      </c>
      <c r="H1272" t="s">
        <v>14</v>
      </c>
      <c r="I1272" t="s">
        <v>18</v>
      </c>
      <c r="J1272" s="3">
        <v>45447</v>
      </c>
      <c r="K1272" s="4">
        <f>ClientiBanca[[#This Row],[Prestito]]+ClientiBanca[[#This Row],[Mutuo]]</f>
        <v>176000</v>
      </c>
      <c r="L1272" t="str">
        <f>IF(ClientiBanca[[#This Row],[Reddito annuo]]&gt;=70000,"si","no")</f>
        <v>no</v>
      </c>
    </row>
    <row r="1273" spans="1:12">
      <c r="A1273">
        <v>101272</v>
      </c>
      <c r="B1273">
        <v>49</v>
      </c>
      <c r="C1273" s="2">
        <v>92100</v>
      </c>
      <c r="D1273" t="s">
        <v>21</v>
      </c>
      <c r="E1273" s="2">
        <v>17500</v>
      </c>
      <c r="F1273" s="2">
        <v>0</v>
      </c>
      <c r="G1273" t="s">
        <v>16</v>
      </c>
      <c r="H1273" t="s">
        <v>20</v>
      </c>
      <c r="I1273" t="s">
        <v>18</v>
      </c>
      <c r="J1273" s="3">
        <v>45372</v>
      </c>
      <c r="K1273" s="4">
        <f>ClientiBanca[[#This Row],[Prestito]]+ClientiBanca[[#This Row],[Mutuo]]</f>
        <v>17500</v>
      </c>
      <c r="L1273" t="str">
        <f>IF(ClientiBanca[[#This Row],[Reddito annuo]]&gt;=70000,"si","no")</f>
        <v>si</v>
      </c>
    </row>
    <row r="1274" spans="1:12">
      <c r="A1274">
        <v>101273</v>
      </c>
      <c r="B1274">
        <v>60</v>
      </c>
      <c r="C1274" s="2">
        <v>58900</v>
      </c>
      <c r="D1274" t="s">
        <v>22</v>
      </c>
      <c r="E1274" s="2">
        <v>50000</v>
      </c>
      <c r="F1274" s="2">
        <v>0</v>
      </c>
      <c r="G1274" t="s">
        <v>26</v>
      </c>
      <c r="H1274" t="s">
        <v>20</v>
      </c>
      <c r="I1274" t="s">
        <v>18</v>
      </c>
      <c r="J1274" s="3">
        <v>45982</v>
      </c>
      <c r="K1274" s="4">
        <f>ClientiBanca[[#This Row],[Prestito]]+ClientiBanca[[#This Row],[Mutuo]]</f>
        <v>50000</v>
      </c>
      <c r="L1274" t="str">
        <f>IF(ClientiBanca[[#This Row],[Reddito annuo]]&gt;=70000,"si","no")</f>
        <v>no</v>
      </c>
    </row>
    <row r="1275" spans="1:12">
      <c r="A1275">
        <v>101274</v>
      </c>
      <c r="B1275">
        <v>49</v>
      </c>
      <c r="C1275" s="2">
        <v>26900</v>
      </c>
      <c r="D1275" t="s">
        <v>12</v>
      </c>
      <c r="E1275" s="2">
        <v>25900</v>
      </c>
      <c r="F1275" s="2">
        <v>0</v>
      </c>
      <c r="G1275" t="s">
        <v>27</v>
      </c>
      <c r="H1275" t="s">
        <v>14</v>
      </c>
      <c r="I1275" t="s">
        <v>18</v>
      </c>
      <c r="J1275" s="3">
        <v>46053</v>
      </c>
      <c r="K1275" s="4">
        <f>ClientiBanca[[#This Row],[Prestito]]+ClientiBanca[[#This Row],[Mutuo]]</f>
        <v>25900</v>
      </c>
      <c r="L1275" t="str">
        <f>IF(ClientiBanca[[#This Row],[Reddito annuo]]&gt;=70000,"si","no")</f>
        <v>no</v>
      </c>
    </row>
    <row r="1276" spans="1:12">
      <c r="A1276">
        <v>101275</v>
      </c>
      <c r="B1276">
        <v>51</v>
      </c>
      <c r="C1276" s="2">
        <v>119900</v>
      </c>
      <c r="D1276" t="s">
        <v>21</v>
      </c>
      <c r="E1276" s="2">
        <v>27200</v>
      </c>
      <c r="F1276" s="2">
        <v>0</v>
      </c>
      <c r="G1276" t="s">
        <v>13</v>
      </c>
      <c r="H1276" t="s">
        <v>20</v>
      </c>
      <c r="I1276" t="s">
        <v>18</v>
      </c>
      <c r="J1276" s="3">
        <v>45405</v>
      </c>
      <c r="K1276" s="4">
        <f>ClientiBanca[[#This Row],[Prestito]]+ClientiBanca[[#This Row],[Mutuo]]</f>
        <v>27200</v>
      </c>
      <c r="L1276" t="str">
        <f>IF(ClientiBanca[[#This Row],[Reddito annuo]]&gt;=70000,"si","no")</f>
        <v>si</v>
      </c>
    </row>
    <row r="1277" spans="1:12">
      <c r="A1277">
        <v>101276</v>
      </c>
      <c r="B1277">
        <v>56</v>
      </c>
      <c r="C1277" s="2">
        <v>46300</v>
      </c>
      <c r="D1277" t="s">
        <v>22</v>
      </c>
      <c r="E1277" s="2">
        <v>0</v>
      </c>
      <c r="F1277" s="2">
        <v>0</v>
      </c>
      <c r="G1277" t="s">
        <v>16</v>
      </c>
      <c r="H1277" t="s">
        <v>17</v>
      </c>
      <c r="I1277" t="s">
        <v>18</v>
      </c>
      <c r="J1277" s="3">
        <v>45652</v>
      </c>
      <c r="K1277" s="4">
        <f>ClientiBanca[[#This Row],[Prestito]]+ClientiBanca[[#This Row],[Mutuo]]</f>
        <v>0</v>
      </c>
      <c r="L1277" t="str">
        <f>IF(ClientiBanca[[#This Row],[Reddito annuo]]&gt;=70000,"si","no")</f>
        <v>no</v>
      </c>
    </row>
    <row r="1278" spans="1:12">
      <c r="A1278">
        <v>101277</v>
      </c>
      <c r="B1278">
        <v>68</v>
      </c>
      <c r="C1278" s="2">
        <v>42200</v>
      </c>
      <c r="D1278" t="s">
        <v>22</v>
      </c>
      <c r="E1278" s="2">
        <v>51900</v>
      </c>
      <c r="F1278" s="2">
        <v>0</v>
      </c>
      <c r="G1278" t="s">
        <v>19</v>
      </c>
      <c r="H1278" t="s">
        <v>17</v>
      </c>
      <c r="I1278" t="s">
        <v>18</v>
      </c>
      <c r="J1278" s="3">
        <v>45522</v>
      </c>
      <c r="K1278" s="4">
        <f>ClientiBanca[[#This Row],[Prestito]]+ClientiBanca[[#This Row],[Mutuo]]</f>
        <v>51900</v>
      </c>
      <c r="L1278" t="str">
        <f>IF(ClientiBanca[[#This Row],[Reddito annuo]]&gt;=70000,"si","no")</f>
        <v>no</v>
      </c>
    </row>
    <row r="1279" spans="1:12">
      <c r="A1279">
        <v>101278</v>
      </c>
      <c r="B1279">
        <v>74</v>
      </c>
      <c r="C1279" s="2">
        <v>53400</v>
      </c>
      <c r="D1279" t="s">
        <v>12</v>
      </c>
      <c r="E1279" s="2">
        <v>66800</v>
      </c>
      <c r="F1279" s="2">
        <v>313000</v>
      </c>
      <c r="G1279" t="s">
        <v>16</v>
      </c>
      <c r="H1279" t="s">
        <v>20</v>
      </c>
      <c r="I1279" t="s">
        <v>18</v>
      </c>
      <c r="J1279" s="3">
        <v>45634</v>
      </c>
      <c r="K1279" s="4">
        <f>ClientiBanca[[#This Row],[Prestito]]+ClientiBanca[[#This Row],[Mutuo]]</f>
        <v>379800</v>
      </c>
      <c r="L1279" t="str">
        <f>IF(ClientiBanca[[#This Row],[Reddito annuo]]&gt;=70000,"si","no")</f>
        <v>no</v>
      </c>
    </row>
    <row r="1280" spans="1:12">
      <c r="A1280">
        <v>101279</v>
      </c>
      <c r="B1280">
        <v>68</v>
      </c>
      <c r="C1280" s="2">
        <v>57300</v>
      </c>
      <c r="D1280" t="s">
        <v>21</v>
      </c>
      <c r="E1280" s="2">
        <v>0</v>
      </c>
      <c r="F1280" s="2">
        <v>0</v>
      </c>
      <c r="G1280" t="s">
        <v>16</v>
      </c>
      <c r="H1280" t="s">
        <v>25</v>
      </c>
      <c r="I1280" t="s">
        <v>18</v>
      </c>
      <c r="J1280" s="3">
        <v>45712</v>
      </c>
      <c r="K1280" s="4">
        <f>ClientiBanca[[#This Row],[Prestito]]+ClientiBanca[[#This Row],[Mutuo]]</f>
        <v>0</v>
      </c>
      <c r="L1280" t="str">
        <f>IF(ClientiBanca[[#This Row],[Reddito annuo]]&gt;=70000,"si","no")</f>
        <v>no</v>
      </c>
    </row>
    <row r="1281" spans="1:12">
      <c r="A1281">
        <v>101280</v>
      </c>
      <c r="B1281">
        <v>32</v>
      </c>
      <c r="C1281" s="2">
        <v>70100</v>
      </c>
      <c r="D1281" t="s">
        <v>12</v>
      </c>
      <c r="E1281" s="2">
        <v>40900</v>
      </c>
      <c r="F1281" s="2">
        <v>0</v>
      </c>
      <c r="G1281" t="s">
        <v>16</v>
      </c>
      <c r="H1281" t="s">
        <v>25</v>
      </c>
      <c r="I1281" t="s">
        <v>18</v>
      </c>
      <c r="J1281" s="3">
        <v>45547</v>
      </c>
      <c r="K1281" s="4">
        <f>ClientiBanca[[#This Row],[Prestito]]+ClientiBanca[[#This Row],[Mutuo]]</f>
        <v>40900</v>
      </c>
      <c r="L1281" t="str">
        <f>IF(ClientiBanca[[#This Row],[Reddito annuo]]&gt;=70000,"si","no")</f>
        <v>si</v>
      </c>
    </row>
    <row r="1282" spans="1:12">
      <c r="A1282">
        <v>101281</v>
      </c>
      <c r="B1282">
        <v>30</v>
      </c>
      <c r="C1282" s="2">
        <v>64800</v>
      </c>
      <c r="D1282" t="s">
        <v>21</v>
      </c>
      <c r="E1282" s="2">
        <v>26800</v>
      </c>
      <c r="F1282" s="2">
        <v>0</v>
      </c>
      <c r="G1282" t="s">
        <v>16</v>
      </c>
      <c r="H1282" t="s">
        <v>17</v>
      </c>
      <c r="I1282" t="s">
        <v>18</v>
      </c>
      <c r="J1282" s="3">
        <v>46162</v>
      </c>
      <c r="K1282" s="4">
        <f>ClientiBanca[[#This Row],[Prestito]]+ClientiBanca[[#This Row],[Mutuo]]</f>
        <v>26800</v>
      </c>
      <c r="L1282" t="str">
        <f>IF(ClientiBanca[[#This Row],[Reddito annuo]]&gt;=70000,"si","no")</f>
        <v>no</v>
      </c>
    </row>
    <row r="1283" spans="1:12">
      <c r="A1283">
        <v>101282</v>
      </c>
      <c r="B1283">
        <v>30</v>
      </c>
      <c r="C1283" s="2">
        <v>56900</v>
      </c>
      <c r="D1283" t="s">
        <v>12</v>
      </c>
      <c r="E1283" s="2">
        <v>32200</v>
      </c>
      <c r="F1283" s="2">
        <v>0</v>
      </c>
      <c r="G1283" t="s">
        <v>23</v>
      </c>
      <c r="H1283" t="s">
        <v>17</v>
      </c>
      <c r="I1283" t="s">
        <v>18</v>
      </c>
      <c r="J1283" s="3">
        <v>46207</v>
      </c>
      <c r="K1283" s="4">
        <f>ClientiBanca[[#This Row],[Prestito]]+ClientiBanca[[#This Row],[Mutuo]]</f>
        <v>32200</v>
      </c>
      <c r="L1283" t="str">
        <f>IF(ClientiBanca[[#This Row],[Reddito annuo]]&gt;=70000,"si","no")</f>
        <v>no</v>
      </c>
    </row>
    <row r="1284" spans="1:12">
      <c r="A1284">
        <v>101283</v>
      </c>
      <c r="B1284">
        <v>21</v>
      </c>
      <c r="C1284" s="2">
        <v>41600</v>
      </c>
      <c r="D1284" t="s">
        <v>21</v>
      </c>
      <c r="E1284" s="2">
        <v>39900</v>
      </c>
      <c r="F1284" s="2">
        <v>0</v>
      </c>
      <c r="G1284" t="s">
        <v>24</v>
      </c>
      <c r="H1284" t="s">
        <v>25</v>
      </c>
      <c r="I1284" t="s">
        <v>18</v>
      </c>
      <c r="J1284" s="3">
        <v>45405</v>
      </c>
      <c r="K1284" s="4">
        <f>ClientiBanca[[#This Row],[Prestito]]+ClientiBanca[[#This Row],[Mutuo]]</f>
        <v>39900</v>
      </c>
      <c r="L1284" t="str">
        <f>IF(ClientiBanca[[#This Row],[Reddito annuo]]&gt;=70000,"si","no")</f>
        <v>no</v>
      </c>
    </row>
    <row r="1285" spans="1:12">
      <c r="A1285">
        <v>101284</v>
      </c>
      <c r="B1285">
        <v>71</v>
      </c>
      <c r="C1285" s="2">
        <v>67500</v>
      </c>
      <c r="D1285" t="s">
        <v>21</v>
      </c>
      <c r="E1285" s="2">
        <v>0</v>
      </c>
      <c r="F1285" s="2">
        <v>200000</v>
      </c>
      <c r="G1285" t="s">
        <v>13</v>
      </c>
      <c r="H1285" t="s">
        <v>20</v>
      </c>
      <c r="I1285" t="s">
        <v>18</v>
      </c>
      <c r="J1285" s="3">
        <v>45325</v>
      </c>
      <c r="K1285" s="4">
        <f>ClientiBanca[[#This Row],[Prestito]]+ClientiBanca[[#This Row],[Mutuo]]</f>
        <v>200000</v>
      </c>
      <c r="L1285" t="str">
        <f>IF(ClientiBanca[[#This Row],[Reddito annuo]]&gt;=70000,"si","no")</f>
        <v>no</v>
      </c>
    </row>
    <row r="1286" spans="1:12">
      <c r="A1286">
        <v>101285</v>
      </c>
      <c r="B1286">
        <v>63</v>
      </c>
      <c r="C1286" s="2">
        <v>73600</v>
      </c>
      <c r="D1286" t="s">
        <v>22</v>
      </c>
      <c r="E1286" s="2">
        <v>0</v>
      </c>
      <c r="F1286" s="2">
        <v>0</v>
      </c>
      <c r="G1286" t="s">
        <v>13</v>
      </c>
      <c r="H1286" t="s">
        <v>14</v>
      </c>
      <c r="I1286" t="s">
        <v>18</v>
      </c>
      <c r="J1286" s="3">
        <v>45558</v>
      </c>
      <c r="K1286" s="4">
        <f>ClientiBanca[[#This Row],[Prestito]]+ClientiBanca[[#This Row],[Mutuo]]</f>
        <v>0</v>
      </c>
      <c r="L1286" t="str">
        <f>IF(ClientiBanca[[#This Row],[Reddito annuo]]&gt;=70000,"si","no")</f>
        <v>si</v>
      </c>
    </row>
    <row r="1287" spans="1:12">
      <c r="A1287">
        <v>101286</v>
      </c>
      <c r="B1287">
        <v>65</v>
      </c>
      <c r="C1287" s="2">
        <v>62500</v>
      </c>
      <c r="D1287" t="s">
        <v>12</v>
      </c>
      <c r="E1287" s="2">
        <v>78100</v>
      </c>
      <c r="F1287" s="2">
        <v>0</v>
      </c>
      <c r="G1287" t="s">
        <v>28</v>
      </c>
      <c r="H1287" t="s">
        <v>17</v>
      </c>
      <c r="I1287" t="s">
        <v>18</v>
      </c>
      <c r="J1287" s="3">
        <v>45591</v>
      </c>
      <c r="K1287" s="4">
        <f>ClientiBanca[[#This Row],[Prestito]]+ClientiBanca[[#This Row],[Mutuo]]</f>
        <v>78100</v>
      </c>
      <c r="L1287" t="str">
        <f>IF(ClientiBanca[[#This Row],[Reddito annuo]]&gt;=70000,"si","no")</f>
        <v>no</v>
      </c>
    </row>
    <row r="1288" spans="1:12">
      <c r="A1288">
        <v>101287</v>
      </c>
      <c r="B1288">
        <v>71</v>
      </c>
      <c r="C1288" s="2">
        <v>53000</v>
      </c>
      <c r="D1288" t="s">
        <v>22</v>
      </c>
      <c r="E1288" s="2">
        <v>0</v>
      </c>
      <c r="F1288" s="2">
        <v>0</v>
      </c>
      <c r="G1288" t="s">
        <v>28</v>
      </c>
      <c r="H1288" t="s">
        <v>17</v>
      </c>
      <c r="I1288" t="s">
        <v>18</v>
      </c>
      <c r="J1288" s="3">
        <v>45419</v>
      </c>
      <c r="K1288" s="4">
        <f>ClientiBanca[[#This Row],[Prestito]]+ClientiBanca[[#This Row],[Mutuo]]</f>
        <v>0</v>
      </c>
      <c r="L1288" t="str">
        <f>IF(ClientiBanca[[#This Row],[Reddito annuo]]&gt;=70000,"si","no")</f>
        <v>no</v>
      </c>
    </row>
    <row r="1289" spans="1:12">
      <c r="A1289">
        <v>101288</v>
      </c>
      <c r="B1289">
        <v>26</v>
      </c>
      <c r="C1289" s="2">
        <v>37800</v>
      </c>
      <c r="D1289" t="s">
        <v>21</v>
      </c>
      <c r="E1289" s="2">
        <v>0</v>
      </c>
      <c r="F1289" s="2">
        <v>0</v>
      </c>
      <c r="G1289" t="s">
        <v>13</v>
      </c>
      <c r="H1289" t="s">
        <v>14</v>
      </c>
      <c r="I1289" t="s">
        <v>18</v>
      </c>
      <c r="J1289" s="3">
        <v>45667</v>
      </c>
      <c r="K1289" s="4">
        <f>ClientiBanca[[#This Row],[Prestito]]+ClientiBanca[[#This Row],[Mutuo]]</f>
        <v>0</v>
      </c>
      <c r="L1289" t="str">
        <f>IF(ClientiBanca[[#This Row],[Reddito annuo]]&gt;=70000,"si","no")</f>
        <v>no</v>
      </c>
    </row>
    <row r="1290" spans="1:12">
      <c r="A1290">
        <v>101289</v>
      </c>
      <c r="B1290">
        <v>46</v>
      </c>
      <c r="C1290" s="2">
        <v>71800</v>
      </c>
      <c r="D1290" t="s">
        <v>21</v>
      </c>
      <c r="E1290" s="2">
        <v>32700</v>
      </c>
      <c r="F1290" s="2">
        <v>174000</v>
      </c>
      <c r="G1290" t="s">
        <v>13</v>
      </c>
      <c r="H1290" t="s">
        <v>17</v>
      </c>
      <c r="I1290" t="s">
        <v>18</v>
      </c>
      <c r="J1290" s="3">
        <v>46062</v>
      </c>
      <c r="K1290" s="4">
        <f>ClientiBanca[[#This Row],[Prestito]]+ClientiBanca[[#This Row],[Mutuo]]</f>
        <v>206700</v>
      </c>
      <c r="L1290" t="str">
        <f>IF(ClientiBanca[[#This Row],[Reddito annuo]]&gt;=70000,"si","no")</f>
        <v>si</v>
      </c>
    </row>
    <row r="1291" spans="1:12">
      <c r="A1291">
        <v>101290</v>
      </c>
      <c r="B1291">
        <v>35</v>
      </c>
      <c r="C1291" s="2">
        <v>81100</v>
      </c>
      <c r="D1291" t="s">
        <v>21</v>
      </c>
      <c r="E1291" s="2">
        <v>24900</v>
      </c>
      <c r="F1291" s="2">
        <v>0</v>
      </c>
      <c r="G1291" t="s">
        <v>26</v>
      </c>
      <c r="H1291" t="s">
        <v>17</v>
      </c>
      <c r="I1291" t="s">
        <v>18</v>
      </c>
      <c r="J1291" s="3">
        <v>46071</v>
      </c>
      <c r="K1291" s="4">
        <f>ClientiBanca[[#This Row],[Prestito]]+ClientiBanca[[#This Row],[Mutuo]]</f>
        <v>24900</v>
      </c>
      <c r="L1291" t="str">
        <f>IF(ClientiBanca[[#This Row],[Reddito annuo]]&gt;=70000,"si","no")</f>
        <v>si</v>
      </c>
    </row>
    <row r="1292" spans="1:12">
      <c r="A1292">
        <v>101291</v>
      </c>
      <c r="B1292">
        <v>28</v>
      </c>
      <c r="C1292" s="2">
        <v>37900</v>
      </c>
      <c r="D1292" t="s">
        <v>21</v>
      </c>
      <c r="E1292" s="2">
        <v>26900</v>
      </c>
      <c r="F1292" s="2">
        <v>0</v>
      </c>
      <c r="G1292" t="s">
        <v>26</v>
      </c>
      <c r="H1292" t="s">
        <v>17</v>
      </c>
      <c r="I1292" t="s">
        <v>18</v>
      </c>
      <c r="J1292" s="3">
        <v>45873</v>
      </c>
      <c r="K1292" s="4">
        <f>ClientiBanca[[#This Row],[Prestito]]+ClientiBanca[[#This Row],[Mutuo]]</f>
        <v>26900</v>
      </c>
      <c r="L1292" t="str">
        <f>IF(ClientiBanca[[#This Row],[Reddito annuo]]&gt;=70000,"si","no")</f>
        <v>no</v>
      </c>
    </row>
    <row r="1293" spans="1:12">
      <c r="A1293">
        <v>101292</v>
      </c>
      <c r="B1293">
        <v>60</v>
      </c>
      <c r="C1293" s="2">
        <v>47200</v>
      </c>
      <c r="D1293" t="s">
        <v>12</v>
      </c>
      <c r="E1293" s="2">
        <v>16700</v>
      </c>
      <c r="F1293" s="2">
        <v>0</v>
      </c>
      <c r="G1293" t="s">
        <v>24</v>
      </c>
      <c r="H1293" t="s">
        <v>20</v>
      </c>
      <c r="I1293" t="s">
        <v>18</v>
      </c>
      <c r="J1293" s="3">
        <v>45685</v>
      </c>
      <c r="K1293" s="4">
        <f>ClientiBanca[[#This Row],[Prestito]]+ClientiBanca[[#This Row],[Mutuo]]</f>
        <v>16700</v>
      </c>
      <c r="L1293" t="str">
        <f>IF(ClientiBanca[[#This Row],[Reddito annuo]]&gt;=70000,"si","no")</f>
        <v>no</v>
      </c>
    </row>
    <row r="1294" spans="1:12">
      <c r="A1294">
        <v>101293</v>
      </c>
      <c r="B1294">
        <v>36</v>
      </c>
      <c r="C1294" s="2">
        <v>70200</v>
      </c>
      <c r="D1294" t="s">
        <v>21</v>
      </c>
      <c r="E1294" s="2">
        <v>23500</v>
      </c>
      <c r="F1294" s="2">
        <v>0</v>
      </c>
      <c r="G1294" t="s">
        <v>26</v>
      </c>
      <c r="H1294" t="s">
        <v>17</v>
      </c>
      <c r="I1294" t="s">
        <v>18</v>
      </c>
      <c r="J1294" s="3">
        <v>46183</v>
      </c>
      <c r="K1294" s="4">
        <f>ClientiBanca[[#This Row],[Prestito]]+ClientiBanca[[#This Row],[Mutuo]]</f>
        <v>23500</v>
      </c>
      <c r="L1294" t="str">
        <f>IF(ClientiBanca[[#This Row],[Reddito annuo]]&gt;=70000,"si","no")</f>
        <v>si</v>
      </c>
    </row>
    <row r="1295" spans="1:12">
      <c r="A1295">
        <v>101294</v>
      </c>
      <c r="B1295">
        <v>53</v>
      </c>
      <c r="C1295" s="2">
        <v>53500</v>
      </c>
      <c r="D1295" t="s">
        <v>12</v>
      </c>
      <c r="E1295" s="2">
        <v>25500</v>
      </c>
      <c r="F1295" s="2">
        <v>305000</v>
      </c>
      <c r="G1295" t="s">
        <v>19</v>
      </c>
      <c r="H1295" t="s">
        <v>17</v>
      </c>
      <c r="I1295" t="s">
        <v>18</v>
      </c>
      <c r="J1295" s="3">
        <v>46240</v>
      </c>
      <c r="K1295" s="4">
        <f>ClientiBanca[[#This Row],[Prestito]]+ClientiBanca[[#This Row],[Mutuo]]</f>
        <v>330500</v>
      </c>
      <c r="L1295" t="str">
        <f>IF(ClientiBanca[[#This Row],[Reddito annuo]]&gt;=70000,"si","no")</f>
        <v>no</v>
      </c>
    </row>
    <row r="1296" spans="1:12">
      <c r="A1296">
        <v>101295</v>
      </c>
      <c r="B1296">
        <v>51</v>
      </c>
      <c r="C1296" s="2">
        <v>71100</v>
      </c>
      <c r="D1296" t="s">
        <v>22</v>
      </c>
      <c r="E1296" s="2">
        <v>32800</v>
      </c>
      <c r="F1296" s="2">
        <v>0</v>
      </c>
      <c r="G1296" t="s">
        <v>13</v>
      </c>
      <c r="H1296" t="s">
        <v>17</v>
      </c>
      <c r="I1296" t="s">
        <v>18</v>
      </c>
      <c r="J1296" s="3">
        <v>45521</v>
      </c>
      <c r="K1296" s="4">
        <f>ClientiBanca[[#This Row],[Prestito]]+ClientiBanca[[#This Row],[Mutuo]]</f>
        <v>32800</v>
      </c>
      <c r="L1296" t="str">
        <f>IF(ClientiBanca[[#This Row],[Reddito annuo]]&gt;=70000,"si","no")</f>
        <v>si</v>
      </c>
    </row>
    <row r="1297" spans="1:12">
      <c r="A1297">
        <v>101296</v>
      </c>
      <c r="B1297">
        <v>29</v>
      </c>
      <c r="C1297" s="2">
        <v>45700</v>
      </c>
      <c r="D1297" t="s">
        <v>12</v>
      </c>
      <c r="E1297" s="2">
        <v>0</v>
      </c>
      <c r="F1297" s="2">
        <v>0</v>
      </c>
      <c r="G1297" t="s">
        <v>19</v>
      </c>
      <c r="H1297" t="s">
        <v>17</v>
      </c>
      <c r="I1297" t="s">
        <v>18</v>
      </c>
      <c r="J1297" s="3">
        <v>45875</v>
      </c>
      <c r="K1297" s="4">
        <f>ClientiBanca[[#This Row],[Prestito]]+ClientiBanca[[#This Row],[Mutuo]]</f>
        <v>0</v>
      </c>
      <c r="L1297" t="str">
        <f>IF(ClientiBanca[[#This Row],[Reddito annuo]]&gt;=70000,"si","no")</f>
        <v>no</v>
      </c>
    </row>
    <row r="1298" spans="1:12">
      <c r="A1298">
        <v>101297</v>
      </c>
      <c r="B1298">
        <v>60</v>
      </c>
      <c r="C1298" s="2">
        <v>99600</v>
      </c>
      <c r="D1298" t="s">
        <v>22</v>
      </c>
      <c r="E1298" s="2">
        <v>0</v>
      </c>
      <c r="F1298" s="2">
        <v>0</v>
      </c>
      <c r="G1298" t="s">
        <v>23</v>
      </c>
      <c r="H1298" t="s">
        <v>17</v>
      </c>
      <c r="I1298" t="s">
        <v>18</v>
      </c>
      <c r="J1298" s="3">
        <v>45664</v>
      </c>
      <c r="K1298" s="4">
        <f>ClientiBanca[[#This Row],[Prestito]]+ClientiBanca[[#This Row],[Mutuo]]</f>
        <v>0</v>
      </c>
      <c r="L1298" t="str">
        <f>IF(ClientiBanca[[#This Row],[Reddito annuo]]&gt;=70000,"si","no")</f>
        <v>si</v>
      </c>
    </row>
    <row r="1299" spans="1:12">
      <c r="A1299">
        <v>101298</v>
      </c>
      <c r="B1299">
        <v>62</v>
      </c>
      <c r="C1299" s="2">
        <v>27400</v>
      </c>
      <c r="D1299" t="s">
        <v>12</v>
      </c>
      <c r="E1299" s="2">
        <v>0</v>
      </c>
      <c r="F1299" s="2">
        <v>0</v>
      </c>
      <c r="G1299" t="s">
        <v>26</v>
      </c>
      <c r="H1299" t="s">
        <v>14</v>
      </c>
      <c r="I1299" t="s">
        <v>18</v>
      </c>
      <c r="J1299" s="3">
        <v>45839</v>
      </c>
      <c r="K1299" s="4">
        <f>ClientiBanca[[#This Row],[Prestito]]+ClientiBanca[[#This Row],[Mutuo]]</f>
        <v>0</v>
      </c>
      <c r="L1299" t="str">
        <f>IF(ClientiBanca[[#This Row],[Reddito annuo]]&gt;=70000,"si","no")</f>
        <v>no</v>
      </c>
    </row>
    <row r="1300" spans="1:12">
      <c r="A1300">
        <v>101299</v>
      </c>
      <c r="B1300">
        <v>74</v>
      </c>
      <c r="C1300" s="2">
        <v>79500</v>
      </c>
      <c r="D1300" t="s">
        <v>22</v>
      </c>
      <c r="E1300" s="2">
        <v>0</v>
      </c>
      <c r="F1300" s="2">
        <v>223000</v>
      </c>
      <c r="G1300" t="s">
        <v>23</v>
      </c>
      <c r="H1300" t="s">
        <v>20</v>
      </c>
      <c r="I1300" t="s">
        <v>18</v>
      </c>
      <c r="J1300" s="3">
        <v>46108</v>
      </c>
      <c r="K1300" s="4">
        <f>ClientiBanca[[#This Row],[Prestito]]+ClientiBanca[[#This Row],[Mutuo]]</f>
        <v>223000</v>
      </c>
      <c r="L1300" t="str">
        <f>IF(ClientiBanca[[#This Row],[Reddito annuo]]&gt;=70000,"si","no")</f>
        <v>si</v>
      </c>
    </row>
    <row r="1301" spans="1:12">
      <c r="A1301">
        <v>101300</v>
      </c>
      <c r="B1301">
        <v>67</v>
      </c>
      <c r="C1301" s="2">
        <v>40200</v>
      </c>
      <c r="D1301" t="s">
        <v>22</v>
      </c>
      <c r="E1301" s="2">
        <v>0</v>
      </c>
      <c r="F1301" s="2">
        <v>0</v>
      </c>
      <c r="G1301" t="s">
        <v>28</v>
      </c>
      <c r="H1301" t="s">
        <v>17</v>
      </c>
      <c r="I1301" t="s">
        <v>18</v>
      </c>
      <c r="J1301" s="3">
        <v>45915</v>
      </c>
      <c r="K1301" s="4">
        <f>ClientiBanca[[#This Row],[Prestito]]+ClientiBanca[[#This Row],[Mutuo]]</f>
        <v>0</v>
      </c>
      <c r="L1301" t="str">
        <f>IF(ClientiBanca[[#This Row],[Reddito annuo]]&gt;=70000,"si","no")</f>
        <v>no</v>
      </c>
    </row>
    <row r="1302" spans="1:12">
      <c r="A1302">
        <v>101301</v>
      </c>
      <c r="B1302">
        <v>37</v>
      </c>
      <c r="C1302" s="2">
        <v>63500</v>
      </c>
      <c r="D1302" t="s">
        <v>21</v>
      </c>
      <c r="E1302" s="2">
        <v>57200</v>
      </c>
      <c r="F1302" s="2">
        <v>327000</v>
      </c>
      <c r="G1302" t="s">
        <v>26</v>
      </c>
      <c r="H1302" t="s">
        <v>20</v>
      </c>
      <c r="I1302" t="s">
        <v>18</v>
      </c>
      <c r="J1302" s="3">
        <v>45891</v>
      </c>
      <c r="K1302" s="4">
        <f>ClientiBanca[[#This Row],[Prestito]]+ClientiBanca[[#This Row],[Mutuo]]</f>
        <v>384200</v>
      </c>
      <c r="L1302" t="str">
        <f>IF(ClientiBanca[[#This Row],[Reddito annuo]]&gt;=70000,"si","no")</f>
        <v>no</v>
      </c>
    </row>
    <row r="1303" spans="1:12">
      <c r="A1303">
        <v>101302</v>
      </c>
      <c r="B1303">
        <v>68</v>
      </c>
      <c r="C1303" s="2">
        <v>65800</v>
      </c>
      <c r="D1303" t="s">
        <v>21</v>
      </c>
      <c r="E1303" s="2">
        <v>52800</v>
      </c>
      <c r="F1303" s="2">
        <v>0</v>
      </c>
      <c r="G1303" t="s">
        <v>13</v>
      </c>
      <c r="H1303" t="s">
        <v>20</v>
      </c>
      <c r="I1303" t="s">
        <v>18</v>
      </c>
      <c r="J1303" s="3">
        <v>45377</v>
      </c>
      <c r="K1303" s="4">
        <f>ClientiBanca[[#This Row],[Prestito]]+ClientiBanca[[#This Row],[Mutuo]]</f>
        <v>52800</v>
      </c>
      <c r="L1303" t="str">
        <f>IF(ClientiBanca[[#This Row],[Reddito annuo]]&gt;=70000,"si","no")</f>
        <v>no</v>
      </c>
    </row>
    <row r="1304" spans="1:12">
      <c r="A1304">
        <v>101303</v>
      </c>
      <c r="B1304">
        <v>50</v>
      </c>
      <c r="C1304" s="2">
        <v>41000</v>
      </c>
      <c r="D1304" t="s">
        <v>12</v>
      </c>
      <c r="E1304" s="2">
        <v>33000</v>
      </c>
      <c r="F1304" s="2">
        <v>0</v>
      </c>
      <c r="G1304" t="s">
        <v>16</v>
      </c>
      <c r="H1304" t="s">
        <v>14</v>
      </c>
      <c r="I1304" t="s">
        <v>18</v>
      </c>
      <c r="J1304" s="3">
        <v>46199</v>
      </c>
      <c r="K1304" s="4">
        <f>ClientiBanca[[#This Row],[Prestito]]+ClientiBanca[[#This Row],[Mutuo]]</f>
        <v>33000</v>
      </c>
      <c r="L1304" t="str">
        <f>IF(ClientiBanca[[#This Row],[Reddito annuo]]&gt;=70000,"si","no")</f>
        <v>no</v>
      </c>
    </row>
    <row r="1305" spans="1:12">
      <c r="A1305">
        <v>101304</v>
      </c>
      <c r="B1305">
        <v>48</v>
      </c>
      <c r="C1305" s="2">
        <v>83200</v>
      </c>
      <c r="D1305" t="s">
        <v>21</v>
      </c>
      <c r="E1305" s="2">
        <v>0</v>
      </c>
      <c r="F1305" s="2">
        <v>0</v>
      </c>
      <c r="G1305" t="s">
        <v>28</v>
      </c>
      <c r="H1305" t="s">
        <v>25</v>
      </c>
      <c r="I1305" t="s">
        <v>18</v>
      </c>
      <c r="J1305" s="3">
        <v>45549</v>
      </c>
      <c r="K1305" s="4">
        <f>ClientiBanca[[#This Row],[Prestito]]+ClientiBanca[[#This Row],[Mutuo]]</f>
        <v>0</v>
      </c>
      <c r="L1305" t="str">
        <f>IF(ClientiBanca[[#This Row],[Reddito annuo]]&gt;=70000,"si","no")</f>
        <v>si</v>
      </c>
    </row>
    <row r="1306" spans="1:12">
      <c r="A1306">
        <v>101305</v>
      </c>
      <c r="B1306">
        <v>68</v>
      </c>
      <c r="C1306" s="2">
        <v>53600</v>
      </c>
      <c r="D1306" t="s">
        <v>21</v>
      </c>
      <c r="E1306" s="2">
        <v>24800</v>
      </c>
      <c r="F1306" s="2">
        <v>0</v>
      </c>
      <c r="G1306" t="s">
        <v>26</v>
      </c>
      <c r="H1306" t="s">
        <v>25</v>
      </c>
      <c r="I1306" t="s">
        <v>18</v>
      </c>
      <c r="J1306" s="3">
        <v>46180</v>
      </c>
      <c r="K1306" s="4">
        <f>ClientiBanca[[#This Row],[Prestito]]+ClientiBanca[[#This Row],[Mutuo]]</f>
        <v>24800</v>
      </c>
      <c r="L1306" t="str">
        <f>IF(ClientiBanca[[#This Row],[Reddito annuo]]&gt;=70000,"si","no")</f>
        <v>no</v>
      </c>
    </row>
    <row r="1307" spans="1:12">
      <c r="A1307">
        <v>101306</v>
      </c>
      <c r="B1307">
        <v>54</v>
      </c>
      <c r="C1307" s="2">
        <v>44000</v>
      </c>
      <c r="D1307" t="s">
        <v>21</v>
      </c>
      <c r="E1307" s="2">
        <v>23800</v>
      </c>
      <c r="F1307" s="2">
        <v>0</v>
      </c>
      <c r="G1307" t="s">
        <v>24</v>
      </c>
      <c r="H1307" t="s">
        <v>17</v>
      </c>
      <c r="I1307" t="s">
        <v>18</v>
      </c>
      <c r="J1307" s="3">
        <v>45813</v>
      </c>
      <c r="K1307" s="4">
        <f>ClientiBanca[[#This Row],[Prestito]]+ClientiBanca[[#This Row],[Mutuo]]</f>
        <v>23800</v>
      </c>
      <c r="L1307" t="str">
        <f>IF(ClientiBanca[[#This Row],[Reddito annuo]]&gt;=70000,"si","no")</f>
        <v>no</v>
      </c>
    </row>
    <row r="1308" spans="1:12">
      <c r="A1308">
        <v>101307</v>
      </c>
      <c r="B1308">
        <v>50</v>
      </c>
      <c r="C1308" s="2">
        <v>59500</v>
      </c>
      <c r="D1308" t="s">
        <v>21</v>
      </c>
      <c r="E1308" s="2">
        <v>0</v>
      </c>
      <c r="F1308" s="2">
        <v>0</v>
      </c>
      <c r="G1308" t="s">
        <v>13</v>
      </c>
      <c r="H1308" t="s">
        <v>14</v>
      </c>
      <c r="I1308" t="s">
        <v>18</v>
      </c>
      <c r="J1308" s="3">
        <v>45745</v>
      </c>
      <c r="K1308" s="4">
        <f>ClientiBanca[[#This Row],[Prestito]]+ClientiBanca[[#This Row],[Mutuo]]</f>
        <v>0</v>
      </c>
      <c r="L1308" t="str">
        <f>IF(ClientiBanca[[#This Row],[Reddito annuo]]&gt;=70000,"si","no")</f>
        <v>no</v>
      </c>
    </row>
    <row r="1309" spans="1:12">
      <c r="A1309">
        <v>101308</v>
      </c>
      <c r="B1309">
        <v>41</v>
      </c>
      <c r="C1309" s="2">
        <v>70300</v>
      </c>
      <c r="D1309" t="s">
        <v>12</v>
      </c>
      <c r="E1309" s="2">
        <v>52600</v>
      </c>
      <c r="F1309" s="2">
        <v>0</v>
      </c>
      <c r="G1309" t="s">
        <v>23</v>
      </c>
      <c r="H1309" t="s">
        <v>17</v>
      </c>
      <c r="I1309" t="s">
        <v>18</v>
      </c>
      <c r="J1309" s="3">
        <v>46076</v>
      </c>
      <c r="K1309" s="4">
        <f>ClientiBanca[[#This Row],[Prestito]]+ClientiBanca[[#This Row],[Mutuo]]</f>
        <v>52600</v>
      </c>
      <c r="L1309" t="str">
        <f>IF(ClientiBanca[[#This Row],[Reddito annuo]]&gt;=70000,"si","no")</f>
        <v>si</v>
      </c>
    </row>
    <row r="1310" spans="1:12">
      <c r="A1310">
        <v>101309</v>
      </c>
      <c r="B1310">
        <v>53</v>
      </c>
      <c r="C1310" s="2">
        <v>57900</v>
      </c>
      <c r="D1310" t="s">
        <v>12</v>
      </c>
      <c r="E1310" s="2">
        <v>0</v>
      </c>
      <c r="F1310" s="2">
        <v>248000</v>
      </c>
      <c r="G1310" t="s">
        <v>19</v>
      </c>
      <c r="H1310" t="s">
        <v>20</v>
      </c>
      <c r="I1310" t="s">
        <v>18</v>
      </c>
      <c r="J1310" s="3">
        <v>46076</v>
      </c>
      <c r="K1310" s="4">
        <f>ClientiBanca[[#This Row],[Prestito]]+ClientiBanca[[#This Row],[Mutuo]]</f>
        <v>248000</v>
      </c>
      <c r="L1310" t="str">
        <f>IF(ClientiBanca[[#This Row],[Reddito annuo]]&gt;=70000,"si","no")</f>
        <v>no</v>
      </c>
    </row>
    <row r="1311" spans="1:12">
      <c r="A1311">
        <v>101310</v>
      </c>
      <c r="B1311">
        <v>45</v>
      </c>
      <c r="C1311" s="2">
        <v>84100</v>
      </c>
      <c r="D1311" t="s">
        <v>22</v>
      </c>
      <c r="E1311" s="2">
        <v>16900</v>
      </c>
      <c r="F1311" s="2">
        <v>0</v>
      </c>
      <c r="G1311" t="s">
        <v>28</v>
      </c>
      <c r="H1311" t="s">
        <v>17</v>
      </c>
      <c r="I1311" t="s">
        <v>18</v>
      </c>
      <c r="J1311" s="3">
        <v>46090</v>
      </c>
      <c r="K1311" s="4">
        <f>ClientiBanca[[#This Row],[Prestito]]+ClientiBanca[[#This Row],[Mutuo]]</f>
        <v>16900</v>
      </c>
      <c r="L1311" t="str">
        <f>IF(ClientiBanca[[#This Row],[Reddito annuo]]&gt;=70000,"si","no")</f>
        <v>si</v>
      </c>
    </row>
    <row r="1312" spans="1:12">
      <c r="A1312">
        <v>101311</v>
      </c>
      <c r="B1312">
        <v>66</v>
      </c>
      <c r="C1312" s="2">
        <v>45100</v>
      </c>
      <c r="D1312" t="s">
        <v>22</v>
      </c>
      <c r="E1312" s="2">
        <v>56400</v>
      </c>
      <c r="F1312" s="2">
        <v>0</v>
      </c>
      <c r="G1312" t="s">
        <v>24</v>
      </c>
      <c r="H1312" t="s">
        <v>17</v>
      </c>
      <c r="I1312" t="s">
        <v>18</v>
      </c>
      <c r="J1312" s="3">
        <v>46141</v>
      </c>
      <c r="K1312" s="4">
        <f>ClientiBanca[[#This Row],[Prestito]]+ClientiBanca[[#This Row],[Mutuo]]</f>
        <v>56400</v>
      </c>
      <c r="L1312" t="str">
        <f>IF(ClientiBanca[[#This Row],[Reddito annuo]]&gt;=70000,"si","no")</f>
        <v>no</v>
      </c>
    </row>
    <row r="1313" spans="1:12">
      <c r="A1313">
        <v>101312</v>
      </c>
      <c r="B1313">
        <v>67</v>
      </c>
      <c r="C1313" s="2">
        <v>47900</v>
      </c>
      <c r="D1313" t="s">
        <v>21</v>
      </c>
      <c r="E1313" s="2">
        <v>51200</v>
      </c>
      <c r="F1313" s="2">
        <v>347000</v>
      </c>
      <c r="G1313" t="s">
        <v>27</v>
      </c>
      <c r="H1313" t="s">
        <v>25</v>
      </c>
      <c r="I1313" t="s">
        <v>18</v>
      </c>
      <c r="J1313" s="3">
        <v>46116</v>
      </c>
      <c r="K1313" s="4">
        <f>ClientiBanca[[#This Row],[Prestito]]+ClientiBanca[[#This Row],[Mutuo]]</f>
        <v>398200</v>
      </c>
      <c r="L1313" t="str">
        <f>IF(ClientiBanca[[#This Row],[Reddito annuo]]&gt;=70000,"si","no")</f>
        <v>no</v>
      </c>
    </row>
    <row r="1314" spans="1:12">
      <c r="A1314">
        <v>101313</v>
      </c>
      <c r="B1314">
        <v>28</v>
      </c>
      <c r="C1314" s="2">
        <v>114300</v>
      </c>
      <c r="D1314" t="s">
        <v>12</v>
      </c>
      <c r="E1314" s="2">
        <v>46700</v>
      </c>
      <c r="F1314" s="2">
        <v>260000</v>
      </c>
      <c r="G1314" t="s">
        <v>26</v>
      </c>
      <c r="H1314" t="s">
        <v>14</v>
      </c>
      <c r="I1314" t="s">
        <v>15</v>
      </c>
      <c r="J1314" s="3">
        <v>45729</v>
      </c>
      <c r="K1314" s="4">
        <f>ClientiBanca[[#This Row],[Prestito]]+ClientiBanca[[#This Row],[Mutuo]]</f>
        <v>306700</v>
      </c>
      <c r="L1314" t="str">
        <f>IF(ClientiBanca[[#This Row],[Reddito annuo]]&gt;=70000,"si","no")</f>
        <v>si</v>
      </c>
    </row>
    <row r="1315" spans="1:12">
      <c r="A1315">
        <v>101314</v>
      </c>
      <c r="B1315">
        <v>70</v>
      </c>
      <c r="C1315" s="2">
        <v>52000</v>
      </c>
      <c r="D1315" t="s">
        <v>12</v>
      </c>
      <c r="E1315" s="2">
        <v>0</v>
      </c>
      <c r="F1315" s="2">
        <v>0</v>
      </c>
      <c r="G1315" t="s">
        <v>28</v>
      </c>
      <c r="H1315" t="s">
        <v>14</v>
      </c>
      <c r="I1315" t="s">
        <v>18</v>
      </c>
      <c r="J1315" s="3">
        <v>45401</v>
      </c>
      <c r="K1315" s="4">
        <f>ClientiBanca[[#This Row],[Prestito]]+ClientiBanca[[#This Row],[Mutuo]]</f>
        <v>0</v>
      </c>
      <c r="L1315" t="str">
        <f>IF(ClientiBanca[[#This Row],[Reddito annuo]]&gt;=70000,"si","no")</f>
        <v>no</v>
      </c>
    </row>
    <row r="1316" spans="1:12">
      <c r="A1316">
        <v>101315</v>
      </c>
      <c r="B1316">
        <v>24</v>
      </c>
      <c r="C1316" s="2">
        <v>43600</v>
      </c>
      <c r="D1316" t="s">
        <v>21</v>
      </c>
      <c r="E1316" s="2">
        <v>48000</v>
      </c>
      <c r="F1316" s="2">
        <v>0</v>
      </c>
      <c r="G1316" t="s">
        <v>27</v>
      </c>
      <c r="H1316" t="s">
        <v>14</v>
      </c>
      <c r="I1316" t="s">
        <v>18</v>
      </c>
      <c r="J1316" s="3">
        <v>46222</v>
      </c>
      <c r="K1316" s="4">
        <f>ClientiBanca[[#This Row],[Prestito]]+ClientiBanca[[#This Row],[Mutuo]]</f>
        <v>48000</v>
      </c>
      <c r="L1316" t="str">
        <f>IF(ClientiBanca[[#This Row],[Reddito annuo]]&gt;=70000,"si","no")</f>
        <v>no</v>
      </c>
    </row>
    <row r="1317" spans="1:12">
      <c r="A1317">
        <v>101316</v>
      </c>
      <c r="B1317">
        <v>65</v>
      </c>
      <c r="C1317" s="2">
        <v>58900</v>
      </c>
      <c r="D1317" t="s">
        <v>21</v>
      </c>
      <c r="E1317" s="2">
        <v>27100</v>
      </c>
      <c r="F1317" s="2">
        <v>240000</v>
      </c>
      <c r="G1317" t="s">
        <v>26</v>
      </c>
      <c r="H1317" t="s">
        <v>17</v>
      </c>
      <c r="I1317" t="s">
        <v>18</v>
      </c>
      <c r="J1317" s="3">
        <v>45583</v>
      </c>
      <c r="K1317" s="4">
        <f>ClientiBanca[[#This Row],[Prestito]]+ClientiBanca[[#This Row],[Mutuo]]</f>
        <v>267100</v>
      </c>
      <c r="L1317" t="str">
        <f>IF(ClientiBanca[[#This Row],[Reddito annuo]]&gt;=70000,"si","no")</f>
        <v>no</v>
      </c>
    </row>
    <row r="1318" spans="1:12">
      <c r="A1318">
        <v>101317</v>
      </c>
      <c r="B1318">
        <v>27</v>
      </c>
      <c r="C1318" s="2">
        <v>57900</v>
      </c>
      <c r="D1318" t="s">
        <v>22</v>
      </c>
      <c r="E1318" s="2">
        <v>72400</v>
      </c>
      <c r="F1318" s="2">
        <v>0</v>
      </c>
      <c r="G1318" t="s">
        <v>24</v>
      </c>
      <c r="H1318" t="s">
        <v>14</v>
      </c>
      <c r="I1318" t="s">
        <v>18</v>
      </c>
      <c r="J1318" s="3">
        <v>45879</v>
      </c>
      <c r="K1318" s="4">
        <f>ClientiBanca[[#This Row],[Prestito]]+ClientiBanca[[#This Row],[Mutuo]]</f>
        <v>72400</v>
      </c>
      <c r="L1318" t="str">
        <f>IF(ClientiBanca[[#This Row],[Reddito annuo]]&gt;=70000,"si","no")</f>
        <v>no</v>
      </c>
    </row>
    <row r="1319" spans="1:12">
      <c r="A1319">
        <v>101318</v>
      </c>
      <c r="B1319">
        <v>32</v>
      </c>
      <c r="C1319" s="2">
        <v>64300</v>
      </c>
      <c r="D1319" t="s">
        <v>21</v>
      </c>
      <c r="E1319" s="2">
        <v>36400</v>
      </c>
      <c r="F1319" s="2">
        <v>0</v>
      </c>
      <c r="G1319" t="s">
        <v>26</v>
      </c>
      <c r="H1319" t="s">
        <v>17</v>
      </c>
      <c r="I1319" t="s">
        <v>18</v>
      </c>
      <c r="J1319" s="3">
        <v>46080</v>
      </c>
      <c r="K1319" s="4">
        <f>ClientiBanca[[#This Row],[Prestito]]+ClientiBanca[[#This Row],[Mutuo]]</f>
        <v>36400</v>
      </c>
      <c r="L1319" t="str">
        <f>IF(ClientiBanca[[#This Row],[Reddito annuo]]&gt;=70000,"si","no")</f>
        <v>no</v>
      </c>
    </row>
    <row r="1320" spans="1:12">
      <c r="A1320">
        <v>101319</v>
      </c>
      <c r="B1320">
        <v>24</v>
      </c>
      <c r="C1320" s="2">
        <v>94300</v>
      </c>
      <c r="D1320" t="s">
        <v>12</v>
      </c>
      <c r="E1320" s="2">
        <v>0</v>
      </c>
      <c r="F1320" s="2">
        <v>0</v>
      </c>
      <c r="G1320" t="s">
        <v>19</v>
      </c>
      <c r="H1320" t="s">
        <v>14</v>
      </c>
      <c r="I1320" t="s">
        <v>18</v>
      </c>
      <c r="J1320" s="3">
        <v>45748</v>
      </c>
      <c r="K1320" s="4">
        <f>ClientiBanca[[#This Row],[Prestito]]+ClientiBanca[[#This Row],[Mutuo]]</f>
        <v>0</v>
      </c>
      <c r="L1320" t="str">
        <f>IF(ClientiBanca[[#This Row],[Reddito annuo]]&gt;=70000,"si","no")</f>
        <v>si</v>
      </c>
    </row>
    <row r="1321" spans="1:12">
      <c r="A1321">
        <v>101320</v>
      </c>
      <c r="B1321">
        <v>67</v>
      </c>
      <c r="C1321" s="2">
        <v>96300</v>
      </c>
      <c r="D1321" t="s">
        <v>21</v>
      </c>
      <c r="E1321" s="2">
        <v>31600</v>
      </c>
      <c r="F1321" s="2">
        <v>0</v>
      </c>
      <c r="G1321" t="s">
        <v>26</v>
      </c>
      <c r="H1321" t="s">
        <v>20</v>
      </c>
      <c r="I1321" t="s">
        <v>18</v>
      </c>
      <c r="J1321" s="3">
        <v>45315</v>
      </c>
      <c r="K1321" s="4">
        <f>ClientiBanca[[#This Row],[Prestito]]+ClientiBanca[[#This Row],[Mutuo]]</f>
        <v>31600</v>
      </c>
      <c r="L1321" t="str">
        <f>IF(ClientiBanca[[#This Row],[Reddito annuo]]&gt;=70000,"si","no")</f>
        <v>si</v>
      </c>
    </row>
    <row r="1322" spans="1:12">
      <c r="A1322">
        <v>101321</v>
      </c>
      <c r="B1322">
        <v>28</v>
      </c>
      <c r="C1322" s="2">
        <v>35900</v>
      </c>
      <c r="D1322" t="s">
        <v>21</v>
      </c>
      <c r="E1322" s="2">
        <v>33000</v>
      </c>
      <c r="F1322" s="2">
        <v>214000</v>
      </c>
      <c r="G1322" t="s">
        <v>19</v>
      </c>
      <c r="H1322" t="s">
        <v>20</v>
      </c>
      <c r="I1322" t="s">
        <v>18</v>
      </c>
      <c r="J1322" s="3">
        <v>45324</v>
      </c>
      <c r="K1322" s="4">
        <f>ClientiBanca[[#This Row],[Prestito]]+ClientiBanca[[#This Row],[Mutuo]]</f>
        <v>247000</v>
      </c>
      <c r="L1322" t="str">
        <f>IF(ClientiBanca[[#This Row],[Reddito annuo]]&gt;=70000,"si","no")</f>
        <v>no</v>
      </c>
    </row>
    <row r="1323" spans="1:12">
      <c r="A1323">
        <v>101322</v>
      </c>
      <c r="B1323">
        <v>52</v>
      </c>
      <c r="C1323" s="2">
        <v>94600</v>
      </c>
      <c r="D1323" t="s">
        <v>21</v>
      </c>
      <c r="E1323" s="2">
        <v>22600</v>
      </c>
      <c r="F1323" s="2">
        <v>0</v>
      </c>
      <c r="G1323" t="s">
        <v>13</v>
      </c>
      <c r="H1323" t="s">
        <v>17</v>
      </c>
      <c r="I1323" t="s">
        <v>18</v>
      </c>
      <c r="J1323" s="3">
        <v>45863</v>
      </c>
      <c r="K1323" s="4">
        <f>ClientiBanca[[#This Row],[Prestito]]+ClientiBanca[[#This Row],[Mutuo]]</f>
        <v>22600</v>
      </c>
      <c r="L1323" t="str">
        <f>IF(ClientiBanca[[#This Row],[Reddito annuo]]&gt;=70000,"si","no")</f>
        <v>si</v>
      </c>
    </row>
    <row r="1324" spans="1:12">
      <c r="A1324">
        <v>101323</v>
      </c>
      <c r="B1324">
        <v>69</v>
      </c>
      <c r="C1324" s="2">
        <v>35400</v>
      </c>
      <c r="D1324" t="s">
        <v>21</v>
      </c>
      <c r="E1324" s="2">
        <v>44200</v>
      </c>
      <c r="F1324" s="2">
        <v>0</v>
      </c>
      <c r="G1324" t="s">
        <v>28</v>
      </c>
      <c r="H1324" t="s">
        <v>14</v>
      </c>
      <c r="I1324" t="s">
        <v>18</v>
      </c>
      <c r="J1324" s="3">
        <v>46061</v>
      </c>
      <c r="K1324" s="4">
        <f>ClientiBanca[[#This Row],[Prestito]]+ClientiBanca[[#This Row],[Mutuo]]</f>
        <v>44200</v>
      </c>
      <c r="L1324" t="str">
        <f>IF(ClientiBanca[[#This Row],[Reddito annuo]]&gt;=70000,"si","no")</f>
        <v>no</v>
      </c>
    </row>
    <row r="1325" spans="1:12">
      <c r="A1325">
        <v>101324</v>
      </c>
      <c r="B1325">
        <v>24</v>
      </c>
      <c r="C1325" s="2">
        <v>82100</v>
      </c>
      <c r="D1325" t="s">
        <v>21</v>
      </c>
      <c r="E1325" s="2">
        <v>31000</v>
      </c>
      <c r="F1325" s="2">
        <v>0</v>
      </c>
      <c r="G1325" t="s">
        <v>24</v>
      </c>
      <c r="H1325" t="s">
        <v>17</v>
      </c>
      <c r="I1325" t="s">
        <v>18</v>
      </c>
      <c r="J1325" s="3">
        <v>45955</v>
      </c>
      <c r="K1325" s="4">
        <f>ClientiBanca[[#This Row],[Prestito]]+ClientiBanca[[#This Row],[Mutuo]]</f>
        <v>31000</v>
      </c>
      <c r="L1325" t="str">
        <f>IF(ClientiBanca[[#This Row],[Reddito annuo]]&gt;=70000,"si","no")</f>
        <v>si</v>
      </c>
    </row>
    <row r="1326" spans="1:12">
      <c r="A1326">
        <v>101325</v>
      </c>
      <c r="B1326">
        <v>56</v>
      </c>
      <c r="C1326" s="2">
        <v>49300</v>
      </c>
      <c r="D1326" t="s">
        <v>12</v>
      </c>
      <c r="E1326" s="2">
        <v>56200</v>
      </c>
      <c r="F1326" s="2">
        <v>0</v>
      </c>
      <c r="G1326" t="s">
        <v>27</v>
      </c>
      <c r="H1326" t="s">
        <v>17</v>
      </c>
      <c r="I1326" t="s">
        <v>18</v>
      </c>
      <c r="J1326" s="3">
        <v>45930</v>
      </c>
      <c r="K1326" s="4">
        <f>ClientiBanca[[#This Row],[Prestito]]+ClientiBanca[[#This Row],[Mutuo]]</f>
        <v>56200</v>
      </c>
      <c r="L1326" t="str">
        <f>IF(ClientiBanca[[#This Row],[Reddito annuo]]&gt;=70000,"si","no")</f>
        <v>no</v>
      </c>
    </row>
    <row r="1327" spans="1:12">
      <c r="A1327">
        <v>101326</v>
      </c>
      <c r="B1327">
        <v>73</v>
      </c>
      <c r="C1327" s="2">
        <v>52500</v>
      </c>
      <c r="D1327" t="s">
        <v>21</v>
      </c>
      <c r="E1327" s="2">
        <v>16600</v>
      </c>
      <c r="F1327" s="2">
        <v>0</v>
      </c>
      <c r="G1327" t="s">
        <v>19</v>
      </c>
      <c r="H1327" t="s">
        <v>17</v>
      </c>
      <c r="I1327" t="s">
        <v>18</v>
      </c>
      <c r="J1327" s="3">
        <v>45497</v>
      </c>
      <c r="K1327" s="4">
        <f>ClientiBanca[[#This Row],[Prestito]]+ClientiBanca[[#This Row],[Mutuo]]</f>
        <v>16600</v>
      </c>
      <c r="L1327" t="str">
        <f>IF(ClientiBanca[[#This Row],[Reddito annuo]]&gt;=70000,"si","no")</f>
        <v>no</v>
      </c>
    </row>
    <row r="1328" spans="1:12">
      <c r="A1328">
        <v>101327</v>
      </c>
      <c r="B1328">
        <v>69</v>
      </c>
      <c r="C1328" s="2">
        <v>88100</v>
      </c>
      <c r="D1328" t="s">
        <v>22</v>
      </c>
      <c r="E1328" s="2">
        <v>0</v>
      </c>
      <c r="F1328" s="2">
        <v>0</v>
      </c>
      <c r="G1328" t="s">
        <v>24</v>
      </c>
      <c r="H1328" t="s">
        <v>20</v>
      </c>
      <c r="I1328" t="s">
        <v>18</v>
      </c>
      <c r="J1328" s="3">
        <v>45443</v>
      </c>
      <c r="K1328" s="4">
        <f>ClientiBanca[[#This Row],[Prestito]]+ClientiBanca[[#This Row],[Mutuo]]</f>
        <v>0</v>
      </c>
      <c r="L1328" t="str">
        <f>IF(ClientiBanca[[#This Row],[Reddito annuo]]&gt;=70000,"si","no")</f>
        <v>si</v>
      </c>
    </row>
    <row r="1329" spans="1:12">
      <c r="A1329">
        <v>101328</v>
      </c>
      <c r="B1329">
        <v>33</v>
      </c>
      <c r="C1329" s="2">
        <v>47400</v>
      </c>
      <c r="D1329" t="s">
        <v>21</v>
      </c>
      <c r="E1329" s="2">
        <v>59200</v>
      </c>
      <c r="F1329" s="2">
        <v>131000</v>
      </c>
      <c r="G1329" t="s">
        <v>19</v>
      </c>
      <c r="H1329" t="s">
        <v>25</v>
      </c>
      <c r="I1329" t="s">
        <v>18</v>
      </c>
      <c r="J1329" s="3">
        <v>45614</v>
      </c>
      <c r="K1329" s="4">
        <f>ClientiBanca[[#This Row],[Prestito]]+ClientiBanca[[#This Row],[Mutuo]]</f>
        <v>190200</v>
      </c>
      <c r="L1329" t="str">
        <f>IF(ClientiBanca[[#This Row],[Reddito annuo]]&gt;=70000,"si","no")</f>
        <v>no</v>
      </c>
    </row>
    <row r="1330" spans="1:12">
      <c r="A1330">
        <v>101329</v>
      </c>
      <c r="B1330">
        <v>34</v>
      </c>
      <c r="C1330" s="2">
        <v>72000</v>
      </c>
      <c r="D1330" t="s">
        <v>21</v>
      </c>
      <c r="E1330" s="2">
        <v>82500</v>
      </c>
      <c r="F1330" s="2">
        <v>335000</v>
      </c>
      <c r="G1330" t="s">
        <v>19</v>
      </c>
      <c r="H1330" t="s">
        <v>20</v>
      </c>
      <c r="I1330" t="s">
        <v>18</v>
      </c>
      <c r="J1330" s="3">
        <v>46259</v>
      </c>
      <c r="K1330" s="4">
        <f>ClientiBanca[[#This Row],[Prestito]]+ClientiBanca[[#This Row],[Mutuo]]</f>
        <v>417500</v>
      </c>
      <c r="L1330" t="str">
        <f>IF(ClientiBanca[[#This Row],[Reddito annuo]]&gt;=70000,"si","no")</f>
        <v>si</v>
      </c>
    </row>
    <row r="1331" spans="1:12">
      <c r="A1331">
        <v>101330</v>
      </c>
      <c r="B1331">
        <v>48</v>
      </c>
      <c r="C1331" s="2">
        <v>36200</v>
      </c>
      <c r="D1331" t="s">
        <v>22</v>
      </c>
      <c r="E1331" s="2">
        <v>45200</v>
      </c>
      <c r="F1331" s="2">
        <v>0</v>
      </c>
      <c r="G1331" t="s">
        <v>23</v>
      </c>
      <c r="H1331" t="s">
        <v>17</v>
      </c>
      <c r="I1331" t="s">
        <v>18</v>
      </c>
      <c r="J1331" s="3">
        <v>45700</v>
      </c>
      <c r="K1331" s="4">
        <f>ClientiBanca[[#This Row],[Prestito]]+ClientiBanca[[#This Row],[Mutuo]]</f>
        <v>45200</v>
      </c>
      <c r="L1331" t="str">
        <f>IF(ClientiBanca[[#This Row],[Reddito annuo]]&gt;=70000,"si","no")</f>
        <v>no</v>
      </c>
    </row>
    <row r="1332" spans="1:12">
      <c r="A1332">
        <v>101331</v>
      </c>
      <c r="B1332">
        <v>32</v>
      </c>
      <c r="C1332" s="2">
        <v>41500</v>
      </c>
      <c r="D1332" t="s">
        <v>21</v>
      </c>
      <c r="E1332" s="2">
        <v>0</v>
      </c>
      <c r="F1332" s="2">
        <v>143000</v>
      </c>
      <c r="G1332" t="s">
        <v>13</v>
      </c>
      <c r="H1332" t="s">
        <v>17</v>
      </c>
      <c r="I1332" t="s">
        <v>18</v>
      </c>
      <c r="J1332" s="3">
        <v>45506</v>
      </c>
      <c r="K1332" s="4">
        <f>ClientiBanca[[#This Row],[Prestito]]+ClientiBanca[[#This Row],[Mutuo]]</f>
        <v>143000</v>
      </c>
      <c r="L1332" t="str">
        <f>IF(ClientiBanca[[#This Row],[Reddito annuo]]&gt;=70000,"si","no")</f>
        <v>no</v>
      </c>
    </row>
    <row r="1333" spans="1:12">
      <c r="A1333">
        <v>101332</v>
      </c>
      <c r="B1333">
        <v>27</v>
      </c>
      <c r="C1333" s="2">
        <v>105800</v>
      </c>
      <c r="D1333" t="s">
        <v>12</v>
      </c>
      <c r="E1333" s="2">
        <v>84600</v>
      </c>
      <c r="F1333" s="2">
        <v>0</v>
      </c>
      <c r="G1333" t="s">
        <v>23</v>
      </c>
      <c r="H1333" t="s">
        <v>25</v>
      </c>
      <c r="I1333" t="s">
        <v>18</v>
      </c>
      <c r="J1333" s="3">
        <v>45660</v>
      </c>
      <c r="K1333" s="4">
        <f>ClientiBanca[[#This Row],[Prestito]]+ClientiBanca[[#This Row],[Mutuo]]</f>
        <v>84600</v>
      </c>
      <c r="L1333" t="str">
        <f>IF(ClientiBanca[[#This Row],[Reddito annuo]]&gt;=70000,"si","no")</f>
        <v>si</v>
      </c>
    </row>
    <row r="1334" spans="1:12">
      <c r="A1334">
        <v>101333</v>
      </c>
      <c r="B1334">
        <v>50</v>
      </c>
      <c r="C1334" s="2">
        <v>44300</v>
      </c>
      <c r="D1334" t="s">
        <v>21</v>
      </c>
      <c r="E1334" s="2">
        <v>5200</v>
      </c>
      <c r="F1334" s="2">
        <v>0</v>
      </c>
      <c r="G1334" t="s">
        <v>16</v>
      </c>
      <c r="H1334" t="s">
        <v>25</v>
      </c>
      <c r="I1334" t="s">
        <v>15</v>
      </c>
      <c r="J1334" s="3">
        <v>45661</v>
      </c>
      <c r="K1334" s="4">
        <f>ClientiBanca[[#This Row],[Prestito]]+ClientiBanca[[#This Row],[Mutuo]]</f>
        <v>5200</v>
      </c>
      <c r="L1334" t="str">
        <f>IF(ClientiBanca[[#This Row],[Reddito annuo]]&gt;=70000,"si","no")</f>
        <v>no</v>
      </c>
    </row>
    <row r="1335" spans="1:12">
      <c r="A1335">
        <v>101334</v>
      </c>
      <c r="B1335">
        <v>39</v>
      </c>
      <c r="C1335" s="2">
        <v>89900</v>
      </c>
      <c r="D1335" t="s">
        <v>21</v>
      </c>
      <c r="E1335" s="2">
        <v>0</v>
      </c>
      <c r="F1335" s="2">
        <v>0</v>
      </c>
      <c r="G1335" t="s">
        <v>13</v>
      </c>
      <c r="H1335" t="s">
        <v>17</v>
      </c>
      <c r="I1335" t="s">
        <v>18</v>
      </c>
      <c r="J1335" s="3">
        <v>46121</v>
      </c>
      <c r="K1335" s="4">
        <f>ClientiBanca[[#This Row],[Prestito]]+ClientiBanca[[#This Row],[Mutuo]]</f>
        <v>0</v>
      </c>
      <c r="L1335" t="str">
        <f>IF(ClientiBanca[[#This Row],[Reddito annuo]]&gt;=70000,"si","no")</f>
        <v>si</v>
      </c>
    </row>
    <row r="1336" spans="1:12">
      <c r="A1336">
        <v>101335</v>
      </c>
      <c r="B1336">
        <v>44</v>
      </c>
      <c r="C1336" s="2">
        <v>95000</v>
      </c>
      <c r="D1336" t="s">
        <v>21</v>
      </c>
      <c r="E1336" s="2">
        <v>0</v>
      </c>
      <c r="F1336" s="2">
        <v>0</v>
      </c>
      <c r="G1336" t="s">
        <v>19</v>
      </c>
      <c r="H1336" t="s">
        <v>20</v>
      </c>
      <c r="I1336" t="s">
        <v>18</v>
      </c>
      <c r="J1336" s="3">
        <v>46159</v>
      </c>
      <c r="K1336" s="4">
        <f>ClientiBanca[[#This Row],[Prestito]]+ClientiBanca[[#This Row],[Mutuo]]</f>
        <v>0</v>
      </c>
      <c r="L1336" t="str">
        <f>IF(ClientiBanca[[#This Row],[Reddito annuo]]&gt;=70000,"si","no")</f>
        <v>si</v>
      </c>
    </row>
    <row r="1337" spans="1:12">
      <c r="A1337">
        <v>101336</v>
      </c>
      <c r="B1337">
        <v>35</v>
      </c>
      <c r="C1337" s="2">
        <v>39800</v>
      </c>
      <c r="D1337" t="s">
        <v>21</v>
      </c>
      <c r="E1337" s="2">
        <v>16100</v>
      </c>
      <c r="F1337" s="2">
        <v>0</v>
      </c>
      <c r="G1337" t="s">
        <v>27</v>
      </c>
      <c r="H1337" t="s">
        <v>20</v>
      </c>
      <c r="I1337" t="s">
        <v>18</v>
      </c>
      <c r="J1337" s="3">
        <v>46179</v>
      </c>
      <c r="K1337" s="4">
        <f>ClientiBanca[[#This Row],[Prestito]]+ClientiBanca[[#This Row],[Mutuo]]</f>
        <v>16100</v>
      </c>
      <c r="L1337" t="str">
        <f>IF(ClientiBanca[[#This Row],[Reddito annuo]]&gt;=70000,"si","no")</f>
        <v>no</v>
      </c>
    </row>
    <row r="1338" spans="1:12">
      <c r="A1338">
        <v>101337</v>
      </c>
      <c r="B1338">
        <v>67</v>
      </c>
      <c r="C1338" s="2">
        <v>72200</v>
      </c>
      <c r="D1338" t="s">
        <v>21</v>
      </c>
      <c r="E1338" s="2">
        <v>16900</v>
      </c>
      <c r="F1338" s="2">
        <v>344000</v>
      </c>
      <c r="G1338" t="s">
        <v>24</v>
      </c>
      <c r="H1338" t="s">
        <v>14</v>
      </c>
      <c r="I1338" t="s">
        <v>18</v>
      </c>
      <c r="J1338" s="3">
        <v>45477</v>
      </c>
      <c r="K1338" s="4">
        <f>ClientiBanca[[#This Row],[Prestito]]+ClientiBanca[[#This Row],[Mutuo]]</f>
        <v>360900</v>
      </c>
      <c r="L1338" t="str">
        <f>IF(ClientiBanca[[#This Row],[Reddito annuo]]&gt;=70000,"si","no")</f>
        <v>si</v>
      </c>
    </row>
    <row r="1339" spans="1:12">
      <c r="A1339">
        <v>101338</v>
      </c>
      <c r="B1339">
        <v>43</v>
      </c>
      <c r="C1339" s="2">
        <v>95500</v>
      </c>
      <c r="D1339" t="s">
        <v>21</v>
      </c>
      <c r="E1339" s="2">
        <v>33600</v>
      </c>
      <c r="F1339" s="2">
        <v>0</v>
      </c>
      <c r="G1339" t="s">
        <v>19</v>
      </c>
      <c r="H1339" t="s">
        <v>14</v>
      </c>
      <c r="I1339" t="s">
        <v>18</v>
      </c>
      <c r="J1339" s="3">
        <v>45620</v>
      </c>
      <c r="K1339" s="4">
        <f>ClientiBanca[[#This Row],[Prestito]]+ClientiBanca[[#This Row],[Mutuo]]</f>
        <v>33600</v>
      </c>
      <c r="L1339" t="str">
        <f>IF(ClientiBanca[[#This Row],[Reddito annuo]]&gt;=70000,"si","no")</f>
        <v>si</v>
      </c>
    </row>
    <row r="1340" spans="1:12">
      <c r="A1340">
        <v>101339</v>
      </c>
      <c r="B1340">
        <v>21</v>
      </c>
      <c r="C1340" s="2">
        <v>83800</v>
      </c>
      <c r="D1340" t="s">
        <v>21</v>
      </c>
      <c r="E1340" s="2">
        <v>0</v>
      </c>
      <c r="F1340" s="2">
        <v>313000</v>
      </c>
      <c r="G1340" t="s">
        <v>16</v>
      </c>
      <c r="H1340" t="s">
        <v>20</v>
      </c>
      <c r="I1340" t="s">
        <v>18</v>
      </c>
      <c r="J1340" s="3">
        <v>45678</v>
      </c>
      <c r="K1340" s="4">
        <f>ClientiBanca[[#This Row],[Prestito]]+ClientiBanca[[#This Row],[Mutuo]]</f>
        <v>313000</v>
      </c>
      <c r="L1340" t="str">
        <f>IF(ClientiBanca[[#This Row],[Reddito annuo]]&gt;=70000,"si","no")</f>
        <v>si</v>
      </c>
    </row>
    <row r="1341" spans="1:12">
      <c r="A1341">
        <v>101340</v>
      </c>
      <c r="B1341">
        <v>68</v>
      </c>
      <c r="C1341" s="2">
        <v>67100</v>
      </c>
      <c r="D1341" t="s">
        <v>12</v>
      </c>
      <c r="E1341" s="2">
        <v>6600</v>
      </c>
      <c r="F1341" s="2">
        <v>0</v>
      </c>
      <c r="G1341" t="s">
        <v>13</v>
      </c>
      <c r="H1341" t="s">
        <v>17</v>
      </c>
      <c r="I1341" t="s">
        <v>18</v>
      </c>
      <c r="J1341" s="3">
        <v>45779</v>
      </c>
      <c r="K1341" s="4">
        <f>ClientiBanca[[#This Row],[Prestito]]+ClientiBanca[[#This Row],[Mutuo]]</f>
        <v>6600</v>
      </c>
      <c r="L1341" t="str">
        <f>IF(ClientiBanca[[#This Row],[Reddito annuo]]&gt;=70000,"si","no")</f>
        <v>no</v>
      </c>
    </row>
    <row r="1342" spans="1:12">
      <c r="A1342">
        <v>101341</v>
      </c>
      <c r="B1342">
        <v>49</v>
      </c>
      <c r="C1342" s="2">
        <v>117200</v>
      </c>
      <c r="D1342" t="s">
        <v>22</v>
      </c>
      <c r="E1342" s="2">
        <v>15800</v>
      </c>
      <c r="F1342" s="2">
        <v>0</v>
      </c>
      <c r="G1342" t="s">
        <v>27</v>
      </c>
      <c r="H1342" t="s">
        <v>20</v>
      </c>
      <c r="I1342" t="s">
        <v>18</v>
      </c>
      <c r="J1342" s="3">
        <v>46216</v>
      </c>
      <c r="K1342" s="4">
        <f>ClientiBanca[[#This Row],[Prestito]]+ClientiBanca[[#This Row],[Mutuo]]</f>
        <v>15800</v>
      </c>
      <c r="L1342" t="str">
        <f>IF(ClientiBanca[[#This Row],[Reddito annuo]]&gt;=70000,"si","no")</f>
        <v>si</v>
      </c>
    </row>
    <row r="1343" spans="1:12">
      <c r="A1343">
        <v>101342</v>
      </c>
      <c r="B1343">
        <v>36</v>
      </c>
      <c r="C1343" s="2">
        <v>36600</v>
      </c>
      <c r="D1343" t="s">
        <v>12</v>
      </c>
      <c r="E1343" s="2">
        <v>40500</v>
      </c>
      <c r="F1343" s="2">
        <v>0</v>
      </c>
      <c r="G1343" t="s">
        <v>28</v>
      </c>
      <c r="H1343" t="s">
        <v>17</v>
      </c>
      <c r="I1343" t="s">
        <v>18</v>
      </c>
      <c r="J1343" s="3">
        <v>45876</v>
      </c>
      <c r="K1343" s="4">
        <f>ClientiBanca[[#This Row],[Prestito]]+ClientiBanca[[#This Row],[Mutuo]]</f>
        <v>40500</v>
      </c>
      <c r="L1343" t="str">
        <f>IF(ClientiBanca[[#This Row],[Reddito annuo]]&gt;=70000,"si","no")</f>
        <v>no</v>
      </c>
    </row>
    <row r="1344" spans="1:12">
      <c r="A1344">
        <v>101343</v>
      </c>
      <c r="B1344">
        <v>32</v>
      </c>
      <c r="C1344" s="2">
        <v>36400</v>
      </c>
      <c r="D1344" t="s">
        <v>12</v>
      </c>
      <c r="E1344" s="2">
        <v>0</v>
      </c>
      <c r="F1344" s="2">
        <v>245000</v>
      </c>
      <c r="G1344" t="s">
        <v>13</v>
      </c>
      <c r="H1344" t="s">
        <v>14</v>
      </c>
      <c r="I1344" t="s">
        <v>18</v>
      </c>
      <c r="J1344" s="3">
        <v>45581</v>
      </c>
      <c r="K1344" s="4">
        <f>ClientiBanca[[#This Row],[Prestito]]+ClientiBanca[[#This Row],[Mutuo]]</f>
        <v>245000</v>
      </c>
      <c r="L1344" t="str">
        <f>IF(ClientiBanca[[#This Row],[Reddito annuo]]&gt;=70000,"si","no")</f>
        <v>no</v>
      </c>
    </row>
    <row r="1345" spans="1:12">
      <c r="A1345">
        <v>101344</v>
      </c>
      <c r="B1345">
        <v>59</v>
      </c>
      <c r="C1345" s="2">
        <v>34800</v>
      </c>
      <c r="D1345" t="s">
        <v>21</v>
      </c>
      <c r="E1345" s="2">
        <v>43500</v>
      </c>
      <c r="F1345" s="2">
        <v>0</v>
      </c>
      <c r="G1345" t="s">
        <v>28</v>
      </c>
      <c r="H1345" t="s">
        <v>14</v>
      </c>
      <c r="I1345" t="s">
        <v>18</v>
      </c>
      <c r="J1345" s="3">
        <v>45883</v>
      </c>
      <c r="K1345" s="4">
        <f>ClientiBanca[[#This Row],[Prestito]]+ClientiBanca[[#This Row],[Mutuo]]</f>
        <v>43500</v>
      </c>
      <c r="L1345" t="str">
        <f>IF(ClientiBanca[[#This Row],[Reddito annuo]]&gt;=70000,"si","no")</f>
        <v>no</v>
      </c>
    </row>
    <row r="1346" spans="1:12">
      <c r="A1346">
        <v>101345</v>
      </c>
      <c r="B1346">
        <v>37</v>
      </c>
      <c r="C1346" s="2">
        <v>81400</v>
      </c>
      <c r="D1346" t="s">
        <v>21</v>
      </c>
      <c r="E1346" s="2">
        <v>43700</v>
      </c>
      <c r="F1346" s="2">
        <v>0</v>
      </c>
      <c r="G1346" t="s">
        <v>27</v>
      </c>
      <c r="H1346" t="s">
        <v>17</v>
      </c>
      <c r="I1346" t="s">
        <v>18</v>
      </c>
      <c r="J1346" s="3">
        <v>45939</v>
      </c>
      <c r="K1346" s="4">
        <f>ClientiBanca[[#This Row],[Prestito]]+ClientiBanca[[#This Row],[Mutuo]]</f>
        <v>43700</v>
      </c>
      <c r="L1346" t="str">
        <f>IF(ClientiBanca[[#This Row],[Reddito annuo]]&gt;=70000,"si","no")</f>
        <v>si</v>
      </c>
    </row>
    <row r="1347" spans="1:12">
      <c r="A1347">
        <v>101346</v>
      </c>
      <c r="B1347">
        <v>23</v>
      </c>
      <c r="C1347" s="2">
        <v>85000</v>
      </c>
      <c r="D1347" t="s">
        <v>22</v>
      </c>
      <c r="E1347" s="2">
        <v>41900</v>
      </c>
      <c r="F1347" s="2">
        <v>0</v>
      </c>
      <c r="G1347" t="s">
        <v>23</v>
      </c>
      <c r="H1347" t="s">
        <v>20</v>
      </c>
      <c r="I1347" t="s">
        <v>18</v>
      </c>
      <c r="J1347" s="3">
        <v>45877</v>
      </c>
      <c r="K1347" s="4">
        <f>ClientiBanca[[#This Row],[Prestito]]+ClientiBanca[[#This Row],[Mutuo]]</f>
        <v>41900</v>
      </c>
      <c r="L1347" t="str">
        <f>IF(ClientiBanca[[#This Row],[Reddito annuo]]&gt;=70000,"si","no")</f>
        <v>si</v>
      </c>
    </row>
    <row r="1348" spans="1:12">
      <c r="A1348">
        <v>101347</v>
      </c>
      <c r="B1348">
        <v>50</v>
      </c>
      <c r="C1348" s="2">
        <v>58700</v>
      </c>
      <c r="D1348" t="s">
        <v>21</v>
      </c>
      <c r="E1348" s="2">
        <v>55900</v>
      </c>
      <c r="F1348" s="2">
        <v>0</v>
      </c>
      <c r="G1348" t="s">
        <v>28</v>
      </c>
      <c r="H1348" t="s">
        <v>25</v>
      </c>
      <c r="I1348" t="s">
        <v>18</v>
      </c>
      <c r="J1348" s="3">
        <v>45561</v>
      </c>
      <c r="K1348" s="4">
        <f>ClientiBanca[[#This Row],[Prestito]]+ClientiBanca[[#This Row],[Mutuo]]</f>
        <v>55900</v>
      </c>
      <c r="L1348" t="str">
        <f>IF(ClientiBanca[[#This Row],[Reddito annuo]]&gt;=70000,"si","no")</f>
        <v>no</v>
      </c>
    </row>
    <row r="1349" spans="1:12">
      <c r="A1349">
        <v>101348</v>
      </c>
      <c r="B1349">
        <v>54</v>
      </c>
      <c r="C1349" s="2">
        <v>55700</v>
      </c>
      <c r="D1349" t="s">
        <v>12</v>
      </c>
      <c r="E1349" s="2">
        <v>34500</v>
      </c>
      <c r="F1349" s="2">
        <v>0</v>
      </c>
      <c r="G1349" t="s">
        <v>24</v>
      </c>
      <c r="H1349" t="s">
        <v>20</v>
      </c>
      <c r="I1349" t="s">
        <v>18</v>
      </c>
      <c r="J1349" s="3">
        <v>45791</v>
      </c>
      <c r="K1349" s="4">
        <f>ClientiBanca[[#This Row],[Prestito]]+ClientiBanca[[#This Row],[Mutuo]]</f>
        <v>34500</v>
      </c>
      <c r="L1349" t="str">
        <f>IF(ClientiBanca[[#This Row],[Reddito annuo]]&gt;=70000,"si","no")</f>
        <v>no</v>
      </c>
    </row>
    <row r="1350" spans="1:12">
      <c r="A1350">
        <v>101349</v>
      </c>
      <c r="B1350">
        <v>69</v>
      </c>
      <c r="C1350" s="2">
        <v>63300</v>
      </c>
      <c r="D1350" t="s">
        <v>12</v>
      </c>
      <c r="E1350" s="2">
        <v>25400</v>
      </c>
      <c r="F1350" s="2">
        <v>0</v>
      </c>
      <c r="G1350" t="s">
        <v>13</v>
      </c>
      <c r="H1350" t="s">
        <v>14</v>
      </c>
      <c r="I1350" t="s">
        <v>18</v>
      </c>
      <c r="J1350" s="3">
        <v>45318</v>
      </c>
      <c r="K1350" s="4">
        <f>ClientiBanca[[#This Row],[Prestito]]+ClientiBanca[[#This Row],[Mutuo]]</f>
        <v>25400</v>
      </c>
      <c r="L1350" t="str">
        <f>IF(ClientiBanca[[#This Row],[Reddito annuo]]&gt;=70000,"si","no")</f>
        <v>no</v>
      </c>
    </row>
    <row r="1351" spans="1:12">
      <c r="A1351">
        <v>101350</v>
      </c>
      <c r="B1351">
        <v>54</v>
      </c>
      <c r="C1351" s="2">
        <v>36400</v>
      </c>
      <c r="D1351" t="s">
        <v>21</v>
      </c>
      <c r="E1351" s="2">
        <v>14500</v>
      </c>
      <c r="F1351" s="2">
        <v>0</v>
      </c>
      <c r="G1351" t="s">
        <v>26</v>
      </c>
      <c r="H1351" t="s">
        <v>20</v>
      </c>
      <c r="I1351" t="s">
        <v>18</v>
      </c>
      <c r="J1351" s="3">
        <v>45755</v>
      </c>
      <c r="K1351" s="4">
        <f>ClientiBanca[[#This Row],[Prestito]]+ClientiBanca[[#This Row],[Mutuo]]</f>
        <v>14500</v>
      </c>
      <c r="L1351" t="str">
        <f>IF(ClientiBanca[[#This Row],[Reddito annuo]]&gt;=70000,"si","no")</f>
        <v>no</v>
      </c>
    </row>
    <row r="1352" spans="1:12">
      <c r="A1352">
        <v>101351</v>
      </c>
      <c r="B1352">
        <v>47</v>
      </c>
      <c r="C1352" s="2">
        <v>63600</v>
      </c>
      <c r="D1352" t="s">
        <v>22</v>
      </c>
      <c r="E1352" s="2">
        <v>0</v>
      </c>
      <c r="F1352" s="2">
        <v>0</v>
      </c>
      <c r="G1352" t="s">
        <v>24</v>
      </c>
      <c r="H1352" t="s">
        <v>17</v>
      </c>
      <c r="I1352" t="s">
        <v>18</v>
      </c>
      <c r="J1352" s="3">
        <v>46255</v>
      </c>
      <c r="K1352" s="4">
        <f>ClientiBanca[[#This Row],[Prestito]]+ClientiBanca[[#This Row],[Mutuo]]</f>
        <v>0</v>
      </c>
      <c r="L1352" t="str">
        <f>IF(ClientiBanca[[#This Row],[Reddito annuo]]&gt;=70000,"si","no")</f>
        <v>no</v>
      </c>
    </row>
    <row r="1353" spans="1:12">
      <c r="A1353">
        <v>101352</v>
      </c>
      <c r="B1353">
        <v>52</v>
      </c>
      <c r="C1353" s="2">
        <v>40900</v>
      </c>
      <c r="D1353" t="s">
        <v>22</v>
      </c>
      <c r="E1353" s="2">
        <v>6900</v>
      </c>
      <c r="F1353" s="2">
        <v>0</v>
      </c>
      <c r="G1353" t="s">
        <v>19</v>
      </c>
      <c r="H1353" t="s">
        <v>17</v>
      </c>
      <c r="I1353" t="s">
        <v>18</v>
      </c>
      <c r="J1353" s="3">
        <v>45868</v>
      </c>
      <c r="K1353" s="4">
        <f>ClientiBanca[[#This Row],[Prestito]]+ClientiBanca[[#This Row],[Mutuo]]</f>
        <v>6900</v>
      </c>
      <c r="L1353" t="str">
        <f>IF(ClientiBanca[[#This Row],[Reddito annuo]]&gt;=70000,"si","no")</f>
        <v>no</v>
      </c>
    </row>
    <row r="1354" spans="1:12">
      <c r="A1354">
        <v>101353</v>
      </c>
      <c r="B1354">
        <v>75</v>
      </c>
      <c r="C1354" s="2">
        <v>62000</v>
      </c>
      <c r="D1354" t="s">
        <v>21</v>
      </c>
      <c r="E1354" s="2">
        <v>36000</v>
      </c>
      <c r="F1354" s="2">
        <v>0</v>
      </c>
      <c r="G1354" t="s">
        <v>24</v>
      </c>
      <c r="H1354" t="s">
        <v>17</v>
      </c>
      <c r="I1354" t="s">
        <v>18</v>
      </c>
      <c r="J1354" s="3">
        <v>45461</v>
      </c>
      <c r="K1354" s="4">
        <f>ClientiBanca[[#This Row],[Prestito]]+ClientiBanca[[#This Row],[Mutuo]]</f>
        <v>36000</v>
      </c>
      <c r="L1354" t="str">
        <f>IF(ClientiBanca[[#This Row],[Reddito annuo]]&gt;=70000,"si","no")</f>
        <v>no</v>
      </c>
    </row>
    <row r="1355" spans="1:12">
      <c r="A1355">
        <v>101354</v>
      </c>
      <c r="B1355">
        <v>60</v>
      </c>
      <c r="C1355" s="2">
        <v>70000</v>
      </c>
      <c r="D1355" t="s">
        <v>12</v>
      </c>
      <c r="E1355" s="2">
        <v>0</v>
      </c>
      <c r="F1355" s="2">
        <v>0</v>
      </c>
      <c r="G1355" t="s">
        <v>24</v>
      </c>
      <c r="H1355" t="s">
        <v>17</v>
      </c>
      <c r="I1355" t="s">
        <v>18</v>
      </c>
      <c r="J1355" s="3">
        <v>45916</v>
      </c>
      <c r="K1355" s="4">
        <f>ClientiBanca[[#This Row],[Prestito]]+ClientiBanca[[#This Row],[Mutuo]]</f>
        <v>0</v>
      </c>
      <c r="L1355" t="str">
        <f>IF(ClientiBanca[[#This Row],[Reddito annuo]]&gt;=70000,"si","no")</f>
        <v>si</v>
      </c>
    </row>
    <row r="1356" spans="1:12">
      <c r="A1356">
        <v>101355</v>
      </c>
      <c r="B1356">
        <v>47</v>
      </c>
      <c r="C1356" s="2">
        <v>92600</v>
      </c>
      <c r="D1356" t="s">
        <v>21</v>
      </c>
      <c r="E1356" s="2">
        <v>0</v>
      </c>
      <c r="F1356" s="2">
        <v>0</v>
      </c>
      <c r="G1356" t="s">
        <v>26</v>
      </c>
      <c r="H1356" t="s">
        <v>20</v>
      </c>
      <c r="I1356" t="s">
        <v>18</v>
      </c>
      <c r="J1356" s="3">
        <v>45826</v>
      </c>
      <c r="K1356" s="4">
        <f>ClientiBanca[[#This Row],[Prestito]]+ClientiBanca[[#This Row],[Mutuo]]</f>
        <v>0</v>
      </c>
      <c r="L1356" t="str">
        <f>IF(ClientiBanca[[#This Row],[Reddito annuo]]&gt;=70000,"si","no")</f>
        <v>si</v>
      </c>
    </row>
    <row r="1357" spans="1:12">
      <c r="A1357">
        <v>101356</v>
      </c>
      <c r="B1357">
        <v>46</v>
      </c>
      <c r="C1357" s="2">
        <v>97600</v>
      </c>
      <c r="D1357" t="s">
        <v>21</v>
      </c>
      <c r="E1357" s="2">
        <v>70200</v>
      </c>
      <c r="F1357" s="2">
        <v>160000</v>
      </c>
      <c r="G1357" t="s">
        <v>26</v>
      </c>
      <c r="H1357" t="s">
        <v>20</v>
      </c>
      <c r="I1357" t="s">
        <v>18</v>
      </c>
      <c r="J1357" s="3">
        <v>45900</v>
      </c>
      <c r="K1357" s="4">
        <f>ClientiBanca[[#This Row],[Prestito]]+ClientiBanca[[#This Row],[Mutuo]]</f>
        <v>230200</v>
      </c>
      <c r="L1357" t="str">
        <f>IF(ClientiBanca[[#This Row],[Reddito annuo]]&gt;=70000,"si","no")</f>
        <v>si</v>
      </c>
    </row>
    <row r="1358" spans="1:12">
      <c r="A1358">
        <v>101357</v>
      </c>
      <c r="B1358">
        <v>24</v>
      </c>
      <c r="C1358" s="2">
        <v>30600</v>
      </c>
      <c r="D1358" t="s">
        <v>21</v>
      </c>
      <c r="E1358" s="2">
        <v>38200</v>
      </c>
      <c r="F1358" s="2">
        <v>0</v>
      </c>
      <c r="G1358" t="s">
        <v>23</v>
      </c>
      <c r="H1358" t="s">
        <v>17</v>
      </c>
      <c r="I1358" t="s">
        <v>18</v>
      </c>
      <c r="J1358" s="3">
        <v>45721</v>
      </c>
      <c r="K1358" s="4">
        <f>ClientiBanca[[#This Row],[Prestito]]+ClientiBanca[[#This Row],[Mutuo]]</f>
        <v>38200</v>
      </c>
      <c r="L1358" t="str">
        <f>IF(ClientiBanca[[#This Row],[Reddito annuo]]&gt;=70000,"si","no")</f>
        <v>no</v>
      </c>
    </row>
    <row r="1359" spans="1:12">
      <c r="A1359">
        <v>101358</v>
      </c>
      <c r="B1359">
        <v>45</v>
      </c>
      <c r="C1359" s="2">
        <v>66500</v>
      </c>
      <c r="D1359" t="s">
        <v>21</v>
      </c>
      <c r="E1359" s="2">
        <v>20000</v>
      </c>
      <c r="F1359" s="2">
        <v>0</v>
      </c>
      <c r="G1359" t="s">
        <v>24</v>
      </c>
      <c r="H1359" t="s">
        <v>14</v>
      </c>
      <c r="I1359" t="s">
        <v>18</v>
      </c>
      <c r="J1359" s="3">
        <v>46049</v>
      </c>
      <c r="K1359" s="4">
        <f>ClientiBanca[[#This Row],[Prestito]]+ClientiBanca[[#This Row],[Mutuo]]</f>
        <v>20000</v>
      </c>
      <c r="L1359" t="str">
        <f>IF(ClientiBanca[[#This Row],[Reddito annuo]]&gt;=70000,"si","no")</f>
        <v>no</v>
      </c>
    </row>
    <row r="1360" spans="1:12">
      <c r="A1360">
        <v>101359</v>
      </c>
      <c r="B1360">
        <v>57</v>
      </c>
      <c r="C1360" s="2">
        <v>106600</v>
      </c>
      <c r="D1360" t="s">
        <v>21</v>
      </c>
      <c r="E1360" s="2">
        <v>44400</v>
      </c>
      <c r="F1360" s="2">
        <v>0</v>
      </c>
      <c r="G1360" t="s">
        <v>27</v>
      </c>
      <c r="H1360" t="s">
        <v>17</v>
      </c>
      <c r="I1360" t="s">
        <v>18</v>
      </c>
      <c r="J1360" s="3">
        <v>45828</v>
      </c>
      <c r="K1360" s="4">
        <f>ClientiBanca[[#This Row],[Prestito]]+ClientiBanca[[#This Row],[Mutuo]]</f>
        <v>44400</v>
      </c>
      <c r="L1360" t="str">
        <f>IF(ClientiBanca[[#This Row],[Reddito annuo]]&gt;=70000,"si","no")</f>
        <v>si</v>
      </c>
    </row>
    <row r="1361" spans="1:12">
      <c r="A1361">
        <v>101360</v>
      </c>
      <c r="B1361">
        <v>26</v>
      </c>
      <c r="C1361" s="2">
        <v>82600</v>
      </c>
      <c r="D1361" t="s">
        <v>12</v>
      </c>
      <c r="E1361" s="2">
        <v>30300</v>
      </c>
      <c r="F1361" s="2">
        <v>0</v>
      </c>
      <c r="G1361" t="s">
        <v>28</v>
      </c>
      <c r="H1361" t="s">
        <v>20</v>
      </c>
      <c r="I1361" t="s">
        <v>18</v>
      </c>
      <c r="J1361" s="3">
        <v>46064</v>
      </c>
      <c r="K1361" s="4">
        <f>ClientiBanca[[#This Row],[Prestito]]+ClientiBanca[[#This Row],[Mutuo]]</f>
        <v>30300</v>
      </c>
      <c r="L1361" t="str">
        <f>IF(ClientiBanca[[#This Row],[Reddito annuo]]&gt;=70000,"si","no")</f>
        <v>si</v>
      </c>
    </row>
    <row r="1362" spans="1:12">
      <c r="A1362">
        <v>101361</v>
      </c>
      <c r="B1362">
        <v>66</v>
      </c>
      <c r="C1362" s="2">
        <v>49400</v>
      </c>
      <c r="D1362" t="s">
        <v>21</v>
      </c>
      <c r="E1362" s="2">
        <v>0</v>
      </c>
      <c r="F1362" s="2">
        <v>0</v>
      </c>
      <c r="G1362" t="s">
        <v>26</v>
      </c>
      <c r="H1362" t="s">
        <v>20</v>
      </c>
      <c r="I1362" t="s">
        <v>18</v>
      </c>
      <c r="J1362" s="3">
        <v>45769</v>
      </c>
      <c r="K1362" s="4">
        <f>ClientiBanca[[#This Row],[Prestito]]+ClientiBanca[[#This Row],[Mutuo]]</f>
        <v>0</v>
      </c>
      <c r="L1362" t="str">
        <f>IF(ClientiBanca[[#This Row],[Reddito annuo]]&gt;=70000,"si","no")</f>
        <v>no</v>
      </c>
    </row>
    <row r="1363" spans="1:12">
      <c r="A1363">
        <v>101362</v>
      </c>
      <c r="B1363">
        <v>47</v>
      </c>
      <c r="C1363" s="2">
        <v>66000</v>
      </c>
      <c r="D1363" t="s">
        <v>22</v>
      </c>
      <c r="E1363" s="2">
        <v>53900</v>
      </c>
      <c r="F1363" s="2">
        <v>0</v>
      </c>
      <c r="G1363" t="s">
        <v>23</v>
      </c>
      <c r="H1363" t="s">
        <v>17</v>
      </c>
      <c r="I1363" t="s">
        <v>18</v>
      </c>
      <c r="J1363" s="3">
        <v>46041</v>
      </c>
      <c r="K1363" s="4">
        <f>ClientiBanca[[#This Row],[Prestito]]+ClientiBanca[[#This Row],[Mutuo]]</f>
        <v>53900</v>
      </c>
      <c r="L1363" t="str">
        <f>IF(ClientiBanca[[#This Row],[Reddito annuo]]&gt;=70000,"si","no")</f>
        <v>no</v>
      </c>
    </row>
    <row r="1364" spans="1:12">
      <c r="A1364">
        <v>101363</v>
      </c>
      <c r="B1364">
        <v>58</v>
      </c>
      <c r="C1364" s="2">
        <v>110100</v>
      </c>
      <c r="D1364" t="s">
        <v>22</v>
      </c>
      <c r="E1364" s="2">
        <v>59200</v>
      </c>
      <c r="F1364" s="2">
        <v>0</v>
      </c>
      <c r="G1364" t="s">
        <v>16</v>
      </c>
      <c r="H1364" t="s">
        <v>20</v>
      </c>
      <c r="I1364" t="s">
        <v>18</v>
      </c>
      <c r="J1364" s="3">
        <v>46177</v>
      </c>
      <c r="K1364" s="4">
        <f>ClientiBanca[[#This Row],[Prestito]]+ClientiBanca[[#This Row],[Mutuo]]</f>
        <v>59200</v>
      </c>
      <c r="L1364" t="str">
        <f>IF(ClientiBanca[[#This Row],[Reddito annuo]]&gt;=70000,"si","no")</f>
        <v>si</v>
      </c>
    </row>
    <row r="1365" spans="1:12">
      <c r="A1365">
        <v>101364</v>
      </c>
      <c r="B1365">
        <v>69</v>
      </c>
      <c r="C1365" s="2">
        <v>45800</v>
      </c>
      <c r="D1365" t="s">
        <v>12</v>
      </c>
      <c r="E1365" s="2">
        <v>21100</v>
      </c>
      <c r="F1365" s="2">
        <v>0</v>
      </c>
      <c r="G1365" t="s">
        <v>16</v>
      </c>
      <c r="H1365" t="s">
        <v>17</v>
      </c>
      <c r="I1365" t="s">
        <v>18</v>
      </c>
      <c r="J1365" s="3">
        <v>45657</v>
      </c>
      <c r="K1365" s="4">
        <f>ClientiBanca[[#This Row],[Prestito]]+ClientiBanca[[#This Row],[Mutuo]]</f>
        <v>21100</v>
      </c>
      <c r="L1365" t="str">
        <f>IF(ClientiBanca[[#This Row],[Reddito annuo]]&gt;=70000,"si","no")</f>
        <v>no</v>
      </c>
    </row>
    <row r="1366" spans="1:12">
      <c r="A1366">
        <v>101365</v>
      </c>
      <c r="B1366">
        <v>25</v>
      </c>
      <c r="C1366" s="2">
        <v>23900</v>
      </c>
      <c r="D1366" t="s">
        <v>12</v>
      </c>
      <c r="E1366" s="2">
        <v>29900</v>
      </c>
      <c r="F1366" s="2">
        <v>0</v>
      </c>
      <c r="G1366" t="s">
        <v>16</v>
      </c>
      <c r="H1366" t="s">
        <v>14</v>
      </c>
      <c r="I1366" t="s">
        <v>15</v>
      </c>
      <c r="J1366" s="3">
        <v>46091</v>
      </c>
      <c r="K1366" s="4">
        <f>ClientiBanca[[#This Row],[Prestito]]+ClientiBanca[[#This Row],[Mutuo]]</f>
        <v>29900</v>
      </c>
      <c r="L1366" t="str">
        <f>IF(ClientiBanca[[#This Row],[Reddito annuo]]&gt;=70000,"si","no")</f>
        <v>no</v>
      </c>
    </row>
    <row r="1367" spans="1:12">
      <c r="A1367">
        <v>101366</v>
      </c>
      <c r="B1367">
        <v>72</v>
      </c>
      <c r="C1367" s="2">
        <v>76400</v>
      </c>
      <c r="D1367" t="s">
        <v>12</v>
      </c>
      <c r="E1367" s="2">
        <v>0</v>
      </c>
      <c r="F1367" s="2">
        <v>0</v>
      </c>
      <c r="G1367" t="s">
        <v>16</v>
      </c>
      <c r="H1367" t="s">
        <v>20</v>
      </c>
      <c r="I1367" t="s">
        <v>18</v>
      </c>
      <c r="J1367" s="3">
        <v>45402</v>
      </c>
      <c r="K1367" s="4">
        <f>ClientiBanca[[#This Row],[Prestito]]+ClientiBanca[[#This Row],[Mutuo]]</f>
        <v>0</v>
      </c>
      <c r="L1367" t="str">
        <f>IF(ClientiBanca[[#This Row],[Reddito annuo]]&gt;=70000,"si","no")</f>
        <v>si</v>
      </c>
    </row>
    <row r="1368" spans="1:12">
      <c r="A1368">
        <v>101367</v>
      </c>
      <c r="B1368">
        <v>57</v>
      </c>
      <c r="C1368" s="2">
        <v>90100</v>
      </c>
      <c r="D1368" t="s">
        <v>12</v>
      </c>
      <c r="E1368" s="2">
        <v>13600</v>
      </c>
      <c r="F1368" s="2">
        <v>0</v>
      </c>
      <c r="G1368" t="s">
        <v>23</v>
      </c>
      <c r="H1368" t="s">
        <v>20</v>
      </c>
      <c r="I1368" t="s">
        <v>18</v>
      </c>
      <c r="J1368" s="3">
        <v>46217</v>
      </c>
      <c r="K1368" s="4">
        <f>ClientiBanca[[#This Row],[Prestito]]+ClientiBanca[[#This Row],[Mutuo]]</f>
        <v>13600</v>
      </c>
      <c r="L1368" t="str">
        <f>IF(ClientiBanca[[#This Row],[Reddito annuo]]&gt;=70000,"si","no")</f>
        <v>si</v>
      </c>
    </row>
    <row r="1369" spans="1:12">
      <c r="A1369">
        <v>101368</v>
      </c>
      <c r="B1369">
        <v>58</v>
      </c>
      <c r="C1369" s="2">
        <v>54500</v>
      </c>
      <c r="D1369" t="s">
        <v>21</v>
      </c>
      <c r="E1369" s="2">
        <v>0</v>
      </c>
      <c r="F1369" s="2">
        <v>0</v>
      </c>
      <c r="G1369" t="s">
        <v>28</v>
      </c>
      <c r="H1369" t="s">
        <v>14</v>
      </c>
      <c r="I1369" t="s">
        <v>18</v>
      </c>
      <c r="J1369" s="3">
        <v>45879</v>
      </c>
      <c r="K1369" s="4">
        <f>ClientiBanca[[#This Row],[Prestito]]+ClientiBanca[[#This Row],[Mutuo]]</f>
        <v>0</v>
      </c>
      <c r="L1369" t="str">
        <f>IF(ClientiBanca[[#This Row],[Reddito annuo]]&gt;=70000,"si","no")</f>
        <v>no</v>
      </c>
    </row>
    <row r="1370" spans="1:12">
      <c r="A1370">
        <v>101369</v>
      </c>
      <c r="B1370">
        <v>75</v>
      </c>
      <c r="C1370" s="2">
        <v>61400</v>
      </c>
      <c r="D1370" t="s">
        <v>22</v>
      </c>
      <c r="E1370" s="2">
        <v>0</v>
      </c>
      <c r="F1370" s="2">
        <v>0</v>
      </c>
      <c r="G1370" t="s">
        <v>16</v>
      </c>
      <c r="H1370" t="s">
        <v>17</v>
      </c>
      <c r="I1370" t="s">
        <v>18</v>
      </c>
      <c r="J1370" s="3">
        <v>45318</v>
      </c>
      <c r="K1370" s="4">
        <f>ClientiBanca[[#This Row],[Prestito]]+ClientiBanca[[#This Row],[Mutuo]]</f>
        <v>0</v>
      </c>
      <c r="L1370" t="str">
        <f>IF(ClientiBanca[[#This Row],[Reddito annuo]]&gt;=70000,"si","no")</f>
        <v>no</v>
      </c>
    </row>
    <row r="1371" spans="1:12">
      <c r="A1371">
        <v>101370</v>
      </c>
      <c r="B1371">
        <v>33</v>
      </c>
      <c r="C1371" s="2">
        <v>64700</v>
      </c>
      <c r="D1371" t="s">
        <v>21</v>
      </c>
      <c r="E1371" s="2">
        <v>0</v>
      </c>
      <c r="F1371" s="2">
        <v>336000</v>
      </c>
      <c r="G1371" t="s">
        <v>27</v>
      </c>
      <c r="H1371" t="s">
        <v>14</v>
      </c>
      <c r="I1371" t="s">
        <v>18</v>
      </c>
      <c r="J1371" s="3">
        <v>46161</v>
      </c>
      <c r="K1371" s="4">
        <f>ClientiBanca[[#This Row],[Prestito]]+ClientiBanca[[#This Row],[Mutuo]]</f>
        <v>336000</v>
      </c>
      <c r="L1371" t="str">
        <f>IF(ClientiBanca[[#This Row],[Reddito annuo]]&gt;=70000,"si","no")</f>
        <v>no</v>
      </c>
    </row>
    <row r="1372" spans="1:12">
      <c r="A1372">
        <v>101371</v>
      </c>
      <c r="B1372">
        <v>36</v>
      </c>
      <c r="C1372" s="2">
        <v>50500</v>
      </c>
      <c r="D1372" t="s">
        <v>12</v>
      </c>
      <c r="E1372" s="2">
        <v>63100</v>
      </c>
      <c r="F1372" s="2">
        <v>280000</v>
      </c>
      <c r="G1372" t="s">
        <v>19</v>
      </c>
      <c r="H1372" t="s">
        <v>17</v>
      </c>
      <c r="I1372" t="s">
        <v>18</v>
      </c>
      <c r="J1372" s="3">
        <v>45561</v>
      </c>
      <c r="K1372" s="4">
        <f>ClientiBanca[[#This Row],[Prestito]]+ClientiBanca[[#This Row],[Mutuo]]</f>
        <v>343100</v>
      </c>
      <c r="L1372" t="str">
        <f>IF(ClientiBanca[[#This Row],[Reddito annuo]]&gt;=70000,"si","no")</f>
        <v>no</v>
      </c>
    </row>
    <row r="1373" spans="1:12">
      <c r="A1373">
        <v>101372</v>
      </c>
      <c r="B1373">
        <v>69</v>
      </c>
      <c r="C1373" s="2">
        <v>84900</v>
      </c>
      <c r="D1373" t="s">
        <v>21</v>
      </c>
      <c r="E1373" s="2">
        <v>0</v>
      </c>
      <c r="F1373" s="2">
        <v>0</v>
      </c>
      <c r="G1373" t="s">
        <v>19</v>
      </c>
      <c r="H1373" t="s">
        <v>17</v>
      </c>
      <c r="I1373" t="s">
        <v>18</v>
      </c>
      <c r="J1373" s="3">
        <v>46063</v>
      </c>
      <c r="K1373" s="4">
        <f>ClientiBanca[[#This Row],[Prestito]]+ClientiBanca[[#This Row],[Mutuo]]</f>
        <v>0</v>
      </c>
      <c r="L1373" t="str">
        <f>IF(ClientiBanca[[#This Row],[Reddito annuo]]&gt;=70000,"si","no")</f>
        <v>si</v>
      </c>
    </row>
    <row r="1374" spans="1:12">
      <c r="A1374">
        <v>101373</v>
      </c>
      <c r="B1374">
        <v>42</v>
      </c>
      <c r="C1374" s="2">
        <v>83500</v>
      </c>
      <c r="D1374" t="s">
        <v>21</v>
      </c>
      <c r="E1374" s="2">
        <v>13200</v>
      </c>
      <c r="F1374" s="2">
        <v>0</v>
      </c>
      <c r="G1374" t="s">
        <v>23</v>
      </c>
      <c r="H1374" t="s">
        <v>20</v>
      </c>
      <c r="I1374" t="s">
        <v>18</v>
      </c>
      <c r="J1374" s="3">
        <v>46228</v>
      </c>
      <c r="K1374" s="4">
        <f>ClientiBanca[[#This Row],[Prestito]]+ClientiBanca[[#This Row],[Mutuo]]</f>
        <v>13200</v>
      </c>
      <c r="L1374" t="str">
        <f>IF(ClientiBanca[[#This Row],[Reddito annuo]]&gt;=70000,"si","no")</f>
        <v>si</v>
      </c>
    </row>
    <row r="1375" spans="1:12">
      <c r="A1375">
        <v>101374</v>
      </c>
      <c r="B1375">
        <v>66</v>
      </c>
      <c r="C1375" s="2">
        <v>33600</v>
      </c>
      <c r="D1375" t="s">
        <v>21</v>
      </c>
      <c r="E1375" s="2">
        <v>42000</v>
      </c>
      <c r="F1375" s="2">
        <v>0</v>
      </c>
      <c r="G1375" t="s">
        <v>23</v>
      </c>
      <c r="H1375" t="s">
        <v>17</v>
      </c>
      <c r="I1375" t="s">
        <v>18</v>
      </c>
      <c r="J1375" s="3">
        <v>45651</v>
      </c>
      <c r="K1375" s="4">
        <f>ClientiBanca[[#This Row],[Prestito]]+ClientiBanca[[#This Row],[Mutuo]]</f>
        <v>42000</v>
      </c>
      <c r="L1375" t="str">
        <f>IF(ClientiBanca[[#This Row],[Reddito annuo]]&gt;=70000,"si","no")</f>
        <v>no</v>
      </c>
    </row>
    <row r="1376" spans="1:12">
      <c r="A1376">
        <v>101375</v>
      </c>
      <c r="B1376">
        <v>41</v>
      </c>
      <c r="C1376" s="2">
        <v>86300</v>
      </c>
      <c r="D1376" t="s">
        <v>22</v>
      </c>
      <c r="E1376" s="2">
        <v>0</v>
      </c>
      <c r="F1376" s="2">
        <v>0</v>
      </c>
      <c r="G1376" t="s">
        <v>19</v>
      </c>
      <c r="H1376" t="s">
        <v>20</v>
      </c>
      <c r="I1376" t="s">
        <v>18</v>
      </c>
      <c r="J1376" s="3">
        <v>45486</v>
      </c>
      <c r="K1376" s="4">
        <f>ClientiBanca[[#This Row],[Prestito]]+ClientiBanca[[#This Row],[Mutuo]]</f>
        <v>0</v>
      </c>
      <c r="L1376" t="str">
        <f>IF(ClientiBanca[[#This Row],[Reddito annuo]]&gt;=70000,"si","no")</f>
        <v>si</v>
      </c>
    </row>
    <row r="1377" spans="1:12">
      <c r="A1377">
        <v>101376</v>
      </c>
      <c r="B1377">
        <v>57</v>
      </c>
      <c r="C1377" s="2">
        <v>47600</v>
      </c>
      <c r="D1377" t="s">
        <v>12</v>
      </c>
      <c r="E1377" s="2">
        <v>23200</v>
      </c>
      <c r="F1377" s="2">
        <v>0</v>
      </c>
      <c r="G1377" t="s">
        <v>24</v>
      </c>
      <c r="H1377" t="s">
        <v>17</v>
      </c>
      <c r="I1377" t="s">
        <v>18</v>
      </c>
      <c r="J1377" s="3">
        <v>45495</v>
      </c>
      <c r="K1377" s="4">
        <f>ClientiBanca[[#This Row],[Prestito]]+ClientiBanca[[#This Row],[Mutuo]]</f>
        <v>23200</v>
      </c>
      <c r="L1377" t="str">
        <f>IF(ClientiBanca[[#This Row],[Reddito annuo]]&gt;=70000,"si","no")</f>
        <v>no</v>
      </c>
    </row>
    <row r="1378" spans="1:12">
      <c r="A1378">
        <v>101377</v>
      </c>
      <c r="B1378">
        <v>25</v>
      </c>
      <c r="C1378" s="2">
        <v>33600</v>
      </c>
      <c r="D1378" t="s">
        <v>12</v>
      </c>
      <c r="E1378" s="2">
        <v>0</v>
      </c>
      <c r="F1378" s="2">
        <v>0</v>
      </c>
      <c r="G1378" t="s">
        <v>26</v>
      </c>
      <c r="H1378" t="s">
        <v>20</v>
      </c>
      <c r="I1378" t="s">
        <v>18</v>
      </c>
      <c r="J1378" s="3">
        <v>45640</v>
      </c>
      <c r="K1378" s="4">
        <f>ClientiBanca[[#This Row],[Prestito]]+ClientiBanca[[#This Row],[Mutuo]]</f>
        <v>0</v>
      </c>
      <c r="L1378" t="str">
        <f>IF(ClientiBanca[[#This Row],[Reddito annuo]]&gt;=70000,"si","no")</f>
        <v>no</v>
      </c>
    </row>
    <row r="1379" spans="1:12">
      <c r="A1379">
        <v>101378</v>
      </c>
      <c r="B1379">
        <v>54</v>
      </c>
      <c r="C1379" s="2">
        <v>50200</v>
      </c>
      <c r="D1379" t="s">
        <v>21</v>
      </c>
      <c r="E1379" s="2">
        <v>58700</v>
      </c>
      <c r="F1379" s="2">
        <v>0</v>
      </c>
      <c r="G1379" t="s">
        <v>26</v>
      </c>
      <c r="H1379" t="s">
        <v>17</v>
      </c>
      <c r="I1379" t="s">
        <v>18</v>
      </c>
      <c r="J1379" s="3">
        <v>45623</v>
      </c>
      <c r="K1379" s="4">
        <f>ClientiBanca[[#This Row],[Prestito]]+ClientiBanca[[#This Row],[Mutuo]]</f>
        <v>58700</v>
      </c>
      <c r="L1379" t="str">
        <f>IF(ClientiBanca[[#This Row],[Reddito annuo]]&gt;=70000,"si","no")</f>
        <v>no</v>
      </c>
    </row>
    <row r="1380" spans="1:12">
      <c r="A1380">
        <v>101379</v>
      </c>
      <c r="B1380">
        <v>34</v>
      </c>
      <c r="C1380" s="2">
        <v>55900</v>
      </c>
      <c r="D1380" t="s">
        <v>21</v>
      </c>
      <c r="E1380" s="2">
        <v>44100</v>
      </c>
      <c r="F1380" s="2">
        <v>207000</v>
      </c>
      <c r="G1380" t="s">
        <v>23</v>
      </c>
      <c r="H1380" t="s">
        <v>20</v>
      </c>
      <c r="I1380" t="s">
        <v>18</v>
      </c>
      <c r="J1380" s="3">
        <v>45955</v>
      </c>
      <c r="K1380" s="4">
        <f>ClientiBanca[[#This Row],[Prestito]]+ClientiBanca[[#This Row],[Mutuo]]</f>
        <v>251100</v>
      </c>
      <c r="L1380" t="str">
        <f>IF(ClientiBanca[[#This Row],[Reddito annuo]]&gt;=70000,"si","no")</f>
        <v>no</v>
      </c>
    </row>
    <row r="1381" spans="1:12">
      <c r="A1381">
        <v>101380</v>
      </c>
      <c r="B1381">
        <v>71</v>
      </c>
      <c r="C1381" s="2">
        <v>42100</v>
      </c>
      <c r="D1381" t="s">
        <v>21</v>
      </c>
      <c r="E1381" s="2">
        <v>7400</v>
      </c>
      <c r="F1381" s="2">
        <v>0</v>
      </c>
      <c r="G1381" t="s">
        <v>28</v>
      </c>
      <c r="H1381" t="s">
        <v>17</v>
      </c>
      <c r="I1381" t="s">
        <v>18</v>
      </c>
      <c r="J1381" s="3">
        <v>45873</v>
      </c>
      <c r="K1381" s="4">
        <f>ClientiBanca[[#This Row],[Prestito]]+ClientiBanca[[#This Row],[Mutuo]]</f>
        <v>7400</v>
      </c>
      <c r="L1381" t="str">
        <f>IF(ClientiBanca[[#This Row],[Reddito annuo]]&gt;=70000,"si","no")</f>
        <v>no</v>
      </c>
    </row>
    <row r="1382" spans="1:12">
      <c r="A1382">
        <v>101381</v>
      </c>
      <c r="B1382">
        <v>32</v>
      </c>
      <c r="C1382" s="2">
        <v>53900</v>
      </c>
      <c r="D1382" t="s">
        <v>22</v>
      </c>
      <c r="E1382" s="2">
        <v>41400</v>
      </c>
      <c r="F1382" s="2">
        <v>0</v>
      </c>
      <c r="G1382" t="s">
        <v>16</v>
      </c>
      <c r="H1382" t="s">
        <v>14</v>
      </c>
      <c r="I1382" t="s">
        <v>18</v>
      </c>
      <c r="J1382" s="3">
        <v>45664</v>
      </c>
      <c r="K1382" s="4">
        <f>ClientiBanca[[#This Row],[Prestito]]+ClientiBanca[[#This Row],[Mutuo]]</f>
        <v>41400</v>
      </c>
      <c r="L1382" t="str">
        <f>IF(ClientiBanca[[#This Row],[Reddito annuo]]&gt;=70000,"si","no")</f>
        <v>no</v>
      </c>
    </row>
    <row r="1383" spans="1:12">
      <c r="A1383">
        <v>101382</v>
      </c>
      <c r="B1383">
        <v>71</v>
      </c>
      <c r="C1383" s="2">
        <v>85800</v>
      </c>
      <c r="D1383" t="s">
        <v>21</v>
      </c>
      <c r="E1383" s="2">
        <v>68300</v>
      </c>
      <c r="F1383" s="2">
        <v>0</v>
      </c>
      <c r="G1383" t="s">
        <v>19</v>
      </c>
      <c r="H1383" t="s">
        <v>20</v>
      </c>
      <c r="I1383" t="s">
        <v>18</v>
      </c>
      <c r="J1383" s="3">
        <v>45621</v>
      </c>
      <c r="K1383" s="4">
        <f>ClientiBanca[[#This Row],[Prestito]]+ClientiBanca[[#This Row],[Mutuo]]</f>
        <v>68300</v>
      </c>
      <c r="L1383" t="str">
        <f>IF(ClientiBanca[[#This Row],[Reddito annuo]]&gt;=70000,"si","no")</f>
        <v>si</v>
      </c>
    </row>
    <row r="1384" spans="1:12">
      <c r="A1384">
        <v>101383</v>
      </c>
      <c r="B1384">
        <v>75</v>
      </c>
      <c r="C1384" s="2">
        <v>88800</v>
      </c>
      <c r="D1384" t="s">
        <v>12</v>
      </c>
      <c r="E1384" s="2">
        <v>0</v>
      </c>
      <c r="F1384" s="2">
        <v>0</v>
      </c>
      <c r="G1384" t="s">
        <v>13</v>
      </c>
      <c r="H1384" t="s">
        <v>25</v>
      </c>
      <c r="I1384" t="s">
        <v>18</v>
      </c>
      <c r="J1384" s="3">
        <v>46095</v>
      </c>
      <c r="K1384" s="4">
        <f>ClientiBanca[[#This Row],[Prestito]]+ClientiBanca[[#This Row],[Mutuo]]</f>
        <v>0</v>
      </c>
      <c r="L1384" t="str">
        <f>IF(ClientiBanca[[#This Row],[Reddito annuo]]&gt;=70000,"si","no")</f>
        <v>si</v>
      </c>
    </row>
    <row r="1385" spans="1:12">
      <c r="A1385">
        <v>101384</v>
      </c>
      <c r="B1385">
        <v>52</v>
      </c>
      <c r="C1385" s="2">
        <v>76400</v>
      </c>
      <c r="D1385" t="s">
        <v>12</v>
      </c>
      <c r="E1385" s="2">
        <v>56800</v>
      </c>
      <c r="F1385" s="2">
        <v>178000</v>
      </c>
      <c r="G1385" t="s">
        <v>23</v>
      </c>
      <c r="H1385" t="s">
        <v>20</v>
      </c>
      <c r="I1385" t="s">
        <v>18</v>
      </c>
      <c r="J1385" s="3">
        <v>45346</v>
      </c>
      <c r="K1385" s="4">
        <f>ClientiBanca[[#This Row],[Prestito]]+ClientiBanca[[#This Row],[Mutuo]]</f>
        <v>234800</v>
      </c>
      <c r="L1385" t="str">
        <f>IF(ClientiBanca[[#This Row],[Reddito annuo]]&gt;=70000,"si","no")</f>
        <v>si</v>
      </c>
    </row>
    <row r="1386" spans="1:12">
      <c r="A1386">
        <v>101385</v>
      </c>
      <c r="B1386">
        <v>49</v>
      </c>
      <c r="C1386" s="2">
        <v>68700</v>
      </c>
      <c r="D1386" t="s">
        <v>21</v>
      </c>
      <c r="E1386" s="2">
        <v>72800</v>
      </c>
      <c r="F1386" s="2">
        <v>221000</v>
      </c>
      <c r="G1386" t="s">
        <v>27</v>
      </c>
      <c r="H1386" t="s">
        <v>14</v>
      </c>
      <c r="I1386" t="s">
        <v>18</v>
      </c>
      <c r="J1386" s="3">
        <v>46015</v>
      </c>
      <c r="K1386" s="4">
        <f>ClientiBanca[[#This Row],[Prestito]]+ClientiBanca[[#This Row],[Mutuo]]</f>
        <v>293800</v>
      </c>
      <c r="L1386" t="str">
        <f>IF(ClientiBanca[[#This Row],[Reddito annuo]]&gt;=70000,"si","no")</f>
        <v>no</v>
      </c>
    </row>
    <row r="1387" spans="1:12">
      <c r="A1387">
        <v>101386</v>
      </c>
      <c r="B1387">
        <v>29</v>
      </c>
      <c r="C1387" s="2">
        <v>31100</v>
      </c>
      <c r="D1387" t="s">
        <v>21</v>
      </c>
      <c r="E1387" s="2">
        <v>0</v>
      </c>
      <c r="F1387" s="2">
        <v>0</v>
      </c>
      <c r="G1387" t="s">
        <v>26</v>
      </c>
      <c r="H1387" t="s">
        <v>25</v>
      </c>
      <c r="I1387" t="s">
        <v>18</v>
      </c>
      <c r="J1387" s="3">
        <v>46037</v>
      </c>
      <c r="K1387" s="4">
        <f>ClientiBanca[[#This Row],[Prestito]]+ClientiBanca[[#This Row],[Mutuo]]</f>
        <v>0</v>
      </c>
      <c r="L1387" t="str">
        <f>IF(ClientiBanca[[#This Row],[Reddito annuo]]&gt;=70000,"si","no")</f>
        <v>no</v>
      </c>
    </row>
    <row r="1388" spans="1:12">
      <c r="A1388">
        <v>101387</v>
      </c>
      <c r="B1388">
        <v>21</v>
      </c>
      <c r="C1388" s="2">
        <v>76900</v>
      </c>
      <c r="D1388" t="s">
        <v>21</v>
      </c>
      <c r="E1388" s="2">
        <v>71000</v>
      </c>
      <c r="F1388" s="2">
        <v>0</v>
      </c>
      <c r="G1388" t="s">
        <v>23</v>
      </c>
      <c r="H1388" t="s">
        <v>17</v>
      </c>
      <c r="I1388" t="s">
        <v>18</v>
      </c>
      <c r="J1388" s="3">
        <v>46005</v>
      </c>
      <c r="K1388" s="4">
        <f>ClientiBanca[[#This Row],[Prestito]]+ClientiBanca[[#This Row],[Mutuo]]</f>
        <v>71000</v>
      </c>
      <c r="L1388" t="str">
        <f>IF(ClientiBanca[[#This Row],[Reddito annuo]]&gt;=70000,"si","no")</f>
        <v>si</v>
      </c>
    </row>
    <row r="1389" spans="1:12">
      <c r="A1389">
        <v>101388</v>
      </c>
      <c r="B1389">
        <v>63</v>
      </c>
      <c r="C1389" s="2">
        <v>47200</v>
      </c>
      <c r="D1389" t="s">
        <v>21</v>
      </c>
      <c r="E1389" s="2">
        <v>0</v>
      </c>
      <c r="F1389" s="2">
        <v>0</v>
      </c>
      <c r="G1389" t="s">
        <v>16</v>
      </c>
      <c r="H1389" t="s">
        <v>20</v>
      </c>
      <c r="I1389" t="s">
        <v>18</v>
      </c>
      <c r="J1389" s="3">
        <v>45844</v>
      </c>
      <c r="K1389" s="4">
        <f>ClientiBanca[[#This Row],[Prestito]]+ClientiBanca[[#This Row],[Mutuo]]</f>
        <v>0</v>
      </c>
      <c r="L1389" t="str">
        <f>IF(ClientiBanca[[#This Row],[Reddito annuo]]&gt;=70000,"si","no")</f>
        <v>no</v>
      </c>
    </row>
    <row r="1390" spans="1:12">
      <c r="A1390">
        <v>101389</v>
      </c>
      <c r="B1390">
        <v>63</v>
      </c>
      <c r="C1390" s="2">
        <v>66200</v>
      </c>
      <c r="D1390" t="s">
        <v>22</v>
      </c>
      <c r="E1390" s="2">
        <v>0</v>
      </c>
      <c r="F1390" s="2">
        <v>271000</v>
      </c>
      <c r="G1390" t="s">
        <v>13</v>
      </c>
      <c r="H1390" t="s">
        <v>14</v>
      </c>
      <c r="I1390" t="s">
        <v>18</v>
      </c>
      <c r="J1390" s="3">
        <v>45364</v>
      </c>
      <c r="K1390" s="4">
        <f>ClientiBanca[[#This Row],[Prestito]]+ClientiBanca[[#This Row],[Mutuo]]</f>
        <v>271000</v>
      </c>
      <c r="L1390" t="str">
        <f>IF(ClientiBanca[[#This Row],[Reddito annuo]]&gt;=70000,"si","no")</f>
        <v>no</v>
      </c>
    </row>
    <row r="1391" spans="1:12">
      <c r="A1391">
        <v>101390</v>
      </c>
      <c r="B1391">
        <v>59</v>
      </c>
      <c r="C1391" s="2">
        <v>31100</v>
      </c>
      <c r="D1391" t="s">
        <v>21</v>
      </c>
      <c r="E1391" s="2">
        <v>18600</v>
      </c>
      <c r="F1391" s="2">
        <v>0</v>
      </c>
      <c r="G1391" t="s">
        <v>24</v>
      </c>
      <c r="H1391" t="s">
        <v>14</v>
      </c>
      <c r="I1391" t="s">
        <v>15</v>
      </c>
      <c r="J1391" s="3">
        <v>46243</v>
      </c>
      <c r="K1391" s="4">
        <f>ClientiBanca[[#This Row],[Prestito]]+ClientiBanca[[#This Row],[Mutuo]]</f>
        <v>18600</v>
      </c>
      <c r="L1391" t="str">
        <f>IF(ClientiBanca[[#This Row],[Reddito annuo]]&gt;=70000,"si","no")</f>
        <v>no</v>
      </c>
    </row>
    <row r="1392" spans="1:12">
      <c r="A1392">
        <v>101391</v>
      </c>
      <c r="B1392">
        <v>51</v>
      </c>
      <c r="C1392" s="2">
        <v>78300</v>
      </c>
      <c r="D1392" t="s">
        <v>21</v>
      </c>
      <c r="E1392" s="2">
        <v>28500</v>
      </c>
      <c r="F1392" s="2">
        <v>0</v>
      </c>
      <c r="G1392" t="s">
        <v>16</v>
      </c>
      <c r="H1392" t="s">
        <v>17</v>
      </c>
      <c r="I1392" t="s">
        <v>18</v>
      </c>
      <c r="J1392" s="3">
        <v>45777</v>
      </c>
      <c r="K1392" s="4">
        <f>ClientiBanca[[#This Row],[Prestito]]+ClientiBanca[[#This Row],[Mutuo]]</f>
        <v>28500</v>
      </c>
      <c r="L1392" t="str">
        <f>IF(ClientiBanca[[#This Row],[Reddito annuo]]&gt;=70000,"si","no")</f>
        <v>si</v>
      </c>
    </row>
    <row r="1393" spans="1:12">
      <c r="A1393">
        <v>101392</v>
      </c>
      <c r="B1393">
        <v>28</v>
      </c>
      <c r="C1393" s="2">
        <v>91200</v>
      </c>
      <c r="D1393" t="s">
        <v>21</v>
      </c>
      <c r="E1393" s="2">
        <v>17800</v>
      </c>
      <c r="F1393" s="2">
        <v>0</v>
      </c>
      <c r="G1393" t="s">
        <v>26</v>
      </c>
      <c r="H1393" t="s">
        <v>20</v>
      </c>
      <c r="I1393" t="s">
        <v>18</v>
      </c>
      <c r="J1393" s="3">
        <v>45703</v>
      </c>
      <c r="K1393" s="4">
        <f>ClientiBanca[[#This Row],[Prestito]]+ClientiBanca[[#This Row],[Mutuo]]</f>
        <v>17800</v>
      </c>
      <c r="L1393" t="str">
        <f>IF(ClientiBanca[[#This Row],[Reddito annuo]]&gt;=70000,"si","no")</f>
        <v>si</v>
      </c>
    </row>
    <row r="1394" spans="1:12">
      <c r="A1394">
        <v>101393</v>
      </c>
      <c r="B1394">
        <v>32</v>
      </c>
      <c r="C1394" s="2">
        <v>42700</v>
      </c>
      <c r="D1394" t="s">
        <v>22</v>
      </c>
      <c r="E1394" s="2">
        <v>25300</v>
      </c>
      <c r="F1394" s="2">
        <v>0</v>
      </c>
      <c r="G1394" t="s">
        <v>26</v>
      </c>
      <c r="H1394" t="s">
        <v>20</v>
      </c>
      <c r="I1394" t="s">
        <v>18</v>
      </c>
      <c r="J1394" s="3">
        <v>45862</v>
      </c>
      <c r="K1394" s="4">
        <f>ClientiBanca[[#This Row],[Prestito]]+ClientiBanca[[#This Row],[Mutuo]]</f>
        <v>25300</v>
      </c>
      <c r="L1394" t="str">
        <f>IF(ClientiBanca[[#This Row],[Reddito annuo]]&gt;=70000,"si","no")</f>
        <v>no</v>
      </c>
    </row>
    <row r="1395" spans="1:12">
      <c r="A1395">
        <v>101394</v>
      </c>
      <c r="B1395">
        <v>23</v>
      </c>
      <c r="C1395" s="2">
        <v>74100</v>
      </c>
      <c r="D1395" t="s">
        <v>21</v>
      </c>
      <c r="E1395" s="2">
        <v>80300</v>
      </c>
      <c r="F1395" s="2">
        <v>174000</v>
      </c>
      <c r="G1395" t="s">
        <v>26</v>
      </c>
      <c r="H1395" t="s">
        <v>20</v>
      </c>
      <c r="I1395" t="s">
        <v>18</v>
      </c>
      <c r="J1395" s="3">
        <v>45868</v>
      </c>
      <c r="K1395" s="4">
        <f>ClientiBanca[[#This Row],[Prestito]]+ClientiBanca[[#This Row],[Mutuo]]</f>
        <v>254300</v>
      </c>
      <c r="L1395" t="str">
        <f>IF(ClientiBanca[[#This Row],[Reddito annuo]]&gt;=70000,"si","no")</f>
        <v>si</v>
      </c>
    </row>
    <row r="1396" spans="1:12">
      <c r="A1396">
        <v>101395</v>
      </c>
      <c r="B1396">
        <v>43</v>
      </c>
      <c r="C1396" s="2">
        <v>92800</v>
      </c>
      <c r="D1396" t="s">
        <v>22</v>
      </c>
      <c r="E1396" s="2">
        <v>41000</v>
      </c>
      <c r="F1396" s="2">
        <v>153000</v>
      </c>
      <c r="G1396" t="s">
        <v>19</v>
      </c>
      <c r="H1396" t="s">
        <v>20</v>
      </c>
      <c r="I1396" t="s">
        <v>18</v>
      </c>
      <c r="J1396" s="3">
        <v>45450</v>
      </c>
      <c r="K1396" s="4">
        <f>ClientiBanca[[#This Row],[Prestito]]+ClientiBanca[[#This Row],[Mutuo]]</f>
        <v>194000</v>
      </c>
      <c r="L1396" t="str">
        <f>IF(ClientiBanca[[#This Row],[Reddito annuo]]&gt;=70000,"si","no")</f>
        <v>si</v>
      </c>
    </row>
    <row r="1397" spans="1:12">
      <c r="A1397">
        <v>101396</v>
      </c>
      <c r="B1397">
        <v>58</v>
      </c>
      <c r="C1397" s="2">
        <v>51500</v>
      </c>
      <c r="D1397" t="s">
        <v>21</v>
      </c>
      <c r="E1397" s="2">
        <v>58800</v>
      </c>
      <c r="F1397" s="2">
        <v>0</v>
      </c>
      <c r="G1397" t="s">
        <v>24</v>
      </c>
      <c r="H1397" t="s">
        <v>14</v>
      </c>
      <c r="I1397" t="s">
        <v>18</v>
      </c>
      <c r="J1397" s="3">
        <v>45929</v>
      </c>
      <c r="K1397" s="4">
        <f>ClientiBanca[[#This Row],[Prestito]]+ClientiBanca[[#This Row],[Mutuo]]</f>
        <v>58800</v>
      </c>
      <c r="L1397" t="str">
        <f>IF(ClientiBanca[[#This Row],[Reddito annuo]]&gt;=70000,"si","no")</f>
        <v>no</v>
      </c>
    </row>
    <row r="1398" spans="1:12">
      <c r="A1398">
        <v>101397</v>
      </c>
      <c r="B1398">
        <v>22</v>
      </c>
      <c r="C1398" s="2">
        <v>104700</v>
      </c>
      <c r="D1398" t="s">
        <v>22</v>
      </c>
      <c r="E1398" s="2">
        <v>0</v>
      </c>
      <c r="F1398" s="2">
        <v>343000</v>
      </c>
      <c r="G1398" t="s">
        <v>26</v>
      </c>
      <c r="H1398" t="s">
        <v>20</v>
      </c>
      <c r="I1398" t="s">
        <v>18</v>
      </c>
      <c r="J1398" s="3">
        <v>45991</v>
      </c>
      <c r="K1398" s="4">
        <f>ClientiBanca[[#This Row],[Prestito]]+ClientiBanca[[#This Row],[Mutuo]]</f>
        <v>343000</v>
      </c>
      <c r="L1398" t="str">
        <f>IF(ClientiBanca[[#This Row],[Reddito annuo]]&gt;=70000,"si","no")</f>
        <v>si</v>
      </c>
    </row>
    <row r="1399" spans="1:12">
      <c r="A1399">
        <v>101398</v>
      </c>
      <c r="B1399">
        <v>31</v>
      </c>
      <c r="C1399" s="2">
        <v>66400</v>
      </c>
      <c r="D1399" t="s">
        <v>21</v>
      </c>
      <c r="E1399" s="2">
        <v>18500</v>
      </c>
      <c r="F1399" s="2">
        <v>233000</v>
      </c>
      <c r="G1399" t="s">
        <v>19</v>
      </c>
      <c r="H1399" t="s">
        <v>14</v>
      </c>
      <c r="I1399" t="s">
        <v>18</v>
      </c>
      <c r="J1399" s="3">
        <v>45853</v>
      </c>
      <c r="K1399" s="4">
        <f>ClientiBanca[[#This Row],[Prestito]]+ClientiBanca[[#This Row],[Mutuo]]</f>
        <v>251500</v>
      </c>
      <c r="L1399" t="str">
        <f>IF(ClientiBanca[[#This Row],[Reddito annuo]]&gt;=70000,"si","no")</f>
        <v>no</v>
      </c>
    </row>
    <row r="1400" spans="1:12">
      <c r="A1400">
        <v>101399</v>
      </c>
      <c r="B1400">
        <v>73</v>
      </c>
      <c r="C1400" s="2">
        <v>52400</v>
      </c>
      <c r="D1400" t="s">
        <v>21</v>
      </c>
      <c r="E1400" s="2">
        <v>36900</v>
      </c>
      <c r="F1400" s="2">
        <v>0</v>
      </c>
      <c r="G1400" t="s">
        <v>19</v>
      </c>
      <c r="H1400" t="s">
        <v>20</v>
      </c>
      <c r="I1400" t="s">
        <v>18</v>
      </c>
      <c r="J1400" s="3">
        <v>45794</v>
      </c>
      <c r="K1400" s="4">
        <f>ClientiBanca[[#This Row],[Prestito]]+ClientiBanca[[#This Row],[Mutuo]]</f>
        <v>36900</v>
      </c>
      <c r="L1400" t="str">
        <f>IF(ClientiBanca[[#This Row],[Reddito annuo]]&gt;=70000,"si","no")</f>
        <v>no</v>
      </c>
    </row>
    <row r="1401" spans="1:12">
      <c r="A1401">
        <v>101400</v>
      </c>
      <c r="B1401">
        <v>32</v>
      </c>
      <c r="C1401" s="2">
        <v>84900</v>
      </c>
      <c r="D1401" t="s">
        <v>21</v>
      </c>
      <c r="E1401" s="2">
        <v>79400</v>
      </c>
      <c r="F1401" s="2">
        <v>0</v>
      </c>
      <c r="G1401" t="s">
        <v>13</v>
      </c>
      <c r="H1401" t="s">
        <v>14</v>
      </c>
      <c r="I1401" t="s">
        <v>15</v>
      </c>
      <c r="J1401" s="3">
        <v>45962</v>
      </c>
      <c r="K1401" s="4">
        <f>ClientiBanca[[#This Row],[Prestito]]+ClientiBanca[[#This Row],[Mutuo]]</f>
        <v>79400</v>
      </c>
      <c r="L1401" t="str">
        <f>IF(ClientiBanca[[#This Row],[Reddito annuo]]&gt;=70000,"si","no")</f>
        <v>si</v>
      </c>
    </row>
    <row r="1402" spans="1:12">
      <c r="A1402">
        <v>101401</v>
      </c>
      <c r="B1402">
        <v>40</v>
      </c>
      <c r="C1402" s="2">
        <v>100500</v>
      </c>
      <c r="D1402" t="s">
        <v>12</v>
      </c>
      <c r="E1402" s="2">
        <v>34900</v>
      </c>
      <c r="F1402" s="2">
        <v>0</v>
      </c>
      <c r="G1402" t="s">
        <v>23</v>
      </c>
      <c r="H1402" t="s">
        <v>20</v>
      </c>
      <c r="I1402" t="s">
        <v>18</v>
      </c>
      <c r="J1402" s="3">
        <v>46073</v>
      </c>
      <c r="K1402" s="4">
        <f>ClientiBanca[[#This Row],[Prestito]]+ClientiBanca[[#This Row],[Mutuo]]</f>
        <v>34900</v>
      </c>
      <c r="L1402" t="str">
        <f>IF(ClientiBanca[[#This Row],[Reddito annuo]]&gt;=70000,"si","no")</f>
        <v>si</v>
      </c>
    </row>
    <row r="1403" spans="1:12">
      <c r="A1403">
        <v>101402</v>
      </c>
      <c r="B1403">
        <v>32</v>
      </c>
      <c r="C1403" s="2">
        <v>46500</v>
      </c>
      <c r="D1403" t="s">
        <v>12</v>
      </c>
      <c r="E1403" s="2">
        <v>27200</v>
      </c>
      <c r="F1403" s="2">
        <v>0</v>
      </c>
      <c r="G1403" t="s">
        <v>28</v>
      </c>
      <c r="H1403" t="s">
        <v>20</v>
      </c>
      <c r="I1403" t="s">
        <v>18</v>
      </c>
      <c r="J1403" s="3">
        <v>45916</v>
      </c>
      <c r="K1403" s="4">
        <f>ClientiBanca[[#This Row],[Prestito]]+ClientiBanca[[#This Row],[Mutuo]]</f>
        <v>27200</v>
      </c>
      <c r="L1403" t="str">
        <f>IF(ClientiBanca[[#This Row],[Reddito annuo]]&gt;=70000,"si","no")</f>
        <v>no</v>
      </c>
    </row>
    <row r="1404" spans="1:12">
      <c r="A1404">
        <v>101403</v>
      </c>
      <c r="B1404">
        <v>44</v>
      </c>
      <c r="C1404" s="2">
        <v>47300</v>
      </c>
      <c r="D1404" t="s">
        <v>22</v>
      </c>
      <c r="E1404" s="2">
        <v>0</v>
      </c>
      <c r="F1404" s="2">
        <v>0</v>
      </c>
      <c r="G1404" t="s">
        <v>27</v>
      </c>
      <c r="H1404" t="s">
        <v>17</v>
      </c>
      <c r="I1404" t="s">
        <v>18</v>
      </c>
      <c r="J1404" s="3">
        <v>45334</v>
      </c>
      <c r="K1404" s="4">
        <f>ClientiBanca[[#This Row],[Prestito]]+ClientiBanca[[#This Row],[Mutuo]]</f>
        <v>0</v>
      </c>
      <c r="L1404" t="str">
        <f>IF(ClientiBanca[[#This Row],[Reddito annuo]]&gt;=70000,"si","no")</f>
        <v>no</v>
      </c>
    </row>
    <row r="1405" spans="1:12">
      <c r="A1405">
        <v>101404</v>
      </c>
      <c r="B1405">
        <v>32</v>
      </c>
      <c r="C1405" s="2">
        <v>107100</v>
      </c>
      <c r="D1405" t="s">
        <v>21</v>
      </c>
      <c r="E1405" s="2">
        <v>64900</v>
      </c>
      <c r="F1405" s="2">
        <v>0</v>
      </c>
      <c r="G1405" t="s">
        <v>19</v>
      </c>
      <c r="H1405" t="s">
        <v>17</v>
      </c>
      <c r="I1405" t="s">
        <v>18</v>
      </c>
      <c r="J1405" s="3">
        <v>45340</v>
      </c>
      <c r="K1405" s="4">
        <f>ClientiBanca[[#This Row],[Prestito]]+ClientiBanca[[#This Row],[Mutuo]]</f>
        <v>64900</v>
      </c>
      <c r="L1405" t="str">
        <f>IF(ClientiBanca[[#This Row],[Reddito annuo]]&gt;=70000,"si","no")</f>
        <v>si</v>
      </c>
    </row>
    <row r="1406" spans="1:12">
      <c r="A1406">
        <v>101405</v>
      </c>
      <c r="B1406">
        <v>39</v>
      </c>
      <c r="C1406" s="2">
        <v>52100</v>
      </c>
      <c r="D1406" t="s">
        <v>21</v>
      </c>
      <c r="E1406" s="2">
        <v>56600</v>
      </c>
      <c r="F1406" s="2">
        <v>0</v>
      </c>
      <c r="G1406" t="s">
        <v>16</v>
      </c>
      <c r="H1406" t="s">
        <v>14</v>
      </c>
      <c r="I1406" t="s">
        <v>18</v>
      </c>
      <c r="J1406" s="3">
        <v>45474</v>
      </c>
      <c r="K1406" s="4">
        <f>ClientiBanca[[#This Row],[Prestito]]+ClientiBanca[[#This Row],[Mutuo]]</f>
        <v>56600</v>
      </c>
      <c r="L1406" t="str">
        <f>IF(ClientiBanca[[#This Row],[Reddito annuo]]&gt;=70000,"si","no")</f>
        <v>no</v>
      </c>
    </row>
    <row r="1407" spans="1:12">
      <c r="A1407">
        <v>101406</v>
      </c>
      <c r="B1407">
        <v>52</v>
      </c>
      <c r="C1407" s="2">
        <v>51300</v>
      </c>
      <c r="D1407" t="s">
        <v>12</v>
      </c>
      <c r="E1407" s="2">
        <v>0</v>
      </c>
      <c r="F1407" s="2">
        <v>353000</v>
      </c>
      <c r="G1407" t="s">
        <v>23</v>
      </c>
      <c r="H1407" t="s">
        <v>17</v>
      </c>
      <c r="I1407" t="s">
        <v>18</v>
      </c>
      <c r="J1407" s="3">
        <v>45366</v>
      </c>
      <c r="K1407" s="4">
        <f>ClientiBanca[[#This Row],[Prestito]]+ClientiBanca[[#This Row],[Mutuo]]</f>
        <v>353000</v>
      </c>
      <c r="L1407" t="str">
        <f>IF(ClientiBanca[[#This Row],[Reddito annuo]]&gt;=70000,"si","no")</f>
        <v>no</v>
      </c>
    </row>
    <row r="1408" spans="1:12">
      <c r="A1408">
        <v>101407</v>
      </c>
      <c r="B1408">
        <v>65</v>
      </c>
      <c r="C1408" s="2">
        <v>41400</v>
      </c>
      <c r="D1408" t="s">
        <v>21</v>
      </c>
      <c r="E1408" s="2">
        <v>6700</v>
      </c>
      <c r="F1408" s="2">
        <v>0</v>
      </c>
      <c r="G1408" t="s">
        <v>23</v>
      </c>
      <c r="H1408" t="s">
        <v>25</v>
      </c>
      <c r="I1408" t="s">
        <v>15</v>
      </c>
      <c r="J1408" s="3">
        <v>45589</v>
      </c>
      <c r="K1408" s="4">
        <f>ClientiBanca[[#This Row],[Prestito]]+ClientiBanca[[#This Row],[Mutuo]]</f>
        <v>6700</v>
      </c>
      <c r="L1408" t="str">
        <f>IF(ClientiBanca[[#This Row],[Reddito annuo]]&gt;=70000,"si","no")</f>
        <v>no</v>
      </c>
    </row>
    <row r="1409" spans="1:12">
      <c r="A1409">
        <v>101408</v>
      </c>
      <c r="B1409">
        <v>20</v>
      </c>
      <c r="C1409" s="2">
        <v>99300</v>
      </c>
      <c r="D1409" t="s">
        <v>12</v>
      </c>
      <c r="E1409" s="2">
        <v>0</v>
      </c>
      <c r="F1409" s="2">
        <v>0</v>
      </c>
      <c r="G1409" t="s">
        <v>24</v>
      </c>
      <c r="H1409" t="s">
        <v>25</v>
      </c>
      <c r="I1409" t="s">
        <v>18</v>
      </c>
      <c r="J1409" s="3">
        <v>46138</v>
      </c>
      <c r="K1409" s="4">
        <f>ClientiBanca[[#This Row],[Prestito]]+ClientiBanca[[#This Row],[Mutuo]]</f>
        <v>0</v>
      </c>
      <c r="L1409" t="str">
        <f>IF(ClientiBanca[[#This Row],[Reddito annuo]]&gt;=70000,"si","no")</f>
        <v>si</v>
      </c>
    </row>
    <row r="1410" spans="1:12">
      <c r="A1410">
        <v>101409</v>
      </c>
      <c r="B1410">
        <v>34</v>
      </c>
      <c r="C1410" s="2">
        <v>51300</v>
      </c>
      <c r="D1410" t="s">
        <v>22</v>
      </c>
      <c r="E1410" s="2">
        <v>16100</v>
      </c>
      <c r="F1410" s="2">
        <v>247000</v>
      </c>
      <c r="G1410" t="s">
        <v>16</v>
      </c>
      <c r="H1410" t="s">
        <v>17</v>
      </c>
      <c r="I1410" t="s">
        <v>18</v>
      </c>
      <c r="J1410" s="3">
        <v>46215</v>
      </c>
      <c r="K1410" s="4">
        <f>ClientiBanca[[#This Row],[Prestito]]+ClientiBanca[[#This Row],[Mutuo]]</f>
        <v>263100</v>
      </c>
      <c r="L1410" t="str">
        <f>IF(ClientiBanca[[#This Row],[Reddito annuo]]&gt;=70000,"si","no")</f>
        <v>no</v>
      </c>
    </row>
    <row r="1411" spans="1:12">
      <c r="A1411">
        <v>101410</v>
      </c>
      <c r="B1411">
        <v>60</v>
      </c>
      <c r="C1411" s="2">
        <v>47500</v>
      </c>
      <c r="D1411" t="s">
        <v>22</v>
      </c>
      <c r="E1411" s="2">
        <v>59400</v>
      </c>
      <c r="F1411" s="2">
        <v>0</v>
      </c>
      <c r="G1411" t="s">
        <v>27</v>
      </c>
      <c r="H1411" t="s">
        <v>17</v>
      </c>
      <c r="I1411" t="s">
        <v>18</v>
      </c>
      <c r="J1411" s="3">
        <v>45576</v>
      </c>
      <c r="K1411" s="4">
        <f>ClientiBanca[[#This Row],[Prestito]]+ClientiBanca[[#This Row],[Mutuo]]</f>
        <v>59400</v>
      </c>
      <c r="L1411" t="str">
        <f>IF(ClientiBanca[[#This Row],[Reddito annuo]]&gt;=70000,"si","no")</f>
        <v>no</v>
      </c>
    </row>
    <row r="1412" spans="1:12">
      <c r="A1412">
        <v>101411</v>
      </c>
      <c r="B1412">
        <v>73</v>
      </c>
      <c r="C1412" s="2">
        <v>98800</v>
      </c>
      <c r="D1412" t="s">
        <v>12</v>
      </c>
      <c r="E1412" s="2">
        <v>39700</v>
      </c>
      <c r="F1412" s="2">
        <v>0</v>
      </c>
      <c r="G1412" t="s">
        <v>16</v>
      </c>
      <c r="H1412" t="s">
        <v>20</v>
      </c>
      <c r="I1412" t="s">
        <v>18</v>
      </c>
      <c r="J1412" s="3">
        <v>45423</v>
      </c>
      <c r="K1412" s="4">
        <f>ClientiBanca[[#This Row],[Prestito]]+ClientiBanca[[#This Row],[Mutuo]]</f>
        <v>39700</v>
      </c>
      <c r="L1412" t="str">
        <f>IF(ClientiBanca[[#This Row],[Reddito annuo]]&gt;=70000,"si","no")</f>
        <v>si</v>
      </c>
    </row>
    <row r="1413" spans="1:12">
      <c r="A1413">
        <v>101412</v>
      </c>
      <c r="B1413">
        <v>62</v>
      </c>
      <c r="C1413" s="2">
        <v>74700</v>
      </c>
      <c r="D1413" t="s">
        <v>21</v>
      </c>
      <c r="E1413" s="2">
        <v>17000</v>
      </c>
      <c r="F1413" s="2">
        <v>0</v>
      </c>
      <c r="G1413" t="s">
        <v>13</v>
      </c>
      <c r="H1413" t="s">
        <v>20</v>
      </c>
      <c r="I1413" t="s">
        <v>18</v>
      </c>
      <c r="J1413" s="3">
        <v>46258</v>
      </c>
      <c r="K1413" s="4">
        <f>ClientiBanca[[#This Row],[Prestito]]+ClientiBanca[[#This Row],[Mutuo]]</f>
        <v>17000</v>
      </c>
      <c r="L1413" t="str">
        <f>IF(ClientiBanca[[#This Row],[Reddito annuo]]&gt;=70000,"si","no")</f>
        <v>si</v>
      </c>
    </row>
    <row r="1414" spans="1:12">
      <c r="A1414">
        <v>101413</v>
      </c>
      <c r="B1414">
        <v>67</v>
      </c>
      <c r="C1414" s="2">
        <v>44400</v>
      </c>
      <c r="D1414" t="s">
        <v>12</v>
      </c>
      <c r="E1414" s="2">
        <v>0</v>
      </c>
      <c r="F1414" s="2">
        <v>0</v>
      </c>
      <c r="G1414" t="s">
        <v>26</v>
      </c>
      <c r="H1414" t="s">
        <v>17</v>
      </c>
      <c r="I1414" t="s">
        <v>18</v>
      </c>
      <c r="J1414" s="3">
        <v>45875</v>
      </c>
      <c r="K1414" s="4">
        <f>ClientiBanca[[#This Row],[Prestito]]+ClientiBanca[[#This Row],[Mutuo]]</f>
        <v>0</v>
      </c>
      <c r="L1414" t="str">
        <f>IF(ClientiBanca[[#This Row],[Reddito annuo]]&gt;=70000,"si","no")</f>
        <v>no</v>
      </c>
    </row>
    <row r="1415" spans="1:12">
      <c r="A1415">
        <v>101414</v>
      </c>
      <c r="B1415">
        <v>36</v>
      </c>
      <c r="C1415" s="2">
        <v>35100</v>
      </c>
      <c r="D1415" t="s">
        <v>21</v>
      </c>
      <c r="E1415" s="2">
        <v>0</v>
      </c>
      <c r="F1415" s="2">
        <v>0</v>
      </c>
      <c r="G1415" t="s">
        <v>13</v>
      </c>
      <c r="H1415" t="s">
        <v>14</v>
      </c>
      <c r="I1415" t="s">
        <v>18</v>
      </c>
      <c r="J1415" s="3">
        <v>45801</v>
      </c>
      <c r="K1415" s="4">
        <f>ClientiBanca[[#This Row],[Prestito]]+ClientiBanca[[#This Row],[Mutuo]]</f>
        <v>0</v>
      </c>
      <c r="L1415" t="str">
        <f>IF(ClientiBanca[[#This Row],[Reddito annuo]]&gt;=70000,"si","no")</f>
        <v>no</v>
      </c>
    </row>
    <row r="1416" spans="1:12">
      <c r="A1416">
        <v>101415</v>
      </c>
      <c r="B1416">
        <v>32</v>
      </c>
      <c r="C1416" s="2">
        <v>36500</v>
      </c>
      <c r="D1416" t="s">
        <v>22</v>
      </c>
      <c r="E1416" s="2">
        <v>14400</v>
      </c>
      <c r="F1416" s="2">
        <v>0</v>
      </c>
      <c r="G1416" t="s">
        <v>16</v>
      </c>
      <c r="H1416" t="s">
        <v>17</v>
      </c>
      <c r="I1416" t="s">
        <v>18</v>
      </c>
      <c r="J1416" s="3">
        <v>46117</v>
      </c>
      <c r="K1416" s="4">
        <f>ClientiBanca[[#This Row],[Prestito]]+ClientiBanca[[#This Row],[Mutuo]]</f>
        <v>14400</v>
      </c>
      <c r="L1416" t="str">
        <f>IF(ClientiBanca[[#This Row],[Reddito annuo]]&gt;=70000,"si","no")</f>
        <v>no</v>
      </c>
    </row>
    <row r="1417" spans="1:12">
      <c r="A1417">
        <v>101416</v>
      </c>
      <c r="B1417">
        <v>24</v>
      </c>
      <c r="C1417" s="2">
        <v>43600</v>
      </c>
      <c r="D1417" t="s">
        <v>12</v>
      </c>
      <c r="E1417" s="2">
        <v>16200</v>
      </c>
      <c r="F1417" s="2">
        <v>0</v>
      </c>
      <c r="G1417" t="s">
        <v>27</v>
      </c>
      <c r="H1417" t="s">
        <v>14</v>
      </c>
      <c r="I1417" t="s">
        <v>18</v>
      </c>
      <c r="J1417" s="3">
        <v>45485</v>
      </c>
      <c r="K1417" s="4">
        <f>ClientiBanca[[#This Row],[Prestito]]+ClientiBanca[[#This Row],[Mutuo]]</f>
        <v>16200</v>
      </c>
      <c r="L1417" t="str">
        <f>IF(ClientiBanca[[#This Row],[Reddito annuo]]&gt;=70000,"si","no")</f>
        <v>no</v>
      </c>
    </row>
    <row r="1418" spans="1:12">
      <c r="A1418">
        <v>101417</v>
      </c>
      <c r="B1418">
        <v>69</v>
      </c>
      <c r="C1418" s="2">
        <v>41800</v>
      </c>
      <c r="D1418" t="s">
        <v>21</v>
      </c>
      <c r="E1418" s="2">
        <v>52200</v>
      </c>
      <c r="F1418" s="2">
        <v>0</v>
      </c>
      <c r="G1418" t="s">
        <v>26</v>
      </c>
      <c r="H1418" t="s">
        <v>25</v>
      </c>
      <c r="I1418" t="s">
        <v>18</v>
      </c>
      <c r="J1418" s="3">
        <v>45497</v>
      </c>
      <c r="K1418" s="4">
        <f>ClientiBanca[[#This Row],[Prestito]]+ClientiBanca[[#This Row],[Mutuo]]</f>
        <v>52200</v>
      </c>
      <c r="L1418" t="str">
        <f>IF(ClientiBanca[[#This Row],[Reddito annuo]]&gt;=70000,"si","no")</f>
        <v>no</v>
      </c>
    </row>
    <row r="1419" spans="1:12">
      <c r="A1419">
        <v>101418</v>
      </c>
      <c r="B1419">
        <v>61</v>
      </c>
      <c r="C1419" s="2">
        <v>30300</v>
      </c>
      <c r="D1419" t="s">
        <v>21</v>
      </c>
      <c r="E1419" s="2">
        <v>0</v>
      </c>
      <c r="F1419" s="2">
        <v>0</v>
      </c>
      <c r="G1419" t="s">
        <v>23</v>
      </c>
      <c r="H1419" t="s">
        <v>17</v>
      </c>
      <c r="I1419" t="s">
        <v>18</v>
      </c>
      <c r="J1419" s="3">
        <v>45491</v>
      </c>
      <c r="K1419" s="4">
        <f>ClientiBanca[[#This Row],[Prestito]]+ClientiBanca[[#This Row],[Mutuo]]</f>
        <v>0</v>
      </c>
      <c r="L1419" t="str">
        <f>IF(ClientiBanca[[#This Row],[Reddito annuo]]&gt;=70000,"si","no")</f>
        <v>no</v>
      </c>
    </row>
    <row r="1420" spans="1:12">
      <c r="A1420">
        <v>101419</v>
      </c>
      <c r="B1420">
        <v>41</v>
      </c>
      <c r="C1420" s="2">
        <v>71900</v>
      </c>
      <c r="D1420" t="s">
        <v>21</v>
      </c>
      <c r="E1420" s="2">
        <v>0</v>
      </c>
      <c r="F1420" s="2">
        <v>159000</v>
      </c>
      <c r="G1420" t="s">
        <v>26</v>
      </c>
      <c r="H1420" t="s">
        <v>17</v>
      </c>
      <c r="I1420" t="s">
        <v>18</v>
      </c>
      <c r="J1420" s="3">
        <v>45438</v>
      </c>
      <c r="K1420" s="4">
        <f>ClientiBanca[[#This Row],[Prestito]]+ClientiBanca[[#This Row],[Mutuo]]</f>
        <v>159000</v>
      </c>
      <c r="L1420" t="str">
        <f>IF(ClientiBanca[[#This Row],[Reddito annuo]]&gt;=70000,"si","no")</f>
        <v>si</v>
      </c>
    </row>
    <row r="1421" spans="1:12">
      <c r="A1421">
        <v>101420</v>
      </c>
      <c r="B1421">
        <v>55</v>
      </c>
      <c r="C1421" s="2">
        <v>111200</v>
      </c>
      <c r="D1421" t="s">
        <v>21</v>
      </c>
      <c r="E1421" s="2">
        <v>28900</v>
      </c>
      <c r="F1421" s="2">
        <v>0</v>
      </c>
      <c r="G1421" t="s">
        <v>24</v>
      </c>
      <c r="H1421" t="s">
        <v>17</v>
      </c>
      <c r="I1421" t="s">
        <v>18</v>
      </c>
      <c r="J1421" s="3">
        <v>45331</v>
      </c>
      <c r="K1421" s="4">
        <f>ClientiBanca[[#This Row],[Prestito]]+ClientiBanca[[#This Row],[Mutuo]]</f>
        <v>28900</v>
      </c>
      <c r="L1421" t="str">
        <f>IF(ClientiBanca[[#This Row],[Reddito annuo]]&gt;=70000,"si","no")</f>
        <v>si</v>
      </c>
    </row>
    <row r="1422" spans="1:12">
      <c r="A1422">
        <v>101421</v>
      </c>
      <c r="B1422">
        <v>29</v>
      </c>
      <c r="C1422" s="2">
        <v>98800</v>
      </c>
      <c r="D1422" t="s">
        <v>12</v>
      </c>
      <c r="E1422" s="2">
        <v>4200</v>
      </c>
      <c r="F1422" s="2">
        <v>185000</v>
      </c>
      <c r="G1422" t="s">
        <v>13</v>
      </c>
      <c r="H1422" t="s">
        <v>14</v>
      </c>
      <c r="I1422" t="s">
        <v>18</v>
      </c>
      <c r="J1422" s="3">
        <v>45328</v>
      </c>
      <c r="K1422" s="4">
        <f>ClientiBanca[[#This Row],[Prestito]]+ClientiBanca[[#This Row],[Mutuo]]</f>
        <v>189200</v>
      </c>
      <c r="L1422" t="str">
        <f>IF(ClientiBanca[[#This Row],[Reddito annuo]]&gt;=70000,"si","no")</f>
        <v>si</v>
      </c>
    </row>
    <row r="1423" spans="1:12">
      <c r="A1423">
        <v>101422</v>
      </c>
      <c r="B1423">
        <v>56</v>
      </c>
      <c r="C1423" s="2">
        <v>63100</v>
      </c>
      <c r="D1423" t="s">
        <v>21</v>
      </c>
      <c r="E1423" s="2">
        <v>0</v>
      </c>
      <c r="F1423" s="2">
        <v>0</v>
      </c>
      <c r="G1423" t="s">
        <v>16</v>
      </c>
      <c r="H1423" t="s">
        <v>20</v>
      </c>
      <c r="I1423" t="s">
        <v>18</v>
      </c>
      <c r="J1423" s="3">
        <v>45922</v>
      </c>
      <c r="K1423" s="4">
        <f>ClientiBanca[[#This Row],[Prestito]]+ClientiBanca[[#This Row],[Mutuo]]</f>
        <v>0</v>
      </c>
      <c r="L1423" t="str">
        <f>IF(ClientiBanca[[#This Row],[Reddito annuo]]&gt;=70000,"si","no")</f>
        <v>no</v>
      </c>
    </row>
    <row r="1424" spans="1:12">
      <c r="A1424">
        <v>101423</v>
      </c>
      <c r="B1424">
        <v>44</v>
      </c>
      <c r="C1424" s="2">
        <v>56400</v>
      </c>
      <c r="D1424" t="s">
        <v>12</v>
      </c>
      <c r="E1424" s="2">
        <v>40500</v>
      </c>
      <c r="F1424" s="2">
        <v>0</v>
      </c>
      <c r="G1424" t="s">
        <v>28</v>
      </c>
      <c r="H1424" t="s">
        <v>17</v>
      </c>
      <c r="I1424" t="s">
        <v>18</v>
      </c>
      <c r="J1424" s="3">
        <v>45757</v>
      </c>
      <c r="K1424" s="4">
        <f>ClientiBanca[[#This Row],[Prestito]]+ClientiBanca[[#This Row],[Mutuo]]</f>
        <v>40500</v>
      </c>
      <c r="L1424" t="str">
        <f>IF(ClientiBanca[[#This Row],[Reddito annuo]]&gt;=70000,"si","no")</f>
        <v>no</v>
      </c>
    </row>
    <row r="1425" spans="1:12">
      <c r="A1425">
        <v>101424</v>
      </c>
      <c r="B1425">
        <v>54</v>
      </c>
      <c r="C1425" s="2">
        <v>95500</v>
      </c>
      <c r="D1425" t="s">
        <v>21</v>
      </c>
      <c r="E1425" s="2">
        <v>48700</v>
      </c>
      <c r="F1425" s="2">
        <v>0</v>
      </c>
      <c r="G1425" t="s">
        <v>16</v>
      </c>
      <c r="H1425" t="s">
        <v>25</v>
      </c>
      <c r="I1425" t="s">
        <v>18</v>
      </c>
      <c r="J1425" s="3">
        <v>45668</v>
      </c>
      <c r="K1425" s="4">
        <f>ClientiBanca[[#This Row],[Prestito]]+ClientiBanca[[#This Row],[Mutuo]]</f>
        <v>48700</v>
      </c>
      <c r="L1425" t="str">
        <f>IF(ClientiBanca[[#This Row],[Reddito annuo]]&gt;=70000,"si","no")</f>
        <v>si</v>
      </c>
    </row>
    <row r="1426" spans="1:12">
      <c r="A1426">
        <v>101425</v>
      </c>
      <c r="B1426">
        <v>67</v>
      </c>
      <c r="C1426" s="2">
        <v>25500</v>
      </c>
      <c r="D1426" t="s">
        <v>12</v>
      </c>
      <c r="E1426" s="2">
        <v>31500</v>
      </c>
      <c r="F1426" s="2">
        <v>0</v>
      </c>
      <c r="G1426" t="s">
        <v>23</v>
      </c>
      <c r="H1426" t="s">
        <v>25</v>
      </c>
      <c r="I1426" t="s">
        <v>15</v>
      </c>
      <c r="J1426" s="3">
        <v>45933</v>
      </c>
      <c r="K1426" s="4">
        <f>ClientiBanca[[#This Row],[Prestito]]+ClientiBanca[[#This Row],[Mutuo]]</f>
        <v>31500</v>
      </c>
      <c r="L1426" t="str">
        <f>IF(ClientiBanca[[#This Row],[Reddito annuo]]&gt;=70000,"si","no")</f>
        <v>no</v>
      </c>
    </row>
    <row r="1427" spans="1:12">
      <c r="A1427">
        <v>101426</v>
      </c>
      <c r="B1427">
        <v>42</v>
      </c>
      <c r="C1427" s="2">
        <v>41700</v>
      </c>
      <c r="D1427" t="s">
        <v>21</v>
      </c>
      <c r="E1427" s="2">
        <v>0</v>
      </c>
      <c r="F1427" s="2">
        <v>0</v>
      </c>
      <c r="G1427" t="s">
        <v>28</v>
      </c>
      <c r="H1427" t="s">
        <v>17</v>
      </c>
      <c r="I1427" t="s">
        <v>18</v>
      </c>
      <c r="J1427" s="3">
        <v>45689</v>
      </c>
      <c r="K1427" s="4">
        <f>ClientiBanca[[#This Row],[Prestito]]+ClientiBanca[[#This Row],[Mutuo]]</f>
        <v>0</v>
      </c>
      <c r="L1427" t="str">
        <f>IF(ClientiBanca[[#This Row],[Reddito annuo]]&gt;=70000,"si","no")</f>
        <v>no</v>
      </c>
    </row>
    <row r="1428" spans="1:12">
      <c r="A1428">
        <v>101427</v>
      </c>
      <c r="B1428">
        <v>49</v>
      </c>
      <c r="C1428" s="2">
        <v>50800</v>
      </c>
      <c r="D1428" t="s">
        <v>21</v>
      </c>
      <c r="E1428" s="2">
        <v>48100</v>
      </c>
      <c r="F1428" s="2">
        <v>153000</v>
      </c>
      <c r="G1428" t="s">
        <v>23</v>
      </c>
      <c r="H1428" t="s">
        <v>17</v>
      </c>
      <c r="I1428" t="s">
        <v>18</v>
      </c>
      <c r="J1428" s="3">
        <v>46038</v>
      </c>
      <c r="K1428" s="4">
        <f>ClientiBanca[[#This Row],[Prestito]]+ClientiBanca[[#This Row],[Mutuo]]</f>
        <v>201100</v>
      </c>
      <c r="L1428" t="str">
        <f>IF(ClientiBanca[[#This Row],[Reddito annuo]]&gt;=70000,"si","no")</f>
        <v>no</v>
      </c>
    </row>
    <row r="1429" spans="1:12">
      <c r="A1429">
        <v>101428</v>
      </c>
      <c r="B1429">
        <v>62</v>
      </c>
      <c r="C1429" s="2">
        <v>83900</v>
      </c>
      <c r="D1429" t="s">
        <v>21</v>
      </c>
      <c r="E1429" s="2">
        <v>60500</v>
      </c>
      <c r="F1429" s="2">
        <v>0</v>
      </c>
      <c r="G1429" t="s">
        <v>19</v>
      </c>
      <c r="H1429" t="s">
        <v>17</v>
      </c>
      <c r="I1429" t="s">
        <v>18</v>
      </c>
      <c r="J1429" s="3">
        <v>45436</v>
      </c>
      <c r="K1429" s="4">
        <f>ClientiBanca[[#This Row],[Prestito]]+ClientiBanca[[#This Row],[Mutuo]]</f>
        <v>60500</v>
      </c>
      <c r="L1429" t="str">
        <f>IF(ClientiBanca[[#This Row],[Reddito annuo]]&gt;=70000,"si","no")</f>
        <v>si</v>
      </c>
    </row>
    <row r="1430" spans="1:12">
      <c r="A1430">
        <v>101429</v>
      </c>
      <c r="B1430">
        <v>50</v>
      </c>
      <c r="C1430" s="2">
        <v>35100</v>
      </c>
      <c r="D1430" t="s">
        <v>12</v>
      </c>
      <c r="E1430" s="2">
        <v>43900</v>
      </c>
      <c r="F1430" s="2">
        <v>0</v>
      </c>
      <c r="G1430" t="s">
        <v>16</v>
      </c>
      <c r="H1430" t="s">
        <v>20</v>
      </c>
      <c r="I1430" t="s">
        <v>18</v>
      </c>
      <c r="J1430" s="3">
        <v>45856</v>
      </c>
      <c r="K1430" s="4">
        <f>ClientiBanca[[#This Row],[Prestito]]+ClientiBanca[[#This Row],[Mutuo]]</f>
        <v>43900</v>
      </c>
      <c r="L1430" t="str">
        <f>IF(ClientiBanca[[#This Row],[Reddito annuo]]&gt;=70000,"si","no")</f>
        <v>no</v>
      </c>
    </row>
    <row r="1431" spans="1:12">
      <c r="A1431">
        <v>101430</v>
      </c>
      <c r="B1431">
        <v>30</v>
      </c>
      <c r="C1431" s="2">
        <v>72100</v>
      </c>
      <c r="D1431" t="s">
        <v>22</v>
      </c>
      <c r="E1431" s="2">
        <v>71000</v>
      </c>
      <c r="F1431" s="2">
        <v>150000</v>
      </c>
      <c r="G1431" t="s">
        <v>24</v>
      </c>
      <c r="H1431" t="s">
        <v>20</v>
      </c>
      <c r="I1431" t="s">
        <v>18</v>
      </c>
      <c r="J1431" s="3">
        <v>45868</v>
      </c>
      <c r="K1431" s="4">
        <f>ClientiBanca[[#This Row],[Prestito]]+ClientiBanca[[#This Row],[Mutuo]]</f>
        <v>221000</v>
      </c>
      <c r="L1431" t="str">
        <f>IF(ClientiBanca[[#This Row],[Reddito annuo]]&gt;=70000,"si","no")</f>
        <v>si</v>
      </c>
    </row>
    <row r="1432" spans="1:12">
      <c r="A1432">
        <v>101431</v>
      </c>
      <c r="B1432">
        <v>69</v>
      </c>
      <c r="C1432" s="2">
        <v>38500</v>
      </c>
      <c r="D1432" t="s">
        <v>21</v>
      </c>
      <c r="E1432" s="2">
        <v>0</v>
      </c>
      <c r="F1432" s="2">
        <v>0</v>
      </c>
      <c r="G1432" t="s">
        <v>16</v>
      </c>
      <c r="H1432" t="s">
        <v>17</v>
      </c>
      <c r="I1432" t="s">
        <v>18</v>
      </c>
      <c r="J1432" s="3">
        <v>45543</v>
      </c>
      <c r="K1432" s="4">
        <f>ClientiBanca[[#This Row],[Prestito]]+ClientiBanca[[#This Row],[Mutuo]]</f>
        <v>0</v>
      </c>
      <c r="L1432" t="str">
        <f>IF(ClientiBanca[[#This Row],[Reddito annuo]]&gt;=70000,"si","no")</f>
        <v>no</v>
      </c>
    </row>
    <row r="1433" spans="1:12">
      <c r="A1433">
        <v>101432</v>
      </c>
      <c r="B1433">
        <v>75</v>
      </c>
      <c r="C1433" s="2">
        <v>79200</v>
      </c>
      <c r="D1433" t="s">
        <v>12</v>
      </c>
      <c r="E1433" s="2">
        <v>40300</v>
      </c>
      <c r="F1433" s="2">
        <v>0</v>
      </c>
      <c r="G1433" t="s">
        <v>27</v>
      </c>
      <c r="H1433" t="s">
        <v>17</v>
      </c>
      <c r="I1433" t="s">
        <v>18</v>
      </c>
      <c r="J1433" s="3">
        <v>45379</v>
      </c>
      <c r="K1433" s="4">
        <f>ClientiBanca[[#This Row],[Prestito]]+ClientiBanca[[#This Row],[Mutuo]]</f>
        <v>40300</v>
      </c>
      <c r="L1433" t="str">
        <f>IF(ClientiBanca[[#This Row],[Reddito annuo]]&gt;=70000,"si","no")</f>
        <v>si</v>
      </c>
    </row>
    <row r="1434" spans="1:12">
      <c r="A1434">
        <v>101433</v>
      </c>
      <c r="B1434">
        <v>21</v>
      </c>
      <c r="C1434" s="2">
        <v>22800</v>
      </c>
      <c r="D1434" t="s">
        <v>22</v>
      </c>
      <c r="E1434" s="2">
        <v>28500</v>
      </c>
      <c r="F1434" s="2">
        <v>0</v>
      </c>
      <c r="G1434" t="s">
        <v>19</v>
      </c>
      <c r="H1434" t="s">
        <v>17</v>
      </c>
      <c r="I1434" t="s">
        <v>18</v>
      </c>
      <c r="J1434" s="3">
        <v>45510</v>
      </c>
      <c r="K1434" s="4">
        <f>ClientiBanca[[#This Row],[Prestito]]+ClientiBanca[[#This Row],[Mutuo]]</f>
        <v>28500</v>
      </c>
      <c r="L1434" t="str">
        <f>IF(ClientiBanca[[#This Row],[Reddito annuo]]&gt;=70000,"si","no")</f>
        <v>no</v>
      </c>
    </row>
    <row r="1435" spans="1:12">
      <c r="A1435">
        <v>101434</v>
      </c>
      <c r="B1435">
        <v>39</v>
      </c>
      <c r="C1435" s="2">
        <v>90400</v>
      </c>
      <c r="D1435" t="s">
        <v>21</v>
      </c>
      <c r="E1435" s="2">
        <v>0</v>
      </c>
      <c r="F1435" s="2">
        <v>0</v>
      </c>
      <c r="G1435" t="s">
        <v>28</v>
      </c>
      <c r="H1435" t="s">
        <v>20</v>
      </c>
      <c r="I1435" t="s">
        <v>18</v>
      </c>
      <c r="J1435" s="3">
        <v>46012</v>
      </c>
      <c r="K1435" s="4">
        <f>ClientiBanca[[#This Row],[Prestito]]+ClientiBanca[[#This Row],[Mutuo]]</f>
        <v>0</v>
      </c>
      <c r="L1435" t="str">
        <f>IF(ClientiBanca[[#This Row],[Reddito annuo]]&gt;=70000,"si","no")</f>
        <v>si</v>
      </c>
    </row>
    <row r="1436" spans="1:12">
      <c r="A1436">
        <v>101435</v>
      </c>
      <c r="B1436">
        <v>31</v>
      </c>
      <c r="C1436" s="2">
        <v>46300</v>
      </c>
      <c r="D1436" t="s">
        <v>21</v>
      </c>
      <c r="E1436" s="2">
        <v>57900</v>
      </c>
      <c r="F1436" s="2">
        <v>191000</v>
      </c>
      <c r="G1436" t="s">
        <v>16</v>
      </c>
      <c r="H1436" t="s">
        <v>20</v>
      </c>
      <c r="I1436" t="s">
        <v>18</v>
      </c>
      <c r="J1436" s="3">
        <v>45772</v>
      </c>
      <c r="K1436" s="4">
        <f>ClientiBanca[[#This Row],[Prestito]]+ClientiBanca[[#This Row],[Mutuo]]</f>
        <v>248900</v>
      </c>
      <c r="L1436" t="str">
        <f>IF(ClientiBanca[[#This Row],[Reddito annuo]]&gt;=70000,"si","no")</f>
        <v>no</v>
      </c>
    </row>
    <row r="1437" spans="1:12">
      <c r="A1437">
        <v>101436</v>
      </c>
      <c r="B1437">
        <v>64</v>
      </c>
      <c r="C1437" s="2">
        <v>117200</v>
      </c>
      <c r="D1437" t="s">
        <v>12</v>
      </c>
      <c r="E1437" s="2">
        <v>0</v>
      </c>
      <c r="F1437" s="2">
        <v>0</v>
      </c>
      <c r="G1437" t="s">
        <v>24</v>
      </c>
      <c r="H1437" t="s">
        <v>14</v>
      </c>
      <c r="I1437" t="s">
        <v>18</v>
      </c>
      <c r="J1437" s="3">
        <v>45391</v>
      </c>
      <c r="K1437" s="4">
        <f>ClientiBanca[[#This Row],[Prestito]]+ClientiBanca[[#This Row],[Mutuo]]</f>
        <v>0</v>
      </c>
      <c r="L1437" t="str">
        <f>IF(ClientiBanca[[#This Row],[Reddito annuo]]&gt;=70000,"si","no")</f>
        <v>si</v>
      </c>
    </row>
    <row r="1438" spans="1:12">
      <c r="A1438">
        <v>101437</v>
      </c>
      <c r="B1438">
        <v>68</v>
      </c>
      <c r="C1438" s="2">
        <v>28300</v>
      </c>
      <c r="D1438" t="s">
        <v>22</v>
      </c>
      <c r="E1438" s="2">
        <v>32400</v>
      </c>
      <c r="F1438" s="2">
        <v>0</v>
      </c>
      <c r="G1438" t="s">
        <v>19</v>
      </c>
      <c r="H1438" t="s">
        <v>25</v>
      </c>
      <c r="I1438" t="s">
        <v>18</v>
      </c>
      <c r="J1438" s="3">
        <v>45478</v>
      </c>
      <c r="K1438" s="4">
        <f>ClientiBanca[[#This Row],[Prestito]]+ClientiBanca[[#This Row],[Mutuo]]</f>
        <v>32400</v>
      </c>
      <c r="L1438" t="str">
        <f>IF(ClientiBanca[[#This Row],[Reddito annuo]]&gt;=70000,"si","no")</f>
        <v>no</v>
      </c>
    </row>
    <row r="1439" spans="1:12">
      <c r="A1439">
        <v>101438</v>
      </c>
      <c r="B1439">
        <v>48</v>
      </c>
      <c r="C1439" s="2">
        <v>97700</v>
      </c>
      <c r="D1439" t="s">
        <v>22</v>
      </c>
      <c r="E1439" s="2">
        <v>0</v>
      </c>
      <c r="F1439" s="2">
        <v>0</v>
      </c>
      <c r="G1439" t="s">
        <v>19</v>
      </c>
      <c r="H1439" t="s">
        <v>25</v>
      </c>
      <c r="I1439" t="s">
        <v>18</v>
      </c>
      <c r="J1439" s="3">
        <v>46199</v>
      </c>
      <c r="K1439" s="4">
        <f>ClientiBanca[[#This Row],[Prestito]]+ClientiBanca[[#This Row],[Mutuo]]</f>
        <v>0</v>
      </c>
      <c r="L1439" t="str">
        <f>IF(ClientiBanca[[#This Row],[Reddito annuo]]&gt;=70000,"si","no")</f>
        <v>si</v>
      </c>
    </row>
    <row r="1440" spans="1:12">
      <c r="A1440">
        <v>101439</v>
      </c>
      <c r="B1440">
        <v>43</v>
      </c>
      <c r="C1440" s="2">
        <v>31600</v>
      </c>
      <c r="D1440" t="s">
        <v>21</v>
      </c>
      <c r="E1440" s="2">
        <v>28000</v>
      </c>
      <c r="F1440" s="2">
        <v>395000</v>
      </c>
      <c r="G1440" t="s">
        <v>23</v>
      </c>
      <c r="H1440" t="s">
        <v>25</v>
      </c>
      <c r="I1440" t="s">
        <v>18</v>
      </c>
      <c r="J1440" s="3">
        <v>46020</v>
      </c>
      <c r="K1440" s="4">
        <f>ClientiBanca[[#This Row],[Prestito]]+ClientiBanca[[#This Row],[Mutuo]]</f>
        <v>423000</v>
      </c>
      <c r="L1440" t="str">
        <f>IF(ClientiBanca[[#This Row],[Reddito annuo]]&gt;=70000,"si","no")</f>
        <v>no</v>
      </c>
    </row>
    <row r="1441" spans="1:12">
      <c r="A1441">
        <v>101440</v>
      </c>
      <c r="B1441">
        <v>70</v>
      </c>
      <c r="C1441" s="2">
        <v>107500</v>
      </c>
      <c r="D1441" t="s">
        <v>21</v>
      </c>
      <c r="E1441" s="2">
        <v>54300</v>
      </c>
      <c r="F1441" s="2">
        <v>321000</v>
      </c>
      <c r="G1441" t="s">
        <v>16</v>
      </c>
      <c r="H1441" t="s">
        <v>25</v>
      </c>
      <c r="I1441" t="s">
        <v>18</v>
      </c>
      <c r="J1441" s="3">
        <v>45550</v>
      </c>
      <c r="K1441" s="4">
        <f>ClientiBanca[[#This Row],[Prestito]]+ClientiBanca[[#This Row],[Mutuo]]</f>
        <v>375300</v>
      </c>
      <c r="L1441" t="str">
        <f>IF(ClientiBanca[[#This Row],[Reddito annuo]]&gt;=70000,"si","no")</f>
        <v>si</v>
      </c>
    </row>
    <row r="1442" spans="1:12">
      <c r="A1442">
        <v>101441</v>
      </c>
      <c r="B1442">
        <v>32</v>
      </c>
      <c r="C1442" s="2">
        <v>60700</v>
      </c>
      <c r="D1442" t="s">
        <v>22</v>
      </c>
      <c r="E1442" s="2">
        <v>0</v>
      </c>
      <c r="F1442" s="2">
        <v>172000</v>
      </c>
      <c r="G1442" t="s">
        <v>24</v>
      </c>
      <c r="H1442" t="s">
        <v>20</v>
      </c>
      <c r="I1442" t="s">
        <v>18</v>
      </c>
      <c r="J1442" s="3">
        <v>45536</v>
      </c>
      <c r="K1442" s="4">
        <f>ClientiBanca[[#This Row],[Prestito]]+ClientiBanca[[#This Row],[Mutuo]]</f>
        <v>172000</v>
      </c>
      <c r="L1442" t="str">
        <f>IF(ClientiBanca[[#This Row],[Reddito annuo]]&gt;=70000,"si","no")</f>
        <v>no</v>
      </c>
    </row>
    <row r="1443" spans="1:12">
      <c r="A1443">
        <v>101442</v>
      </c>
      <c r="B1443">
        <v>64</v>
      </c>
      <c r="C1443" s="2">
        <v>47300</v>
      </c>
      <c r="D1443" t="s">
        <v>21</v>
      </c>
      <c r="E1443" s="2">
        <v>9500</v>
      </c>
      <c r="F1443" s="2">
        <v>0</v>
      </c>
      <c r="G1443" t="s">
        <v>28</v>
      </c>
      <c r="H1443" t="s">
        <v>17</v>
      </c>
      <c r="I1443" t="s">
        <v>18</v>
      </c>
      <c r="J1443" s="3">
        <v>45324</v>
      </c>
      <c r="K1443" s="4">
        <f>ClientiBanca[[#This Row],[Prestito]]+ClientiBanca[[#This Row],[Mutuo]]</f>
        <v>9500</v>
      </c>
      <c r="L1443" t="str">
        <f>IF(ClientiBanca[[#This Row],[Reddito annuo]]&gt;=70000,"si","no")</f>
        <v>no</v>
      </c>
    </row>
    <row r="1444" spans="1:12">
      <c r="A1444">
        <v>101443</v>
      </c>
      <c r="B1444">
        <v>28</v>
      </c>
      <c r="C1444" s="2">
        <v>94500</v>
      </c>
      <c r="D1444" t="s">
        <v>22</v>
      </c>
      <c r="E1444" s="2">
        <v>38000</v>
      </c>
      <c r="F1444" s="2">
        <v>0</v>
      </c>
      <c r="G1444" t="s">
        <v>23</v>
      </c>
      <c r="H1444" t="s">
        <v>14</v>
      </c>
      <c r="I1444" t="s">
        <v>18</v>
      </c>
      <c r="J1444" s="3">
        <v>45328</v>
      </c>
      <c r="K1444" s="4">
        <f>ClientiBanca[[#This Row],[Prestito]]+ClientiBanca[[#This Row],[Mutuo]]</f>
        <v>38000</v>
      </c>
      <c r="L1444" t="str">
        <f>IF(ClientiBanca[[#This Row],[Reddito annuo]]&gt;=70000,"si","no")</f>
        <v>si</v>
      </c>
    </row>
    <row r="1445" spans="1:12">
      <c r="A1445">
        <v>101444</v>
      </c>
      <c r="B1445">
        <v>64</v>
      </c>
      <c r="C1445" s="2">
        <v>73100</v>
      </c>
      <c r="D1445" t="s">
        <v>12</v>
      </c>
      <c r="E1445" s="2">
        <v>54700</v>
      </c>
      <c r="F1445" s="2">
        <v>0</v>
      </c>
      <c r="G1445" t="s">
        <v>16</v>
      </c>
      <c r="H1445" t="s">
        <v>17</v>
      </c>
      <c r="I1445" t="s">
        <v>18</v>
      </c>
      <c r="J1445" s="3">
        <v>46257</v>
      </c>
      <c r="K1445" s="4">
        <f>ClientiBanca[[#This Row],[Prestito]]+ClientiBanca[[#This Row],[Mutuo]]</f>
        <v>54700</v>
      </c>
      <c r="L1445" t="str">
        <f>IF(ClientiBanca[[#This Row],[Reddito annuo]]&gt;=70000,"si","no")</f>
        <v>si</v>
      </c>
    </row>
    <row r="1446" spans="1:12">
      <c r="A1446">
        <v>101445</v>
      </c>
      <c r="B1446">
        <v>42</v>
      </c>
      <c r="C1446" s="2">
        <v>77400</v>
      </c>
      <c r="D1446" t="s">
        <v>12</v>
      </c>
      <c r="E1446" s="2">
        <v>21800</v>
      </c>
      <c r="F1446" s="2">
        <v>0</v>
      </c>
      <c r="G1446" t="s">
        <v>13</v>
      </c>
      <c r="H1446" t="s">
        <v>17</v>
      </c>
      <c r="I1446" t="s">
        <v>18</v>
      </c>
      <c r="J1446" s="3">
        <v>46174</v>
      </c>
      <c r="K1446" s="4">
        <f>ClientiBanca[[#This Row],[Prestito]]+ClientiBanca[[#This Row],[Mutuo]]</f>
        <v>21800</v>
      </c>
      <c r="L1446" t="str">
        <f>IF(ClientiBanca[[#This Row],[Reddito annuo]]&gt;=70000,"si","no")</f>
        <v>si</v>
      </c>
    </row>
    <row r="1447" spans="1:12">
      <c r="A1447">
        <v>101446</v>
      </c>
      <c r="B1447">
        <v>52</v>
      </c>
      <c r="C1447" s="2">
        <v>98000</v>
      </c>
      <c r="D1447" t="s">
        <v>21</v>
      </c>
      <c r="E1447" s="2">
        <v>51200</v>
      </c>
      <c r="F1447" s="2">
        <v>144000</v>
      </c>
      <c r="G1447" t="s">
        <v>13</v>
      </c>
      <c r="H1447" t="s">
        <v>20</v>
      </c>
      <c r="I1447" t="s">
        <v>18</v>
      </c>
      <c r="J1447" s="3">
        <v>46089</v>
      </c>
      <c r="K1447" s="4">
        <f>ClientiBanca[[#This Row],[Prestito]]+ClientiBanca[[#This Row],[Mutuo]]</f>
        <v>195200</v>
      </c>
      <c r="L1447" t="str">
        <f>IF(ClientiBanca[[#This Row],[Reddito annuo]]&gt;=70000,"si","no")</f>
        <v>si</v>
      </c>
    </row>
    <row r="1448" spans="1:12">
      <c r="A1448">
        <v>101447</v>
      </c>
      <c r="B1448">
        <v>25</v>
      </c>
      <c r="C1448" s="2">
        <v>93300</v>
      </c>
      <c r="D1448" t="s">
        <v>21</v>
      </c>
      <c r="E1448" s="2">
        <v>55000</v>
      </c>
      <c r="F1448" s="2">
        <v>0</v>
      </c>
      <c r="G1448" t="s">
        <v>13</v>
      </c>
      <c r="H1448" t="s">
        <v>20</v>
      </c>
      <c r="I1448" t="s">
        <v>18</v>
      </c>
      <c r="J1448" s="3">
        <v>46184</v>
      </c>
      <c r="K1448" s="4">
        <f>ClientiBanca[[#This Row],[Prestito]]+ClientiBanca[[#This Row],[Mutuo]]</f>
        <v>55000</v>
      </c>
      <c r="L1448" t="str">
        <f>IF(ClientiBanca[[#This Row],[Reddito annuo]]&gt;=70000,"si","no")</f>
        <v>si</v>
      </c>
    </row>
    <row r="1449" spans="1:12">
      <c r="A1449">
        <v>101448</v>
      </c>
      <c r="B1449">
        <v>49</v>
      </c>
      <c r="C1449" s="2">
        <v>69700</v>
      </c>
      <c r="D1449" t="s">
        <v>21</v>
      </c>
      <c r="E1449" s="2">
        <v>40500</v>
      </c>
      <c r="F1449" s="2">
        <v>134000</v>
      </c>
      <c r="G1449" t="s">
        <v>13</v>
      </c>
      <c r="H1449" t="s">
        <v>20</v>
      </c>
      <c r="I1449" t="s">
        <v>18</v>
      </c>
      <c r="J1449" s="3">
        <v>45385</v>
      </c>
      <c r="K1449" s="4">
        <f>ClientiBanca[[#This Row],[Prestito]]+ClientiBanca[[#This Row],[Mutuo]]</f>
        <v>174500</v>
      </c>
      <c r="L1449" t="str">
        <f>IF(ClientiBanca[[#This Row],[Reddito annuo]]&gt;=70000,"si","no")</f>
        <v>no</v>
      </c>
    </row>
    <row r="1450" spans="1:12">
      <c r="A1450">
        <v>101449</v>
      </c>
      <c r="B1450">
        <v>20</v>
      </c>
      <c r="C1450" s="2">
        <v>55200</v>
      </c>
      <c r="D1450" t="s">
        <v>12</v>
      </c>
      <c r="E1450" s="2">
        <v>47700</v>
      </c>
      <c r="F1450" s="2">
        <v>0</v>
      </c>
      <c r="G1450" t="s">
        <v>23</v>
      </c>
      <c r="H1450" t="s">
        <v>17</v>
      </c>
      <c r="I1450" t="s">
        <v>18</v>
      </c>
      <c r="J1450" s="3">
        <v>45799</v>
      </c>
      <c r="K1450" s="4">
        <f>ClientiBanca[[#This Row],[Prestito]]+ClientiBanca[[#This Row],[Mutuo]]</f>
        <v>47700</v>
      </c>
      <c r="L1450" t="str">
        <f>IF(ClientiBanca[[#This Row],[Reddito annuo]]&gt;=70000,"si","no")</f>
        <v>no</v>
      </c>
    </row>
    <row r="1451" spans="1:12">
      <c r="A1451">
        <v>101450</v>
      </c>
      <c r="B1451">
        <v>58</v>
      </c>
      <c r="C1451" s="2">
        <v>76200</v>
      </c>
      <c r="D1451" t="s">
        <v>21</v>
      </c>
      <c r="E1451" s="2">
        <v>0</v>
      </c>
      <c r="F1451" s="2">
        <v>0</v>
      </c>
      <c r="G1451" t="s">
        <v>27</v>
      </c>
      <c r="H1451" t="s">
        <v>20</v>
      </c>
      <c r="I1451" t="s">
        <v>18</v>
      </c>
      <c r="J1451" s="3">
        <v>45811</v>
      </c>
      <c r="K1451" s="4">
        <f>ClientiBanca[[#This Row],[Prestito]]+ClientiBanca[[#This Row],[Mutuo]]</f>
        <v>0</v>
      </c>
      <c r="L1451" t="str">
        <f>IF(ClientiBanca[[#This Row],[Reddito annuo]]&gt;=70000,"si","no")</f>
        <v>si</v>
      </c>
    </row>
    <row r="1452" spans="1:12">
      <c r="A1452">
        <v>101451</v>
      </c>
      <c r="B1452">
        <v>20</v>
      </c>
      <c r="C1452" s="2">
        <v>32600</v>
      </c>
      <c r="D1452" t="s">
        <v>22</v>
      </c>
      <c r="E1452" s="2">
        <v>40800</v>
      </c>
      <c r="F1452" s="2">
        <v>0</v>
      </c>
      <c r="G1452" t="s">
        <v>23</v>
      </c>
      <c r="H1452" t="s">
        <v>14</v>
      </c>
      <c r="I1452" t="s">
        <v>18</v>
      </c>
      <c r="J1452" s="3">
        <v>45369</v>
      </c>
      <c r="K1452" s="4">
        <f>ClientiBanca[[#This Row],[Prestito]]+ClientiBanca[[#This Row],[Mutuo]]</f>
        <v>40800</v>
      </c>
      <c r="L1452" t="str">
        <f>IF(ClientiBanca[[#This Row],[Reddito annuo]]&gt;=70000,"si","no")</f>
        <v>no</v>
      </c>
    </row>
    <row r="1453" spans="1:12">
      <c r="A1453">
        <v>101452</v>
      </c>
      <c r="B1453">
        <v>32</v>
      </c>
      <c r="C1453" s="2">
        <v>40400</v>
      </c>
      <c r="D1453" t="s">
        <v>21</v>
      </c>
      <c r="E1453" s="2">
        <v>0</v>
      </c>
      <c r="F1453" s="2">
        <v>239000</v>
      </c>
      <c r="G1453" t="s">
        <v>26</v>
      </c>
      <c r="H1453" t="s">
        <v>14</v>
      </c>
      <c r="I1453" t="s">
        <v>18</v>
      </c>
      <c r="J1453" s="3">
        <v>45810</v>
      </c>
      <c r="K1453" s="4">
        <f>ClientiBanca[[#This Row],[Prestito]]+ClientiBanca[[#This Row],[Mutuo]]</f>
        <v>239000</v>
      </c>
      <c r="L1453" t="str">
        <f>IF(ClientiBanca[[#This Row],[Reddito annuo]]&gt;=70000,"si","no")</f>
        <v>no</v>
      </c>
    </row>
    <row r="1454" spans="1:12">
      <c r="A1454">
        <v>101453</v>
      </c>
      <c r="B1454">
        <v>60</v>
      </c>
      <c r="C1454" s="2">
        <v>46100</v>
      </c>
      <c r="D1454" t="s">
        <v>21</v>
      </c>
      <c r="E1454" s="2">
        <v>0</v>
      </c>
      <c r="F1454" s="2">
        <v>0</v>
      </c>
      <c r="G1454" t="s">
        <v>27</v>
      </c>
      <c r="H1454" t="s">
        <v>17</v>
      </c>
      <c r="I1454" t="s">
        <v>18</v>
      </c>
      <c r="J1454" s="3">
        <v>45991</v>
      </c>
      <c r="K1454" s="4">
        <f>ClientiBanca[[#This Row],[Prestito]]+ClientiBanca[[#This Row],[Mutuo]]</f>
        <v>0</v>
      </c>
      <c r="L1454" t="str">
        <f>IF(ClientiBanca[[#This Row],[Reddito annuo]]&gt;=70000,"si","no")</f>
        <v>no</v>
      </c>
    </row>
    <row r="1455" spans="1:12">
      <c r="A1455">
        <v>101454</v>
      </c>
      <c r="B1455">
        <v>36</v>
      </c>
      <c r="C1455" s="2">
        <v>45800</v>
      </c>
      <c r="D1455" t="s">
        <v>21</v>
      </c>
      <c r="E1455" s="2">
        <v>33400</v>
      </c>
      <c r="F1455" s="2">
        <v>0</v>
      </c>
      <c r="G1455" t="s">
        <v>27</v>
      </c>
      <c r="H1455" t="s">
        <v>17</v>
      </c>
      <c r="I1455" t="s">
        <v>18</v>
      </c>
      <c r="J1455" s="3">
        <v>45373</v>
      </c>
      <c r="K1455" s="4">
        <f>ClientiBanca[[#This Row],[Prestito]]+ClientiBanca[[#This Row],[Mutuo]]</f>
        <v>33400</v>
      </c>
      <c r="L1455" t="str">
        <f>IF(ClientiBanca[[#This Row],[Reddito annuo]]&gt;=70000,"si","no")</f>
        <v>no</v>
      </c>
    </row>
    <row r="1456" spans="1:12">
      <c r="A1456">
        <v>101455</v>
      </c>
      <c r="B1456">
        <v>63</v>
      </c>
      <c r="C1456" s="2">
        <v>81800</v>
      </c>
      <c r="D1456" t="s">
        <v>12</v>
      </c>
      <c r="E1456" s="2">
        <v>49700</v>
      </c>
      <c r="F1456" s="2">
        <v>227000</v>
      </c>
      <c r="G1456" t="s">
        <v>19</v>
      </c>
      <c r="H1456" t="s">
        <v>17</v>
      </c>
      <c r="I1456" t="s">
        <v>18</v>
      </c>
      <c r="J1456" s="3">
        <v>45359</v>
      </c>
      <c r="K1456" s="4">
        <f>ClientiBanca[[#This Row],[Prestito]]+ClientiBanca[[#This Row],[Mutuo]]</f>
        <v>276700</v>
      </c>
      <c r="L1456" t="str">
        <f>IF(ClientiBanca[[#This Row],[Reddito annuo]]&gt;=70000,"si","no")</f>
        <v>si</v>
      </c>
    </row>
    <row r="1457" spans="1:12">
      <c r="A1457">
        <v>101456</v>
      </c>
      <c r="B1457">
        <v>56</v>
      </c>
      <c r="C1457" s="2">
        <v>44700</v>
      </c>
      <c r="D1457" t="s">
        <v>22</v>
      </c>
      <c r="E1457" s="2">
        <v>49600</v>
      </c>
      <c r="F1457" s="2">
        <v>0</v>
      </c>
      <c r="G1457" t="s">
        <v>28</v>
      </c>
      <c r="H1457" t="s">
        <v>17</v>
      </c>
      <c r="I1457" t="s">
        <v>18</v>
      </c>
      <c r="J1457" s="3">
        <v>45851</v>
      </c>
      <c r="K1457" s="4">
        <f>ClientiBanca[[#This Row],[Prestito]]+ClientiBanca[[#This Row],[Mutuo]]</f>
        <v>49600</v>
      </c>
      <c r="L1457" t="str">
        <f>IF(ClientiBanca[[#This Row],[Reddito annuo]]&gt;=70000,"si","no")</f>
        <v>no</v>
      </c>
    </row>
    <row r="1458" spans="1:12">
      <c r="A1458">
        <v>101457</v>
      </c>
      <c r="B1458">
        <v>67</v>
      </c>
      <c r="C1458" s="2">
        <v>40600</v>
      </c>
      <c r="D1458" t="s">
        <v>12</v>
      </c>
      <c r="E1458" s="2">
        <v>26000</v>
      </c>
      <c r="F1458" s="2">
        <v>0</v>
      </c>
      <c r="G1458" t="s">
        <v>28</v>
      </c>
      <c r="H1458" t="s">
        <v>17</v>
      </c>
      <c r="I1458" t="s">
        <v>18</v>
      </c>
      <c r="J1458" s="3">
        <v>46259</v>
      </c>
      <c r="K1458" s="4">
        <f>ClientiBanca[[#This Row],[Prestito]]+ClientiBanca[[#This Row],[Mutuo]]</f>
        <v>26000</v>
      </c>
      <c r="L1458" t="str">
        <f>IF(ClientiBanca[[#This Row],[Reddito annuo]]&gt;=70000,"si","no")</f>
        <v>no</v>
      </c>
    </row>
    <row r="1459" spans="1:12">
      <c r="A1459">
        <v>101458</v>
      </c>
      <c r="B1459">
        <v>45</v>
      </c>
      <c r="C1459" s="2">
        <v>57300</v>
      </c>
      <c r="D1459" t="s">
        <v>22</v>
      </c>
      <c r="E1459" s="2">
        <v>16100</v>
      </c>
      <c r="F1459" s="2">
        <v>0</v>
      </c>
      <c r="G1459" t="s">
        <v>16</v>
      </c>
      <c r="H1459" t="s">
        <v>25</v>
      </c>
      <c r="I1459" t="s">
        <v>18</v>
      </c>
      <c r="J1459" s="3">
        <v>46099</v>
      </c>
      <c r="K1459" s="4">
        <f>ClientiBanca[[#This Row],[Prestito]]+ClientiBanca[[#This Row],[Mutuo]]</f>
        <v>16100</v>
      </c>
      <c r="L1459" t="str">
        <f>IF(ClientiBanca[[#This Row],[Reddito annuo]]&gt;=70000,"si","no")</f>
        <v>no</v>
      </c>
    </row>
    <row r="1460" spans="1:12">
      <c r="A1460">
        <v>101459</v>
      </c>
      <c r="B1460">
        <v>40</v>
      </c>
      <c r="C1460" s="2">
        <v>51900</v>
      </c>
      <c r="D1460" t="s">
        <v>22</v>
      </c>
      <c r="E1460" s="2">
        <v>26600</v>
      </c>
      <c r="F1460" s="2">
        <v>0</v>
      </c>
      <c r="G1460" t="s">
        <v>24</v>
      </c>
      <c r="H1460" t="s">
        <v>20</v>
      </c>
      <c r="I1460" t="s">
        <v>18</v>
      </c>
      <c r="J1460" s="3">
        <v>45514</v>
      </c>
      <c r="K1460" s="4">
        <f>ClientiBanca[[#This Row],[Prestito]]+ClientiBanca[[#This Row],[Mutuo]]</f>
        <v>26600</v>
      </c>
      <c r="L1460" t="str">
        <f>IF(ClientiBanca[[#This Row],[Reddito annuo]]&gt;=70000,"si","no")</f>
        <v>no</v>
      </c>
    </row>
    <row r="1461" spans="1:12">
      <c r="A1461">
        <v>101460</v>
      </c>
      <c r="B1461">
        <v>26</v>
      </c>
      <c r="C1461" s="2">
        <v>24600</v>
      </c>
      <c r="D1461" t="s">
        <v>21</v>
      </c>
      <c r="E1461" s="2">
        <v>18700</v>
      </c>
      <c r="F1461" s="2">
        <v>0</v>
      </c>
      <c r="G1461" t="s">
        <v>24</v>
      </c>
      <c r="H1461" t="s">
        <v>17</v>
      </c>
      <c r="I1461" t="s">
        <v>18</v>
      </c>
      <c r="J1461" s="3">
        <v>45854</v>
      </c>
      <c r="K1461" s="4">
        <f>ClientiBanca[[#This Row],[Prestito]]+ClientiBanca[[#This Row],[Mutuo]]</f>
        <v>18700</v>
      </c>
      <c r="L1461" t="str">
        <f>IF(ClientiBanca[[#This Row],[Reddito annuo]]&gt;=70000,"si","no")</f>
        <v>no</v>
      </c>
    </row>
    <row r="1462" spans="1:12">
      <c r="A1462">
        <v>101461</v>
      </c>
      <c r="B1462">
        <v>37</v>
      </c>
      <c r="C1462" s="2">
        <v>42800</v>
      </c>
      <c r="D1462" t="s">
        <v>21</v>
      </c>
      <c r="E1462" s="2">
        <v>0</v>
      </c>
      <c r="F1462" s="2">
        <v>0</v>
      </c>
      <c r="G1462" t="s">
        <v>24</v>
      </c>
      <c r="H1462" t="s">
        <v>17</v>
      </c>
      <c r="I1462" t="s">
        <v>18</v>
      </c>
      <c r="J1462" s="3">
        <v>45973</v>
      </c>
      <c r="K1462" s="4">
        <f>ClientiBanca[[#This Row],[Prestito]]+ClientiBanca[[#This Row],[Mutuo]]</f>
        <v>0</v>
      </c>
      <c r="L1462" t="str">
        <f>IF(ClientiBanca[[#This Row],[Reddito annuo]]&gt;=70000,"si","no")</f>
        <v>no</v>
      </c>
    </row>
    <row r="1463" spans="1:12">
      <c r="A1463">
        <v>101462</v>
      </c>
      <c r="B1463">
        <v>23</v>
      </c>
      <c r="C1463" s="2">
        <v>50200</v>
      </c>
      <c r="D1463" t="s">
        <v>21</v>
      </c>
      <c r="E1463" s="2">
        <v>0</v>
      </c>
      <c r="F1463" s="2">
        <v>0</v>
      </c>
      <c r="G1463" t="s">
        <v>26</v>
      </c>
      <c r="H1463" t="s">
        <v>20</v>
      </c>
      <c r="I1463" t="s">
        <v>18</v>
      </c>
      <c r="J1463" s="3">
        <v>45823</v>
      </c>
      <c r="K1463" s="4">
        <f>ClientiBanca[[#This Row],[Prestito]]+ClientiBanca[[#This Row],[Mutuo]]</f>
        <v>0</v>
      </c>
      <c r="L1463" t="str">
        <f>IF(ClientiBanca[[#This Row],[Reddito annuo]]&gt;=70000,"si","no")</f>
        <v>no</v>
      </c>
    </row>
    <row r="1464" spans="1:12">
      <c r="A1464">
        <v>101463</v>
      </c>
      <c r="B1464">
        <v>51</v>
      </c>
      <c r="C1464" s="2">
        <v>86000</v>
      </c>
      <c r="D1464" t="s">
        <v>21</v>
      </c>
      <c r="E1464" s="2">
        <v>23800</v>
      </c>
      <c r="F1464" s="2">
        <v>238000</v>
      </c>
      <c r="G1464" t="s">
        <v>16</v>
      </c>
      <c r="H1464" t="s">
        <v>17</v>
      </c>
      <c r="I1464" t="s">
        <v>18</v>
      </c>
      <c r="J1464" s="3">
        <v>45834</v>
      </c>
      <c r="K1464" s="4">
        <f>ClientiBanca[[#This Row],[Prestito]]+ClientiBanca[[#This Row],[Mutuo]]</f>
        <v>261800</v>
      </c>
      <c r="L1464" t="str">
        <f>IF(ClientiBanca[[#This Row],[Reddito annuo]]&gt;=70000,"si","no")</f>
        <v>si</v>
      </c>
    </row>
    <row r="1465" spans="1:12">
      <c r="A1465">
        <v>101464</v>
      </c>
      <c r="B1465">
        <v>38</v>
      </c>
      <c r="C1465" s="2">
        <v>49400</v>
      </c>
      <c r="D1465" t="s">
        <v>21</v>
      </c>
      <c r="E1465" s="2">
        <v>15400</v>
      </c>
      <c r="F1465" s="2">
        <v>0</v>
      </c>
      <c r="G1465" t="s">
        <v>28</v>
      </c>
      <c r="H1465" t="s">
        <v>20</v>
      </c>
      <c r="I1465" t="s">
        <v>18</v>
      </c>
      <c r="J1465" s="3">
        <v>45719</v>
      </c>
      <c r="K1465" s="4">
        <f>ClientiBanca[[#This Row],[Prestito]]+ClientiBanca[[#This Row],[Mutuo]]</f>
        <v>15400</v>
      </c>
      <c r="L1465" t="str">
        <f>IF(ClientiBanca[[#This Row],[Reddito annuo]]&gt;=70000,"si","no")</f>
        <v>no</v>
      </c>
    </row>
    <row r="1466" spans="1:12">
      <c r="A1466">
        <v>101465</v>
      </c>
      <c r="B1466">
        <v>35</v>
      </c>
      <c r="C1466" s="2">
        <v>41700</v>
      </c>
      <c r="D1466" t="s">
        <v>21</v>
      </c>
      <c r="E1466" s="2">
        <v>52100</v>
      </c>
      <c r="F1466" s="2">
        <v>0</v>
      </c>
      <c r="G1466" t="s">
        <v>28</v>
      </c>
      <c r="H1466" t="s">
        <v>14</v>
      </c>
      <c r="I1466" t="s">
        <v>18</v>
      </c>
      <c r="J1466" s="3">
        <v>45883</v>
      </c>
      <c r="K1466" s="4">
        <f>ClientiBanca[[#This Row],[Prestito]]+ClientiBanca[[#This Row],[Mutuo]]</f>
        <v>52100</v>
      </c>
      <c r="L1466" t="str">
        <f>IF(ClientiBanca[[#This Row],[Reddito annuo]]&gt;=70000,"si","no")</f>
        <v>no</v>
      </c>
    </row>
    <row r="1467" spans="1:12">
      <c r="A1467">
        <v>101466</v>
      </c>
      <c r="B1467">
        <v>70</v>
      </c>
      <c r="C1467" s="2">
        <v>48800</v>
      </c>
      <c r="D1467" t="s">
        <v>21</v>
      </c>
      <c r="E1467" s="2">
        <v>24400</v>
      </c>
      <c r="F1467" s="2">
        <v>0</v>
      </c>
      <c r="G1467" t="s">
        <v>23</v>
      </c>
      <c r="H1467" t="s">
        <v>17</v>
      </c>
      <c r="I1467" t="s">
        <v>18</v>
      </c>
      <c r="J1467" s="3">
        <v>46124</v>
      </c>
      <c r="K1467" s="4">
        <f>ClientiBanca[[#This Row],[Prestito]]+ClientiBanca[[#This Row],[Mutuo]]</f>
        <v>24400</v>
      </c>
      <c r="L1467" t="str">
        <f>IF(ClientiBanca[[#This Row],[Reddito annuo]]&gt;=70000,"si","no")</f>
        <v>no</v>
      </c>
    </row>
    <row r="1468" spans="1:12">
      <c r="A1468">
        <v>101467</v>
      </c>
      <c r="B1468">
        <v>72</v>
      </c>
      <c r="C1468" s="2">
        <v>44000</v>
      </c>
      <c r="D1468" t="s">
        <v>12</v>
      </c>
      <c r="E1468" s="2">
        <v>0</v>
      </c>
      <c r="F1468" s="2">
        <v>0</v>
      </c>
      <c r="G1468" t="s">
        <v>13</v>
      </c>
      <c r="H1468" t="s">
        <v>17</v>
      </c>
      <c r="I1468" t="s">
        <v>18</v>
      </c>
      <c r="J1468" s="3">
        <v>45443</v>
      </c>
      <c r="K1468" s="4">
        <f>ClientiBanca[[#This Row],[Prestito]]+ClientiBanca[[#This Row],[Mutuo]]</f>
        <v>0</v>
      </c>
      <c r="L1468" t="str">
        <f>IF(ClientiBanca[[#This Row],[Reddito annuo]]&gt;=70000,"si","no")</f>
        <v>no</v>
      </c>
    </row>
    <row r="1469" spans="1:12">
      <c r="A1469">
        <v>101468</v>
      </c>
      <c r="B1469">
        <v>59</v>
      </c>
      <c r="C1469" s="2">
        <v>48200</v>
      </c>
      <c r="D1469" t="s">
        <v>12</v>
      </c>
      <c r="E1469" s="2">
        <v>60200</v>
      </c>
      <c r="F1469" s="2">
        <v>0</v>
      </c>
      <c r="G1469" t="s">
        <v>26</v>
      </c>
      <c r="H1469" t="s">
        <v>20</v>
      </c>
      <c r="I1469" t="s">
        <v>18</v>
      </c>
      <c r="J1469" s="3">
        <v>45489</v>
      </c>
      <c r="K1469" s="4">
        <f>ClientiBanca[[#This Row],[Prestito]]+ClientiBanca[[#This Row],[Mutuo]]</f>
        <v>60200</v>
      </c>
      <c r="L1469" t="str">
        <f>IF(ClientiBanca[[#This Row],[Reddito annuo]]&gt;=70000,"si","no")</f>
        <v>no</v>
      </c>
    </row>
    <row r="1470" spans="1:12">
      <c r="A1470">
        <v>101469</v>
      </c>
      <c r="B1470">
        <v>70</v>
      </c>
      <c r="C1470" s="2">
        <v>82400</v>
      </c>
      <c r="D1470" t="s">
        <v>12</v>
      </c>
      <c r="E1470" s="2">
        <v>52500</v>
      </c>
      <c r="F1470" s="2">
        <v>0</v>
      </c>
      <c r="G1470" t="s">
        <v>23</v>
      </c>
      <c r="H1470" t="s">
        <v>17</v>
      </c>
      <c r="I1470" t="s">
        <v>18</v>
      </c>
      <c r="J1470" s="3">
        <v>46136</v>
      </c>
      <c r="K1470" s="4">
        <f>ClientiBanca[[#This Row],[Prestito]]+ClientiBanca[[#This Row],[Mutuo]]</f>
        <v>52500</v>
      </c>
      <c r="L1470" t="str">
        <f>IF(ClientiBanca[[#This Row],[Reddito annuo]]&gt;=70000,"si","no")</f>
        <v>si</v>
      </c>
    </row>
    <row r="1471" spans="1:12">
      <c r="A1471">
        <v>101470</v>
      </c>
      <c r="B1471">
        <v>59</v>
      </c>
      <c r="C1471" s="2">
        <v>58600</v>
      </c>
      <c r="D1471" t="s">
        <v>21</v>
      </c>
      <c r="E1471" s="2">
        <v>24400</v>
      </c>
      <c r="F1471" s="2">
        <v>0</v>
      </c>
      <c r="G1471" t="s">
        <v>23</v>
      </c>
      <c r="H1471" t="s">
        <v>14</v>
      </c>
      <c r="I1471" t="s">
        <v>18</v>
      </c>
      <c r="J1471" s="3">
        <v>46237</v>
      </c>
      <c r="K1471" s="4">
        <f>ClientiBanca[[#This Row],[Prestito]]+ClientiBanca[[#This Row],[Mutuo]]</f>
        <v>24400</v>
      </c>
      <c r="L1471" t="str">
        <f>IF(ClientiBanca[[#This Row],[Reddito annuo]]&gt;=70000,"si","no")</f>
        <v>no</v>
      </c>
    </row>
    <row r="1472" spans="1:12">
      <c r="A1472">
        <v>101471</v>
      </c>
      <c r="B1472">
        <v>58</v>
      </c>
      <c r="C1472" s="2">
        <v>67600</v>
      </c>
      <c r="D1472" t="s">
        <v>21</v>
      </c>
      <c r="E1472" s="2">
        <v>63000</v>
      </c>
      <c r="F1472" s="2">
        <v>0</v>
      </c>
      <c r="G1472" t="s">
        <v>26</v>
      </c>
      <c r="H1472" t="s">
        <v>20</v>
      </c>
      <c r="I1472" t="s">
        <v>18</v>
      </c>
      <c r="J1472" s="3">
        <v>46009</v>
      </c>
      <c r="K1472" s="4">
        <f>ClientiBanca[[#This Row],[Prestito]]+ClientiBanca[[#This Row],[Mutuo]]</f>
        <v>63000</v>
      </c>
      <c r="L1472" t="str">
        <f>IF(ClientiBanca[[#This Row],[Reddito annuo]]&gt;=70000,"si","no")</f>
        <v>no</v>
      </c>
    </row>
    <row r="1473" spans="1:12">
      <c r="A1473">
        <v>101472</v>
      </c>
      <c r="B1473">
        <v>72</v>
      </c>
      <c r="C1473" s="2">
        <v>91900</v>
      </c>
      <c r="D1473" t="s">
        <v>21</v>
      </c>
      <c r="E1473" s="2">
        <v>23200</v>
      </c>
      <c r="F1473" s="2">
        <v>241000</v>
      </c>
      <c r="G1473" t="s">
        <v>16</v>
      </c>
      <c r="H1473" t="s">
        <v>20</v>
      </c>
      <c r="I1473" t="s">
        <v>18</v>
      </c>
      <c r="J1473" s="3">
        <v>46223</v>
      </c>
      <c r="K1473" s="4">
        <f>ClientiBanca[[#This Row],[Prestito]]+ClientiBanca[[#This Row],[Mutuo]]</f>
        <v>264200</v>
      </c>
      <c r="L1473" t="str">
        <f>IF(ClientiBanca[[#This Row],[Reddito annuo]]&gt;=70000,"si","no")</f>
        <v>si</v>
      </c>
    </row>
    <row r="1474" spans="1:12">
      <c r="A1474">
        <v>101473</v>
      </c>
      <c r="B1474">
        <v>29</v>
      </c>
      <c r="C1474" s="2">
        <v>56200</v>
      </c>
      <c r="D1474" t="s">
        <v>21</v>
      </c>
      <c r="E1474" s="2">
        <v>30700</v>
      </c>
      <c r="F1474" s="2">
        <v>0</v>
      </c>
      <c r="G1474" t="s">
        <v>26</v>
      </c>
      <c r="H1474" t="s">
        <v>17</v>
      </c>
      <c r="I1474" t="s">
        <v>18</v>
      </c>
      <c r="J1474" s="3">
        <v>45913</v>
      </c>
      <c r="K1474" s="4">
        <f>ClientiBanca[[#This Row],[Prestito]]+ClientiBanca[[#This Row],[Mutuo]]</f>
        <v>30700</v>
      </c>
      <c r="L1474" t="str">
        <f>IF(ClientiBanca[[#This Row],[Reddito annuo]]&gt;=70000,"si","no")</f>
        <v>no</v>
      </c>
    </row>
    <row r="1475" spans="1:12">
      <c r="A1475">
        <v>101474</v>
      </c>
      <c r="B1475">
        <v>49</v>
      </c>
      <c r="C1475" s="2">
        <v>46000</v>
      </c>
      <c r="D1475" t="s">
        <v>12</v>
      </c>
      <c r="E1475" s="2">
        <v>6900</v>
      </c>
      <c r="F1475" s="2">
        <v>174000</v>
      </c>
      <c r="G1475" t="s">
        <v>28</v>
      </c>
      <c r="H1475" t="s">
        <v>17</v>
      </c>
      <c r="I1475" t="s">
        <v>18</v>
      </c>
      <c r="J1475" s="3">
        <v>46029</v>
      </c>
      <c r="K1475" s="4">
        <f>ClientiBanca[[#This Row],[Prestito]]+ClientiBanca[[#This Row],[Mutuo]]</f>
        <v>180900</v>
      </c>
      <c r="L1475" t="str">
        <f>IF(ClientiBanca[[#This Row],[Reddito annuo]]&gt;=70000,"si","no")</f>
        <v>no</v>
      </c>
    </row>
    <row r="1476" spans="1:12">
      <c r="A1476">
        <v>101475</v>
      </c>
      <c r="B1476">
        <v>44</v>
      </c>
      <c r="C1476" s="2">
        <v>63400</v>
      </c>
      <c r="D1476" t="s">
        <v>12</v>
      </c>
      <c r="E1476" s="2">
        <v>28100</v>
      </c>
      <c r="F1476" s="2">
        <v>0</v>
      </c>
      <c r="G1476" t="s">
        <v>27</v>
      </c>
      <c r="H1476" t="s">
        <v>17</v>
      </c>
      <c r="I1476" t="s">
        <v>18</v>
      </c>
      <c r="J1476" s="3">
        <v>46066</v>
      </c>
      <c r="K1476" s="4">
        <f>ClientiBanca[[#This Row],[Prestito]]+ClientiBanca[[#This Row],[Mutuo]]</f>
        <v>28100</v>
      </c>
      <c r="L1476" t="str">
        <f>IF(ClientiBanca[[#This Row],[Reddito annuo]]&gt;=70000,"si","no")</f>
        <v>no</v>
      </c>
    </row>
    <row r="1477" spans="1:12">
      <c r="A1477">
        <v>101476</v>
      </c>
      <c r="B1477">
        <v>56</v>
      </c>
      <c r="C1477" s="2">
        <v>28300</v>
      </c>
      <c r="D1477" t="s">
        <v>12</v>
      </c>
      <c r="E1477" s="2">
        <v>0</v>
      </c>
      <c r="F1477" s="2">
        <v>0</v>
      </c>
      <c r="G1477" t="s">
        <v>28</v>
      </c>
      <c r="H1477" t="s">
        <v>20</v>
      </c>
      <c r="I1477" t="s">
        <v>18</v>
      </c>
      <c r="J1477" s="3">
        <v>45361</v>
      </c>
      <c r="K1477" s="4">
        <f>ClientiBanca[[#This Row],[Prestito]]+ClientiBanca[[#This Row],[Mutuo]]</f>
        <v>0</v>
      </c>
      <c r="L1477" t="str">
        <f>IF(ClientiBanca[[#This Row],[Reddito annuo]]&gt;=70000,"si","no")</f>
        <v>no</v>
      </c>
    </row>
    <row r="1478" spans="1:12">
      <c r="A1478">
        <v>101477</v>
      </c>
      <c r="B1478">
        <v>28</v>
      </c>
      <c r="C1478" s="2">
        <v>38200</v>
      </c>
      <c r="D1478" t="s">
        <v>12</v>
      </c>
      <c r="E1478" s="2">
        <v>0</v>
      </c>
      <c r="F1478" s="2">
        <v>0</v>
      </c>
      <c r="G1478" t="s">
        <v>19</v>
      </c>
      <c r="H1478" t="s">
        <v>25</v>
      </c>
      <c r="I1478" t="s">
        <v>18</v>
      </c>
      <c r="J1478" s="3">
        <v>45638</v>
      </c>
      <c r="K1478" s="4">
        <f>ClientiBanca[[#This Row],[Prestito]]+ClientiBanca[[#This Row],[Mutuo]]</f>
        <v>0</v>
      </c>
      <c r="L1478" t="str">
        <f>IF(ClientiBanca[[#This Row],[Reddito annuo]]&gt;=70000,"si","no")</f>
        <v>no</v>
      </c>
    </row>
    <row r="1479" spans="1:12">
      <c r="A1479">
        <v>101478</v>
      </c>
      <c r="B1479">
        <v>25</v>
      </c>
      <c r="C1479" s="2">
        <v>53900</v>
      </c>
      <c r="D1479" t="s">
        <v>12</v>
      </c>
      <c r="E1479" s="2">
        <v>36300</v>
      </c>
      <c r="F1479" s="2">
        <v>0</v>
      </c>
      <c r="G1479" t="s">
        <v>16</v>
      </c>
      <c r="H1479" t="s">
        <v>17</v>
      </c>
      <c r="I1479" t="s">
        <v>18</v>
      </c>
      <c r="J1479" s="3">
        <v>45383</v>
      </c>
      <c r="K1479" s="4">
        <f>ClientiBanca[[#This Row],[Prestito]]+ClientiBanca[[#This Row],[Mutuo]]</f>
        <v>36300</v>
      </c>
      <c r="L1479" t="str">
        <f>IF(ClientiBanca[[#This Row],[Reddito annuo]]&gt;=70000,"si","no")</f>
        <v>no</v>
      </c>
    </row>
    <row r="1480" spans="1:12">
      <c r="A1480">
        <v>101479</v>
      </c>
      <c r="B1480">
        <v>72</v>
      </c>
      <c r="C1480" s="2">
        <v>41600</v>
      </c>
      <c r="D1480" t="s">
        <v>21</v>
      </c>
      <c r="E1480" s="2">
        <v>0</v>
      </c>
      <c r="F1480" s="2">
        <v>0</v>
      </c>
      <c r="G1480" t="s">
        <v>23</v>
      </c>
      <c r="H1480" t="s">
        <v>17</v>
      </c>
      <c r="I1480" t="s">
        <v>18</v>
      </c>
      <c r="J1480" s="3">
        <v>45952</v>
      </c>
      <c r="K1480" s="4">
        <f>ClientiBanca[[#This Row],[Prestito]]+ClientiBanca[[#This Row],[Mutuo]]</f>
        <v>0</v>
      </c>
      <c r="L1480" t="str">
        <f>IF(ClientiBanca[[#This Row],[Reddito annuo]]&gt;=70000,"si","no")</f>
        <v>no</v>
      </c>
    </row>
    <row r="1481" spans="1:12">
      <c r="A1481">
        <v>101480</v>
      </c>
      <c r="B1481">
        <v>63</v>
      </c>
      <c r="C1481" s="2">
        <v>64000</v>
      </c>
      <c r="D1481" t="s">
        <v>21</v>
      </c>
      <c r="E1481" s="2">
        <v>0</v>
      </c>
      <c r="F1481" s="2">
        <v>0</v>
      </c>
      <c r="G1481" t="s">
        <v>27</v>
      </c>
      <c r="H1481" t="s">
        <v>20</v>
      </c>
      <c r="I1481" t="s">
        <v>18</v>
      </c>
      <c r="J1481" s="3">
        <v>46068</v>
      </c>
      <c r="K1481" s="4">
        <f>ClientiBanca[[#This Row],[Prestito]]+ClientiBanca[[#This Row],[Mutuo]]</f>
        <v>0</v>
      </c>
      <c r="L1481" t="str">
        <f>IF(ClientiBanca[[#This Row],[Reddito annuo]]&gt;=70000,"si","no")</f>
        <v>no</v>
      </c>
    </row>
    <row r="1482" spans="1:12">
      <c r="A1482">
        <v>101481</v>
      </c>
      <c r="B1482">
        <v>34</v>
      </c>
      <c r="C1482" s="2">
        <v>107800</v>
      </c>
      <c r="D1482" t="s">
        <v>22</v>
      </c>
      <c r="E1482" s="2">
        <v>24300</v>
      </c>
      <c r="F1482" s="2">
        <v>0</v>
      </c>
      <c r="G1482" t="s">
        <v>16</v>
      </c>
      <c r="H1482" t="s">
        <v>20</v>
      </c>
      <c r="I1482" t="s">
        <v>18</v>
      </c>
      <c r="J1482" s="3">
        <v>45796</v>
      </c>
      <c r="K1482" s="4">
        <f>ClientiBanca[[#This Row],[Prestito]]+ClientiBanca[[#This Row],[Mutuo]]</f>
        <v>24300</v>
      </c>
      <c r="L1482" t="str">
        <f>IF(ClientiBanca[[#This Row],[Reddito annuo]]&gt;=70000,"si","no")</f>
        <v>si</v>
      </c>
    </row>
    <row r="1483" spans="1:12">
      <c r="A1483">
        <v>101482</v>
      </c>
      <c r="B1483">
        <v>21</v>
      </c>
      <c r="C1483" s="2">
        <v>72900</v>
      </c>
      <c r="D1483" t="s">
        <v>12</v>
      </c>
      <c r="E1483" s="2">
        <v>9500</v>
      </c>
      <c r="F1483" s="2">
        <v>0</v>
      </c>
      <c r="G1483" t="s">
        <v>23</v>
      </c>
      <c r="H1483" t="s">
        <v>20</v>
      </c>
      <c r="I1483" t="s">
        <v>18</v>
      </c>
      <c r="J1483" s="3">
        <v>45649</v>
      </c>
      <c r="K1483" s="4">
        <f>ClientiBanca[[#This Row],[Prestito]]+ClientiBanca[[#This Row],[Mutuo]]</f>
        <v>9500</v>
      </c>
      <c r="L1483" t="str">
        <f>IF(ClientiBanca[[#This Row],[Reddito annuo]]&gt;=70000,"si","no")</f>
        <v>si</v>
      </c>
    </row>
    <row r="1484" spans="1:12">
      <c r="A1484">
        <v>101483</v>
      </c>
      <c r="B1484">
        <v>64</v>
      </c>
      <c r="C1484" s="2">
        <v>32700</v>
      </c>
      <c r="D1484" t="s">
        <v>22</v>
      </c>
      <c r="E1484" s="2">
        <v>40900</v>
      </c>
      <c r="F1484" s="2">
        <v>0</v>
      </c>
      <c r="G1484" t="s">
        <v>24</v>
      </c>
      <c r="H1484" t="s">
        <v>14</v>
      </c>
      <c r="I1484" t="s">
        <v>18</v>
      </c>
      <c r="J1484" s="3">
        <v>46054</v>
      </c>
      <c r="K1484" s="4">
        <f>ClientiBanca[[#This Row],[Prestito]]+ClientiBanca[[#This Row],[Mutuo]]</f>
        <v>40900</v>
      </c>
      <c r="L1484" t="str">
        <f>IF(ClientiBanca[[#This Row],[Reddito annuo]]&gt;=70000,"si","no")</f>
        <v>no</v>
      </c>
    </row>
    <row r="1485" spans="1:12">
      <c r="A1485">
        <v>101484</v>
      </c>
      <c r="B1485">
        <v>59</v>
      </c>
      <c r="C1485" s="2">
        <v>45800</v>
      </c>
      <c r="D1485" t="s">
        <v>12</v>
      </c>
      <c r="E1485" s="2">
        <v>17000</v>
      </c>
      <c r="F1485" s="2">
        <v>232000</v>
      </c>
      <c r="G1485" t="s">
        <v>19</v>
      </c>
      <c r="H1485" t="s">
        <v>20</v>
      </c>
      <c r="I1485" t="s">
        <v>18</v>
      </c>
      <c r="J1485" s="3">
        <v>45694</v>
      </c>
      <c r="K1485" s="4">
        <f>ClientiBanca[[#This Row],[Prestito]]+ClientiBanca[[#This Row],[Mutuo]]</f>
        <v>249000</v>
      </c>
      <c r="L1485" t="str">
        <f>IF(ClientiBanca[[#This Row],[Reddito annuo]]&gt;=70000,"si","no")</f>
        <v>no</v>
      </c>
    </row>
    <row r="1486" spans="1:12">
      <c r="A1486">
        <v>101485</v>
      </c>
      <c r="B1486">
        <v>27</v>
      </c>
      <c r="C1486" s="2">
        <v>71300</v>
      </c>
      <c r="D1486" t="s">
        <v>21</v>
      </c>
      <c r="E1486" s="2">
        <v>75700</v>
      </c>
      <c r="F1486" s="2">
        <v>0</v>
      </c>
      <c r="G1486" t="s">
        <v>16</v>
      </c>
      <c r="H1486" t="s">
        <v>20</v>
      </c>
      <c r="I1486" t="s">
        <v>18</v>
      </c>
      <c r="J1486" s="3">
        <v>45688</v>
      </c>
      <c r="K1486" s="4">
        <f>ClientiBanca[[#This Row],[Prestito]]+ClientiBanca[[#This Row],[Mutuo]]</f>
        <v>75700</v>
      </c>
      <c r="L1486" t="str">
        <f>IF(ClientiBanca[[#This Row],[Reddito annuo]]&gt;=70000,"si","no")</f>
        <v>si</v>
      </c>
    </row>
    <row r="1487" spans="1:12">
      <c r="A1487">
        <v>101486</v>
      </c>
      <c r="B1487">
        <v>71</v>
      </c>
      <c r="C1487" s="2">
        <v>34900</v>
      </c>
      <c r="D1487" t="s">
        <v>22</v>
      </c>
      <c r="E1487" s="2">
        <v>43600</v>
      </c>
      <c r="F1487" s="2">
        <v>0</v>
      </c>
      <c r="G1487" t="s">
        <v>26</v>
      </c>
      <c r="H1487" t="s">
        <v>14</v>
      </c>
      <c r="I1487" t="s">
        <v>18</v>
      </c>
      <c r="J1487" s="3">
        <v>46199</v>
      </c>
      <c r="K1487" s="4">
        <f>ClientiBanca[[#This Row],[Prestito]]+ClientiBanca[[#This Row],[Mutuo]]</f>
        <v>43600</v>
      </c>
      <c r="L1487" t="str">
        <f>IF(ClientiBanca[[#This Row],[Reddito annuo]]&gt;=70000,"si","no")</f>
        <v>no</v>
      </c>
    </row>
    <row r="1488" spans="1:12">
      <c r="A1488">
        <v>101487</v>
      </c>
      <c r="B1488">
        <v>57</v>
      </c>
      <c r="C1488" s="2">
        <v>87600</v>
      </c>
      <c r="D1488" t="s">
        <v>21</v>
      </c>
      <c r="E1488" s="2">
        <v>41300</v>
      </c>
      <c r="F1488" s="2">
        <v>0</v>
      </c>
      <c r="G1488" t="s">
        <v>26</v>
      </c>
      <c r="H1488" t="s">
        <v>20</v>
      </c>
      <c r="I1488" t="s">
        <v>15</v>
      </c>
      <c r="J1488" s="3">
        <v>45304</v>
      </c>
      <c r="K1488" s="4">
        <f>ClientiBanca[[#This Row],[Prestito]]+ClientiBanca[[#This Row],[Mutuo]]</f>
        <v>41300</v>
      </c>
      <c r="L1488" t="str">
        <f>IF(ClientiBanca[[#This Row],[Reddito annuo]]&gt;=70000,"si","no")</f>
        <v>si</v>
      </c>
    </row>
    <row r="1489" spans="1:12">
      <c r="A1489">
        <v>101488</v>
      </c>
      <c r="B1489">
        <v>33</v>
      </c>
      <c r="C1489" s="2">
        <v>89000</v>
      </c>
      <c r="D1489" t="s">
        <v>22</v>
      </c>
      <c r="E1489" s="2">
        <v>71600</v>
      </c>
      <c r="F1489" s="2">
        <v>0</v>
      </c>
      <c r="G1489" t="s">
        <v>19</v>
      </c>
      <c r="H1489" t="s">
        <v>20</v>
      </c>
      <c r="I1489" t="s">
        <v>18</v>
      </c>
      <c r="J1489" s="3">
        <v>46063</v>
      </c>
      <c r="K1489" s="4">
        <f>ClientiBanca[[#This Row],[Prestito]]+ClientiBanca[[#This Row],[Mutuo]]</f>
        <v>71600</v>
      </c>
      <c r="L1489" t="str">
        <f>IF(ClientiBanca[[#This Row],[Reddito annuo]]&gt;=70000,"si","no")</f>
        <v>si</v>
      </c>
    </row>
    <row r="1490" spans="1:12">
      <c r="A1490">
        <v>101489</v>
      </c>
      <c r="B1490">
        <v>30</v>
      </c>
      <c r="C1490" s="2">
        <v>102100</v>
      </c>
      <c r="D1490" t="s">
        <v>21</v>
      </c>
      <c r="E1490" s="2">
        <v>54000</v>
      </c>
      <c r="F1490" s="2">
        <v>0</v>
      </c>
      <c r="G1490" t="s">
        <v>23</v>
      </c>
      <c r="H1490" t="s">
        <v>20</v>
      </c>
      <c r="I1490" t="s">
        <v>18</v>
      </c>
      <c r="J1490" s="3">
        <v>45292</v>
      </c>
      <c r="K1490" s="4">
        <f>ClientiBanca[[#This Row],[Prestito]]+ClientiBanca[[#This Row],[Mutuo]]</f>
        <v>54000</v>
      </c>
      <c r="L1490" t="str">
        <f>IF(ClientiBanca[[#This Row],[Reddito annuo]]&gt;=70000,"si","no")</f>
        <v>si</v>
      </c>
    </row>
    <row r="1491" spans="1:12">
      <c r="A1491">
        <v>101490</v>
      </c>
      <c r="B1491">
        <v>74</v>
      </c>
      <c r="C1491" s="2">
        <v>27200</v>
      </c>
      <c r="D1491" t="s">
        <v>21</v>
      </c>
      <c r="E1491" s="2">
        <v>22200</v>
      </c>
      <c r="F1491" s="2">
        <v>197000</v>
      </c>
      <c r="G1491" t="s">
        <v>24</v>
      </c>
      <c r="H1491" t="s">
        <v>20</v>
      </c>
      <c r="I1491" t="s">
        <v>18</v>
      </c>
      <c r="J1491" s="3">
        <v>45953</v>
      </c>
      <c r="K1491" s="4">
        <f>ClientiBanca[[#This Row],[Prestito]]+ClientiBanca[[#This Row],[Mutuo]]</f>
        <v>219200</v>
      </c>
      <c r="L1491" t="str">
        <f>IF(ClientiBanca[[#This Row],[Reddito annuo]]&gt;=70000,"si","no")</f>
        <v>no</v>
      </c>
    </row>
    <row r="1492" spans="1:12">
      <c r="A1492">
        <v>101491</v>
      </c>
      <c r="B1492">
        <v>32</v>
      </c>
      <c r="C1492" s="2">
        <v>113100</v>
      </c>
      <c r="D1492" t="s">
        <v>12</v>
      </c>
      <c r="E1492" s="2">
        <v>22500</v>
      </c>
      <c r="F1492" s="2">
        <v>0</v>
      </c>
      <c r="G1492" t="s">
        <v>26</v>
      </c>
      <c r="H1492" t="s">
        <v>17</v>
      </c>
      <c r="I1492" t="s">
        <v>18</v>
      </c>
      <c r="J1492" s="3">
        <v>45601</v>
      </c>
      <c r="K1492" s="4">
        <f>ClientiBanca[[#This Row],[Prestito]]+ClientiBanca[[#This Row],[Mutuo]]</f>
        <v>22500</v>
      </c>
      <c r="L1492" t="str">
        <f>IF(ClientiBanca[[#This Row],[Reddito annuo]]&gt;=70000,"si","no")</f>
        <v>si</v>
      </c>
    </row>
    <row r="1493" spans="1:12">
      <c r="A1493">
        <v>101492</v>
      </c>
      <c r="B1493">
        <v>29</v>
      </c>
      <c r="C1493" s="2">
        <v>44800</v>
      </c>
      <c r="D1493" t="s">
        <v>22</v>
      </c>
      <c r="E1493" s="2">
        <v>0</v>
      </c>
      <c r="F1493" s="2">
        <v>0</v>
      </c>
      <c r="G1493" t="s">
        <v>23</v>
      </c>
      <c r="H1493" t="s">
        <v>20</v>
      </c>
      <c r="I1493" t="s">
        <v>18</v>
      </c>
      <c r="J1493" s="3">
        <v>45943</v>
      </c>
      <c r="K1493" s="4">
        <f>ClientiBanca[[#This Row],[Prestito]]+ClientiBanca[[#This Row],[Mutuo]]</f>
        <v>0</v>
      </c>
      <c r="L1493" t="str">
        <f>IF(ClientiBanca[[#This Row],[Reddito annuo]]&gt;=70000,"si","no")</f>
        <v>no</v>
      </c>
    </row>
    <row r="1494" spans="1:12">
      <c r="A1494">
        <v>101493</v>
      </c>
      <c r="B1494">
        <v>67</v>
      </c>
      <c r="C1494" s="2">
        <v>108300</v>
      </c>
      <c r="D1494" t="s">
        <v>12</v>
      </c>
      <c r="E1494" s="2">
        <v>0</v>
      </c>
      <c r="F1494" s="2">
        <v>0</v>
      </c>
      <c r="G1494" t="s">
        <v>24</v>
      </c>
      <c r="H1494" t="s">
        <v>20</v>
      </c>
      <c r="I1494" t="s">
        <v>18</v>
      </c>
      <c r="J1494" s="3">
        <v>45380</v>
      </c>
      <c r="K1494" s="4">
        <f>ClientiBanca[[#This Row],[Prestito]]+ClientiBanca[[#This Row],[Mutuo]]</f>
        <v>0</v>
      </c>
      <c r="L1494" t="str">
        <f>IF(ClientiBanca[[#This Row],[Reddito annuo]]&gt;=70000,"si","no")</f>
        <v>si</v>
      </c>
    </row>
    <row r="1495" spans="1:12">
      <c r="A1495">
        <v>101494</v>
      </c>
      <c r="B1495">
        <v>66</v>
      </c>
      <c r="C1495" s="2">
        <v>43200</v>
      </c>
      <c r="D1495" t="s">
        <v>22</v>
      </c>
      <c r="E1495" s="2">
        <v>37000</v>
      </c>
      <c r="F1495" s="2">
        <v>0</v>
      </c>
      <c r="G1495" t="s">
        <v>28</v>
      </c>
      <c r="H1495" t="s">
        <v>20</v>
      </c>
      <c r="I1495" t="s">
        <v>18</v>
      </c>
      <c r="J1495" s="3">
        <v>45512</v>
      </c>
      <c r="K1495" s="4">
        <f>ClientiBanca[[#This Row],[Prestito]]+ClientiBanca[[#This Row],[Mutuo]]</f>
        <v>37000</v>
      </c>
      <c r="L1495" t="str">
        <f>IF(ClientiBanca[[#This Row],[Reddito annuo]]&gt;=70000,"si","no")</f>
        <v>no</v>
      </c>
    </row>
    <row r="1496" spans="1:12">
      <c r="A1496">
        <v>101495</v>
      </c>
      <c r="B1496">
        <v>24</v>
      </c>
      <c r="C1496" s="2">
        <v>52900</v>
      </c>
      <c r="D1496" t="s">
        <v>21</v>
      </c>
      <c r="E1496" s="2">
        <v>30000</v>
      </c>
      <c r="F1496" s="2">
        <v>0</v>
      </c>
      <c r="G1496" t="s">
        <v>24</v>
      </c>
      <c r="H1496" t="s">
        <v>25</v>
      </c>
      <c r="I1496" t="s">
        <v>18</v>
      </c>
      <c r="J1496" s="3">
        <v>45337</v>
      </c>
      <c r="K1496" s="4">
        <f>ClientiBanca[[#This Row],[Prestito]]+ClientiBanca[[#This Row],[Mutuo]]</f>
        <v>30000</v>
      </c>
      <c r="L1496" t="str">
        <f>IF(ClientiBanca[[#This Row],[Reddito annuo]]&gt;=70000,"si","no")</f>
        <v>no</v>
      </c>
    </row>
    <row r="1497" spans="1:12">
      <c r="A1497">
        <v>101496</v>
      </c>
      <c r="B1497">
        <v>62</v>
      </c>
      <c r="C1497" s="2">
        <v>31000</v>
      </c>
      <c r="D1497" t="s">
        <v>12</v>
      </c>
      <c r="E1497" s="2">
        <v>22500</v>
      </c>
      <c r="F1497" s="2">
        <v>0</v>
      </c>
      <c r="G1497" t="s">
        <v>26</v>
      </c>
      <c r="H1497" t="s">
        <v>20</v>
      </c>
      <c r="I1497" t="s">
        <v>18</v>
      </c>
      <c r="J1497" s="3">
        <v>46184</v>
      </c>
      <c r="K1497" s="4">
        <f>ClientiBanca[[#This Row],[Prestito]]+ClientiBanca[[#This Row],[Mutuo]]</f>
        <v>22500</v>
      </c>
      <c r="L1497" t="str">
        <f>IF(ClientiBanca[[#This Row],[Reddito annuo]]&gt;=70000,"si","no")</f>
        <v>no</v>
      </c>
    </row>
    <row r="1498" spans="1:12">
      <c r="A1498">
        <v>101497</v>
      </c>
      <c r="B1498">
        <v>32</v>
      </c>
      <c r="C1498" s="2">
        <v>43200</v>
      </c>
      <c r="D1498" t="s">
        <v>21</v>
      </c>
      <c r="E1498" s="2">
        <v>42900</v>
      </c>
      <c r="F1498" s="2">
        <v>0</v>
      </c>
      <c r="G1498" t="s">
        <v>16</v>
      </c>
      <c r="H1498" t="s">
        <v>14</v>
      </c>
      <c r="I1498" t="s">
        <v>18</v>
      </c>
      <c r="J1498" s="3">
        <v>46102</v>
      </c>
      <c r="K1498" s="4">
        <f>ClientiBanca[[#This Row],[Prestito]]+ClientiBanca[[#This Row],[Mutuo]]</f>
        <v>42900</v>
      </c>
      <c r="L1498" t="str">
        <f>IF(ClientiBanca[[#This Row],[Reddito annuo]]&gt;=70000,"si","no")</f>
        <v>no</v>
      </c>
    </row>
    <row r="1499" spans="1:12">
      <c r="A1499">
        <v>101498</v>
      </c>
      <c r="B1499">
        <v>34</v>
      </c>
      <c r="C1499" s="2">
        <v>77100</v>
      </c>
      <c r="D1499" t="s">
        <v>12</v>
      </c>
      <c r="E1499" s="2">
        <v>13200</v>
      </c>
      <c r="F1499" s="2">
        <v>0</v>
      </c>
      <c r="G1499" t="s">
        <v>28</v>
      </c>
      <c r="H1499" t="s">
        <v>17</v>
      </c>
      <c r="I1499" t="s">
        <v>18</v>
      </c>
      <c r="J1499" s="3">
        <v>46215</v>
      </c>
      <c r="K1499" s="4">
        <f>ClientiBanca[[#This Row],[Prestito]]+ClientiBanca[[#This Row],[Mutuo]]</f>
        <v>13200</v>
      </c>
      <c r="L1499" t="str">
        <f>IF(ClientiBanca[[#This Row],[Reddito annuo]]&gt;=70000,"si","no")</f>
        <v>si</v>
      </c>
    </row>
    <row r="1500" spans="1:12">
      <c r="A1500">
        <v>101499</v>
      </c>
      <c r="B1500">
        <v>43</v>
      </c>
      <c r="C1500" s="2">
        <v>78100</v>
      </c>
      <c r="D1500" t="s">
        <v>12</v>
      </c>
      <c r="E1500" s="2">
        <v>42200</v>
      </c>
      <c r="F1500" s="2">
        <v>0</v>
      </c>
      <c r="G1500" t="s">
        <v>16</v>
      </c>
      <c r="H1500" t="s">
        <v>20</v>
      </c>
      <c r="I1500" t="s">
        <v>18</v>
      </c>
      <c r="J1500" s="3">
        <v>46077</v>
      </c>
      <c r="K1500" s="4">
        <f>ClientiBanca[[#This Row],[Prestito]]+ClientiBanca[[#This Row],[Mutuo]]</f>
        <v>42200</v>
      </c>
      <c r="L1500" t="str">
        <f>IF(ClientiBanca[[#This Row],[Reddito annuo]]&gt;=70000,"si","no")</f>
        <v>si</v>
      </c>
    </row>
    <row r="1501" spans="1:12">
      <c r="A1501">
        <v>101500</v>
      </c>
      <c r="B1501">
        <v>38</v>
      </c>
      <c r="C1501" s="2">
        <v>37900</v>
      </c>
      <c r="D1501" t="s">
        <v>12</v>
      </c>
      <c r="E1501" s="2">
        <v>0</v>
      </c>
      <c r="F1501" s="2">
        <v>0</v>
      </c>
      <c r="G1501" t="s">
        <v>16</v>
      </c>
      <c r="H1501" t="s">
        <v>17</v>
      </c>
      <c r="I1501" t="s">
        <v>18</v>
      </c>
      <c r="J1501" s="3">
        <v>45734</v>
      </c>
      <c r="K1501" s="4">
        <f>ClientiBanca[[#This Row],[Prestito]]+ClientiBanca[[#This Row],[Mutuo]]</f>
        <v>0</v>
      </c>
      <c r="L1501" t="str">
        <f>IF(ClientiBanca[[#This Row],[Reddito annuo]]&gt;=70000,"si","no")</f>
        <v>no</v>
      </c>
    </row>
    <row r="1502" spans="1:12">
      <c r="A1502">
        <v>101501</v>
      </c>
      <c r="B1502">
        <v>25</v>
      </c>
      <c r="C1502" s="2">
        <v>67400</v>
      </c>
      <c r="D1502" t="s">
        <v>22</v>
      </c>
      <c r="E1502" s="2">
        <v>26300</v>
      </c>
      <c r="F1502" s="2">
        <v>0</v>
      </c>
      <c r="G1502" t="s">
        <v>24</v>
      </c>
      <c r="H1502" t="s">
        <v>14</v>
      </c>
      <c r="I1502" t="s">
        <v>18</v>
      </c>
      <c r="J1502" s="3">
        <v>46232</v>
      </c>
      <c r="K1502" s="4">
        <f>ClientiBanca[[#This Row],[Prestito]]+ClientiBanca[[#This Row],[Mutuo]]</f>
        <v>26300</v>
      </c>
      <c r="L1502" t="str">
        <f>IF(ClientiBanca[[#This Row],[Reddito annuo]]&gt;=70000,"si","no")</f>
        <v>no</v>
      </c>
    </row>
    <row r="1503" spans="1:12">
      <c r="A1503">
        <v>101502</v>
      </c>
      <c r="B1503">
        <v>75</v>
      </c>
      <c r="C1503" s="2">
        <v>116900</v>
      </c>
      <c r="D1503" t="s">
        <v>21</v>
      </c>
      <c r="E1503" s="2">
        <v>41800</v>
      </c>
      <c r="F1503" s="2">
        <v>0</v>
      </c>
      <c r="G1503" t="s">
        <v>24</v>
      </c>
      <c r="H1503" t="s">
        <v>25</v>
      </c>
      <c r="I1503" t="s">
        <v>18</v>
      </c>
      <c r="J1503" s="3">
        <v>46136</v>
      </c>
      <c r="K1503" s="4">
        <f>ClientiBanca[[#This Row],[Prestito]]+ClientiBanca[[#This Row],[Mutuo]]</f>
        <v>41800</v>
      </c>
      <c r="L1503" t="str">
        <f>IF(ClientiBanca[[#This Row],[Reddito annuo]]&gt;=70000,"si","no")</f>
        <v>si</v>
      </c>
    </row>
    <row r="1504" spans="1:12">
      <c r="A1504">
        <v>101503</v>
      </c>
      <c r="B1504">
        <v>64</v>
      </c>
      <c r="C1504" s="2">
        <v>52900</v>
      </c>
      <c r="D1504" t="s">
        <v>22</v>
      </c>
      <c r="E1504" s="2">
        <v>0</v>
      </c>
      <c r="F1504" s="2">
        <v>0</v>
      </c>
      <c r="G1504" t="s">
        <v>27</v>
      </c>
      <c r="H1504" t="s">
        <v>17</v>
      </c>
      <c r="I1504" t="s">
        <v>18</v>
      </c>
      <c r="J1504" s="3">
        <v>45881</v>
      </c>
      <c r="K1504" s="4">
        <f>ClientiBanca[[#This Row],[Prestito]]+ClientiBanca[[#This Row],[Mutuo]]</f>
        <v>0</v>
      </c>
      <c r="L1504" t="str">
        <f>IF(ClientiBanca[[#This Row],[Reddito annuo]]&gt;=70000,"si","no")</f>
        <v>no</v>
      </c>
    </row>
    <row r="1505" spans="1:12">
      <c r="A1505">
        <v>101504</v>
      </c>
      <c r="B1505">
        <v>20</v>
      </c>
      <c r="C1505" s="2">
        <v>44300</v>
      </c>
      <c r="D1505" t="s">
        <v>12</v>
      </c>
      <c r="E1505" s="2">
        <v>0</v>
      </c>
      <c r="F1505" s="2">
        <v>0</v>
      </c>
      <c r="G1505" t="s">
        <v>19</v>
      </c>
      <c r="H1505" t="s">
        <v>17</v>
      </c>
      <c r="I1505" t="s">
        <v>18</v>
      </c>
      <c r="J1505" s="3">
        <v>45625</v>
      </c>
      <c r="K1505" s="4">
        <f>ClientiBanca[[#This Row],[Prestito]]+ClientiBanca[[#This Row],[Mutuo]]</f>
        <v>0</v>
      </c>
      <c r="L1505" t="str">
        <f>IF(ClientiBanca[[#This Row],[Reddito annuo]]&gt;=70000,"si","no")</f>
        <v>no</v>
      </c>
    </row>
    <row r="1506" spans="1:12">
      <c r="A1506">
        <v>101505</v>
      </c>
      <c r="B1506">
        <v>66</v>
      </c>
      <c r="C1506" s="2">
        <v>89900</v>
      </c>
      <c r="D1506" t="s">
        <v>21</v>
      </c>
      <c r="E1506" s="2">
        <v>0</v>
      </c>
      <c r="F1506" s="2">
        <v>0</v>
      </c>
      <c r="G1506" t="s">
        <v>16</v>
      </c>
      <c r="H1506" t="s">
        <v>20</v>
      </c>
      <c r="I1506" t="s">
        <v>18</v>
      </c>
      <c r="J1506" s="3">
        <v>45651</v>
      </c>
      <c r="K1506" s="4">
        <f>ClientiBanca[[#This Row],[Prestito]]+ClientiBanca[[#This Row],[Mutuo]]</f>
        <v>0</v>
      </c>
      <c r="L1506" t="str">
        <f>IF(ClientiBanca[[#This Row],[Reddito annuo]]&gt;=70000,"si","no")</f>
        <v>si</v>
      </c>
    </row>
    <row r="1507" spans="1:12">
      <c r="A1507">
        <v>101506</v>
      </c>
      <c r="B1507">
        <v>67</v>
      </c>
      <c r="C1507" s="2">
        <v>53600</v>
      </c>
      <c r="D1507" t="s">
        <v>12</v>
      </c>
      <c r="E1507" s="2">
        <v>42300</v>
      </c>
      <c r="F1507" s="2">
        <v>0</v>
      </c>
      <c r="G1507" t="s">
        <v>23</v>
      </c>
      <c r="H1507" t="s">
        <v>17</v>
      </c>
      <c r="I1507" t="s">
        <v>18</v>
      </c>
      <c r="J1507" s="3">
        <v>45808</v>
      </c>
      <c r="K1507" s="4">
        <f>ClientiBanca[[#This Row],[Prestito]]+ClientiBanca[[#This Row],[Mutuo]]</f>
        <v>42300</v>
      </c>
      <c r="L1507" t="str">
        <f>IF(ClientiBanca[[#This Row],[Reddito annuo]]&gt;=70000,"si","no")</f>
        <v>no</v>
      </c>
    </row>
    <row r="1508" spans="1:12">
      <c r="A1508">
        <v>101507</v>
      </c>
      <c r="B1508">
        <v>71</v>
      </c>
      <c r="C1508" s="2">
        <v>35000</v>
      </c>
      <c r="D1508" t="s">
        <v>21</v>
      </c>
      <c r="E1508" s="2">
        <v>43800</v>
      </c>
      <c r="F1508" s="2">
        <v>0</v>
      </c>
      <c r="G1508" t="s">
        <v>16</v>
      </c>
      <c r="H1508" t="s">
        <v>17</v>
      </c>
      <c r="I1508" t="s">
        <v>18</v>
      </c>
      <c r="J1508" s="3">
        <v>45945</v>
      </c>
      <c r="K1508" s="4">
        <f>ClientiBanca[[#This Row],[Prestito]]+ClientiBanca[[#This Row],[Mutuo]]</f>
        <v>43800</v>
      </c>
      <c r="L1508" t="str">
        <f>IF(ClientiBanca[[#This Row],[Reddito annuo]]&gt;=70000,"si","no")</f>
        <v>no</v>
      </c>
    </row>
    <row r="1509" spans="1:12">
      <c r="A1509">
        <v>101508</v>
      </c>
      <c r="B1509">
        <v>26</v>
      </c>
      <c r="C1509" s="2">
        <v>108100</v>
      </c>
      <c r="D1509" t="s">
        <v>21</v>
      </c>
      <c r="E1509" s="2">
        <v>23200</v>
      </c>
      <c r="F1509" s="2">
        <v>295000</v>
      </c>
      <c r="G1509" t="s">
        <v>13</v>
      </c>
      <c r="H1509" t="s">
        <v>20</v>
      </c>
      <c r="I1509" t="s">
        <v>18</v>
      </c>
      <c r="J1509" s="3">
        <v>45413</v>
      </c>
      <c r="K1509" s="4">
        <f>ClientiBanca[[#This Row],[Prestito]]+ClientiBanca[[#This Row],[Mutuo]]</f>
        <v>318200</v>
      </c>
      <c r="L1509" t="str">
        <f>IF(ClientiBanca[[#This Row],[Reddito annuo]]&gt;=70000,"si","no")</f>
        <v>si</v>
      </c>
    </row>
    <row r="1510" spans="1:12">
      <c r="A1510">
        <v>101509</v>
      </c>
      <c r="B1510">
        <v>47</v>
      </c>
      <c r="C1510" s="2">
        <v>106700</v>
      </c>
      <c r="D1510" t="s">
        <v>12</v>
      </c>
      <c r="E1510" s="2">
        <v>39500</v>
      </c>
      <c r="F1510" s="2">
        <v>0</v>
      </c>
      <c r="G1510" t="s">
        <v>19</v>
      </c>
      <c r="H1510" t="s">
        <v>20</v>
      </c>
      <c r="I1510" t="s">
        <v>18</v>
      </c>
      <c r="J1510" s="3">
        <v>45895</v>
      </c>
      <c r="K1510" s="4">
        <f>ClientiBanca[[#This Row],[Prestito]]+ClientiBanca[[#This Row],[Mutuo]]</f>
        <v>39500</v>
      </c>
      <c r="L1510" t="str">
        <f>IF(ClientiBanca[[#This Row],[Reddito annuo]]&gt;=70000,"si","no")</f>
        <v>si</v>
      </c>
    </row>
    <row r="1511" spans="1:12">
      <c r="A1511">
        <v>101510</v>
      </c>
      <c r="B1511">
        <v>50</v>
      </c>
      <c r="C1511" s="2">
        <v>70000</v>
      </c>
      <c r="D1511" t="s">
        <v>12</v>
      </c>
      <c r="E1511" s="2">
        <v>77900</v>
      </c>
      <c r="F1511" s="2">
        <v>0</v>
      </c>
      <c r="G1511" t="s">
        <v>19</v>
      </c>
      <c r="H1511" t="s">
        <v>20</v>
      </c>
      <c r="I1511" t="s">
        <v>18</v>
      </c>
      <c r="J1511" s="3">
        <v>46173</v>
      </c>
      <c r="K1511" s="4">
        <f>ClientiBanca[[#This Row],[Prestito]]+ClientiBanca[[#This Row],[Mutuo]]</f>
        <v>77900</v>
      </c>
      <c r="L1511" t="str">
        <f>IF(ClientiBanca[[#This Row],[Reddito annuo]]&gt;=70000,"si","no")</f>
        <v>si</v>
      </c>
    </row>
    <row r="1512" spans="1:12">
      <c r="A1512">
        <v>101511</v>
      </c>
      <c r="B1512">
        <v>71</v>
      </c>
      <c r="C1512" s="2">
        <v>52100</v>
      </c>
      <c r="D1512" t="s">
        <v>12</v>
      </c>
      <c r="E1512" s="2">
        <v>45600</v>
      </c>
      <c r="F1512" s="2">
        <v>0</v>
      </c>
      <c r="G1512" t="s">
        <v>19</v>
      </c>
      <c r="H1512" t="s">
        <v>25</v>
      </c>
      <c r="I1512" t="s">
        <v>18</v>
      </c>
      <c r="J1512" s="3">
        <v>45319</v>
      </c>
      <c r="K1512" s="4">
        <f>ClientiBanca[[#This Row],[Prestito]]+ClientiBanca[[#This Row],[Mutuo]]</f>
        <v>45600</v>
      </c>
      <c r="L1512" t="str">
        <f>IF(ClientiBanca[[#This Row],[Reddito annuo]]&gt;=70000,"si","no")</f>
        <v>no</v>
      </c>
    </row>
    <row r="1513" spans="1:12">
      <c r="A1513">
        <v>101512</v>
      </c>
      <c r="B1513">
        <v>44</v>
      </c>
      <c r="C1513" s="2">
        <v>28200</v>
      </c>
      <c r="D1513" t="s">
        <v>21</v>
      </c>
      <c r="E1513" s="2">
        <v>0</v>
      </c>
      <c r="F1513" s="2">
        <v>0</v>
      </c>
      <c r="G1513" t="s">
        <v>13</v>
      </c>
      <c r="H1513" t="s">
        <v>20</v>
      </c>
      <c r="I1513" t="s">
        <v>18</v>
      </c>
      <c r="J1513" s="3">
        <v>46033</v>
      </c>
      <c r="K1513" s="4">
        <f>ClientiBanca[[#This Row],[Prestito]]+ClientiBanca[[#This Row],[Mutuo]]</f>
        <v>0</v>
      </c>
      <c r="L1513" t="str">
        <f>IF(ClientiBanca[[#This Row],[Reddito annuo]]&gt;=70000,"si","no")</f>
        <v>no</v>
      </c>
    </row>
    <row r="1514" spans="1:12">
      <c r="A1514">
        <v>101513</v>
      </c>
      <c r="B1514">
        <v>73</v>
      </c>
      <c r="C1514" s="2">
        <v>77100</v>
      </c>
      <c r="D1514" t="s">
        <v>22</v>
      </c>
      <c r="E1514" s="2">
        <v>50100</v>
      </c>
      <c r="F1514" s="2">
        <v>0</v>
      </c>
      <c r="G1514" t="s">
        <v>28</v>
      </c>
      <c r="H1514" t="s">
        <v>20</v>
      </c>
      <c r="I1514" t="s">
        <v>18</v>
      </c>
      <c r="J1514" s="3">
        <v>46087</v>
      </c>
      <c r="K1514" s="4">
        <f>ClientiBanca[[#This Row],[Prestito]]+ClientiBanca[[#This Row],[Mutuo]]</f>
        <v>50100</v>
      </c>
      <c r="L1514" t="str">
        <f>IF(ClientiBanca[[#This Row],[Reddito annuo]]&gt;=70000,"si","no")</f>
        <v>si</v>
      </c>
    </row>
    <row r="1515" spans="1:12">
      <c r="A1515">
        <v>101514</v>
      </c>
      <c r="B1515">
        <v>65</v>
      </c>
      <c r="C1515" s="2">
        <v>92100</v>
      </c>
      <c r="D1515" t="s">
        <v>21</v>
      </c>
      <c r="E1515" s="2">
        <v>5800</v>
      </c>
      <c r="F1515" s="2">
        <v>309000</v>
      </c>
      <c r="G1515" t="s">
        <v>27</v>
      </c>
      <c r="H1515" t="s">
        <v>14</v>
      </c>
      <c r="I1515" t="s">
        <v>18</v>
      </c>
      <c r="J1515" s="3">
        <v>45806</v>
      </c>
      <c r="K1515" s="4">
        <f>ClientiBanca[[#This Row],[Prestito]]+ClientiBanca[[#This Row],[Mutuo]]</f>
        <v>314800</v>
      </c>
      <c r="L1515" t="str">
        <f>IF(ClientiBanca[[#This Row],[Reddito annuo]]&gt;=70000,"si","no")</f>
        <v>si</v>
      </c>
    </row>
    <row r="1516" spans="1:12">
      <c r="A1516">
        <v>101515</v>
      </c>
      <c r="B1516">
        <v>31</v>
      </c>
      <c r="C1516" s="2">
        <v>57300</v>
      </c>
      <c r="D1516" t="s">
        <v>12</v>
      </c>
      <c r="E1516" s="2">
        <v>68200</v>
      </c>
      <c r="F1516" s="2">
        <v>0</v>
      </c>
      <c r="G1516" t="s">
        <v>27</v>
      </c>
      <c r="H1516" t="s">
        <v>20</v>
      </c>
      <c r="I1516" t="s">
        <v>18</v>
      </c>
      <c r="J1516" s="3">
        <v>45821</v>
      </c>
      <c r="K1516" s="4">
        <f>ClientiBanca[[#This Row],[Prestito]]+ClientiBanca[[#This Row],[Mutuo]]</f>
        <v>68200</v>
      </c>
      <c r="L1516" t="str">
        <f>IF(ClientiBanca[[#This Row],[Reddito annuo]]&gt;=70000,"si","no")</f>
        <v>no</v>
      </c>
    </row>
    <row r="1517" spans="1:12">
      <c r="A1517">
        <v>101516</v>
      </c>
      <c r="B1517">
        <v>51</v>
      </c>
      <c r="C1517" s="2">
        <v>39600</v>
      </c>
      <c r="D1517" t="s">
        <v>21</v>
      </c>
      <c r="E1517" s="2">
        <v>0</v>
      </c>
      <c r="F1517" s="2">
        <v>231000</v>
      </c>
      <c r="G1517" t="s">
        <v>16</v>
      </c>
      <c r="H1517" t="s">
        <v>20</v>
      </c>
      <c r="I1517" t="s">
        <v>18</v>
      </c>
      <c r="J1517" s="3">
        <v>45450</v>
      </c>
      <c r="K1517" s="4">
        <f>ClientiBanca[[#This Row],[Prestito]]+ClientiBanca[[#This Row],[Mutuo]]</f>
        <v>231000</v>
      </c>
      <c r="L1517" t="str">
        <f>IF(ClientiBanca[[#This Row],[Reddito annuo]]&gt;=70000,"si","no")</f>
        <v>no</v>
      </c>
    </row>
    <row r="1518" spans="1:12">
      <c r="A1518">
        <v>101517</v>
      </c>
      <c r="B1518">
        <v>73</v>
      </c>
      <c r="C1518" s="2">
        <v>32400</v>
      </c>
      <c r="D1518" t="s">
        <v>21</v>
      </c>
      <c r="E1518" s="2">
        <v>27700</v>
      </c>
      <c r="F1518" s="2">
        <v>0</v>
      </c>
      <c r="G1518" t="s">
        <v>24</v>
      </c>
      <c r="H1518" t="s">
        <v>14</v>
      </c>
      <c r="I1518" t="s">
        <v>15</v>
      </c>
      <c r="J1518" s="3">
        <v>45479</v>
      </c>
      <c r="K1518" s="4">
        <f>ClientiBanca[[#This Row],[Prestito]]+ClientiBanca[[#This Row],[Mutuo]]</f>
        <v>27700</v>
      </c>
      <c r="L1518" t="str">
        <f>IF(ClientiBanca[[#This Row],[Reddito annuo]]&gt;=70000,"si","no")</f>
        <v>no</v>
      </c>
    </row>
    <row r="1519" spans="1:12">
      <c r="A1519">
        <v>101518</v>
      </c>
      <c r="B1519">
        <v>34</v>
      </c>
      <c r="C1519" s="2">
        <v>49400</v>
      </c>
      <c r="D1519" t="s">
        <v>12</v>
      </c>
      <c r="E1519" s="2">
        <v>0</v>
      </c>
      <c r="F1519" s="2">
        <v>196000</v>
      </c>
      <c r="G1519" t="s">
        <v>13</v>
      </c>
      <c r="H1519" t="s">
        <v>20</v>
      </c>
      <c r="I1519" t="s">
        <v>18</v>
      </c>
      <c r="J1519" s="3">
        <v>45434</v>
      </c>
      <c r="K1519" s="4">
        <f>ClientiBanca[[#This Row],[Prestito]]+ClientiBanca[[#This Row],[Mutuo]]</f>
        <v>196000</v>
      </c>
      <c r="L1519" t="str">
        <f>IF(ClientiBanca[[#This Row],[Reddito annuo]]&gt;=70000,"si","no")</f>
        <v>no</v>
      </c>
    </row>
    <row r="1520" spans="1:12">
      <c r="A1520">
        <v>101519</v>
      </c>
      <c r="B1520">
        <v>28</v>
      </c>
      <c r="C1520" s="2">
        <v>79400</v>
      </c>
      <c r="D1520" t="s">
        <v>22</v>
      </c>
      <c r="E1520" s="2">
        <v>30300</v>
      </c>
      <c r="F1520" s="2">
        <v>0</v>
      </c>
      <c r="G1520" t="s">
        <v>16</v>
      </c>
      <c r="H1520" t="s">
        <v>20</v>
      </c>
      <c r="I1520" t="s">
        <v>18</v>
      </c>
      <c r="J1520" s="3">
        <v>46002</v>
      </c>
      <c r="K1520" s="4">
        <f>ClientiBanca[[#This Row],[Prestito]]+ClientiBanca[[#This Row],[Mutuo]]</f>
        <v>30300</v>
      </c>
      <c r="L1520" t="str">
        <f>IF(ClientiBanca[[#This Row],[Reddito annuo]]&gt;=70000,"si","no")</f>
        <v>si</v>
      </c>
    </row>
    <row r="1521" spans="1:12">
      <c r="A1521">
        <v>101520</v>
      </c>
      <c r="B1521">
        <v>43</v>
      </c>
      <c r="C1521" s="2">
        <v>70000</v>
      </c>
      <c r="D1521" t="s">
        <v>21</v>
      </c>
      <c r="E1521" s="2">
        <v>22400</v>
      </c>
      <c r="F1521" s="2">
        <v>0</v>
      </c>
      <c r="G1521" t="s">
        <v>16</v>
      </c>
      <c r="H1521" t="s">
        <v>20</v>
      </c>
      <c r="I1521" t="s">
        <v>18</v>
      </c>
      <c r="J1521" s="3">
        <v>46190</v>
      </c>
      <c r="K1521" s="4">
        <f>ClientiBanca[[#This Row],[Prestito]]+ClientiBanca[[#This Row],[Mutuo]]</f>
        <v>22400</v>
      </c>
      <c r="L1521" t="str">
        <f>IF(ClientiBanca[[#This Row],[Reddito annuo]]&gt;=70000,"si","no")</f>
        <v>si</v>
      </c>
    </row>
    <row r="1522" spans="1:12">
      <c r="A1522">
        <v>101521</v>
      </c>
      <c r="B1522">
        <v>62</v>
      </c>
      <c r="C1522" s="2">
        <v>50400</v>
      </c>
      <c r="D1522" t="s">
        <v>21</v>
      </c>
      <c r="E1522" s="2">
        <v>0</v>
      </c>
      <c r="F1522" s="2">
        <v>0</v>
      </c>
      <c r="G1522" t="s">
        <v>24</v>
      </c>
      <c r="H1522" t="s">
        <v>20</v>
      </c>
      <c r="I1522" t="s">
        <v>18</v>
      </c>
      <c r="J1522" s="3">
        <v>45457</v>
      </c>
      <c r="K1522" s="4">
        <f>ClientiBanca[[#This Row],[Prestito]]+ClientiBanca[[#This Row],[Mutuo]]</f>
        <v>0</v>
      </c>
      <c r="L1522" t="str">
        <f>IF(ClientiBanca[[#This Row],[Reddito annuo]]&gt;=70000,"si","no")</f>
        <v>no</v>
      </c>
    </row>
    <row r="1523" spans="1:12">
      <c r="A1523">
        <v>101522</v>
      </c>
      <c r="B1523">
        <v>25</v>
      </c>
      <c r="C1523" s="2">
        <v>64900</v>
      </c>
      <c r="D1523" t="s">
        <v>12</v>
      </c>
      <c r="E1523" s="2">
        <v>81100</v>
      </c>
      <c r="F1523" s="2">
        <v>0</v>
      </c>
      <c r="G1523" t="s">
        <v>26</v>
      </c>
      <c r="H1523" t="s">
        <v>17</v>
      </c>
      <c r="I1523" t="s">
        <v>18</v>
      </c>
      <c r="J1523" s="3">
        <v>45964</v>
      </c>
      <c r="K1523" s="4">
        <f>ClientiBanca[[#This Row],[Prestito]]+ClientiBanca[[#This Row],[Mutuo]]</f>
        <v>81100</v>
      </c>
      <c r="L1523" t="str">
        <f>IF(ClientiBanca[[#This Row],[Reddito annuo]]&gt;=70000,"si","no")</f>
        <v>no</v>
      </c>
    </row>
    <row r="1524" spans="1:12">
      <c r="A1524">
        <v>101523</v>
      </c>
      <c r="B1524">
        <v>31</v>
      </c>
      <c r="C1524" s="2">
        <v>65800</v>
      </c>
      <c r="D1524" t="s">
        <v>21</v>
      </c>
      <c r="E1524" s="2">
        <v>18900</v>
      </c>
      <c r="F1524" s="2">
        <v>0</v>
      </c>
      <c r="G1524" t="s">
        <v>16</v>
      </c>
      <c r="H1524" t="s">
        <v>20</v>
      </c>
      <c r="I1524" t="s">
        <v>18</v>
      </c>
      <c r="J1524" s="3">
        <v>46099</v>
      </c>
      <c r="K1524" s="4">
        <f>ClientiBanca[[#This Row],[Prestito]]+ClientiBanca[[#This Row],[Mutuo]]</f>
        <v>18900</v>
      </c>
      <c r="L1524" t="str">
        <f>IF(ClientiBanca[[#This Row],[Reddito annuo]]&gt;=70000,"si","no")</f>
        <v>no</v>
      </c>
    </row>
    <row r="1525" spans="1:12">
      <c r="A1525">
        <v>101524</v>
      </c>
      <c r="B1525">
        <v>20</v>
      </c>
      <c r="C1525" s="2">
        <v>35400</v>
      </c>
      <c r="D1525" t="s">
        <v>12</v>
      </c>
      <c r="E1525" s="2">
        <v>5500</v>
      </c>
      <c r="F1525" s="2">
        <v>0</v>
      </c>
      <c r="G1525" t="s">
        <v>24</v>
      </c>
      <c r="H1525" t="s">
        <v>17</v>
      </c>
      <c r="I1525" t="s">
        <v>18</v>
      </c>
      <c r="J1525" s="3">
        <v>45783</v>
      </c>
      <c r="K1525" s="4">
        <f>ClientiBanca[[#This Row],[Prestito]]+ClientiBanca[[#This Row],[Mutuo]]</f>
        <v>5500</v>
      </c>
      <c r="L1525" t="str">
        <f>IF(ClientiBanca[[#This Row],[Reddito annuo]]&gt;=70000,"si","no")</f>
        <v>no</v>
      </c>
    </row>
    <row r="1526" spans="1:12">
      <c r="A1526">
        <v>101525</v>
      </c>
      <c r="B1526">
        <v>71</v>
      </c>
      <c r="C1526" s="2">
        <v>42000</v>
      </c>
      <c r="D1526" t="s">
        <v>12</v>
      </c>
      <c r="E1526" s="2">
        <v>19400</v>
      </c>
      <c r="F1526" s="2">
        <v>0</v>
      </c>
      <c r="G1526" t="s">
        <v>13</v>
      </c>
      <c r="H1526" t="s">
        <v>20</v>
      </c>
      <c r="I1526" t="s">
        <v>18</v>
      </c>
      <c r="J1526" s="3">
        <v>45814</v>
      </c>
      <c r="K1526" s="4">
        <f>ClientiBanca[[#This Row],[Prestito]]+ClientiBanca[[#This Row],[Mutuo]]</f>
        <v>19400</v>
      </c>
      <c r="L1526" t="str">
        <f>IF(ClientiBanca[[#This Row],[Reddito annuo]]&gt;=70000,"si","no")</f>
        <v>no</v>
      </c>
    </row>
    <row r="1527" spans="1:12">
      <c r="A1527">
        <v>101526</v>
      </c>
      <c r="B1527">
        <v>29</v>
      </c>
      <c r="C1527" s="2">
        <v>93000</v>
      </c>
      <c r="D1527" t="s">
        <v>21</v>
      </c>
      <c r="E1527" s="2">
        <v>81100</v>
      </c>
      <c r="F1527" s="2">
        <v>0</v>
      </c>
      <c r="G1527" t="s">
        <v>23</v>
      </c>
      <c r="H1527" t="s">
        <v>17</v>
      </c>
      <c r="I1527" t="s">
        <v>18</v>
      </c>
      <c r="J1527" s="3">
        <v>45932</v>
      </c>
      <c r="K1527" s="4">
        <f>ClientiBanca[[#This Row],[Prestito]]+ClientiBanca[[#This Row],[Mutuo]]</f>
        <v>81100</v>
      </c>
      <c r="L1527" t="str">
        <f>IF(ClientiBanca[[#This Row],[Reddito annuo]]&gt;=70000,"si","no")</f>
        <v>si</v>
      </c>
    </row>
    <row r="1528" spans="1:12">
      <c r="A1528">
        <v>101527</v>
      </c>
      <c r="B1528">
        <v>43</v>
      </c>
      <c r="C1528" s="2">
        <v>105200</v>
      </c>
      <c r="D1528" t="s">
        <v>22</v>
      </c>
      <c r="E1528" s="2">
        <v>50400</v>
      </c>
      <c r="F1528" s="2">
        <v>173000</v>
      </c>
      <c r="G1528" t="s">
        <v>16</v>
      </c>
      <c r="H1528" t="s">
        <v>20</v>
      </c>
      <c r="I1528" t="s">
        <v>18</v>
      </c>
      <c r="J1528" s="3">
        <v>46245</v>
      </c>
      <c r="K1528" s="4">
        <f>ClientiBanca[[#This Row],[Prestito]]+ClientiBanca[[#This Row],[Mutuo]]</f>
        <v>223400</v>
      </c>
      <c r="L1528" t="str">
        <f>IF(ClientiBanca[[#This Row],[Reddito annuo]]&gt;=70000,"si","no")</f>
        <v>si</v>
      </c>
    </row>
    <row r="1529" spans="1:12">
      <c r="A1529">
        <v>101528</v>
      </c>
      <c r="B1529">
        <v>43</v>
      </c>
      <c r="C1529" s="2">
        <v>52500</v>
      </c>
      <c r="D1529" t="s">
        <v>12</v>
      </c>
      <c r="E1529" s="2">
        <v>0</v>
      </c>
      <c r="F1529" s="2">
        <v>0</v>
      </c>
      <c r="G1529" t="s">
        <v>24</v>
      </c>
      <c r="H1529" t="s">
        <v>17</v>
      </c>
      <c r="I1529" t="s">
        <v>18</v>
      </c>
      <c r="J1529" s="3">
        <v>46264</v>
      </c>
      <c r="K1529" s="4">
        <f>ClientiBanca[[#This Row],[Prestito]]+ClientiBanca[[#This Row],[Mutuo]]</f>
        <v>0</v>
      </c>
      <c r="L1529" t="str">
        <f>IF(ClientiBanca[[#This Row],[Reddito annuo]]&gt;=70000,"si","no")</f>
        <v>no</v>
      </c>
    </row>
    <row r="1530" spans="1:12">
      <c r="A1530">
        <v>101529</v>
      </c>
      <c r="B1530">
        <v>70</v>
      </c>
      <c r="C1530" s="2">
        <v>60500</v>
      </c>
      <c r="D1530" t="s">
        <v>21</v>
      </c>
      <c r="E1530" s="2">
        <v>0</v>
      </c>
      <c r="F1530" s="2">
        <v>0</v>
      </c>
      <c r="G1530" t="s">
        <v>23</v>
      </c>
      <c r="H1530" t="s">
        <v>17</v>
      </c>
      <c r="I1530" t="s">
        <v>18</v>
      </c>
      <c r="J1530" s="3">
        <v>45586</v>
      </c>
      <c r="K1530" s="4">
        <f>ClientiBanca[[#This Row],[Prestito]]+ClientiBanca[[#This Row],[Mutuo]]</f>
        <v>0</v>
      </c>
      <c r="L1530" t="str">
        <f>IF(ClientiBanca[[#This Row],[Reddito annuo]]&gt;=70000,"si","no")</f>
        <v>no</v>
      </c>
    </row>
    <row r="1531" spans="1:12">
      <c r="A1531">
        <v>101530</v>
      </c>
      <c r="B1531">
        <v>51</v>
      </c>
      <c r="C1531" s="2">
        <v>82700</v>
      </c>
      <c r="D1531" t="s">
        <v>21</v>
      </c>
      <c r="E1531" s="2">
        <v>11700</v>
      </c>
      <c r="F1531" s="2">
        <v>321000</v>
      </c>
      <c r="G1531" t="s">
        <v>24</v>
      </c>
      <c r="H1531" t="s">
        <v>17</v>
      </c>
      <c r="I1531" t="s">
        <v>15</v>
      </c>
      <c r="J1531" s="3">
        <v>45576</v>
      </c>
      <c r="K1531" s="4">
        <f>ClientiBanca[[#This Row],[Prestito]]+ClientiBanca[[#This Row],[Mutuo]]</f>
        <v>332700</v>
      </c>
      <c r="L1531" t="str">
        <f>IF(ClientiBanca[[#This Row],[Reddito annuo]]&gt;=70000,"si","no")</f>
        <v>si</v>
      </c>
    </row>
    <row r="1532" spans="1:12">
      <c r="A1532">
        <v>101531</v>
      </c>
      <c r="B1532">
        <v>45</v>
      </c>
      <c r="C1532" s="2">
        <v>45800</v>
      </c>
      <c r="D1532" t="s">
        <v>12</v>
      </c>
      <c r="E1532" s="2">
        <v>0</v>
      </c>
      <c r="F1532" s="2">
        <v>0</v>
      </c>
      <c r="G1532" t="s">
        <v>19</v>
      </c>
      <c r="H1532" t="s">
        <v>14</v>
      </c>
      <c r="I1532" t="s">
        <v>18</v>
      </c>
      <c r="J1532" s="3">
        <v>46167</v>
      </c>
      <c r="K1532" s="4">
        <f>ClientiBanca[[#This Row],[Prestito]]+ClientiBanca[[#This Row],[Mutuo]]</f>
        <v>0</v>
      </c>
      <c r="L1532" t="str">
        <f>IF(ClientiBanca[[#This Row],[Reddito annuo]]&gt;=70000,"si","no")</f>
        <v>no</v>
      </c>
    </row>
    <row r="1533" spans="1:12">
      <c r="A1533">
        <v>101532</v>
      </c>
      <c r="B1533">
        <v>50</v>
      </c>
      <c r="C1533" s="2">
        <v>60600</v>
      </c>
      <c r="D1533" t="s">
        <v>21</v>
      </c>
      <c r="E1533" s="2">
        <v>0</v>
      </c>
      <c r="F1533" s="2">
        <v>0</v>
      </c>
      <c r="G1533" t="s">
        <v>24</v>
      </c>
      <c r="H1533" t="s">
        <v>17</v>
      </c>
      <c r="I1533" t="s">
        <v>18</v>
      </c>
      <c r="J1533" s="3">
        <v>45385</v>
      </c>
      <c r="K1533" s="4">
        <f>ClientiBanca[[#This Row],[Prestito]]+ClientiBanca[[#This Row],[Mutuo]]</f>
        <v>0</v>
      </c>
      <c r="L1533" t="str">
        <f>IF(ClientiBanca[[#This Row],[Reddito annuo]]&gt;=70000,"si","no")</f>
        <v>no</v>
      </c>
    </row>
    <row r="1534" spans="1:12">
      <c r="A1534">
        <v>101533</v>
      </c>
      <c r="B1534">
        <v>64</v>
      </c>
      <c r="C1534" s="2">
        <v>59100</v>
      </c>
      <c r="D1534" t="s">
        <v>21</v>
      </c>
      <c r="E1534" s="2">
        <v>41700</v>
      </c>
      <c r="F1534" s="2">
        <v>0</v>
      </c>
      <c r="G1534" t="s">
        <v>26</v>
      </c>
      <c r="H1534" t="s">
        <v>14</v>
      </c>
      <c r="I1534" t="s">
        <v>18</v>
      </c>
      <c r="J1534" s="3">
        <v>45900</v>
      </c>
      <c r="K1534" s="4">
        <f>ClientiBanca[[#This Row],[Prestito]]+ClientiBanca[[#This Row],[Mutuo]]</f>
        <v>41700</v>
      </c>
      <c r="L1534" t="str">
        <f>IF(ClientiBanca[[#This Row],[Reddito annuo]]&gt;=70000,"si","no")</f>
        <v>no</v>
      </c>
    </row>
    <row r="1535" spans="1:12">
      <c r="A1535">
        <v>101534</v>
      </c>
      <c r="B1535">
        <v>52</v>
      </c>
      <c r="C1535" s="2">
        <v>42800</v>
      </c>
      <c r="D1535" t="s">
        <v>22</v>
      </c>
      <c r="E1535" s="2">
        <v>20600</v>
      </c>
      <c r="F1535" s="2">
        <v>0</v>
      </c>
      <c r="G1535" t="s">
        <v>26</v>
      </c>
      <c r="H1535" t="s">
        <v>17</v>
      </c>
      <c r="I1535" t="s">
        <v>18</v>
      </c>
      <c r="J1535" s="3">
        <v>45984</v>
      </c>
      <c r="K1535" s="4">
        <f>ClientiBanca[[#This Row],[Prestito]]+ClientiBanca[[#This Row],[Mutuo]]</f>
        <v>20600</v>
      </c>
      <c r="L1535" t="str">
        <f>IF(ClientiBanca[[#This Row],[Reddito annuo]]&gt;=70000,"si","no")</f>
        <v>no</v>
      </c>
    </row>
    <row r="1536" spans="1:12">
      <c r="A1536">
        <v>101535</v>
      </c>
      <c r="B1536">
        <v>46</v>
      </c>
      <c r="C1536" s="2">
        <v>45700</v>
      </c>
      <c r="D1536" t="s">
        <v>12</v>
      </c>
      <c r="E1536" s="2">
        <v>18300</v>
      </c>
      <c r="F1536" s="2">
        <v>0</v>
      </c>
      <c r="G1536" t="s">
        <v>24</v>
      </c>
      <c r="H1536" t="s">
        <v>14</v>
      </c>
      <c r="I1536" t="s">
        <v>18</v>
      </c>
      <c r="J1536" s="3">
        <v>45486</v>
      </c>
      <c r="K1536" s="4">
        <f>ClientiBanca[[#This Row],[Prestito]]+ClientiBanca[[#This Row],[Mutuo]]</f>
        <v>18300</v>
      </c>
      <c r="L1536" t="str">
        <f>IF(ClientiBanca[[#This Row],[Reddito annuo]]&gt;=70000,"si","no")</f>
        <v>no</v>
      </c>
    </row>
    <row r="1537" spans="1:12">
      <c r="A1537">
        <v>101536</v>
      </c>
      <c r="B1537">
        <v>63</v>
      </c>
      <c r="C1537" s="2">
        <v>74400</v>
      </c>
      <c r="D1537" t="s">
        <v>12</v>
      </c>
      <c r="E1537" s="2">
        <v>19000</v>
      </c>
      <c r="F1537" s="2">
        <v>0</v>
      </c>
      <c r="G1537" t="s">
        <v>24</v>
      </c>
      <c r="H1537" t="s">
        <v>20</v>
      </c>
      <c r="I1537" t="s">
        <v>18</v>
      </c>
      <c r="J1537" s="3">
        <v>45590</v>
      </c>
      <c r="K1537" s="4">
        <f>ClientiBanca[[#This Row],[Prestito]]+ClientiBanca[[#This Row],[Mutuo]]</f>
        <v>19000</v>
      </c>
      <c r="L1537" t="str">
        <f>IF(ClientiBanca[[#This Row],[Reddito annuo]]&gt;=70000,"si","no")</f>
        <v>si</v>
      </c>
    </row>
    <row r="1538" spans="1:12">
      <c r="A1538">
        <v>101537</v>
      </c>
      <c r="B1538">
        <v>60</v>
      </c>
      <c r="C1538" s="2">
        <v>43900</v>
      </c>
      <c r="D1538" t="s">
        <v>12</v>
      </c>
      <c r="E1538" s="2">
        <v>25200</v>
      </c>
      <c r="F1538" s="2">
        <v>0</v>
      </c>
      <c r="G1538" t="s">
        <v>28</v>
      </c>
      <c r="H1538" t="s">
        <v>17</v>
      </c>
      <c r="I1538" t="s">
        <v>18</v>
      </c>
      <c r="J1538" s="3">
        <v>46026</v>
      </c>
      <c r="K1538" s="4">
        <f>ClientiBanca[[#This Row],[Prestito]]+ClientiBanca[[#This Row],[Mutuo]]</f>
        <v>25200</v>
      </c>
      <c r="L1538" t="str">
        <f>IF(ClientiBanca[[#This Row],[Reddito annuo]]&gt;=70000,"si","no")</f>
        <v>no</v>
      </c>
    </row>
    <row r="1539" spans="1:12">
      <c r="A1539">
        <v>101538</v>
      </c>
      <c r="B1539">
        <v>37</v>
      </c>
      <c r="C1539" s="2">
        <v>104200</v>
      </c>
      <c r="D1539" t="s">
        <v>21</v>
      </c>
      <c r="E1539" s="2">
        <v>21300</v>
      </c>
      <c r="F1539" s="2">
        <v>130000</v>
      </c>
      <c r="G1539" t="s">
        <v>16</v>
      </c>
      <c r="H1539" t="s">
        <v>17</v>
      </c>
      <c r="I1539" t="s">
        <v>18</v>
      </c>
      <c r="J1539" s="3">
        <v>45295</v>
      </c>
      <c r="K1539" s="4">
        <f>ClientiBanca[[#This Row],[Prestito]]+ClientiBanca[[#This Row],[Mutuo]]</f>
        <v>151300</v>
      </c>
      <c r="L1539" t="str">
        <f>IF(ClientiBanca[[#This Row],[Reddito annuo]]&gt;=70000,"si","no")</f>
        <v>si</v>
      </c>
    </row>
    <row r="1540" spans="1:12">
      <c r="A1540">
        <v>101539</v>
      </c>
      <c r="B1540">
        <v>24</v>
      </c>
      <c r="C1540" s="2">
        <v>40500</v>
      </c>
      <c r="D1540" t="s">
        <v>22</v>
      </c>
      <c r="E1540" s="2">
        <v>0</v>
      </c>
      <c r="F1540" s="2">
        <v>0</v>
      </c>
      <c r="G1540" t="s">
        <v>26</v>
      </c>
      <c r="H1540" t="s">
        <v>17</v>
      </c>
      <c r="I1540" t="s">
        <v>18</v>
      </c>
      <c r="J1540" s="3">
        <v>45722</v>
      </c>
      <c r="K1540" s="4">
        <f>ClientiBanca[[#This Row],[Prestito]]+ClientiBanca[[#This Row],[Mutuo]]</f>
        <v>0</v>
      </c>
      <c r="L1540" t="str">
        <f>IF(ClientiBanca[[#This Row],[Reddito annuo]]&gt;=70000,"si","no")</f>
        <v>no</v>
      </c>
    </row>
    <row r="1541" spans="1:12">
      <c r="A1541">
        <v>101540</v>
      </c>
      <c r="B1541">
        <v>32</v>
      </c>
      <c r="C1541" s="2">
        <v>44900</v>
      </c>
      <c r="D1541" t="s">
        <v>22</v>
      </c>
      <c r="E1541" s="2">
        <v>33100</v>
      </c>
      <c r="F1541" s="2">
        <v>195000</v>
      </c>
      <c r="G1541" t="s">
        <v>19</v>
      </c>
      <c r="H1541" t="s">
        <v>20</v>
      </c>
      <c r="I1541" t="s">
        <v>18</v>
      </c>
      <c r="J1541" s="3">
        <v>45662</v>
      </c>
      <c r="K1541" s="4">
        <f>ClientiBanca[[#This Row],[Prestito]]+ClientiBanca[[#This Row],[Mutuo]]</f>
        <v>228100</v>
      </c>
      <c r="L1541" t="str">
        <f>IF(ClientiBanca[[#This Row],[Reddito annuo]]&gt;=70000,"si","no")</f>
        <v>no</v>
      </c>
    </row>
    <row r="1542" spans="1:12">
      <c r="A1542">
        <v>101541</v>
      </c>
      <c r="B1542">
        <v>68</v>
      </c>
      <c r="C1542" s="2">
        <v>85700</v>
      </c>
      <c r="D1542" t="s">
        <v>21</v>
      </c>
      <c r="E1542" s="2">
        <v>0</v>
      </c>
      <c r="F1542" s="2">
        <v>0</v>
      </c>
      <c r="G1542" t="s">
        <v>26</v>
      </c>
      <c r="H1542" t="s">
        <v>20</v>
      </c>
      <c r="I1542" t="s">
        <v>18</v>
      </c>
      <c r="J1542" s="3">
        <v>45390</v>
      </c>
      <c r="K1542" s="4">
        <f>ClientiBanca[[#This Row],[Prestito]]+ClientiBanca[[#This Row],[Mutuo]]</f>
        <v>0</v>
      </c>
      <c r="L1542" t="str">
        <f>IF(ClientiBanca[[#This Row],[Reddito annuo]]&gt;=70000,"si","no")</f>
        <v>si</v>
      </c>
    </row>
    <row r="1543" spans="1:12">
      <c r="A1543">
        <v>101542</v>
      </c>
      <c r="B1543">
        <v>67</v>
      </c>
      <c r="C1543" s="2">
        <v>74400</v>
      </c>
      <c r="D1543" t="s">
        <v>21</v>
      </c>
      <c r="E1543" s="2">
        <v>0</v>
      </c>
      <c r="F1543" s="2">
        <v>0</v>
      </c>
      <c r="G1543" t="s">
        <v>27</v>
      </c>
      <c r="H1543" t="s">
        <v>20</v>
      </c>
      <c r="I1543" t="s">
        <v>18</v>
      </c>
      <c r="J1543" s="3">
        <v>45931</v>
      </c>
      <c r="K1543" s="4">
        <f>ClientiBanca[[#This Row],[Prestito]]+ClientiBanca[[#This Row],[Mutuo]]</f>
        <v>0</v>
      </c>
      <c r="L1543" t="str">
        <f>IF(ClientiBanca[[#This Row],[Reddito annuo]]&gt;=70000,"si","no")</f>
        <v>si</v>
      </c>
    </row>
    <row r="1544" spans="1:12">
      <c r="A1544">
        <v>101543</v>
      </c>
      <c r="B1544">
        <v>66</v>
      </c>
      <c r="C1544" s="2">
        <v>45600</v>
      </c>
      <c r="D1544" t="s">
        <v>21</v>
      </c>
      <c r="E1544" s="2">
        <v>40800</v>
      </c>
      <c r="F1544" s="2">
        <v>0</v>
      </c>
      <c r="G1544" t="s">
        <v>26</v>
      </c>
      <c r="H1544" t="s">
        <v>14</v>
      </c>
      <c r="I1544" t="s">
        <v>18</v>
      </c>
      <c r="J1544" s="3">
        <v>45534</v>
      </c>
      <c r="K1544" s="4">
        <f>ClientiBanca[[#This Row],[Prestito]]+ClientiBanca[[#This Row],[Mutuo]]</f>
        <v>40800</v>
      </c>
      <c r="L1544" t="str">
        <f>IF(ClientiBanca[[#This Row],[Reddito annuo]]&gt;=70000,"si","no")</f>
        <v>no</v>
      </c>
    </row>
    <row r="1545" spans="1:12">
      <c r="A1545">
        <v>101544</v>
      </c>
      <c r="B1545">
        <v>29</v>
      </c>
      <c r="C1545" s="2">
        <v>25900</v>
      </c>
      <c r="D1545" t="s">
        <v>12</v>
      </c>
      <c r="E1545" s="2">
        <v>0</v>
      </c>
      <c r="F1545" s="2">
        <v>365000</v>
      </c>
      <c r="G1545" t="s">
        <v>16</v>
      </c>
      <c r="H1545" t="s">
        <v>17</v>
      </c>
      <c r="I1545" t="s">
        <v>18</v>
      </c>
      <c r="J1545" s="3">
        <v>45923</v>
      </c>
      <c r="K1545" s="4">
        <f>ClientiBanca[[#This Row],[Prestito]]+ClientiBanca[[#This Row],[Mutuo]]</f>
        <v>365000</v>
      </c>
      <c r="L1545" t="str">
        <f>IF(ClientiBanca[[#This Row],[Reddito annuo]]&gt;=70000,"si","no")</f>
        <v>no</v>
      </c>
    </row>
    <row r="1546" spans="1:12">
      <c r="A1546">
        <v>101545</v>
      </c>
      <c r="B1546">
        <v>21</v>
      </c>
      <c r="C1546" s="2">
        <v>108800</v>
      </c>
      <c r="D1546" t="s">
        <v>21</v>
      </c>
      <c r="E1546" s="2">
        <v>0</v>
      </c>
      <c r="F1546" s="2">
        <v>0</v>
      </c>
      <c r="G1546" t="s">
        <v>26</v>
      </c>
      <c r="H1546" t="s">
        <v>17</v>
      </c>
      <c r="I1546" t="s">
        <v>18</v>
      </c>
      <c r="J1546" s="3">
        <v>45419</v>
      </c>
      <c r="K1546" s="4">
        <f>ClientiBanca[[#This Row],[Prestito]]+ClientiBanca[[#This Row],[Mutuo]]</f>
        <v>0</v>
      </c>
      <c r="L1546" t="str">
        <f>IF(ClientiBanca[[#This Row],[Reddito annuo]]&gt;=70000,"si","no")</f>
        <v>si</v>
      </c>
    </row>
    <row r="1547" spans="1:12">
      <c r="A1547">
        <v>101546</v>
      </c>
      <c r="B1547">
        <v>26</v>
      </c>
      <c r="C1547" s="2">
        <v>43800</v>
      </c>
      <c r="D1547" t="s">
        <v>21</v>
      </c>
      <c r="E1547" s="2">
        <v>40300</v>
      </c>
      <c r="F1547" s="2">
        <v>0</v>
      </c>
      <c r="G1547" t="s">
        <v>23</v>
      </c>
      <c r="H1547" t="s">
        <v>17</v>
      </c>
      <c r="I1547" t="s">
        <v>15</v>
      </c>
      <c r="J1547" s="3">
        <v>45979</v>
      </c>
      <c r="K1547" s="4">
        <f>ClientiBanca[[#This Row],[Prestito]]+ClientiBanca[[#This Row],[Mutuo]]</f>
        <v>40300</v>
      </c>
      <c r="L1547" t="str">
        <f>IF(ClientiBanca[[#This Row],[Reddito annuo]]&gt;=70000,"si","no")</f>
        <v>no</v>
      </c>
    </row>
    <row r="1548" spans="1:12">
      <c r="A1548">
        <v>101547</v>
      </c>
      <c r="B1548">
        <v>39</v>
      </c>
      <c r="C1548" s="2">
        <v>55400</v>
      </c>
      <c r="D1548" t="s">
        <v>22</v>
      </c>
      <c r="E1548" s="2">
        <v>0</v>
      </c>
      <c r="F1548" s="2">
        <v>0</v>
      </c>
      <c r="G1548" t="s">
        <v>23</v>
      </c>
      <c r="H1548" t="s">
        <v>20</v>
      </c>
      <c r="I1548" t="s">
        <v>18</v>
      </c>
      <c r="J1548" s="3">
        <v>45375</v>
      </c>
      <c r="K1548" s="4">
        <f>ClientiBanca[[#This Row],[Prestito]]+ClientiBanca[[#This Row],[Mutuo]]</f>
        <v>0</v>
      </c>
      <c r="L1548" t="str">
        <f>IF(ClientiBanca[[#This Row],[Reddito annuo]]&gt;=70000,"si","no")</f>
        <v>no</v>
      </c>
    </row>
    <row r="1549" spans="1:12">
      <c r="A1549">
        <v>101548</v>
      </c>
      <c r="B1549">
        <v>46</v>
      </c>
      <c r="C1549" s="2">
        <v>76800</v>
      </c>
      <c r="D1549" t="s">
        <v>21</v>
      </c>
      <c r="E1549" s="2">
        <v>0</v>
      </c>
      <c r="F1549" s="2">
        <v>0</v>
      </c>
      <c r="G1549" t="s">
        <v>16</v>
      </c>
      <c r="H1549" t="s">
        <v>20</v>
      </c>
      <c r="I1549" t="s">
        <v>18</v>
      </c>
      <c r="J1549" s="3">
        <v>46075</v>
      </c>
      <c r="K1549" s="4">
        <f>ClientiBanca[[#This Row],[Prestito]]+ClientiBanca[[#This Row],[Mutuo]]</f>
        <v>0</v>
      </c>
      <c r="L1549" t="str">
        <f>IF(ClientiBanca[[#This Row],[Reddito annuo]]&gt;=70000,"si","no")</f>
        <v>si</v>
      </c>
    </row>
    <row r="1550" spans="1:12">
      <c r="A1550">
        <v>101549</v>
      </c>
      <c r="B1550">
        <v>37</v>
      </c>
      <c r="C1550" s="2">
        <v>41500</v>
      </c>
      <c r="D1550" t="s">
        <v>12</v>
      </c>
      <c r="E1550" s="2">
        <v>51900</v>
      </c>
      <c r="F1550" s="2">
        <v>0</v>
      </c>
      <c r="G1550" t="s">
        <v>27</v>
      </c>
      <c r="H1550" t="s">
        <v>17</v>
      </c>
      <c r="I1550" t="s">
        <v>18</v>
      </c>
      <c r="J1550" s="3">
        <v>46150</v>
      </c>
      <c r="K1550" s="4">
        <f>ClientiBanca[[#This Row],[Prestito]]+ClientiBanca[[#This Row],[Mutuo]]</f>
        <v>51900</v>
      </c>
      <c r="L1550" t="str">
        <f>IF(ClientiBanca[[#This Row],[Reddito annuo]]&gt;=70000,"si","no")</f>
        <v>no</v>
      </c>
    </row>
    <row r="1551" spans="1:12">
      <c r="A1551">
        <v>101550</v>
      </c>
      <c r="B1551">
        <v>48</v>
      </c>
      <c r="C1551" s="2">
        <v>67700</v>
      </c>
      <c r="D1551" t="s">
        <v>21</v>
      </c>
      <c r="E1551" s="2">
        <v>39700</v>
      </c>
      <c r="F1551" s="2">
        <v>0</v>
      </c>
      <c r="G1551" t="s">
        <v>16</v>
      </c>
      <c r="H1551" t="s">
        <v>20</v>
      </c>
      <c r="I1551" t="s">
        <v>18</v>
      </c>
      <c r="J1551" s="3">
        <v>45515</v>
      </c>
      <c r="K1551" s="4">
        <f>ClientiBanca[[#This Row],[Prestito]]+ClientiBanca[[#This Row],[Mutuo]]</f>
        <v>39700</v>
      </c>
      <c r="L1551" t="str">
        <f>IF(ClientiBanca[[#This Row],[Reddito annuo]]&gt;=70000,"si","no")</f>
        <v>no</v>
      </c>
    </row>
    <row r="1552" spans="1:12">
      <c r="A1552">
        <v>101551</v>
      </c>
      <c r="B1552">
        <v>40</v>
      </c>
      <c r="C1552" s="2">
        <v>50200</v>
      </c>
      <c r="D1552" t="s">
        <v>21</v>
      </c>
      <c r="E1552" s="2">
        <v>62800</v>
      </c>
      <c r="F1552" s="2">
        <v>0</v>
      </c>
      <c r="G1552" t="s">
        <v>28</v>
      </c>
      <c r="H1552" t="s">
        <v>25</v>
      </c>
      <c r="I1552" t="s">
        <v>18</v>
      </c>
      <c r="J1552" s="3">
        <v>45868</v>
      </c>
      <c r="K1552" s="4">
        <f>ClientiBanca[[#This Row],[Prestito]]+ClientiBanca[[#This Row],[Mutuo]]</f>
        <v>62800</v>
      </c>
      <c r="L1552" t="str">
        <f>IF(ClientiBanca[[#This Row],[Reddito annuo]]&gt;=70000,"si","no")</f>
        <v>no</v>
      </c>
    </row>
    <row r="1553" spans="1:12">
      <c r="A1553">
        <v>101552</v>
      </c>
      <c r="B1553">
        <v>35</v>
      </c>
      <c r="C1553" s="2">
        <v>70900</v>
      </c>
      <c r="D1553" t="s">
        <v>21</v>
      </c>
      <c r="E1553" s="2">
        <v>7600</v>
      </c>
      <c r="F1553" s="2">
        <v>0</v>
      </c>
      <c r="G1553" t="s">
        <v>19</v>
      </c>
      <c r="H1553" t="s">
        <v>17</v>
      </c>
      <c r="I1553" t="s">
        <v>18</v>
      </c>
      <c r="J1553" s="3">
        <v>46033</v>
      </c>
      <c r="K1553" s="4">
        <f>ClientiBanca[[#This Row],[Prestito]]+ClientiBanca[[#This Row],[Mutuo]]</f>
        <v>7600</v>
      </c>
      <c r="L1553" t="str">
        <f>IF(ClientiBanca[[#This Row],[Reddito annuo]]&gt;=70000,"si","no")</f>
        <v>si</v>
      </c>
    </row>
    <row r="1554" spans="1:12">
      <c r="A1554">
        <v>101553</v>
      </c>
      <c r="B1554">
        <v>48</v>
      </c>
      <c r="C1554" s="2">
        <v>100100</v>
      </c>
      <c r="D1554" t="s">
        <v>21</v>
      </c>
      <c r="E1554" s="2">
        <v>20100</v>
      </c>
      <c r="F1554" s="2">
        <v>0</v>
      </c>
      <c r="G1554" t="s">
        <v>26</v>
      </c>
      <c r="H1554" t="s">
        <v>20</v>
      </c>
      <c r="I1554" t="s">
        <v>18</v>
      </c>
      <c r="J1554" s="3">
        <v>46166</v>
      </c>
      <c r="K1554" s="4">
        <f>ClientiBanca[[#This Row],[Prestito]]+ClientiBanca[[#This Row],[Mutuo]]</f>
        <v>20100</v>
      </c>
      <c r="L1554" t="str">
        <f>IF(ClientiBanca[[#This Row],[Reddito annuo]]&gt;=70000,"si","no")</f>
        <v>si</v>
      </c>
    </row>
    <row r="1555" spans="1:12">
      <c r="A1555">
        <v>101554</v>
      </c>
      <c r="B1555">
        <v>57</v>
      </c>
      <c r="C1555" s="2">
        <v>70800</v>
      </c>
      <c r="D1555" t="s">
        <v>12</v>
      </c>
      <c r="E1555" s="2">
        <v>0</v>
      </c>
      <c r="F1555" s="2">
        <v>0</v>
      </c>
      <c r="G1555" t="s">
        <v>16</v>
      </c>
      <c r="H1555" t="s">
        <v>17</v>
      </c>
      <c r="I1555" t="s">
        <v>18</v>
      </c>
      <c r="J1555" s="3">
        <v>46070</v>
      </c>
      <c r="K1555" s="4">
        <f>ClientiBanca[[#This Row],[Prestito]]+ClientiBanca[[#This Row],[Mutuo]]</f>
        <v>0</v>
      </c>
      <c r="L1555" t="str">
        <f>IF(ClientiBanca[[#This Row],[Reddito annuo]]&gt;=70000,"si","no")</f>
        <v>si</v>
      </c>
    </row>
    <row r="1556" spans="1:12">
      <c r="A1556">
        <v>101555</v>
      </c>
      <c r="B1556">
        <v>34</v>
      </c>
      <c r="C1556" s="2">
        <v>33600</v>
      </c>
      <c r="D1556" t="s">
        <v>22</v>
      </c>
      <c r="E1556" s="2">
        <v>42000</v>
      </c>
      <c r="F1556" s="2">
        <v>116000</v>
      </c>
      <c r="G1556" t="s">
        <v>26</v>
      </c>
      <c r="H1556" t="s">
        <v>17</v>
      </c>
      <c r="I1556" t="s">
        <v>18</v>
      </c>
      <c r="J1556" s="3">
        <v>46171</v>
      </c>
      <c r="K1556" s="4">
        <f>ClientiBanca[[#This Row],[Prestito]]+ClientiBanca[[#This Row],[Mutuo]]</f>
        <v>158000</v>
      </c>
      <c r="L1556" t="str">
        <f>IF(ClientiBanca[[#This Row],[Reddito annuo]]&gt;=70000,"si","no")</f>
        <v>no</v>
      </c>
    </row>
    <row r="1557" spans="1:12">
      <c r="A1557">
        <v>101556</v>
      </c>
      <c r="B1557">
        <v>47</v>
      </c>
      <c r="C1557" s="2">
        <v>45700</v>
      </c>
      <c r="D1557" t="s">
        <v>22</v>
      </c>
      <c r="E1557" s="2">
        <v>24000</v>
      </c>
      <c r="F1557" s="2">
        <v>0</v>
      </c>
      <c r="G1557" t="s">
        <v>23</v>
      </c>
      <c r="H1557" t="s">
        <v>14</v>
      </c>
      <c r="I1557" t="s">
        <v>18</v>
      </c>
      <c r="J1557" s="3">
        <v>45878</v>
      </c>
      <c r="K1557" s="4">
        <f>ClientiBanca[[#This Row],[Prestito]]+ClientiBanca[[#This Row],[Mutuo]]</f>
        <v>24000</v>
      </c>
      <c r="L1557" t="str">
        <f>IF(ClientiBanca[[#This Row],[Reddito annuo]]&gt;=70000,"si","no")</f>
        <v>no</v>
      </c>
    </row>
    <row r="1558" spans="1:12">
      <c r="A1558">
        <v>101557</v>
      </c>
      <c r="B1558">
        <v>61</v>
      </c>
      <c r="C1558" s="2">
        <v>83800</v>
      </c>
      <c r="D1558" t="s">
        <v>22</v>
      </c>
      <c r="E1558" s="2">
        <v>0</v>
      </c>
      <c r="F1558" s="2">
        <v>0</v>
      </c>
      <c r="G1558" t="s">
        <v>26</v>
      </c>
      <c r="H1558" t="s">
        <v>17</v>
      </c>
      <c r="I1558" t="s">
        <v>18</v>
      </c>
      <c r="J1558" s="3">
        <v>46256</v>
      </c>
      <c r="K1558" s="4">
        <f>ClientiBanca[[#This Row],[Prestito]]+ClientiBanca[[#This Row],[Mutuo]]</f>
        <v>0</v>
      </c>
      <c r="L1558" t="str">
        <f>IF(ClientiBanca[[#This Row],[Reddito annuo]]&gt;=70000,"si","no")</f>
        <v>si</v>
      </c>
    </row>
    <row r="1559" spans="1:12">
      <c r="A1559">
        <v>101558</v>
      </c>
      <c r="B1559">
        <v>47</v>
      </c>
      <c r="C1559" s="2">
        <v>97800</v>
      </c>
      <c r="D1559" t="s">
        <v>21</v>
      </c>
      <c r="E1559" s="2">
        <v>0</v>
      </c>
      <c r="F1559" s="2">
        <v>259000</v>
      </c>
      <c r="G1559" t="s">
        <v>13</v>
      </c>
      <c r="H1559" t="s">
        <v>17</v>
      </c>
      <c r="I1559" t="s">
        <v>18</v>
      </c>
      <c r="J1559" s="3">
        <v>45567</v>
      </c>
      <c r="K1559" s="4">
        <f>ClientiBanca[[#This Row],[Prestito]]+ClientiBanca[[#This Row],[Mutuo]]</f>
        <v>259000</v>
      </c>
      <c r="L1559" t="str">
        <f>IF(ClientiBanca[[#This Row],[Reddito annuo]]&gt;=70000,"si","no")</f>
        <v>si</v>
      </c>
    </row>
    <row r="1560" spans="1:12">
      <c r="A1560">
        <v>101559</v>
      </c>
      <c r="B1560">
        <v>72</v>
      </c>
      <c r="C1560" s="2">
        <v>83800</v>
      </c>
      <c r="D1560" t="s">
        <v>12</v>
      </c>
      <c r="E1560" s="2">
        <v>0</v>
      </c>
      <c r="F1560" s="2">
        <v>0</v>
      </c>
      <c r="G1560" t="s">
        <v>19</v>
      </c>
      <c r="H1560" t="s">
        <v>17</v>
      </c>
      <c r="I1560" t="s">
        <v>18</v>
      </c>
      <c r="J1560" s="3">
        <v>45448</v>
      </c>
      <c r="K1560" s="4">
        <f>ClientiBanca[[#This Row],[Prestito]]+ClientiBanca[[#This Row],[Mutuo]]</f>
        <v>0</v>
      </c>
      <c r="L1560" t="str">
        <f>IF(ClientiBanca[[#This Row],[Reddito annuo]]&gt;=70000,"si","no")</f>
        <v>si</v>
      </c>
    </row>
    <row r="1561" spans="1:12">
      <c r="A1561">
        <v>101560</v>
      </c>
      <c r="B1561">
        <v>54</v>
      </c>
      <c r="C1561" s="2">
        <v>104100</v>
      </c>
      <c r="D1561" t="s">
        <v>21</v>
      </c>
      <c r="E1561" s="2">
        <v>59700</v>
      </c>
      <c r="F1561" s="2">
        <v>0</v>
      </c>
      <c r="G1561" t="s">
        <v>27</v>
      </c>
      <c r="H1561" t="s">
        <v>17</v>
      </c>
      <c r="I1561" t="s">
        <v>18</v>
      </c>
      <c r="J1561" s="3">
        <v>45695</v>
      </c>
      <c r="K1561" s="4">
        <f>ClientiBanca[[#This Row],[Prestito]]+ClientiBanca[[#This Row],[Mutuo]]</f>
        <v>59700</v>
      </c>
      <c r="L1561" t="str">
        <f>IF(ClientiBanca[[#This Row],[Reddito annuo]]&gt;=70000,"si","no")</f>
        <v>si</v>
      </c>
    </row>
    <row r="1562" spans="1:12">
      <c r="A1562">
        <v>101561</v>
      </c>
      <c r="B1562">
        <v>28</v>
      </c>
      <c r="C1562" s="2">
        <v>39200</v>
      </c>
      <c r="D1562" t="s">
        <v>21</v>
      </c>
      <c r="E1562" s="2">
        <v>0</v>
      </c>
      <c r="F1562" s="2">
        <v>0</v>
      </c>
      <c r="G1562" t="s">
        <v>19</v>
      </c>
      <c r="H1562" t="s">
        <v>14</v>
      </c>
      <c r="I1562" t="s">
        <v>18</v>
      </c>
      <c r="J1562" s="3">
        <v>45577</v>
      </c>
      <c r="K1562" s="4">
        <f>ClientiBanca[[#This Row],[Prestito]]+ClientiBanca[[#This Row],[Mutuo]]</f>
        <v>0</v>
      </c>
      <c r="L1562" t="str">
        <f>IF(ClientiBanca[[#This Row],[Reddito annuo]]&gt;=70000,"si","no")</f>
        <v>no</v>
      </c>
    </row>
    <row r="1563" spans="1:12">
      <c r="A1563">
        <v>101562</v>
      </c>
      <c r="B1563">
        <v>49</v>
      </c>
      <c r="C1563" s="2">
        <v>43800</v>
      </c>
      <c r="D1563" t="s">
        <v>21</v>
      </c>
      <c r="E1563" s="2">
        <v>21000</v>
      </c>
      <c r="F1563" s="2">
        <v>0</v>
      </c>
      <c r="G1563" t="s">
        <v>27</v>
      </c>
      <c r="H1563" t="s">
        <v>20</v>
      </c>
      <c r="I1563" t="s">
        <v>18</v>
      </c>
      <c r="J1563" s="3">
        <v>45292</v>
      </c>
      <c r="K1563" s="4">
        <f>ClientiBanca[[#This Row],[Prestito]]+ClientiBanca[[#This Row],[Mutuo]]</f>
        <v>21000</v>
      </c>
      <c r="L1563" t="str">
        <f>IF(ClientiBanca[[#This Row],[Reddito annuo]]&gt;=70000,"si","no")</f>
        <v>no</v>
      </c>
    </row>
    <row r="1564" spans="1:12">
      <c r="A1564">
        <v>101563</v>
      </c>
      <c r="B1564">
        <v>38</v>
      </c>
      <c r="C1564" s="2">
        <v>57100</v>
      </c>
      <c r="D1564" t="s">
        <v>12</v>
      </c>
      <c r="E1564" s="2">
        <v>28100</v>
      </c>
      <c r="F1564" s="2">
        <v>0</v>
      </c>
      <c r="G1564" t="s">
        <v>16</v>
      </c>
      <c r="H1564" t="s">
        <v>14</v>
      </c>
      <c r="I1564" t="s">
        <v>18</v>
      </c>
      <c r="J1564" s="3">
        <v>45954</v>
      </c>
      <c r="K1564" s="4">
        <f>ClientiBanca[[#This Row],[Prestito]]+ClientiBanca[[#This Row],[Mutuo]]</f>
        <v>28100</v>
      </c>
      <c r="L1564" t="str">
        <f>IF(ClientiBanca[[#This Row],[Reddito annuo]]&gt;=70000,"si","no")</f>
        <v>no</v>
      </c>
    </row>
    <row r="1565" spans="1:12">
      <c r="A1565">
        <v>101564</v>
      </c>
      <c r="B1565">
        <v>53</v>
      </c>
      <c r="C1565" s="2">
        <v>50200</v>
      </c>
      <c r="D1565" t="s">
        <v>12</v>
      </c>
      <c r="E1565" s="2">
        <v>50100</v>
      </c>
      <c r="F1565" s="2">
        <v>0</v>
      </c>
      <c r="G1565" t="s">
        <v>16</v>
      </c>
      <c r="H1565" t="s">
        <v>20</v>
      </c>
      <c r="I1565" t="s">
        <v>18</v>
      </c>
      <c r="J1565" s="3">
        <v>45421</v>
      </c>
      <c r="K1565" s="4">
        <f>ClientiBanca[[#This Row],[Prestito]]+ClientiBanca[[#This Row],[Mutuo]]</f>
        <v>50100</v>
      </c>
      <c r="L1565" t="str">
        <f>IF(ClientiBanca[[#This Row],[Reddito annuo]]&gt;=70000,"si","no")</f>
        <v>no</v>
      </c>
    </row>
    <row r="1566" spans="1:12">
      <c r="A1566">
        <v>101565</v>
      </c>
      <c r="B1566">
        <v>71</v>
      </c>
      <c r="C1566" s="2">
        <v>27900</v>
      </c>
      <c r="D1566" t="s">
        <v>21</v>
      </c>
      <c r="E1566" s="2">
        <v>0</v>
      </c>
      <c r="F1566" s="2">
        <v>0</v>
      </c>
      <c r="G1566" t="s">
        <v>13</v>
      </c>
      <c r="H1566" t="s">
        <v>14</v>
      </c>
      <c r="I1566" t="s">
        <v>18</v>
      </c>
      <c r="J1566" s="3">
        <v>45714</v>
      </c>
      <c r="K1566" s="4">
        <f>ClientiBanca[[#This Row],[Prestito]]+ClientiBanca[[#This Row],[Mutuo]]</f>
        <v>0</v>
      </c>
      <c r="L1566" t="str">
        <f>IF(ClientiBanca[[#This Row],[Reddito annuo]]&gt;=70000,"si","no")</f>
        <v>no</v>
      </c>
    </row>
    <row r="1567" spans="1:12">
      <c r="A1567">
        <v>101566</v>
      </c>
      <c r="B1567">
        <v>44</v>
      </c>
      <c r="C1567" s="2">
        <v>51600</v>
      </c>
      <c r="D1567" t="s">
        <v>21</v>
      </c>
      <c r="E1567" s="2">
        <v>18700</v>
      </c>
      <c r="F1567" s="2">
        <v>195000</v>
      </c>
      <c r="G1567" t="s">
        <v>24</v>
      </c>
      <c r="H1567" t="s">
        <v>17</v>
      </c>
      <c r="I1567" t="s">
        <v>18</v>
      </c>
      <c r="J1567" s="3">
        <v>46068</v>
      </c>
      <c r="K1567" s="4">
        <f>ClientiBanca[[#This Row],[Prestito]]+ClientiBanca[[#This Row],[Mutuo]]</f>
        <v>213700</v>
      </c>
      <c r="L1567" t="str">
        <f>IF(ClientiBanca[[#This Row],[Reddito annuo]]&gt;=70000,"si","no")</f>
        <v>no</v>
      </c>
    </row>
    <row r="1568" spans="1:12">
      <c r="A1568">
        <v>101567</v>
      </c>
      <c r="B1568">
        <v>67</v>
      </c>
      <c r="C1568" s="2">
        <v>37400</v>
      </c>
      <c r="D1568" t="s">
        <v>12</v>
      </c>
      <c r="E1568" s="2">
        <v>16200</v>
      </c>
      <c r="F1568" s="2">
        <v>0</v>
      </c>
      <c r="G1568" t="s">
        <v>28</v>
      </c>
      <c r="H1568" t="s">
        <v>17</v>
      </c>
      <c r="I1568" t="s">
        <v>18</v>
      </c>
      <c r="J1568" s="3">
        <v>46021</v>
      </c>
      <c r="K1568" s="4">
        <f>ClientiBanca[[#This Row],[Prestito]]+ClientiBanca[[#This Row],[Mutuo]]</f>
        <v>16200</v>
      </c>
      <c r="L1568" t="str">
        <f>IF(ClientiBanca[[#This Row],[Reddito annuo]]&gt;=70000,"si","no")</f>
        <v>no</v>
      </c>
    </row>
    <row r="1569" spans="1:12">
      <c r="A1569">
        <v>101568</v>
      </c>
      <c r="B1569">
        <v>49</v>
      </c>
      <c r="C1569" s="2">
        <v>51300</v>
      </c>
      <c r="D1569" t="s">
        <v>21</v>
      </c>
      <c r="E1569" s="2">
        <v>64100</v>
      </c>
      <c r="F1569" s="2">
        <v>136000</v>
      </c>
      <c r="G1569" t="s">
        <v>13</v>
      </c>
      <c r="H1569" t="s">
        <v>20</v>
      </c>
      <c r="I1569" t="s">
        <v>18</v>
      </c>
      <c r="J1569" s="3">
        <v>45768</v>
      </c>
      <c r="K1569" s="4">
        <f>ClientiBanca[[#This Row],[Prestito]]+ClientiBanca[[#This Row],[Mutuo]]</f>
        <v>200100</v>
      </c>
      <c r="L1569" t="str">
        <f>IF(ClientiBanca[[#This Row],[Reddito annuo]]&gt;=70000,"si","no")</f>
        <v>no</v>
      </c>
    </row>
    <row r="1570" spans="1:12">
      <c r="A1570">
        <v>101569</v>
      </c>
      <c r="B1570">
        <v>44</v>
      </c>
      <c r="C1570" s="2">
        <v>96600</v>
      </c>
      <c r="D1570" t="s">
        <v>22</v>
      </c>
      <c r="E1570" s="2">
        <v>23100</v>
      </c>
      <c r="F1570" s="2">
        <v>0</v>
      </c>
      <c r="G1570" t="s">
        <v>28</v>
      </c>
      <c r="H1570" t="s">
        <v>20</v>
      </c>
      <c r="I1570" t="s">
        <v>18</v>
      </c>
      <c r="J1570" s="3">
        <v>46159</v>
      </c>
      <c r="K1570" s="4">
        <f>ClientiBanca[[#This Row],[Prestito]]+ClientiBanca[[#This Row],[Mutuo]]</f>
        <v>23100</v>
      </c>
      <c r="L1570" t="str">
        <f>IF(ClientiBanca[[#This Row],[Reddito annuo]]&gt;=70000,"si","no")</f>
        <v>si</v>
      </c>
    </row>
    <row r="1571" spans="1:12">
      <c r="A1571">
        <v>101570</v>
      </c>
      <c r="B1571">
        <v>50</v>
      </c>
      <c r="C1571" s="2">
        <v>31500</v>
      </c>
      <c r="D1571" t="s">
        <v>21</v>
      </c>
      <c r="E1571" s="2">
        <v>34100</v>
      </c>
      <c r="F1571" s="2">
        <v>123000</v>
      </c>
      <c r="G1571" t="s">
        <v>26</v>
      </c>
      <c r="H1571" t="s">
        <v>20</v>
      </c>
      <c r="I1571" t="s">
        <v>18</v>
      </c>
      <c r="J1571" s="3">
        <v>45937</v>
      </c>
      <c r="K1571" s="4">
        <f>ClientiBanca[[#This Row],[Prestito]]+ClientiBanca[[#This Row],[Mutuo]]</f>
        <v>157100</v>
      </c>
      <c r="L1571" t="str">
        <f>IF(ClientiBanca[[#This Row],[Reddito annuo]]&gt;=70000,"si","no")</f>
        <v>no</v>
      </c>
    </row>
    <row r="1572" spans="1:12">
      <c r="A1572">
        <v>101571</v>
      </c>
      <c r="B1572">
        <v>53</v>
      </c>
      <c r="C1572" s="2">
        <v>51300</v>
      </c>
      <c r="D1572" t="s">
        <v>21</v>
      </c>
      <c r="E1572" s="2">
        <v>40500</v>
      </c>
      <c r="F1572" s="2">
        <v>0</v>
      </c>
      <c r="G1572" t="s">
        <v>19</v>
      </c>
      <c r="H1572" t="s">
        <v>20</v>
      </c>
      <c r="I1572" t="s">
        <v>18</v>
      </c>
      <c r="J1572" s="3">
        <v>45821</v>
      </c>
      <c r="K1572" s="4">
        <f>ClientiBanca[[#This Row],[Prestito]]+ClientiBanca[[#This Row],[Mutuo]]</f>
        <v>40500</v>
      </c>
      <c r="L1572" t="str">
        <f>IF(ClientiBanca[[#This Row],[Reddito annuo]]&gt;=70000,"si","no")</f>
        <v>no</v>
      </c>
    </row>
    <row r="1573" spans="1:12">
      <c r="A1573">
        <v>101572</v>
      </c>
      <c r="B1573">
        <v>57</v>
      </c>
      <c r="C1573" s="2">
        <v>36200</v>
      </c>
      <c r="D1573" t="s">
        <v>21</v>
      </c>
      <c r="E1573" s="2">
        <v>45200</v>
      </c>
      <c r="F1573" s="2">
        <v>279000</v>
      </c>
      <c r="G1573" t="s">
        <v>13</v>
      </c>
      <c r="H1573" t="s">
        <v>25</v>
      </c>
      <c r="I1573" t="s">
        <v>15</v>
      </c>
      <c r="J1573" s="3">
        <v>46136</v>
      </c>
      <c r="K1573" s="4">
        <f>ClientiBanca[[#This Row],[Prestito]]+ClientiBanca[[#This Row],[Mutuo]]</f>
        <v>324200</v>
      </c>
      <c r="L1573" t="str">
        <f>IF(ClientiBanca[[#This Row],[Reddito annuo]]&gt;=70000,"si","no")</f>
        <v>no</v>
      </c>
    </row>
    <row r="1574" spans="1:12">
      <c r="A1574">
        <v>101573</v>
      </c>
      <c r="B1574">
        <v>44</v>
      </c>
      <c r="C1574" s="2">
        <v>48700</v>
      </c>
      <c r="D1574" t="s">
        <v>12</v>
      </c>
      <c r="E1574" s="2">
        <v>0</v>
      </c>
      <c r="F1574" s="2">
        <v>0</v>
      </c>
      <c r="G1574" t="s">
        <v>24</v>
      </c>
      <c r="H1574" t="s">
        <v>20</v>
      </c>
      <c r="I1574" t="s">
        <v>18</v>
      </c>
      <c r="J1574" s="3">
        <v>46228</v>
      </c>
      <c r="K1574" s="4">
        <f>ClientiBanca[[#This Row],[Prestito]]+ClientiBanca[[#This Row],[Mutuo]]</f>
        <v>0</v>
      </c>
      <c r="L1574" t="str">
        <f>IF(ClientiBanca[[#This Row],[Reddito annuo]]&gt;=70000,"si","no")</f>
        <v>no</v>
      </c>
    </row>
    <row r="1575" spans="1:12">
      <c r="A1575">
        <v>101574</v>
      </c>
      <c r="B1575">
        <v>32</v>
      </c>
      <c r="C1575" s="2">
        <v>33800</v>
      </c>
      <c r="D1575" t="s">
        <v>21</v>
      </c>
      <c r="E1575" s="2">
        <v>9700</v>
      </c>
      <c r="F1575" s="2">
        <v>0</v>
      </c>
      <c r="G1575" t="s">
        <v>24</v>
      </c>
      <c r="H1575" t="s">
        <v>17</v>
      </c>
      <c r="I1575" t="s">
        <v>18</v>
      </c>
      <c r="J1575" s="3">
        <v>45719</v>
      </c>
      <c r="K1575" s="4">
        <f>ClientiBanca[[#This Row],[Prestito]]+ClientiBanca[[#This Row],[Mutuo]]</f>
        <v>9700</v>
      </c>
      <c r="L1575" t="str">
        <f>IF(ClientiBanca[[#This Row],[Reddito annuo]]&gt;=70000,"si","no")</f>
        <v>no</v>
      </c>
    </row>
    <row r="1576" spans="1:12">
      <c r="A1576">
        <v>101575</v>
      </c>
      <c r="B1576">
        <v>71</v>
      </c>
      <c r="C1576" s="2">
        <v>88600</v>
      </c>
      <c r="D1576" t="s">
        <v>21</v>
      </c>
      <c r="E1576" s="2">
        <v>21300</v>
      </c>
      <c r="F1576" s="2">
        <v>0</v>
      </c>
      <c r="G1576" t="s">
        <v>27</v>
      </c>
      <c r="H1576" t="s">
        <v>25</v>
      </c>
      <c r="I1576" t="s">
        <v>15</v>
      </c>
      <c r="J1576" s="3">
        <v>45330</v>
      </c>
      <c r="K1576" s="4">
        <f>ClientiBanca[[#This Row],[Prestito]]+ClientiBanca[[#This Row],[Mutuo]]</f>
        <v>21300</v>
      </c>
      <c r="L1576" t="str">
        <f>IF(ClientiBanca[[#This Row],[Reddito annuo]]&gt;=70000,"si","no")</f>
        <v>si</v>
      </c>
    </row>
    <row r="1577" spans="1:12">
      <c r="A1577">
        <v>101576</v>
      </c>
      <c r="B1577">
        <v>36</v>
      </c>
      <c r="C1577" s="2">
        <v>78200</v>
      </c>
      <c r="D1577" t="s">
        <v>12</v>
      </c>
      <c r="E1577" s="2">
        <v>66800</v>
      </c>
      <c r="F1577" s="2">
        <v>248000</v>
      </c>
      <c r="G1577" t="s">
        <v>13</v>
      </c>
      <c r="H1577" t="s">
        <v>20</v>
      </c>
      <c r="I1577" t="s">
        <v>18</v>
      </c>
      <c r="J1577" s="3">
        <v>46212</v>
      </c>
      <c r="K1577" s="4">
        <f>ClientiBanca[[#This Row],[Prestito]]+ClientiBanca[[#This Row],[Mutuo]]</f>
        <v>314800</v>
      </c>
      <c r="L1577" t="str">
        <f>IF(ClientiBanca[[#This Row],[Reddito annuo]]&gt;=70000,"si","no")</f>
        <v>si</v>
      </c>
    </row>
    <row r="1578" spans="1:12">
      <c r="A1578">
        <v>101577</v>
      </c>
      <c r="B1578">
        <v>41</v>
      </c>
      <c r="C1578" s="2">
        <v>68500</v>
      </c>
      <c r="D1578" t="s">
        <v>22</v>
      </c>
      <c r="E1578" s="2">
        <v>0</v>
      </c>
      <c r="F1578" s="2">
        <v>0</v>
      </c>
      <c r="G1578" t="s">
        <v>26</v>
      </c>
      <c r="H1578" t="s">
        <v>17</v>
      </c>
      <c r="I1578" t="s">
        <v>18</v>
      </c>
      <c r="J1578" s="3">
        <v>45853</v>
      </c>
      <c r="K1578" s="4">
        <f>ClientiBanca[[#This Row],[Prestito]]+ClientiBanca[[#This Row],[Mutuo]]</f>
        <v>0</v>
      </c>
      <c r="L1578" t="str">
        <f>IF(ClientiBanca[[#This Row],[Reddito annuo]]&gt;=70000,"si","no")</f>
        <v>no</v>
      </c>
    </row>
    <row r="1579" spans="1:12">
      <c r="A1579">
        <v>101578</v>
      </c>
      <c r="B1579">
        <v>72</v>
      </c>
      <c r="C1579" s="2">
        <v>79600</v>
      </c>
      <c r="D1579" t="s">
        <v>12</v>
      </c>
      <c r="E1579" s="2">
        <v>16800</v>
      </c>
      <c r="F1579" s="2">
        <v>0</v>
      </c>
      <c r="G1579" t="s">
        <v>26</v>
      </c>
      <c r="H1579" t="s">
        <v>17</v>
      </c>
      <c r="I1579" t="s">
        <v>18</v>
      </c>
      <c r="J1579" s="3">
        <v>45543</v>
      </c>
      <c r="K1579" s="4">
        <f>ClientiBanca[[#This Row],[Prestito]]+ClientiBanca[[#This Row],[Mutuo]]</f>
        <v>16800</v>
      </c>
      <c r="L1579" t="str">
        <f>IF(ClientiBanca[[#This Row],[Reddito annuo]]&gt;=70000,"si","no")</f>
        <v>si</v>
      </c>
    </row>
    <row r="1580" spans="1:12">
      <c r="A1580">
        <v>101579</v>
      </c>
      <c r="B1580">
        <v>34</v>
      </c>
      <c r="C1580" s="2">
        <v>87300</v>
      </c>
      <c r="D1580" t="s">
        <v>21</v>
      </c>
      <c r="E1580" s="2">
        <v>70500</v>
      </c>
      <c r="F1580" s="2">
        <v>0</v>
      </c>
      <c r="G1580" t="s">
        <v>16</v>
      </c>
      <c r="H1580" t="s">
        <v>20</v>
      </c>
      <c r="I1580" t="s">
        <v>18</v>
      </c>
      <c r="J1580" s="3">
        <v>46112</v>
      </c>
      <c r="K1580" s="4">
        <f>ClientiBanca[[#This Row],[Prestito]]+ClientiBanca[[#This Row],[Mutuo]]</f>
        <v>70500</v>
      </c>
      <c r="L1580" t="str">
        <f>IF(ClientiBanca[[#This Row],[Reddito annuo]]&gt;=70000,"si","no")</f>
        <v>si</v>
      </c>
    </row>
    <row r="1581" spans="1:12">
      <c r="A1581">
        <v>101580</v>
      </c>
      <c r="B1581">
        <v>75</v>
      </c>
      <c r="C1581" s="2">
        <v>44500</v>
      </c>
      <c r="D1581" t="s">
        <v>22</v>
      </c>
      <c r="E1581" s="2">
        <v>55600</v>
      </c>
      <c r="F1581" s="2">
        <v>0</v>
      </c>
      <c r="G1581" t="s">
        <v>23</v>
      </c>
      <c r="H1581" t="s">
        <v>17</v>
      </c>
      <c r="I1581" t="s">
        <v>18</v>
      </c>
      <c r="J1581" s="3">
        <v>45392</v>
      </c>
      <c r="K1581" s="4">
        <f>ClientiBanca[[#This Row],[Prestito]]+ClientiBanca[[#This Row],[Mutuo]]</f>
        <v>55600</v>
      </c>
      <c r="L1581" t="str">
        <f>IF(ClientiBanca[[#This Row],[Reddito annuo]]&gt;=70000,"si","no")</f>
        <v>no</v>
      </c>
    </row>
    <row r="1582" spans="1:12">
      <c r="A1582">
        <v>101581</v>
      </c>
      <c r="B1582">
        <v>64</v>
      </c>
      <c r="C1582" s="2">
        <v>62800</v>
      </c>
      <c r="D1582" t="s">
        <v>21</v>
      </c>
      <c r="E1582" s="2">
        <v>0</v>
      </c>
      <c r="F1582" s="2">
        <v>0</v>
      </c>
      <c r="G1582" t="s">
        <v>19</v>
      </c>
      <c r="H1582" t="s">
        <v>20</v>
      </c>
      <c r="I1582" t="s">
        <v>18</v>
      </c>
      <c r="J1582" s="3">
        <v>45540</v>
      </c>
      <c r="K1582" s="4">
        <f>ClientiBanca[[#This Row],[Prestito]]+ClientiBanca[[#This Row],[Mutuo]]</f>
        <v>0</v>
      </c>
      <c r="L1582" t="str">
        <f>IF(ClientiBanca[[#This Row],[Reddito annuo]]&gt;=70000,"si","no")</f>
        <v>no</v>
      </c>
    </row>
    <row r="1583" spans="1:12">
      <c r="A1583">
        <v>101582</v>
      </c>
      <c r="B1583">
        <v>30</v>
      </c>
      <c r="C1583" s="2">
        <v>69000</v>
      </c>
      <c r="D1583" t="s">
        <v>22</v>
      </c>
      <c r="E1583" s="2">
        <v>52200</v>
      </c>
      <c r="F1583" s="2">
        <v>0</v>
      </c>
      <c r="G1583" t="s">
        <v>27</v>
      </c>
      <c r="H1583" t="s">
        <v>17</v>
      </c>
      <c r="I1583" t="s">
        <v>18</v>
      </c>
      <c r="J1583" s="3">
        <v>45449</v>
      </c>
      <c r="K1583" s="4">
        <f>ClientiBanca[[#This Row],[Prestito]]+ClientiBanca[[#This Row],[Mutuo]]</f>
        <v>52200</v>
      </c>
      <c r="L1583" t="str">
        <f>IF(ClientiBanca[[#This Row],[Reddito annuo]]&gt;=70000,"si","no")</f>
        <v>no</v>
      </c>
    </row>
    <row r="1584" spans="1:12">
      <c r="A1584">
        <v>101583</v>
      </c>
      <c r="B1584">
        <v>46</v>
      </c>
      <c r="C1584" s="2">
        <v>57900</v>
      </c>
      <c r="D1584" t="s">
        <v>21</v>
      </c>
      <c r="E1584" s="2">
        <v>0</v>
      </c>
      <c r="F1584" s="2">
        <v>157000</v>
      </c>
      <c r="G1584" t="s">
        <v>28</v>
      </c>
      <c r="H1584" t="s">
        <v>14</v>
      </c>
      <c r="I1584" t="s">
        <v>18</v>
      </c>
      <c r="J1584" s="3">
        <v>45697</v>
      </c>
      <c r="K1584" s="4">
        <f>ClientiBanca[[#This Row],[Prestito]]+ClientiBanca[[#This Row],[Mutuo]]</f>
        <v>157000</v>
      </c>
      <c r="L1584" t="str">
        <f>IF(ClientiBanca[[#This Row],[Reddito annuo]]&gt;=70000,"si","no")</f>
        <v>no</v>
      </c>
    </row>
    <row r="1585" spans="1:12">
      <c r="A1585">
        <v>101584</v>
      </c>
      <c r="B1585">
        <v>57</v>
      </c>
      <c r="C1585" s="2">
        <v>42000</v>
      </c>
      <c r="D1585" t="s">
        <v>21</v>
      </c>
      <c r="E1585" s="2">
        <v>20800</v>
      </c>
      <c r="F1585" s="2">
        <v>0</v>
      </c>
      <c r="G1585" t="s">
        <v>19</v>
      </c>
      <c r="H1585" t="s">
        <v>17</v>
      </c>
      <c r="I1585" t="s">
        <v>18</v>
      </c>
      <c r="J1585" s="3">
        <v>45677</v>
      </c>
      <c r="K1585" s="4">
        <f>ClientiBanca[[#This Row],[Prestito]]+ClientiBanca[[#This Row],[Mutuo]]</f>
        <v>20800</v>
      </c>
      <c r="L1585" t="str">
        <f>IF(ClientiBanca[[#This Row],[Reddito annuo]]&gt;=70000,"si","no")</f>
        <v>no</v>
      </c>
    </row>
    <row r="1586" spans="1:12">
      <c r="A1586">
        <v>101585</v>
      </c>
      <c r="B1586">
        <v>74</v>
      </c>
      <c r="C1586" s="2">
        <v>32900</v>
      </c>
      <c r="D1586" t="s">
        <v>21</v>
      </c>
      <c r="E1586" s="2">
        <v>0</v>
      </c>
      <c r="F1586" s="2">
        <v>217000</v>
      </c>
      <c r="G1586" t="s">
        <v>28</v>
      </c>
      <c r="H1586" t="s">
        <v>25</v>
      </c>
      <c r="I1586" t="s">
        <v>18</v>
      </c>
      <c r="J1586" s="3">
        <v>46248</v>
      </c>
      <c r="K1586" s="4">
        <f>ClientiBanca[[#This Row],[Prestito]]+ClientiBanca[[#This Row],[Mutuo]]</f>
        <v>217000</v>
      </c>
      <c r="L1586" t="str">
        <f>IF(ClientiBanca[[#This Row],[Reddito annuo]]&gt;=70000,"si","no")</f>
        <v>no</v>
      </c>
    </row>
    <row r="1587" spans="1:12">
      <c r="A1587">
        <v>101586</v>
      </c>
      <c r="B1587">
        <v>70</v>
      </c>
      <c r="C1587" s="2">
        <v>86500</v>
      </c>
      <c r="D1587" t="s">
        <v>12</v>
      </c>
      <c r="E1587" s="2">
        <v>0</v>
      </c>
      <c r="F1587" s="2">
        <v>144000</v>
      </c>
      <c r="G1587" t="s">
        <v>24</v>
      </c>
      <c r="H1587" t="s">
        <v>20</v>
      </c>
      <c r="I1587" t="s">
        <v>18</v>
      </c>
      <c r="J1587" s="3">
        <v>46155</v>
      </c>
      <c r="K1587" s="4">
        <f>ClientiBanca[[#This Row],[Prestito]]+ClientiBanca[[#This Row],[Mutuo]]</f>
        <v>144000</v>
      </c>
      <c r="L1587" t="str">
        <f>IF(ClientiBanca[[#This Row],[Reddito annuo]]&gt;=70000,"si","no")</f>
        <v>si</v>
      </c>
    </row>
    <row r="1588" spans="1:12">
      <c r="A1588">
        <v>101587</v>
      </c>
      <c r="B1588">
        <v>43</v>
      </c>
      <c r="C1588" s="2">
        <v>73700</v>
      </c>
      <c r="D1588" t="s">
        <v>22</v>
      </c>
      <c r="E1588" s="2">
        <v>44000</v>
      </c>
      <c r="F1588" s="2">
        <v>141000</v>
      </c>
      <c r="G1588" t="s">
        <v>26</v>
      </c>
      <c r="H1588" t="s">
        <v>17</v>
      </c>
      <c r="I1588" t="s">
        <v>15</v>
      </c>
      <c r="J1588" s="3">
        <v>45888</v>
      </c>
      <c r="K1588" s="4">
        <f>ClientiBanca[[#This Row],[Prestito]]+ClientiBanca[[#This Row],[Mutuo]]</f>
        <v>185000</v>
      </c>
      <c r="L1588" t="str">
        <f>IF(ClientiBanca[[#This Row],[Reddito annuo]]&gt;=70000,"si","no")</f>
        <v>si</v>
      </c>
    </row>
    <row r="1589" spans="1:12">
      <c r="A1589">
        <v>101588</v>
      </c>
      <c r="B1589">
        <v>25</v>
      </c>
      <c r="C1589" s="2">
        <v>119200</v>
      </c>
      <c r="D1589" t="s">
        <v>12</v>
      </c>
      <c r="E1589" s="2">
        <v>0</v>
      </c>
      <c r="F1589" s="2">
        <v>142000</v>
      </c>
      <c r="G1589" t="s">
        <v>16</v>
      </c>
      <c r="H1589" t="s">
        <v>14</v>
      </c>
      <c r="I1589" t="s">
        <v>18</v>
      </c>
      <c r="J1589" s="3">
        <v>45794</v>
      </c>
      <c r="K1589" s="4">
        <f>ClientiBanca[[#This Row],[Prestito]]+ClientiBanca[[#This Row],[Mutuo]]</f>
        <v>142000</v>
      </c>
      <c r="L1589" t="str">
        <f>IF(ClientiBanca[[#This Row],[Reddito annuo]]&gt;=70000,"si","no")</f>
        <v>si</v>
      </c>
    </row>
    <row r="1590" spans="1:12">
      <c r="A1590">
        <v>101589</v>
      </c>
      <c r="B1590">
        <v>26</v>
      </c>
      <c r="C1590" s="2">
        <v>45000</v>
      </c>
      <c r="D1590" t="s">
        <v>21</v>
      </c>
      <c r="E1590" s="2">
        <v>0</v>
      </c>
      <c r="F1590" s="2">
        <v>233000</v>
      </c>
      <c r="G1590" t="s">
        <v>24</v>
      </c>
      <c r="H1590" t="s">
        <v>20</v>
      </c>
      <c r="I1590" t="s">
        <v>18</v>
      </c>
      <c r="J1590" s="3">
        <v>45912</v>
      </c>
      <c r="K1590" s="4">
        <f>ClientiBanca[[#This Row],[Prestito]]+ClientiBanca[[#This Row],[Mutuo]]</f>
        <v>233000</v>
      </c>
      <c r="L1590" t="str">
        <f>IF(ClientiBanca[[#This Row],[Reddito annuo]]&gt;=70000,"si","no")</f>
        <v>no</v>
      </c>
    </row>
    <row r="1591" spans="1:12">
      <c r="A1591">
        <v>101590</v>
      </c>
      <c r="B1591">
        <v>74</v>
      </c>
      <c r="C1591" s="2">
        <v>44600</v>
      </c>
      <c r="D1591" t="s">
        <v>12</v>
      </c>
      <c r="E1591" s="2">
        <v>13600</v>
      </c>
      <c r="F1591" s="2">
        <v>0</v>
      </c>
      <c r="G1591" t="s">
        <v>26</v>
      </c>
      <c r="H1591" t="s">
        <v>20</v>
      </c>
      <c r="I1591" t="s">
        <v>18</v>
      </c>
      <c r="J1591" s="3">
        <v>45972</v>
      </c>
      <c r="K1591" s="4">
        <f>ClientiBanca[[#This Row],[Prestito]]+ClientiBanca[[#This Row],[Mutuo]]</f>
        <v>13600</v>
      </c>
      <c r="L1591" t="str">
        <f>IF(ClientiBanca[[#This Row],[Reddito annuo]]&gt;=70000,"si","no")</f>
        <v>no</v>
      </c>
    </row>
    <row r="1592" spans="1:12">
      <c r="A1592">
        <v>101591</v>
      </c>
      <c r="B1592">
        <v>30</v>
      </c>
      <c r="C1592" s="2">
        <v>75200</v>
      </c>
      <c r="D1592" t="s">
        <v>12</v>
      </c>
      <c r="E1592" s="2">
        <v>34200</v>
      </c>
      <c r="F1592" s="2">
        <v>0</v>
      </c>
      <c r="G1592" t="s">
        <v>16</v>
      </c>
      <c r="H1592" t="s">
        <v>20</v>
      </c>
      <c r="I1592" t="s">
        <v>18</v>
      </c>
      <c r="J1592" s="3">
        <v>46105</v>
      </c>
      <c r="K1592" s="4">
        <f>ClientiBanca[[#This Row],[Prestito]]+ClientiBanca[[#This Row],[Mutuo]]</f>
        <v>34200</v>
      </c>
      <c r="L1592" t="str">
        <f>IF(ClientiBanca[[#This Row],[Reddito annuo]]&gt;=70000,"si","no")</f>
        <v>si</v>
      </c>
    </row>
    <row r="1593" spans="1:12">
      <c r="A1593">
        <v>101592</v>
      </c>
      <c r="B1593">
        <v>74</v>
      </c>
      <c r="C1593" s="2">
        <v>47500</v>
      </c>
      <c r="D1593" t="s">
        <v>21</v>
      </c>
      <c r="E1593" s="2">
        <v>16500</v>
      </c>
      <c r="F1593" s="2">
        <v>116000</v>
      </c>
      <c r="G1593" t="s">
        <v>13</v>
      </c>
      <c r="H1593" t="s">
        <v>20</v>
      </c>
      <c r="I1593" t="s">
        <v>18</v>
      </c>
      <c r="J1593" s="3">
        <v>45421</v>
      </c>
      <c r="K1593" s="4">
        <f>ClientiBanca[[#This Row],[Prestito]]+ClientiBanca[[#This Row],[Mutuo]]</f>
        <v>132500</v>
      </c>
      <c r="L1593" t="str">
        <f>IF(ClientiBanca[[#This Row],[Reddito annuo]]&gt;=70000,"si","no")</f>
        <v>no</v>
      </c>
    </row>
    <row r="1594" spans="1:12">
      <c r="A1594">
        <v>101593</v>
      </c>
      <c r="B1594">
        <v>29</v>
      </c>
      <c r="C1594" s="2">
        <v>77700</v>
      </c>
      <c r="D1594" t="s">
        <v>21</v>
      </c>
      <c r="E1594" s="2">
        <v>24400</v>
      </c>
      <c r="F1594" s="2">
        <v>204000</v>
      </c>
      <c r="G1594" t="s">
        <v>16</v>
      </c>
      <c r="H1594" t="s">
        <v>20</v>
      </c>
      <c r="I1594" t="s">
        <v>18</v>
      </c>
      <c r="J1594" s="3">
        <v>46257</v>
      </c>
      <c r="K1594" s="4">
        <f>ClientiBanca[[#This Row],[Prestito]]+ClientiBanca[[#This Row],[Mutuo]]</f>
        <v>228400</v>
      </c>
      <c r="L1594" t="str">
        <f>IF(ClientiBanca[[#This Row],[Reddito annuo]]&gt;=70000,"si","no")</f>
        <v>si</v>
      </c>
    </row>
    <row r="1595" spans="1:12">
      <c r="A1595">
        <v>101594</v>
      </c>
      <c r="B1595">
        <v>62</v>
      </c>
      <c r="C1595" s="2">
        <v>63600</v>
      </c>
      <c r="D1595" t="s">
        <v>12</v>
      </c>
      <c r="E1595" s="2">
        <v>0</v>
      </c>
      <c r="F1595" s="2">
        <v>202000</v>
      </c>
      <c r="G1595" t="s">
        <v>27</v>
      </c>
      <c r="H1595" t="s">
        <v>17</v>
      </c>
      <c r="I1595" t="s">
        <v>18</v>
      </c>
      <c r="J1595" s="3">
        <v>45692</v>
      </c>
      <c r="K1595" s="4">
        <f>ClientiBanca[[#This Row],[Prestito]]+ClientiBanca[[#This Row],[Mutuo]]</f>
        <v>202000</v>
      </c>
      <c r="L1595" t="str">
        <f>IF(ClientiBanca[[#This Row],[Reddito annuo]]&gt;=70000,"si","no")</f>
        <v>no</v>
      </c>
    </row>
    <row r="1596" spans="1:12">
      <c r="A1596">
        <v>101595</v>
      </c>
      <c r="B1596">
        <v>32</v>
      </c>
      <c r="C1596" s="2">
        <v>49700</v>
      </c>
      <c r="D1596" t="s">
        <v>21</v>
      </c>
      <c r="E1596" s="2">
        <v>0</v>
      </c>
      <c r="F1596" s="2">
        <v>0</v>
      </c>
      <c r="G1596" t="s">
        <v>16</v>
      </c>
      <c r="H1596" t="s">
        <v>20</v>
      </c>
      <c r="I1596" t="s">
        <v>18</v>
      </c>
      <c r="J1596" s="3">
        <v>45801</v>
      </c>
      <c r="K1596" s="4">
        <f>ClientiBanca[[#This Row],[Prestito]]+ClientiBanca[[#This Row],[Mutuo]]</f>
        <v>0</v>
      </c>
      <c r="L1596" t="str">
        <f>IF(ClientiBanca[[#This Row],[Reddito annuo]]&gt;=70000,"si","no")</f>
        <v>no</v>
      </c>
    </row>
    <row r="1597" spans="1:12">
      <c r="A1597">
        <v>101596</v>
      </c>
      <c r="B1597">
        <v>49</v>
      </c>
      <c r="C1597" s="2">
        <v>72000</v>
      </c>
      <c r="D1597" t="s">
        <v>21</v>
      </c>
      <c r="E1597" s="2">
        <v>24500</v>
      </c>
      <c r="F1597" s="2">
        <v>174000</v>
      </c>
      <c r="G1597" t="s">
        <v>16</v>
      </c>
      <c r="H1597" t="s">
        <v>17</v>
      </c>
      <c r="I1597" t="s">
        <v>18</v>
      </c>
      <c r="J1597" s="3">
        <v>46061</v>
      </c>
      <c r="K1597" s="4">
        <f>ClientiBanca[[#This Row],[Prestito]]+ClientiBanca[[#This Row],[Mutuo]]</f>
        <v>198500</v>
      </c>
      <c r="L1597" t="str">
        <f>IF(ClientiBanca[[#This Row],[Reddito annuo]]&gt;=70000,"si","no")</f>
        <v>si</v>
      </c>
    </row>
    <row r="1598" spans="1:12">
      <c r="A1598">
        <v>101597</v>
      </c>
      <c r="B1598">
        <v>56</v>
      </c>
      <c r="C1598" s="2">
        <v>93900</v>
      </c>
      <c r="D1598" t="s">
        <v>21</v>
      </c>
      <c r="E1598" s="2">
        <v>0</v>
      </c>
      <c r="F1598" s="2">
        <v>160000</v>
      </c>
      <c r="G1598" t="s">
        <v>13</v>
      </c>
      <c r="H1598" t="s">
        <v>20</v>
      </c>
      <c r="I1598" t="s">
        <v>18</v>
      </c>
      <c r="J1598" s="3">
        <v>45634</v>
      </c>
      <c r="K1598" s="4">
        <f>ClientiBanca[[#This Row],[Prestito]]+ClientiBanca[[#This Row],[Mutuo]]</f>
        <v>160000</v>
      </c>
      <c r="L1598" t="str">
        <f>IF(ClientiBanca[[#This Row],[Reddito annuo]]&gt;=70000,"si","no")</f>
        <v>si</v>
      </c>
    </row>
    <row r="1599" spans="1:12">
      <c r="A1599">
        <v>101598</v>
      </c>
      <c r="B1599">
        <v>29</v>
      </c>
      <c r="C1599" s="2">
        <v>28600</v>
      </c>
      <c r="D1599" t="s">
        <v>21</v>
      </c>
      <c r="E1599" s="2">
        <v>33500</v>
      </c>
      <c r="F1599" s="2">
        <v>0</v>
      </c>
      <c r="G1599" t="s">
        <v>23</v>
      </c>
      <c r="H1599" t="s">
        <v>14</v>
      </c>
      <c r="I1599" t="s">
        <v>18</v>
      </c>
      <c r="J1599" s="3">
        <v>46081</v>
      </c>
      <c r="K1599" s="4">
        <f>ClientiBanca[[#This Row],[Prestito]]+ClientiBanca[[#This Row],[Mutuo]]</f>
        <v>33500</v>
      </c>
      <c r="L1599" t="str">
        <f>IF(ClientiBanca[[#This Row],[Reddito annuo]]&gt;=70000,"si","no")</f>
        <v>no</v>
      </c>
    </row>
    <row r="1600" spans="1:12">
      <c r="A1600">
        <v>101599</v>
      </c>
      <c r="B1600">
        <v>20</v>
      </c>
      <c r="C1600" s="2">
        <v>69700</v>
      </c>
      <c r="D1600" t="s">
        <v>12</v>
      </c>
      <c r="E1600" s="2">
        <v>0</v>
      </c>
      <c r="F1600" s="2">
        <v>0</v>
      </c>
      <c r="G1600" t="s">
        <v>27</v>
      </c>
      <c r="H1600" t="s">
        <v>20</v>
      </c>
      <c r="I1600" t="s">
        <v>18</v>
      </c>
      <c r="J1600" s="3">
        <v>46082</v>
      </c>
      <c r="K1600" s="4">
        <f>ClientiBanca[[#This Row],[Prestito]]+ClientiBanca[[#This Row],[Mutuo]]</f>
        <v>0</v>
      </c>
      <c r="L1600" t="str">
        <f>IF(ClientiBanca[[#This Row],[Reddito annuo]]&gt;=70000,"si","no")</f>
        <v>no</v>
      </c>
    </row>
    <row r="1601" spans="1:12">
      <c r="A1601">
        <v>101600</v>
      </c>
      <c r="B1601">
        <v>72</v>
      </c>
      <c r="C1601" s="2">
        <v>112600</v>
      </c>
      <c r="D1601" t="s">
        <v>21</v>
      </c>
      <c r="E1601" s="2">
        <v>45000</v>
      </c>
      <c r="F1601" s="2">
        <v>0</v>
      </c>
      <c r="G1601" t="s">
        <v>26</v>
      </c>
      <c r="H1601" t="s">
        <v>17</v>
      </c>
      <c r="I1601" t="s">
        <v>18</v>
      </c>
      <c r="J1601" s="3">
        <v>45896</v>
      </c>
      <c r="K1601" s="4">
        <f>ClientiBanca[[#This Row],[Prestito]]+ClientiBanca[[#This Row],[Mutuo]]</f>
        <v>45000</v>
      </c>
      <c r="L1601" t="str">
        <f>IF(ClientiBanca[[#This Row],[Reddito annuo]]&gt;=70000,"si","no")</f>
        <v>si</v>
      </c>
    </row>
    <row r="1602" spans="1:12">
      <c r="A1602">
        <v>101601</v>
      </c>
      <c r="B1602">
        <v>59</v>
      </c>
      <c r="C1602" s="2">
        <v>103100</v>
      </c>
      <c r="D1602" t="s">
        <v>21</v>
      </c>
      <c r="E1602" s="2">
        <v>0</v>
      </c>
      <c r="F1602" s="2">
        <v>0</v>
      </c>
      <c r="G1602" t="s">
        <v>27</v>
      </c>
      <c r="H1602" t="s">
        <v>20</v>
      </c>
      <c r="I1602" t="s">
        <v>18</v>
      </c>
      <c r="J1602" s="3">
        <v>46028</v>
      </c>
      <c r="K1602" s="4">
        <f>ClientiBanca[[#This Row],[Prestito]]+ClientiBanca[[#This Row],[Mutuo]]</f>
        <v>0</v>
      </c>
      <c r="L1602" t="str">
        <f>IF(ClientiBanca[[#This Row],[Reddito annuo]]&gt;=70000,"si","no")</f>
        <v>si</v>
      </c>
    </row>
    <row r="1603" spans="1:12">
      <c r="A1603">
        <v>101602</v>
      </c>
      <c r="B1603">
        <v>57</v>
      </c>
      <c r="C1603" s="2">
        <v>63200</v>
      </c>
      <c r="D1603" t="s">
        <v>12</v>
      </c>
      <c r="E1603" s="2">
        <v>0</v>
      </c>
      <c r="F1603" s="2">
        <v>175000</v>
      </c>
      <c r="G1603" t="s">
        <v>16</v>
      </c>
      <c r="H1603" t="s">
        <v>17</v>
      </c>
      <c r="I1603" t="s">
        <v>18</v>
      </c>
      <c r="J1603" s="3">
        <v>46102</v>
      </c>
      <c r="K1603" s="4">
        <f>ClientiBanca[[#This Row],[Prestito]]+ClientiBanca[[#This Row],[Mutuo]]</f>
        <v>175000</v>
      </c>
      <c r="L1603" t="str">
        <f>IF(ClientiBanca[[#This Row],[Reddito annuo]]&gt;=70000,"si","no")</f>
        <v>no</v>
      </c>
    </row>
    <row r="1604" spans="1:12">
      <c r="A1604">
        <v>101603</v>
      </c>
      <c r="B1604">
        <v>24</v>
      </c>
      <c r="C1604" s="2">
        <v>58000</v>
      </c>
      <c r="D1604" t="s">
        <v>22</v>
      </c>
      <c r="E1604" s="2">
        <v>0</v>
      </c>
      <c r="F1604" s="2">
        <v>0</v>
      </c>
      <c r="G1604" t="s">
        <v>23</v>
      </c>
      <c r="H1604" t="s">
        <v>14</v>
      </c>
      <c r="I1604" t="s">
        <v>18</v>
      </c>
      <c r="J1604" s="3">
        <v>46146</v>
      </c>
      <c r="K1604" s="4">
        <f>ClientiBanca[[#This Row],[Prestito]]+ClientiBanca[[#This Row],[Mutuo]]</f>
        <v>0</v>
      </c>
      <c r="L1604" t="str">
        <f>IF(ClientiBanca[[#This Row],[Reddito annuo]]&gt;=70000,"si","no")</f>
        <v>no</v>
      </c>
    </row>
    <row r="1605" spans="1:12">
      <c r="A1605">
        <v>101604</v>
      </c>
      <c r="B1605">
        <v>57</v>
      </c>
      <c r="C1605" s="2">
        <v>42500</v>
      </c>
      <c r="D1605" t="s">
        <v>21</v>
      </c>
      <c r="E1605" s="2">
        <v>0</v>
      </c>
      <c r="F1605" s="2">
        <v>0</v>
      </c>
      <c r="G1605" t="s">
        <v>23</v>
      </c>
      <c r="H1605" t="s">
        <v>14</v>
      </c>
      <c r="I1605" t="s">
        <v>18</v>
      </c>
      <c r="J1605" s="3">
        <v>45885</v>
      </c>
      <c r="K1605" s="4">
        <f>ClientiBanca[[#This Row],[Prestito]]+ClientiBanca[[#This Row],[Mutuo]]</f>
        <v>0</v>
      </c>
      <c r="L1605" t="str">
        <f>IF(ClientiBanca[[#This Row],[Reddito annuo]]&gt;=70000,"si","no")</f>
        <v>no</v>
      </c>
    </row>
    <row r="1606" spans="1:12">
      <c r="A1606">
        <v>101605</v>
      </c>
      <c r="B1606">
        <v>36</v>
      </c>
      <c r="C1606" s="2">
        <v>52800</v>
      </c>
      <c r="D1606" t="s">
        <v>21</v>
      </c>
      <c r="E1606" s="2">
        <v>19800</v>
      </c>
      <c r="F1606" s="2">
        <v>0</v>
      </c>
      <c r="G1606" t="s">
        <v>23</v>
      </c>
      <c r="H1606" t="s">
        <v>17</v>
      </c>
      <c r="I1606" t="s">
        <v>18</v>
      </c>
      <c r="J1606" s="3">
        <v>45369</v>
      </c>
      <c r="K1606" s="4">
        <f>ClientiBanca[[#This Row],[Prestito]]+ClientiBanca[[#This Row],[Mutuo]]</f>
        <v>19800</v>
      </c>
      <c r="L1606" t="str">
        <f>IF(ClientiBanca[[#This Row],[Reddito annuo]]&gt;=70000,"si","no")</f>
        <v>no</v>
      </c>
    </row>
    <row r="1607" spans="1:12">
      <c r="A1607">
        <v>101606</v>
      </c>
      <c r="B1607">
        <v>71</v>
      </c>
      <c r="C1607" s="2">
        <v>86000</v>
      </c>
      <c r="D1607" t="s">
        <v>12</v>
      </c>
      <c r="E1607" s="2">
        <v>0</v>
      </c>
      <c r="F1607" s="2">
        <v>0</v>
      </c>
      <c r="G1607" t="s">
        <v>27</v>
      </c>
      <c r="H1607" t="s">
        <v>17</v>
      </c>
      <c r="I1607" t="s">
        <v>18</v>
      </c>
      <c r="J1607" s="3">
        <v>46042</v>
      </c>
      <c r="K1607" s="4">
        <f>ClientiBanca[[#This Row],[Prestito]]+ClientiBanca[[#This Row],[Mutuo]]</f>
        <v>0</v>
      </c>
      <c r="L1607" t="str">
        <f>IF(ClientiBanca[[#This Row],[Reddito annuo]]&gt;=70000,"si","no")</f>
        <v>si</v>
      </c>
    </row>
    <row r="1608" spans="1:12">
      <c r="A1608">
        <v>101607</v>
      </c>
      <c r="B1608">
        <v>70</v>
      </c>
      <c r="C1608" s="2">
        <v>82100</v>
      </c>
      <c r="D1608" t="s">
        <v>12</v>
      </c>
      <c r="E1608" s="2">
        <v>0</v>
      </c>
      <c r="F1608" s="2">
        <v>0</v>
      </c>
      <c r="G1608" t="s">
        <v>28</v>
      </c>
      <c r="H1608" t="s">
        <v>25</v>
      </c>
      <c r="I1608" t="s">
        <v>18</v>
      </c>
      <c r="J1608" s="3">
        <v>45510</v>
      </c>
      <c r="K1608" s="4">
        <f>ClientiBanca[[#This Row],[Prestito]]+ClientiBanca[[#This Row],[Mutuo]]</f>
        <v>0</v>
      </c>
      <c r="L1608" t="str">
        <f>IF(ClientiBanca[[#This Row],[Reddito annuo]]&gt;=70000,"si","no")</f>
        <v>si</v>
      </c>
    </row>
    <row r="1609" spans="1:12">
      <c r="A1609">
        <v>101608</v>
      </c>
      <c r="B1609">
        <v>54</v>
      </c>
      <c r="C1609" s="2">
        <v>72200</v>
      </c>
      <c r="D1609" t="s">
        <v>21</v>
      </c>
      <c r="E1609" s="2">
        <v>20400</v>
      </c>
      <c r="F1609" s="2">
        <v>0</v>
      </c>
      <c r="G1609" t="s">
        <v>19</v>
      </c>
      <c r="H1609" t="s">
        <v>20</v>
      </c>
      <c r="I1609" t="s">
        <v>18</v>
      </c>
      <c r="J1609" s="3">
        <v>45306</v>
      </c>
      <c r="K1609" s="4">
        <f>ClientiBanca[[#This Row],[Prestito]]+ClientiBanca[[#This Row],[Mutuo]]</f>
        <v>20400</v>
      </c>
      <c r="L1609" t="str">
        <f>IF(ClientiBanca[[#This Row],[Reddito annuo]]&gt;=70000,"si","no")</f>
        <v>si</v>
      </c>
    </row>
    <row r="1610" spans="1:12">
      <c r="A1610">
        <v>101609</v>
      </c>
      <c r="B1610">
        <v>63</v>
      </c>
      <c r="C1610" s="2">
        <v>55000</v>
      </c>
      <c r="D1610" t="s">
        <v>21</v>
      </c>
      <c r="E1610" s="2">
        <v>32600</v>
      </c>
      <c r="F1610" s="2">
        <v>341000</v>
      </c>
      <c r="G1610" t="s">
        <v>26</v>
      </c>
      <c r="H1610" t="s">
        <v>20</v>
      </c>
      <c r="I1610" t="s">
        <v>18</v>
      </c>
      <c r="J1610" s="3">
        <v>45555</v>
      </c>
      <c r="K1610" s="4">
        <f>ClientiBanca[[#This Row],[Prestito]]+ClientiBanca[[#This Row],[Mutuo]]</f>
        <v>373600</v>
      </c>
      <c r="L1610" t="str">
        <f>IF(ClientiBanca[[#This Row],[Reddito annuo]]&gt;=70000,"si","no")</f>
        <v>no</v>
      </c>
    </row>
    <row r="1611" spans="1:12">
      <c r="A1611">
        <v>101610</v>
      </c>
      <c r="B1611">
        <v>46</v>
      </c>
      <c r="C1611" s="2">
        <v>38900</v>
      </c>
      <c r="D1611" t="s">
        <v>21</v>
      </c>
      <c r="E1611" s="2">
        <v>0</v>
      </c>
      <c r="F1611" s="2">
        <v>0</v>
      </c>
      <c r="G1611" t="s">
        <v>26</v>
      </c>
      <c r="H1611" t="s">
        <v>17</v>
      </c>
      <c r="I1611" t="s">
        <v>18</v>
      </c>
      <c r="J1611" s="3">
        <v>45847</v>
      </c>
      <c r="K1611" s="4">
        <f>ClientiBanca[[#This Row],[Prestito]]+ClientiBanca[[#This Row],[Mutuo]]</f>
        <v>0</v>
      </c>
      <c r="L1611" t="str">
        <f>IF(ClientiBanca[[#This Row],[Reddito annuo]]&gt;=70000,"si","no")</f>
        <v>no</v>
      </c>
    </row>
    <row r="1612" spans="1:12">
      <c r="A1612">
        <v>101611</v>
      </c>
      <c r="B1612">
        <v>64</v>
      </c>
      <c r="C1612" s="2">
        <v>63300</v>
      </c>
      <c r="D1612" t="s">
        <v>21</v>
      </c>
      <c r="E1612" s="2">
        <v>0</v>
      </c>
      <c r="F1612" s="2">
        <v>0</v>
      </c>
      <c r="G1612" t="s">
        <v>27</v>
      </c>
      <c r="H1612" t="s">
        <v>25</v>
      </c>
      <c r="I1612" t="s">
        <v>18</v>
      </c>
      <c r="J1612" s="3">
        <v>45359</v>
      </c>
      <c r="K1612" s="4">
        <f>ClientiBanca[[#This Row],[Prestito]]+ClientiBanca[[#This Row],[Mutuo]]</f>
        <v>0</v>
      </c>
      <c r="L1612" t="str">
        <f>IF(ClientiBanca[[#This Row],[Reddito annuo]]&gt;=70000,"si","no")</f>
        <v>no</v>
      </c>
    </row>
    <row r="1613" spans="1:12">
      <c r="A1613">
        <v>101612</v>
      </c>
      <c r="B1613">
        <v>69</v>
      </c>
      <c r="C1613" s="2">
        <v>82400</v>
      </c>
      <c r="D1613" t="s">
        <v>12</v>
      </c>
      <c r="E1613" s="2">
        <v>17900</v>
      </c>
      <c r="F1613" s="2">
        <v>0</v>
      </c>
      <c r="G1613" t="s">
        <v>19</v>
      </c>
      <c r="H1613" t="s">
        <v>20</v>
      </c>
      <c r="I1613" t="s">
        <v>18</v>
      </c>
      <c r="J1613" s="3">
        <v>46090</v>
      </c>
      <c r="K1613" s="4">
        <f>ClientiBanca[[#This Row],[Prestito]]+ClientiBanca[[#This Row],[Mutuo]]</f>
        <v>17900</v>
      </c>
      <c r="L1613" t="str">
        <f>IF(ClientiBanca[[#This Row],[Reddito annuo]]&gt;=70000,"si","no")</f>
        <v>si</v>
      </c>
    </row>
    <row r="1614" spans="1:12">
      <c r="A1614">
        <v>101613</v>
      </c>
      <c r="B1614">
        <v>54</v>
      </c>
      <c r="C1614" s="2">
        <v>57400</v>
      </c>
      <c r="D1614" t="s">
        <v>21</v>
      </c>
      <c r="E1614" s="2">
        <v>22400</v>
      </c>
      <c r="F1614" s="2">
        <v>282000</v>
      </c>
      <c r="G1614" t="s">
        <v>19</v>
      </c>
      <c r="H1614" t="s">
        <v>20</v>
      </c>
      <c r="I1614" t="s">
        <v>18</v>
      </c>
      <c r="J1614" s="3">
        <v>45850</v>
      </c>
      <c r="K1614" s="4">
        <f>ClientiBanca[[#This Row],[Prestito]]+ClientiBanca[[#This Row],[Mutuo]]</f>
        <v>304400</v>
      </c>
      <c r="L1614" t="str">
        <f>IF(ClientiBanca[[#This Row],[Reddito annuo]]&gt;=70000,"si","no")</f>
        <v>no</v>
      </c>
    </row>
    <row r="1615" spans="1:12">
      <c r="A1615">
        <v>101614</v>
      </c>
      <c r="B1615">
        <v>36</v>
      </c>
      <c r="C1615" s="2">
        <v>78000</v>
      </c>
      <c r="D1615" t="s">
        <v>22</v>
      </c>
      <c r="E1615" s="2">
        <v>76100</v>
      </c>
      <c r="F1615" s="2">
        <v>0</v>
      </c>
      <c r="G1615" t="s">
        <v>13</v>
      </c>
      <c r="H1615" t="s">
        <v>20</v>
      </c>
      <c r="I1615" t="s">
        <v>18</v>
      </c>
      <c r="J1615" s="3">
        <v>45826</v>
      </c>
      <c r="K1615" s="4">
        <f>ClientiBanca[[#This Row],[Prestito]]+ClientiBanca[[#This Row],[Mutuo]]</f>
        <v>76100</v>
      </c>
      <c r="L1615" t="str">
        <f>IF(ClientiBanca[[#This Row],[Reddito annuo]]&gt;=70000,"si","no")</f>
        <v>si</v>
      </c>
    </row>
    <row r="1616" spans="1:12">
      <c r="A1616">
        <v>101615</v>
      </c>
      <c r="B1616">
        <v>72</v>
      </c>
      <c r="C1616" s="2">
        <v>74700</v>
      </c>
      <c r="D1616" t="s">
        <v>21</v>
      </c>
      <c r="E1616" s="2">
        <v>0</v>
      </c>
      <c r="F1616" s="2">
        <v>0</v>
      </c>
      <c r="G1616" t="s">
        <v>19</v>
      </c>
      <c r="H1616" t="s">
        <v>20</v>
      </c>
      <c r="I1616" t="s">
        <v>18</v>
      </c>
      <c r="J1616" s="3">
        <v>46165</v>
      </c>
      <c r="K1616" s="4">
        <f>ClientiBanca[[#This Row],[Prestito]]+ClientiBanca[[#This Row],[Mutuo]]</f>
        <v>0</v>
      </c>
      <c r="L1616" t="str">
        <f>IF(ClientiBanca[[#This Row],[Reddito annuo]]&gt;=70000,"si","no")</f>
        <v>si</v>
      </c>
    </row>
    <row r="1617" spans="1:12">
      <c r="A1617">
        <v>101616</v>
      </c>
      <c r="B1617">
        <v>44</v>
      </c>
      <c r="C1617" s="2">
        <v>84800</v>
      </c>
      <c r="D1617" t="s">
        <v>21</v>
      </c>
      <c r="E1617" s="2">
        <v>0</v>
      </c>
      <c r="F1617" s="2">
        <v>0</v>
      </c>
      <c r="G1617" t="s">
        <v>16</v>
      </c>
      <c r="H1617" t="s">
        <v>20</v>
      </c>
      <c r="I1617" t="s">
        <v>18</v>
      </c>
      <c r="J1617" s="3">
        <v>45486</v>
      </c>
      <c r="K1617" s="4">
        <f>ClientiBanca[[#This Row],[Prestito]]+ClientiBanca[[#This Row],[Mutuo]]</f>
        <v>0</v>
      </c>
      <c r="L1617" t="str">
        <f>IF(ClientiBanca[[#This Row],[Reddito annuo]]&gt;=70000,"si","no")</f>
        <v>si</v>
      </c>
    </row>
    <row r="1618" spans="1:12">
      <c r="A1618">
        <v>101617</v>
      </c>
      <c r="B1618">
        <v>59</v>
      </c>
      <c r="C1618" s="2">
        <v>70200</v>
      </c>
      <c r="D1618" t="s">
        <v>12</v>
      </c>
      <c r="E1618" s="2">
        <v>0</v>
      </c>
      <c r="F1618" s="2">
        <v>395000</v>
      </c>
      <c r="G1618" t="s">
        <v>23</v>
      </c>
      <c r="H1618" t="s">
        <v>14</v>
      </c>
      <c r="I1618" t="s">
        <v>18</v>
      </c>
      <c r="J1618" s="3">
        <v>46248</v>
      </c>
      <c r="K1618" s="4">
        <f>ClientiBanca[[#This Row],[Prestito]]+ClientiBanca[[#This Row],[Mutuo]]</f>
        <v>395000</v>
      </c>
      <c r="L1618" t="str">
        <f>IF(ClientiBanca[[#This Row],[Reddito annuo]]&gt;=70000,"si","no")</f>
        <v>si</v>
      </c>
    </row>
    <row r="1619" spans="1:12">
      <c r="A1619">
        <v>101618</v>
      </c>
      <c r="B1619">
        <v>69</v>
      </c>
      <c r="C1619" s="2">
        <v>59400</v>
      </c>
      <c r="D1619" t="s">
        <v>12</v>
      </c>
      <c r="E1619" s="2">
        <v>42400</v>
      </c>
      <c r="F1619" s="2">
        <v>101000</v>
      </c>
      <c r="G1619" t="s">
        <v>28</v>
      </c>
      <c r="H1619" t="s">
        <v>20</v>
      </c>
      <c r="I1619" t="s">
        <v>18</v>
      </c>
      <c r="J1619" s="3">
        <v>45309</v>
      </c>
      <c r="K1619" s="4">
        <f>ClientiBanca[[#This Row],[Prestito]]+ClientiBanca[[#This Row],[Mutuo]]</f>
        <v>143400</v>
      </c>
      <c r="L1619" t="str">
        <f>IF(ClientiBanca[[#This Row],[Reddito annuo]]&gt;=70000,"si","no")</f>
        <v>no</v>
      </c>
    </row>
    <row r="1620" spans="1:12">
      <c r="A1620">
        <v>101619</v>
      </c>
      <c r="B1620">
        <v>62</v>
      </c>
      <c r="C1620" s="2">
        <v>104500</v>
      </c>
      <c r="D1620" t="s">
        <v>12</v>
      </c>
      <c r="E1620" s="2">
        <v>57900</v>
      </c>
      <c r="F1620" s="2">
        <v>0</v>
      </c>
      <c r="G1620" t="s">
        <v>28</v>
      </c>
      <c r="H1620" t="s">
        <v>20</v>
      </c>
      <c r="I1620" t="s">
        <v>18</v>
      </c>
      <c r="J1620" s="3">
        <v>45900</v>
      </c>
      <c r="K1620" s="4">
        <f>ClientiBanca[[#This Row],[Prestito]]+ClientiBanca[[#This Row],[Mutuo]]</f>
        <v>57900</v>
      </c>
      <c r="L1620" t="str">
        <f>IF(ClientiBanca[[#This Row],[Reddito annuo]]&gt;=70000,"si","no")</f>
        <v>si</v>
      </c>
    </row>
    <row r="1621" spans="1:12">
      <c r="A1621">
        <v>101620</v>
      </c>
      <c r="B1621">
        <v>53</v>
      </c>
      <c r="C1621" s="2">
        <v>64300</v>
      </c>
      <c r="D1621" t="s">
        <v>21</v>
      </c>
      <c r="E1621" s="2">
        <v>33400</v>
      </c>
      <c r="F1621" s="2">
        <v>0</v>
      </c>
      <c r="G1621" t="s">
        <v>19</v>
      </c>
      <c r="H1621" t="s">
        <v>20</v>
      </c>
      <c r="I1621" t="s">
        <v>18</v>
      </c>
      <c r="J1621" s="3">
        <v>46097</v>
      </c>
      <c r="K1621" s="4">
        <f>ClientiBanca[[#This Row],[Prestito]]+ClientiBanca[[#This Row],[Mutuo]]</f>
        <v>33400</v>
      </c>
      <c r="L1621" t="str">
        <f>IF(ClientiBanca[[#This Row],[Reddito annuo]]&gt;=70000,"si","no")</f>
        <v>no</v>
      </c>
    </row>
    <row r="1622" spans="1:12">
      <c r="A1622">
        <v>101621</v>
      </c>
      <c r="B1622">
        <v>73</v>
      </c>
      <c r="C1622" s="2">
        <v>70300</v>
      </c>
      <c r="D1622" t="s">
        <v>21</v>
      </c>
      <c r="E1622" s="2">
        <v>29700</v>
      </c>
      <c r="F1622" s="2">
        <v>125000</v>
      </c>
      <c r="G1622" t="s">
        <v>26</v>
      </c>
      <c r="H1622" t="s">
        <v>17</v>
      </c>
      <c r="I1622" t="s">
        <v>18</v>
      </c>
      <c r="J1622" s="3">
        <v>46004</v>
      </c>
      <c r="K1622" s="4">
        <f>ClientiBanca[[#This Row],[Prestito]]+ClientiBanca[[#This Row],[Mutuo]]</f>
        <v>154700</v>
      </c>
      <c r="L1622" t="str">
        <f>IF(ClientiBanca[[#This Row],[Reddito annuo]]&gt;=70000,"si","no")</f>
        <v>si</v>
      </c>
    </row>
    <row r="1623" spans="1:12">
      <c r="A1623">
        <v>101622</v>
      </c>
      <c r="B1623">
        <v>36</v>
      </c>
      <c r="C1623" s="2">
        <v>87400</v>
      </c>
      <c r="D1623" t="s">
        <v>22</v>
      </c>
      <c r="E1623" s="2">
        <v>59100</v>
      </c>
      <c r="F1623" s="2">
        <v>0</v>
      </c>
      <c r="G1623" t="s">
        <v>19</v>
      </c>
      <c r="H1623" t="s">
        <v>20</v>
      </c>
      <c r="I1623" t="s">
        <v>18</v>
      </c>
      <c r="J1623" s="3">
        <v>45599</v>
      </c>
      <c r="K1623" s="4">
        <f>ClientiBanca[[#This Row],[Prestito]]+ClientiBanca[[#This Row],[Mutuo]]</f>
        <v>59100</v>
      </c>
      <c r="L1623" t="str">
        <f>IF(ClientiBanca[[#This Row],[Reddito annuo]]&gt;=70000,"si","no")</f>
        <v>si</v>
      </c>
    </row>
    <row r="1624" spans="1:12">
      <c r="A1624">
        <v>101623</v>
      </c>
      <c r="B1624">
        <v>46</v>
      </c>
      <c r="C1624" s="2">
        <v>25800</v>
      </c>
      <c r="D1624" t="s">
        <v>22</v>
      </c>
      <c r="E1624" s="2">
        <v>32200</v>
      </c>
      <c r="F1624" s="2">
        <v>0</v>
      </c>
      <c r="G1624" t="s">
        <v>13</v>
      </c>
      <c r="H1624" t="s">
        <v>17</v>
      </c>
      <c r="I1624" t="s">
        <v>18</v>
      </c>
      <c r="J1624" s="3">
        <v>45562</v>
      </c>
      <c r="K1624" s="4">
        <f>ClientiBanca[[#This Row],[Prestito]]+ClientiBanca[[#This Row],[Mutuo]]</f>
        <v>32200</v>
      </c>
      <c r="L1624" t="str">
        <f>IF(ClientiBanca[[#This Row],[Reddito annuo]]&gt;=70000,"si","no")</f>
        <v>no</v>
      </c>
    </row>
    <row r="1625" spans="1:12">
      <c r="A1625">
        <v>101624</v>
      </c>
      <c r="B1625">
        <v>69</v>
      </c>
      <c r="C1625" s="2">
        <v>49000</v>
      </c>
      <c r="D1625" t="s">
        <v>22</v>
      </c>
      <c r="E1625" s="2">
        <v>19400</v>
      </c>
      <c r="F1625" s="2">
        <v>0</v>
      </c>
      <c r="G1625" t="s">
        <v>23</v>
      </c>
      <c r="H1625" t="s">
        <v>20</v>
      </c>
      <c r="I1625" t="s">
        <v>18</v>
      </c>
      <c r="J1625" s="3">
        <v>46070</v>
      </c>
      <c r="K1625" s="4">
        <f>ClientiBanca[[#This Row],[Prestito]]+ClientiBanca[[#This Row],[Mutuo]]</f>
        <v>19400</v>
      </c>
      <c r="L1625" t="str">
        <f>IF(ClientiBanca[[#This Row],[Reddito annuo]]&gt;=70000,"si","no")</f>
        <v>no</v>
      </c>
    </row>
    <row r="1626" spans="1:12">
      <c r="A1626">
        <v>101625</v>
      </c>
      <c r="B1626">
        <v>55</v>
      </c>
      <c r="C1626" s="2">
        <v>80800</v>
      </c>
      <c r="D1626" t="s">
        <v>22</v>
      </c>
      <c r="E1626" s="2">
        <v>47300</v>
      </c>
      <c r="F1626" s="2">
        <v>0</v>
      </c>
      <c r="G1626" t="s">
        <v>26</v>
      </c>
      <c r="H1626" t="s">
        <v>14</v>
      </c>
      <c r="I1626" t="s">
        <v>18</v>
      </c>
      <c r="J1626" s="3">
        <v>45394</v>
      </c>
      <c r="K1626" s="4">
        <f>ClientiBanca[[#This Row],[Prestito]]+ClientiBanca[[#This Row],[Mutuo]]</f>
        <v>47300</v>
      </c>
      <c r="L1626" t="str">
        <f>IF(ClientiBanca[[#This Row],[Reddito annuo]]&gt;=70000,"si","no")</f>
        <v>si</v>
      </c>
    </row>
    <row r="1627" spans="1:12">
      <c r="A1627">
        <v>101626</v>
      </c>
      <c r="B1627">
        <v>45</v>
      </c>
      <c r="C1627" s="2">
        <v>80600</v>
      </c>
      <c r="D1627" t="s">
        <v>21</v>
      </c>
      <c r="E1627" s="2">
        <v>0</v>
      </c>
      <c r="F1627" s="2">
        <v>0</v>
      </c>
      <c r="G1627" t="s">
        <v>19</v>
      </c>
      <c r="H1627" t="s">
        <v>20</v>
      </c>
      <c r="I1627" t="s">
        <v>18</v>
      </c>
      <c r="J1627" s="3">
        <v>45345</v>
      </c>
      <c r="K1627" s="4">
        <f>ClientiBanca[[#This Row],[Prestito]]+ClientiBanca[[#This Row],[Mutuo]]</f>
        <v>0</v>
      </c>
      <c r="L1627" t="str">
        <f>IF(ClientiBanca[[#This Row],[Reddito annuo]]&gt;=70000,"si","no")</f>
        <v>si</v>
      </c>
    </row>
    <row r="1628" spans="1:12">
      <c r="A1628">
        <v>101627</v>
      </c>
      <c r="B1628">
        <v>28</v>
      </c>
      <c r="C1628" s="2">
        <v>31600</v>
      </c>
      <c r="D1628" t="s">
        <v>22</v>
      </c>
      <c r="E1628" s="2">
        <v>14300</v>
      </c>
      <c r="F1628" s="2">
        <v>0</v>
      </c>
      <c r="G1628" t="s">
        <v>28</v>
      </c>
      <c r="H1628" t="s">
        <v>14</v>
      </c>
      <c r="I1628" t="s">
        <v>18</v>
      </c>
      <c r="J1628" s="3">
        <v>45401</v>
      </c>
      <c r="K1628" s="4">
        <f>ClientiBanca[[#This Row],[Prestito]]+ClientiBanca[[#This Row],[Mutuo]]</f>
        <v>14300</v>
      </c>
      <c r="L1628" t="str">
        <f>IF(ClientiBanca[[#This Row],[Reddito annuo]]&gt;=70000,"si","no")</f>
        <v>no</v>
      </c>
    </row>
    <row r="1629" spans="1:12">
      <c r="A1629">
        <v>101628</v>
      </c>
      <c r="B1629">
        <v>36</v>
      </c>
      <c r="C1629" s="2">
        <v>38700</v>
      </c>
      <c r="D1629" t="s">
        <v>22</v>
      </c>
      <c r="E1629" s="2">
        <v>0</v>
      </c>
      <c r="F1629" s="2">
        <v>0</v>
      </c>
      <c r="G1629" t="s">
        <v>19</v>
      </c>
      <c r="H1629" t="s">
        <v>17</v>
      </c>
      <c r="I1629" t="s">
        <v>18</v>
      </c>
      <c r="J1629" s="3">
        <v>45956</v>
      </c>
      <c r="K1629" s="4">
        <f>ClientiBanca[[#This Row],[Prestito]]+ClientiBanca[[#This Row],[Mutuo]]</f>
        <v>0</v>
      </c>
      <c r="L1629" t="str">
        <f>IF(ClientiBanca[[#This Row],[Reddito annuo]]&gt;=70000,"si","no")</f>
        <v>no</v>
      </c>
    </row>
    <row r="1630" spans="1:12">
      <c r="A1630">
        <v>101629</v>
      </c>
      <c r="B1630">
        <v>56</v>
      </c>
      <c r="C1630" s="2">
        <v>75700</v>
      </c>
      <c r="D1630" t="s">
        <v>21</v>
      </c>
      <c r="E1630" s="2">
        <v>0</v>
      </c>
      <c r="F1630" s="2">
        <v>0</v>
      </c>
      <c r="G1630" t="s">
        <v>24</v>
      </c>
      <c r="H1630" t="s">
        <v>20</v>
      </c>
      <c r="I1630" t="s">
        <v>18</v>
      </c>
      <c r="J1630" s="3">
        <v>46133</v>
      </c>
      <c r="K1630" s="4">
        <f>ClientiBanca[[#This Row],[Prestito]]+ClientiBanca[[#This Row],[Mutuo]]</f>
        <v>0</v>
      </c>
      <c r="L1630" t="str">
        <f>IF(ClientiBanca[[#This Row],[Reddito annuo]]&gt;=70000,"si","no")</f>
        <v>si</v>
      </c>
    </row>
    <row r="1631" spans="1:12">
      <c r="A1631">
        <v>101630</v>
      </c>
      <c r="B1631">
        <v>75</v>
      </c>
      <c r="C1631" s="2">
        <v>74100</v>
      </c>
      <c r="D1631" t="s">
        <v>21</v>
      </c>
      <c r="E1631" s="2">
        <v>45100</v>
      </c>
      <c r="F1631" s="2">
        <v>0</v>
      </c>
      <c r="G1631" t="s">
        <v>23</v>
      </c>
      <c r="H1631" t="s">
        <v>17</v>
      </c>
      <c r="I1631" t="s">
        <v>18</v>
      </c>
      <c r="J1631" s="3">
        <v>45732</v>
      </c>
      <c r="K1631" s="4">
        <f>ClientiBanca[[#This Row],[Prestito]]+ClientiBanca[[#This Row],[Mutuo]]</f>
        <v>45100</v>
      </c>
      <c r="L1631" t="str">
        <f>IF(ClientiBanca[[#This Row],[Reddito annuo]]&gt;=70000,"si","no")</f>
        <v>si</v>
      </c>
    </row>
    <row r="1632" spans="1:12">
      <c r="A1632">
        <v>101631</v>
      </c>
      <c r="B1632">
        <v>33</v>
      </c>
      <c r="C1632" s="2">
        <v>68300</v>
      </c>
      <c r="D1632" t="s">
        <v>21</v>
      </c>
      <c r="E1632" s="2">
        <v>0</v>
      </c>
      <c r="F1632" s="2">
        <v>0</v>
      </c>
      <c r="G1632" t="s">
        <v>24</v>
      </c>
      <c r="H1632" t="s">
        <v>17</v>
      </c>
      <c r="I1632" t="s">
        <v>18</v>
      </c>
      <c r="J1632" s="3">
        <v>45896</v>
      </c>
      <c r="K1632" s="4">
        <f>ClientiBanca[[#This Row],[Prestito]]+ClientiBanca[[#This Row],[Mutuo]]</f>
        <v>0</v>
      </c>
      <c r="L1632" t="str">
        <f>IF(ClientiBanca[[#This Row],[Reddito annuo]]&gt;=70000,"si","no")</f>
        <v>no</v>
      </c>
    </row>
    <row r="1633" spans="1:12">
      <c r="A1633">
        <v>101632</v>
      </c>
      <c r="B1633">
        <v>46</v>
      </c>
      <c r="C1633" s="2">
        <v>100300</v>
      </c>
      <c r="D1633" t="s">
        <v>21</v>
      </c>
      <c r="E1633" s="2">
        <v>59800</v>
      </c>
      <c r="F1633" s="2">
        <v>192000</v>
      </c>
      <c r="G1633" t="s">
        <v>28</v>
      </c>
      <c r="H1633" t="s">
        <v>20</v>
      </c>
      <c r="I1633" t="s">
        <v>18</v>
      </c>
      <c r="J1633" s="3">
        <v>45896</v>
      </c>
      <c r="K1633" s="4">
        <f>ClientiBanca[[#This Row],[Prestito]]+ClientiBanca[[#This Row],[Mutuo]]</f>
        <v>251800</v>
      </c>
      <c r="L1633" t="str">
        <f>IF(ClientiBanca[[#This Row],[Reddito annuo]]&gt;=70000,"si","no")</f>
        <v>si</v>
      </c>
    </row>
    <row r="1634" spans="1:12">
      <c r="A1634">
        <v>101633</v>
      </c>
      <c r="B1634">
        <v>32</v>
      </c>
      <c r="C1634" s="2">
        <v>80000</v>
      </c>
      <c r="D1634" t="s">
        <v>12</v>
      </c>
      <c r="E1634" s="2">
        <v>55700</v>
      </c>
      <c r="F1634" s="2">
        <v>0</v>
      </c>
      <c r="G1634" t="s">
        <v>23</v>
      </c>
      <c r="H1634" t="s">
        <v>20</v>
      </c>
      <c r="I1634" t="s">
        <v>18</v>
      </c>
      <c r="J1634" s="3">
        <v>45547</v>
      </c>
      <c r="K1634" s="4">
        <f>ClientiBanca[[#This Row],[Prestito]]+ClientiBanca[[#This Row],[Mutuo]]</f>
        <v>55700</v>
      </c>
      <c r="L1634" t="str">
        <f>IF(ClientiBanca[[#This Row],[Reddito annuo]]&gt;=70000,"si","no")</f>
        <v>si</v>
      </c>
    </row>
    <row r="1635" spans="1:12">
      <c r="A1635">
        <v>101634</v>
      </c>
      <c r="B1635">
        <v>67</v>
      </c>
      <c r="C1635" s="2">
        <v>29200</v>
      </c>
      <c r="D1635" t="s">
        <v>21</v>
      </c>
      <c r="E1635" s="2">
        <v>36500</v>
      </c>
      <c r="F1635" s="2">
        <v>0</v>
      </c>
      <c r="G1635" t="s">
        <v>13</v>
      </c>
      <c r="H1635" t="s">
        <v>14</v>
      </c>
      <c r="I1635" t="s">
        <v>18</v>
      </c>
      <c r="J1635" s="3">
        <v>46026</v>
      </c>
      <c r="K1635" s="4">
        <f>ClientiBanca[[#This Row],[Prestito]]+ClientiBanca[[#This Row],[Mutuo]]</f>
        <v>36500</v>
      </c>
      <c r="L1635" t="str">
        <f>IF(ClientiBanca[[#This Row],[Reddito annuo]]&gt;=70000,"si","no")</f>
        <v>no</v>
      </c>
    </row>
    <row r="1636" spans="1:12">
      <c r="A1636">
        <v>101635</v>
      </c>
      <c r="B1636">
        <v>27</v>
      </c>
      <c r="C1636" s="2">
        <v>89100</v>
      </c>
      <c r="D1636" t="s">
        <v>21</v>
      </c>
      <c r="E1636" s="2">
        <v>19100</v>
      </c>
      <c r="F1636" s="2">
        <v>262000</v>
      </c>
      <c r="G1636" t="s">
        <v>13</v>
      </c>
      <c r="H1636" t="s">
        <v>14</v>
      </c>
      <c r="I1636" t="s">
        <v>18</v>
      </c>
      <c r="J1636" s="3">
        <v>45712</v>
      </c>
      <c r="K1636" s="4">
        <f>ClientiBanca[[#This Row],[Prestito]]+ClientiBanca[[#This Row],[Mutuo]]</f>
        <v>281100</v>
      </c>
      <c r="L1636" t="str">
        <f>IF(ClientiBanca[[#This Row],[Reddito annuo]]&gt;=70000,"si","no")</f>
        <v>si</v>
      </c>
    </row>
    <row r="1637" spans="1:12">
      <c r="A1637">
        <v>101636</v>
      </c>
      <c r="B1637">
        <v>44</v>
      </c>
      <c r="C1637" s="2">
        <v>72100</v>
      </c>
      <c r="D1637" t="s">
        <v>12</v>
      </c>
      <c r="E1637" s="2">
        <v>18900</v>
      </c>
      <c r="F1637" s="2">
        <v>0</v>
      </c>
      <c r="G1637" t="s">
        <v>23</v>
      </c>
      <c r="H1637" t="s">
        <v>17</v>
      </c>
      <c r="I1637" t="s">
        <v>18</v>
      </c>
      <c r="J1637" s="3">
        <v>45973</v>
      </c>
      <c r="K1637" s="4">
        <f>ClientiBanca[[#This Row],[Prestito]]+ClientiBanca[[#This Row],[Mutuo]]</f>
        <v>18900</v>
      </c>
      <c r="L1637" t="str">
        <f>IF(ClientiBanca[[#This Row],[Reddito annuo]]&gt;=70000,"si","no")</f>
        <v>si</v>
      </c>
    </row>
    <row r="1638" spans="1:12">
      <c r="A1638">
        <v>101637</v>
      </c>
      <c r="B1638">
        <v>74</v>
      </c>
      <c r="C1638" s="2">
        <v>107100</v>
      </c>
      <c r="D1638" t="s">
        <v>21</v>
      </c>
      <c r="E1638" s="2">
        <v>22200</v>
      </c>
      <c r="F1638" s="2">
        <v>71000</v>
      </c>
      <c r="G1638" t="s">
        <v>28</v>
      </c>
      <c r="H1638" t="s">
        <v>20</v>
      </c>
      <c r="I1638" t="s">
        <v>18</v>
      </c>
      <c r="J1638" s="3">
        <v>46145</v>
      </c>
      <c r="K1638" s="4">
        <f>ClientiBanca[[#This Row],[Prestito]]+ClientiBanca[[#This Row],[Mutuo]]</f>
        <v>93200</v>
      </c>
      <c r="L1638" t="str">
        <f>IF(ClientiBanca[[#This Row],[Reddito annuo]]&gt;=70000,"si","no")</f>
        <v>si</v>
      </c>
    </row>
    <row r="1639" spans="1:12">
      <c r="A1639">
        <v>101638</v>
      </c>
      <c r="B1639">
        <v>23</v>
      </c>
      <c r="C1639" s="2">
        <v>80200</v>
      </c>
      <c r="D1639" t="s">
        <v>12</v>
      </c>
      <c r="E1639" s="2">
        <v>14500</v>
      </c>
      <c r="F1639" s="2">
        <v>0</v>
      </c>
      <c r="G1639" t="s">
        <v>26</v>
      </c>
      <c r="H1639" t="s">
        <v>20</v>
      </c>
      <c r="I1639" t="s">
        <v>18</v>
      </c>
      <c r="J1639" s="3">
        <v>45306</v>
      </c>
      <c r="K1639" s="4">
        <f>ClientiBanca[[#This Row],[Prestito]]+ClientiBanca[[#This Row],[Mutuo]]</f>
        <v>14500</v>
      </c>
      <c r="L1639" t="str">
        <f>IF(ClientiBanca[[#This Row],[Reddito annuo]]&gt;=70000,"si","no")</f>
        <v>si</v>
      </c>
    </row>
    <row r="1640" spans="1:12">
      <c r="A1640">
        <v>101639</v>
      </c>
      <c r="B1640">
        <v>50</v>
      </c>
      <c r="C1640" s="2">
        <v>84000</v>
      </c>
      <c r="D1640" t="s">
        <v>12</v>
      </c>
      <c r="E1640" s="2">
        <v>25700</v>
      </c>
      <c r="F1640" s="2">
        <v>0</v>
      </c>
      <c r="G1640" t="s">
        <v>28</v>
      </c>
      <c r="H1640" t="s">
        <v>20</v>
      </c>
      <c r="I1640" t="s">
        <v>18</v>
      </c>
      <c r="J1640" s="3">
        <v>46151</v>
      </c>
      <c r="K1640" s="4">
        <f>ClientiBanca[[#This Row],[Prestito]]+ClientiBanca[[#This Row],[Mutuo]]</f>
        <v>25700</v>
      </c>
      <c r="L1640" t="str">
        <f>IF(ClientiBanca[[#This Row],[Reddito annuo]]&gt;=70000,"si","no")</f>
        <v>si</v>
      </c>
    </row>
    <row r="1641" spans="1:12">
      <c r="A1641">
        <v>101640</v>
      </c>
      <c r="B1641">
        <v>50</v>
      </c>
      <c r="C1641" s="2">
        <v>111000</v>
      </c>
      <c r="D1641" t="s">
        <v>21</v>
      </c>
      <c r="E1641" s="2">
        <v>30300</v>
      </c>
      <c r="F1641" s="2">
        <v>280000</v>
      </c>
      <c r="G1641" t="s">
        <v>28</v>
      </c>
      <c r="H1641" t="s">
        <v>20</v>
      </c>
      <c r="I1641" t="s">
        <v>18</v>
      </c>
      <c r="J1641" s="3">
        <v>45856</v>
      </c>
      <c r="K1641" s="4">
        <f>ClientiBanca[[#This Row],[Prestito]]+ClientiBanca[[#This Row],[Mutuo]]</f>
        <v>310300</v>
      </c>
      <c r="L1641" t="str">
        <f>IF(ClientiBanca[[#This Row],[Reddito annuo]]&gt;=70000,"si","no")</f>
        <v>si</v>
      </c>
    </row>
    <row r="1642" spans="1:12">
      <c r="A1642">
        <v>101641</v>
      </c>
      <c r="B1642">
        <v>52</v>
      </c>
      <c r="C1642" s="2">
        <v>70600</v>
      </c>
      <c r="D1642" t="s">
        <v>21</v>
      </c>
      <c r="E1642" s="2">
        <v>26900</v>
      </c>
      <c r="F1642" s="2">
        <v>123000</v>
      </c>
      <c r="G1642" t="s">
        <v>26</v>
      </c>
      <c r="H1642" t="s">
        <v>14</v>
      </c>
      <c r="I1642" t="s">
        <v>15</v>
      </c>
      <c r="J1642" s="3">
        <v>45872</v>
      </c>
      <c r="K1642" s="4">
        <f>ClientiBanca[[#This Row],[Prestito]]+ClientiBanca[[#This Row],[Mutuo]]</f>
        <v>149900</v>
      </c>
      <c r="L1642" t="str">
        <f>IF(ClientiBanca[[#This Row],[Reddito annuo]]&gt;=70000,"si","no")</f>
        <v>si</v>
      </c>
    </row>
    <row r="1643" spans="1:12">
      <c r="A1643">
        <v>101642</v>
      </c>
      <c r="B1643">
        <v>26</v>
      </c>
      <c r="C1643" s="2">
        <v>43500</v>
      </c>
      <c r="D1643" t="s">
        <v>21</v>
      </c>
      <c r="E1643" s="2">
        <v>0</v>
      </c>
      <c r="F1643" s="2">
        <v>0</v>
      </c>
      <c r="G1643" t="s">
        <v>24</v>
      </c>
      <c r="H1643" t="s">
        <v>14</v>
      </c>
      <c r="I1643" t="s">
        <v>18</v>
      </c>
      <c r="J1643" s="3">
        <v>45833</v>
      </c>
      <c r="K1643" s="4">
        <f>ClientiBanca[[#This Row],[Prestito]]+ClientiBanca[[#This Row],[Mutuo]]</f>
        <v>0</v>
      </c>
      <c r="L1643" t="str">
        <f>IF(ClientiBanca[[#This Row],[Reddito annuo]]&gt;=70000,"si","no")</f>
        <v>no</v>
      </c>
    </row>
    <row r="1644" spans="1:12">
      <c r="A1644">
        <v>101643</v>
      </c>
      <c r="B1644">
        <v>20</v>
      </c>
      <c r="C1644" s="2">
        <v>38000</v>
      </c>
      <c r="D1644" t="s">
        <v>21</v>
      </c>
      <c r="E1644" s="2">
        <v>0</v>
      </c>
      <c r="F1644" s="2">
        <v>0</v>
      </c>
      <c r="G1644" t="s">
        <v>16</v>
      </c>
      <c r="H1644" t="s">
        <v>14</v>
      </c>
      <c r="I1644" t="s">
        <v>18</v>
      </c>
      <c r="J1644" s="3">
        <v>45293</v>
      </c>
      <c r="K1644" s="4">
        <f>ClientiBanca[[#This Row],[Prestito]]+ClientiBanca[[#This Row],[Mutuo]]</f>
        <v>0</v>
      </c>
      <c r="L1644" t="str">
        <f>IF(ClientiBanca[[#This Row],[Reddito annuo]]&gt;=70000,"si","no")</f>
        <v>no</v>
      </c>
    </row>
    <row r="1645" spans="1:12">
      <c r="A1645">
        <v>101644</v>
      </c>
      <c r="B1645">
        <v>50</v>
      </c>
      <c r="C1645" s="2">
        <v>40800</v>
      </c>
      <c r="D1645" t="s">
        <v>21</v>
      </c>
      <c r="E1645" s="2">
        <v>51000</v>
      </c>
      <c r="F1645" s="2">
        <v>0</v>
      </c>
      <c r="G1645" t="s">
        <v>26</v>
      </c>
      <c r="H1645" t="s">
        <v>14</v>
      </c>
      <c r="I1645" t="s">
        <v>18</v>
      </c>
      <c r="J1645" s="3">
        <v>45977</v>
      </c>
      <c r="K1645" s="4">
        <f>ClientiBanca[[#This Row],[Prestito]]+ClientiBanca[[#This Row],[Mutuo]]</f>
        <v>51000</v>
      </c>
      <c r="L1645" t="str">
        <f>IF(ClientiBanca[[#This Row],[Reddito annuo]]&gt;=70000,"si","no")</f>
        <v>no</v>
      </c>
    </row>
    <row r="1646" spans="1:12">
      <c r="A1646">
        <v>101645</v>
      </c>
      <c r="B1646">
        <v>73</v>
      </c>
      <c r="C1646" s="2">
        <v>110300</v>
      </c>
      <c r="D1646" t="s">
        <v>12</v>
      </c>
      <c r="E1646" s="2">
        <v>27300</v>
      </c>
      <c r="F1646" s="2">
        <v>0</v>
      </c>
      <c r="G1646" t="s">
        <v>23</v>
      </c>
      <c r="H1646" t="s">
        <v>20</v>
      </c>
      <c r="I1646" t="s">
        <v>18</v>
      </c>
      <c r="J1646" s="3">
        <v>45657</v>
      </c>
      <c r="K1646" s="4">
        <f>ClientiBanca[[#This Row],[Prestito]]+ClientiBanca[[#This Row],[Mutuo]]</f>
        <v>27300</v>
      </c>
      <c r="L1646" t="str">
        <f>IF(ClientiBanca[[#This Row],[Reddito annuo]]&gt;=70000,"si","no")</f>
        <v>si</v>
      </c>
    </row>
    <row r="1647" spans="1:12">
      <c r="A1647">
        <v>101646</v>
      </c>
      <c r="B1647">
        <v>50</v>
      </c>
      <c r="C1647" s="2">
        <v>81300</v>
      </c>
      <c r="D1647" t="s">
        <v>12</v>
      </c>
      <c r="E1647" s="2">
        <v>29900</v>
      </c>
      <c r="F1647" s="2">
        <v>0</v>
      </c>
      <c r="G1647" t="s">
        <v>13</v>
      </c>
      <c r="H1647" t="s">
        <v>20</v>
      </c>
      <c r="I1647" t="s">
        <v>18</v>
      </c>
      <c r="J1647" s="3">
        <v>45528</v>
      </c>
      <c r="K1647" s="4">
        <f>ClientiBanca[[#This Row],[Prestito]]+ClientiBanca[[#This Row],[Mutuo]]</f>
        <v>29900</v>
      </c>
      <c r="L1647" t="str">
        <f>IF(ClientiBanca[[#This Row],[Reddito annuo]]&gt;=70000,"si","no")</f>
        <v>si</v>
      </c>
    </row>
    <row r="1648" spans="1:12">
      <c r="A1648">
        <v>101647</v>
      </c>
      <c r="B1648">
        <v>46</v>
      </c>
      <c r="C1648" s="2">
        <v>93700</v>
      </c>
      <c r="D1648" t="s">
        <v>21</v>
      </c>
      <c r="E1648" s="2">
        <v>84900</v>
      </c>
      <c r="F1648" s="2">
        <v>251000</v>
      </c>
      <c r="G1648" t="s">
        <v>28</v>
      </c>
      <c r="H1648" t="s">
        <v>17</v>
      </c>
      <c r="I1648" t="s">
        <v>18</v>
      </c>
      <c r="J1648" s="3">
        <v>45511</v>
      </c>
      <c r="K1648" s="4">
        <f>ClientiBanca[[#This Row],[Prestito]]+ClientiBanca[[#This Row],[Mutuo]]</f>
        <v>335900</v>
      </c>
      <c r="L1648" t="str">
        <f>IF(ClientiBanca[[#This Row],[Reddito annuo]]&gt;=70000,"si","no")</f>
        <v>si</v>
      </c>
    </row>
    <row r="1649" spans="1:12">
      <c r="A1649">
        <v>101648</v>
      </c>
      <c r="B1649">
        <v>33</v>
      </c>
      <c r="C1649" s="2">
        <v>51300</v>
      </c>
      <c r="D1649" t="s">
        <v>21</v>
      </c>
      <c r="E1649" s="2">
        <v>38900</v>
      </c>
      <c r="F1649" s="2">
        <v>165000</v>
      </c>
      <c r="G1649" t="s">
        <v>28</v>
      </c>
      <c r="H1649" t="s">
        <v>14</v>
      </c>
      <c r="I1649" t="s">
        <v>15</v>
      </c>
      <c r="J1649" s="3">
        <v>46237</v>
      </c>
      <c r="K1649" s="4">
        <f>ClientiBanca[[#This Row],[Prestito]]+ClientiBanca[[#This Row],[Mutuo]]</f>
        <v>203900</v>
      </c>
      <c r="L1649" t="str">
        <f>IF(ClientiBanca[[#This Row],[Reddito annuo]]&gt;=70000,"si","no")</f>
        <v>no</v>
      </c>
    </row>
    <row r="1650" spans="1:12">
      <c r="A1650">
        <v>101649</v>
      </c>
      <c r="B1650">
        <v>35</v>
      </c>
      <c r="C1650" s="2">
        <v>68100</v>
      </c>
      <c r="D1650" t="s">
        <v>21</v>
      </c>
      <c r="E1650" s="2">
        <v>39600</v>
      </c>
      <c r="F1650" s="2">
        <v>0</v>
      </c>
      <c r="G1650" t="s">
        <v>23</v>
      </c>
      <c r="H1650" t="s">
        <v>20</v>
      </c>
      <c r="I1650" t="s">
        <v>18</v>
      </c>
      <c r="J1650" s="3">
        <v>45846</v>
      </c>
      <c r="K1650" s="4">
        <f>ClientiBanca[[#This Row],[Prestito]]+ClientiBanca[[#This Row],[Mutuo]]</f>
        <v>39600</v>
      </c>
      <c r="L1650" t="str">
        <f>IF(ClientiBanca[[#This Row],[Reddito annuo]]&gt;=70000,"si","no")</f>
        <v>no</v>
      </c>
    </row>
    <row r="1651" spans="1:12">
      <c r="A1651">
        <v>101650</v>
      </c>
      <c r="B1651">
        <v>30</v>
      </c>
      <c r="C1651" s="2">
        <v>71900</v>
      </c>
      <c r="D1651" t="s">
        <v>12</v>
      </c>
      <c r="E1651" s="2">
        <v>58400</v>
      </c>
      <c r="F1651" s="2">
        <v>0</v>
      </c>
      <c r="G1651" t="s">
        <v>23</v>
      </c>
      <c r="H1651" t="s">
        <v>14</v>
      </c>
      <c r="I1651" t="s">
        <v>18</v>
      </c>
      <c r="J1651" s="3">
        <v>45394</v>
      </c>
      <c r="K1651" s="4">
        <f>ClientiBanca[[#This Row],[Prestito]]+ClientiBanca[[#This Row],[Mutuo]]</f>
        <v>58400</v>
      </c>
      <c r="L1651" t="str">
        <f>IF(ClientiBanca[[#This Row],[Reddito annuo]]&gt;=70000,"si","no")</f>
        <v>si</v>
      </c>
    </row>
    <row r="1652" spans="1:12">
      <c r="A1652">
        <v>101651</v>
      </c>
      <c r="B1652">
        <v>25</v>
      </c>
      <c r="C1652" s="2">
        <v>60100</v>
      </c>
      <c r="D1652" t="s">
        <v>21</v>
      </c>
      <c r="E1652" s="2">
        <v>2400</v>
      </c>
      <c r="F1652" s="2">
        <v>0</v>
      </c>
      <c r="G1652" t="s">
        <v>19</v>
      </c>
      <c r="H1652" t="s">
        <v>14</v>
      </c>
      <c r="I1652" t="s">
        <v>18</v>
      </c>
      <c r="J1652" s="3">
        <v>45460</v>
      </c>
      <c r="K1652" s="4">
        <f>ClientiBanca[[#This Row],[Prestito]]+ClientiBanca[[#This Row],[Mutuo]]</f>
        <v>2400</v>
      </c>
      <c r="L1652" t="str">
        <f>IF(ClientiBanca[[#This Row],[Reddito annuo]]&gt;=70000,"si","no")</f>
        <v>no</v>
      </c>
    </row>
    <row r="1653" spans="1:12">
      <c r="A1653">
        <v>101652</v>
      </c>
      <c r="B1653">
        <v>21</v>
      </c>
      <c r="C1653" s="2">
        <v>79300</v>
      </c>
      <c r="D1653" t="s">
        <v>22</v>
      </c>
      <c r="E1653" s="2">
        <v>44100</v>
      </c>
      <c r="F1653" s="2">
        <v>294000</v>
      </c>
      <c r="G1653" t="s">
        <v>23</v>
      </c>
      <c r="H1653" t="s">
        <v>17</v>
      </c>
      <c r="I1653" t="s">
        <v>18</v>
      </c>
      <c r="J1653" s="3">
        <v>45492</v>
      </c>
      <c r="K1653" s="4">
        <f>ClientiBanca[[#This Row],[Prestito]]+ClientiBanca[[#This Row],[Mutuo]]</f>
        <v>338100</v>
      </c>
      <c r="L1653" t="str">
        <f>IF(ClientiBanca[[#This Row],[Reddito annuo]]&gt;=70000,"si","no")</f>
        <v>si</v>
      </c>
    </row>
    <row r="1654" spans="1:12">
      <c r="A1654">
        <v>101653</v>
      </c>
      <c r="B1654">
        <v>72</v>
      </c>
      <c r="C1654" s="2">
        <v>41700</v>
      </c>
      <c r="D1654" t="s">
        <v>21</v>
      </c>
      <c r="E1654" s="2">
        <v>43700</v>
      </c>
      <c r="F1654" s="2">
        <v>0</v>
      </c>
      <c r="G1654" t="s">
        <v>24</v>
      </c>
      <c r="H1654" t="s">
        <v>20</v>
      </c>
      <c r="I1654" t="s">
        <v>18</v>
      </c>
      <c r="J1654" s="3">
        <v>46033</v>
      </c>
      <c r="K1654" s="4">
        <f>ClientiBanca[[#This Row],[Prestito]]+ClientiBanca[[#This Row],[Mutuo]]</f>
        <v>43700</v>
      </c>
      <c r="L1654" t="str">
        <f>IF(ClientiBanca[[#This Row],[Reddito annuo]]&gt;=70000,"si","no")</f>
        <v>no</v>
      </c>
    </row>
    <row r="1655" spans="1:12">
      <c r="A1655">
        <v>101654</v>
      </c>
      <c r="B1655">
        <v>33</v>
      </c>
      <c r="C1655" s="2">
        <v>51000</v>
      </c>
      <c r="D1655" t="s">
        <v>12</v>
      </c>
      <c r="E1655" s="2">
        <v>0</v>
      </c>
      <c r="F1655" s="2">
        <v>0</v>
      </c>
      <c r="G1655" t="s">
        <v>16</v>
      </c>
      <c r="H1655" t="s">
        <v>20</v>
      </c>
      <c r="I1655" t="s">
        <v>18</v>
      </c>
      <c r="J1655" s="3">
        <v>45356</v>
      </c>
      <c r="K1655" s="4">
        <f>ClientiBanca[[#This Row],[Prestito]]+ClientiBanca[[#This Row],[Mutuo]]</f>
        <v>0</v>
      </c>
      <c r="L1655" t="str">
        <f>IF(ClientiBanca[[#This Row],[Reddito annuo]]&gt;=70000,"si","no")</f>
        <v>no</v>
      </c>
    </row>
    <row r="1656" spans="1:12">
      <c r="A1656">
        <v>101655</v>
      </c>
      <c r="B1656">
        <v>73</v>
      </c>
      <c r="C1656" s="2">
        <v>98800</v>
      </c>
      <c r="D1656" t="s">
        <v>21</v>
      </c>
      <c r="E1656" s="2">
        <v>27000</v>
      </c>
      <c r="F1656" s="2">
        <v>0</v>
      </c>
      <c r="G1656" t="s">
        <v>16</v>
      </c>
      <c r="H1656" t="s">
        <v>20</v>
      </c>
      <c r="I1656" t="s">
        <v>18</v>
      </c>
      <c r="J1656" s="3">
        <v>45508</v>
      </c>
      <c r="K1656" s="4">
        <f>ClientiBanca[[#This Row],[Prestito]]+ClientiBanca[[#This Row],[Mutuo]]</f>
        <v>27000</v>
      </c>
      <c r="L1656" t="str">
        <f>IF(ClientiBanca[[#This Row],[Reddito annuo]]&gt;=70000,"si","no")</f>
        <v>si</v>
      </c>
    </row>
    <row r="1657" spans="1:12">
      <c r="A1657">
        <v>101656</v>
      </c>
      <c r="B1657">
        <v>24</v>
      </c>
      <c r="C1657" s="2">
        <v>38300</v>
      </c>
      <c r="D1657" t="s">
        <v>21</v>
      </c>
      <c r="E1657" s="2">
        <v>47900</v>
      </c>
      <c r="F1657" s="2">
        <v>0</v>
      </c>
      <c r="G1657" t="s">
        <v>19</v>
      </c>
      <c r="H1657" t="s">
        <v>25</v>
      </c>
      <c r="I1657" t="s">
        <v>15</v>
      </c>
      <c r="J1657" s="3">
        <v>45900</v>
      </c>
      <c r="K1657" s="4">
        <f>ClientiBanca[[#This Row],[Prestito]]+ClientiBanca[[#This Row],[Mutuo]]</f>
        <v>47900</v>
      </c>
      <c r="L1657" t="str">
        <f>IF(ClientiBanca[[#This Row],[Reddito annuo]]&gt;=70000,"si","no")</f>
        <v>no</v>
      </c>
    </row>
    <row r="1658" spans="1:12">
      <c r="A1658">
        <v>101657</v>
      </c>
      <c r="B1658">
        <v>54</v>
      </c>
      <c r="C1658" s="2">
        <v>72200</v>
      </c>
      <c r="D1658" t="s">
        <v>21</v>
      </c>
      <c r="E1658" s="2">
        <v>17600</v>
      </c>
      <c r="F1658" s="2">
        <v>0</v>
      </c>
      <c r="G1658" t="s">
        <v>28</v>
      </c>
      <c r="H1658" t="s">
        <v>20</v>
      </c>
      <c r="I1658" t="s">
        <v>18</v>
      </c>
      <c r="J1658" s="3">
        <v>45511</v>
      </c>
      <c r="K1658" s="4">
        <f>ClientiBanca[[#This Row],[Prestito]]+ClientiBanca[[#This Row],[Mutuo]]</f>
        <v>17600</v>
      </c>
      <c r="L1658" t="str">
        <f>IF(ClientiBanca[[#This Row],[Reddito annuo]]&gt;=70000,"si","no")</f>
        <v>si</v>
      </c>
    </row>
    <row r="1659" spans="1:12">
      <c r="A1659">
        <v>101658</v>
      </c>
      <c r="B1659">
        <v>66</v>
      </c>
      <c r="C1659" s="2">
        <v>85400</v>
      </c>
      <c r="D1659" t="s">
        <v>22</v>
      </c>
      <c r="E1659" s="2">
        <v>23200</v>
      </c>
      <c r="F1659" s="2">
        <v>0</v>
      </c>
      <c r="G1659" t="s">
        <v>28</v>
      </c>
      <c r="H1659" t="s">
        <v>14</v>
      </c>
      <c r="I1659" t="s">
        <v>18</v>
      </c>
      <c r="J1659" s="3">
        <v>45410</v>
      </c>
      <c r="K1659" s="4">
        <f>ClientiBanca[[#This Row],[Prestito]]+ClientiBanca[[#This Row],[Mutuo]]</f>
        <v>23200</v>
      </c>
      <c r="L1659" t="str">
        <f>IF(ClientiBanca[[#This Row],[Reddito annuo]]&gt;=70000,"si","no")</f>
        <v>si</v>
      </c>
    </row>
    <row r="1660" spans="1:12">
      <c r="A1660">
        <v>101659</v>
      </c>
      <c r="B1660">
        <v>70</v>
      </c>
      <c r="C1660" s="2">
        <v>75100</v>
      </c>
      <c r="D1660" t="s">
        <v>22</v>
      </c>
      <c r="E1660" s="2">
        <v>46400</v>
      </c>
      <c r="F1660" s="2">
        <v>0</v>
      </c>
      <c r="G1660" t="s">
        <v>13</v>
      </c>
      <c r="H1660" t="s">
        <v>17</v>
      </c>
      <c r="I1660" t="s">
        <v>18</v>
      </c>
      <c r="J1660" s="3">
        <v>45957</v>
      </c>
      <c r="K1660" s="4">
        <f>ClientiBanca[[#This Row],[Prestito]]+ClientiBanca[[#This Row],[Mutuo]]</f>
        <v>46400</v>
      </c>
      <c r="L1660" t="str">
        <f>IF(ClientiBanca[[#This Row],[Reddito annuo]]&gt;=70000,"si","no")</f>
        <v>si</v>
      </c>
    </row>
    <row r="1661" spans="1:12">
      <c r="A1661">
        <v>101660</v>
      </c>
      <c r="B1661">
        <v>57</v>
      </c>
      <c r="C1661" s="2">
        <v>76800</v>
      </c>
      <c r="D1661" t="s">
        <v>12</v>
      </c>
      <c r="E1661" s="2">
        <v>17900</v>
      </c>
      <c r="F1661" s="2">
        <v>0</v>
      </c>
      <c r="G1661" t="s">
        <v>24</v>
      </c>
      <c r="H1661" t="s">
        <v>20</v>
      </c>
      <c r="I1661" t="s">
        <v>18</v>
      </c>
      <c r="J1661" s="3">
        <v>46170</v>
      </c>
      <c r="K1661" s="4">
        <f>ClientiBanca[[#This Row],[Prestito]]+ClientiBanca[[#This Row],[Mutuo]]</f>
        <v>17900</v>
      </c>
      <c r="L1661" t="str">
        <f>IF(ClientiBanca[[#This Row],[Reddito annuo]]&gt;=70000,"si","no")</f>
        <v>si</v>
      </c>
    </row>
    <row r="1662" spans="1:12">
      <c r="A1662">
        <v>101661</v>
      </c>
      <c r="B1662">
        <v>58</v>
      </c>
      <c r="C1662" s="2">
        <v>62900</v>
      </c>
      <c r="D1662" t="s">
        <v>21</v>
      </c>
      <c r="E1662" s="2">
        <v>12800</v>
      </c>
      <c r="F1662" s="2">
        <v>0</v>
      </c>
      <c r="G1662" t="s">
        <v>13</v>
      </c>
      <c r="H1662" t="s">
        <v>20</v>
      </c>
      <c r="I1662" t="s">
        <v>18</v>
      </c>
      <c r="J1662" s="3">
        <v>45431</v>
      </c>
      <c r="K1662" s="4">
        <f>ClientiBanca[[#This Row],[Prestito]]+ClientiBanca[[#This Row],[Mutuo]]</f>
        <v>12800</v>
      </c>
      <c r="L1662" t="str">
        <f>IF(ClientiBanca[[#This Row],[Reddito annuo]]&gt;=70000,"si","no")</f>
        <v>no</v>
      </c>
    </row>
    <row r="1663" spans="1:12">
      <c r="A1663">
        <v>101662</v>
      </c>
      <c r="B1663">
        <v>72</v>
      </c>
      <c r="C1663" s="2">
        <v>39900</v>
      </c>
      <c r="D1663" t="s">
        <v>21</v>
      </c>
      <c r="E1663" s="2">
        <v>0</v>
      </c>
      <c r="F1663" s="2">
        <v>0</v>
      </c>
      <c r="G1663" t="s">
        <v>23</v>
      </c>
      <c r="H1663" t="s">
        <v>14</v>
      </c>
      <c r="I1663" t="s">
        <v>18</v>
      </c>
      <c r="J1663" s="3">
        <v>45383</v>
      </c>
      <c r="K1663" s="4">
        <f>ClientiBanca[[#This Row],[Prestito]]+ClientiBanca[[#This Row],[Mutuo]]</f>
        <v>0</v>
      </c>
      <c r="L1663" t="str">
        <f>IF(ClientiBanca[[#This Row],[Reddito annuo]]&gt;=70000,"si","no")</f>
        <v>no</v>
      </c>
    </row>
    <row r="1664" spans="1:12">
      <c r="A1664">
        <v>101663</v>
      </c>
      <c r="B1664">
        <v>53</v>
      </c>
      <c r="C1664" s="2">
        <v>37900</v>
      </c>
      <c r="D1664" t="s">
        <v>21</v>
      </c>
      <c r="E1664" s="2">
        <v>41800</v>
      </c>
      <c r="F1664" s="2">
        <v>273000</v>
      </c>
      <c r="G1664" t="s">
        <v>28</v>
      </c>
      <c r="H1664" t="s">
        <v>17</v>
      </c>
      <c r="I1664" t="s">
        <v>18</v>
      </c>
      <c r="J1664" s="3">
        <v>46159</v>
      </c>
      <c r="K1664" s="4">
        <f>ClientiBanca[[#This Row],[Prestito]]+ClientiBanca[[#This Row],[Mutuo]]</f>
        <v>314800</v>
      </c>
      <c r="L1664" t="str">
        <f>IF(ClientiBanca[[#This Row],[Reddito annuo]]&gt;=70000,"si","no")</f>
        <v>no</v>
      </c>
    </row>
    <row r="1665" spans="1:12">
      <c r="A1665">
        <v>101664</v>
      </c>
      <c r="B1665">
        <v>41</v>
      </c>
      <c r="C1665" s="2">
        <v>27000</v>
      </c>
      <c r="D1665" t="s">
        <v>12</v>
      </c>
      <c r="E1665" s="2">
        <v>0</v>
      </c>
      <c r="F1665" s="2">
        <v>0</v>
      </c>
      <c r="G1665" t="s">
        <v>27</v>
      </c>
      <c r="H1665" t="s">
        <v>14</v>
      </c>
      <c r="I1665" t="s">
        <v>18</v>
      </c>
      <c r="J1665" s="3">
        <v>46032</v>
      </c>
      <c r="K1665" s="4">
        <f>ClientiBanca[[#This Row],[Prestito]]+ClientiBanca[[#This Row],[Mutuo]]</f>
        <v>0</v>
      </c>
      <c r="L1665" t="str">
        <f>IF(ClientiBanca[[#This Row],[Reddito annuo]]&gt;=70000,"si","no")</f>
        <v>no</v>
      </c>
    </row>
    <row r="1666" spans="1:12">
      <c r="A1666">
        <v>101665</v>
      </c>
      <c r="B1666">
        <v>21</v>
      </c>
      <c r="C1666" s="2">
        <v>33000</v>
      </c>
      <c r="D1666" t="s">
        <v>21</v>
      </c>
      <c r="E1666" s="2">
        <v>0</v>
      </c>
      <c r="F1666" s="2">
        <v>0</v>
      </c>
      <c r="G1666" t="s">
        <v>13</v>
      </c>
      <c r="H1666" t="s">
        <v>20</v>
      </c>
      <c r="I1666" t="s">
        <v>18</v>
      </c>
      <c r="J1666" s="3">
        <v>45486</v>
      </c>
      <c r="K1666" s="4">
        <f>ClientiBanca[[#This Row],[Prestito]]+ClientiBanca[[#This Row],[Mutuo]]</f>
        <v>0</v>
      </c>
      <c r="L1666" t="str">
        <f>IF(ClientiBanca[[#This Row],[Reddito annuo]]&gt;=70000,"si","no")</f>
        <v>no</v>
      </c>
    </row>
    <row r="1667" spans="1:12">
      <c r="A1667">
        <v>101666</v>
      </c>
      <c r="B1667">
        <v>50</v>
      </c>
      <c r="C1667" s="2">
        <v>108500</v>
      </c>
      <c r="D1667" t="s">
        <v>21</v>
      </c>
      <c r="E1667" s="2">
        <v>0</v>
      </c>
      <c r="F1667" s="2">
        <v>0</v>
      </c>
      <c r="G1667" t="s">
        <v>19</v>
      </c>
      <c r="H1667" t="s">
        <v>20</v>
      </c>
      <c r="I1667" t="s">
        <v>18</v>
      </c>
      <c r="J1667" s="3">
        <v>45937</v>
      </c>
      <c r="K1667" s="4">
        <f>ClientiBanca[[#This Row],[Prestito]]+ClientiBanca[[#This Row],[Mutuo]]</f>
        <v>0</v>
      </c>
      <c r="L1667" t="str">
        <f>IF(ClientiBanca[[#This Row],[Reddito annuo]]&gt;=70000,"si","no")</f>
        <v>si</v>
      </c>
    </row>
    <row r="1668" spans="1:12">
      <c r="A1668">
        <v>101667</v>
      </c>
      <c r="B1668">
        <v>67</v>
      </c>
      <c r="C1668" s="2">
        <v>112400</v>
      </c>
      <c r="D1668" t="s">
        <v>21</v>
      </c>
      <c r="E1668" s="2">
        <v>26000</v>
      </c>
      <c r="F1668" s="2">
        <v>0</v>
      </c>
      <c r="G1668" t="s">
        <v>13</v>
      </c>
      <c r="H1668" t="s">
        <v>17</v>
      </c>
      <c r="I1668" t="s">
        <v>18</v>
      </c>
      <c r="J1668" s="3">
        <v>45588</v>
      </c>
      <c r="K1668" s="4">
        <f>ClientiBanca[[#This Row],[Prestito]]+ClientiBanca[[#This Row],[Mutuo]]</f>
        <v>26000</v>
      </c>
      <c r="L1668" t="str">
        <f>IF(ClientiBanca[[#This Row],[Reddito annuo]]&gt;=70000,"si","no")</f>
        <v>si</v>
      </c>
    </row>
    <row r="1669" spans="1:12">
      <c r="A1669">
        <v>101668</v>
      </c>
      <c r="B1669">
        <v>68</v>
      </c>
      <c r="C1669" s="2">
        <v>46500</v>
      </c>
      <c r="D1669" t="s">
        <v>21</v>
      </c>
      <c r="E1669" s="2">
        <v>16400</v>
      </c>
      <c r="F1669" s="2">
        <v>0</v>
      </c>
      <c r="G1669" t="s">
        <v>28</v>
      </c>
      <c r="H1669" t="s">
        <v>20</v>
      </c>
      <c r="I1669" t="s">
        <v>18</v>
      </c>
      <c r="J1669" s="3">
        <v>46078</v>
      </c>
      <c r="K1669" s="4">
        <f>ClientiBanca[[#This Row],[Prestito]]+ClientiBanca[[#This Row],[Mutuo]]</f>
        <v>16400</v>
      </c>
      <c r="L1669" t="str">
        <f>IF(ClientiBanca[[#This Row],[Reddito annuo]]&gt;=70000,"si","no")</f>
        <v>no</v>
      </c>
    </row>
    <row r="1670" spans="1:12">
      <c r="A1670">
        <v>101669</v>
      </c>
      <c r="B1670">
        <v>24</v>
      </c>
      <c r="C1670" s="2">
        <v>38100</v>
      </c>
      <c r="D1670" t="s">
        <v>22</v>
      </c>
      <c r="E1670" s="2">
        <v>41000</v>
      </c>
      <c r="F1670" s="2">
        <v>184000</v>
      </c>
      <c r="G1670" t="s">
        <v>27</v>
      </c>
      <c r="H1670" t="s">
        <v>17</v>
      </c>
      <c r="I1670" t="s">
        <v>18</v>
      </c>
      <c r="J1670" s="3">
        <v>45337</v>
      </c>
      <c r="K1670" s="4">
        <f>ClientiBanca[[#This Row],[Prestito]]+ClientiBanca[[#This Row],[Mutuo]]</f>
        <v>225000</v>
      </c>
      <c r="L1670" t="str">
        <f>IF(ClientiBanca[[#This Row],[Reddito annuo]]&gt;=70000,"si","no")</f>
        <v>no</v>
      </c>
    </row>
    <row r="1671" spans="1:12">
      <c r="A1671">
        <v>101670</v>
      </c>
      <c r="B1671">
        <v>58</v>
      </c>
      <c r="C1671" s="2">
        <v>29500</v>
      </c>
      <c r="D1671" t="s">
        <v>12</v>
      </c>
      <c r="E1671" s="2">
        <v>0</v>
      </c>
      <c r="F1671" s="2">
        <v>0</v>
      </c>
      <c r="G1671" t="s">
        <v>19</v>
      </c>
      <c r="H1671" t="s">
        <v>20</v>
      </c>
      <c r="I1671" t="s">
        <v>18</v>
      </c>
      <c r="J1671" s="3">
        <v>46033</v>
      </c>
      <c r="K1671" s="4">
        <f>ClientiBanca[[#This Row],[Prestito]]+ClientiBanca[[#This Row],[Mutuo]]</f>
        <v>0</v>
      </c>
      <c r="L1671" t="str">
        <f>IF(ClientiBanca[[#This Row],[Reddito annuo]]&gt;=70000,"si","no")</f>
        <v>no</v>
      </c>
    </row>
    <row r="1672" spans="1:12">
      <c r="A1672">
        <v>101671</v>
      </c>
      <c r="B1672">
        <v>53</v>
      </c>
      <c r="C1672" s="2">
        <v>45500</v>
      </c>
      <c r="D1672" t="s">
        <v>21</v>
      </c>
      <c r="E1672" s="2">
        <v>15200</v>
      </c>
      <c r="F1672" s="2">
        <v>0</v>
      </c>
      <c r="G1672" t="s">
        <v>26</v>
      </c>
      <c r="H1672" t="s">
        <v>17</v>
      </c>
      <c r="I1672" t="s">
        <v>18</v>
      </c>
      <c r="J1672" s="3">
        <v>45670</v>
      </c>
      <c r="K1672" s="4">
        <f>ClientiBanca[[#This Row],[Prestito]]+ClientiBanca[[#This Row],[Mutuo]]</f>
        <v>15200</v>
      </c>
      <c r="L1672" t="str">
        <f>IF(ClientiBanca[[#This Row],[Reddito annuo]]&gt;=70000,"si","no")</f>
        <v>no</v>
      </c>
    </row>
    <row r="1673" spans="1:12">
      <c r="A1673">
        <v>101672</v>
      </c>
      <c r="B1673">
        <v>62</v>
      </c>
      <c r="C1673" s="2">
        <v>29500</v>
      </c>
      <c r="D1673" t="s">
        <v>21</v>
      </c>
      <c r="E1673" s="2">
        <v>36900</v>
      </c>
      <c r="F1673" s="2">
        <v>0</v>
      </c>
      <c r="G1673" t="s">
        <v>27</v>
      </c>
      <c r="H1673" t="s">
        <v>14</v>
      </c>
      <c r="I1673" t="s">
        <v>15</v>
      </c>
      <c r="J1673" s="3">
        <v>45504</v>
      </c>
      <c r="K1673" s="4">
        <f>ClientiBanca[[#This Row],[Prestito]]+ClientiBanca[[#This Row],[Mutuo]]</f>
        <v>36900</v>
      </c>
      <c r="L1673" t="str">
        <f>IF(ClientiBanca[[#This Row],[Reddito annuo]]&gt;=70000,"si","no")</f>
        <v>no</v>
      </c>
    </row>
    <row r="1674" spans="1:12">
      <c r="A1674">
        <v>101673</v>
      </c>
      <c r="B1674">
        <v>35</v>
      </c>
      <c r="C1674" s="2">
        <v>53800</v>
      </c>
      <c r="D1674" t="s">
        <v>22</v>
      </c>
      <c r="E1674" s="2">
        <v>40800</v>
      </c>
      <c r="F1674" s="2">
        <v>0</v>
      </c>
      <c r="G1674" t="s">
        <v>27</v>
      </c>
      <c r="H1674" t="s">
        <v>14</v>
      </c>
      <c r="I1674" t="s">
        <v>18</v>
      </c>
      <c r="J1674" s="3">
        <v>46253</v>
      </c>
      <c r="K1674" s="4">
        <f>ClientiBanca[[#This Row],[Prestito]]+ClientiBanca[[#This Row],[Mutuo]]</f>
        <v>40800</v>
      </c>
      <c r="L1674" t="str">
        <f>IF(ClientiBanca[[#This Row],[Reddito annuo]]&gt;=70000,"si","no")</f>
        <v>no</v>
      </c>
    </row>
    <row r="1675" spans="1:12">
      <c r="A1675">
        <v>101674</v>
      </c>
      <c r="B1675">
        <v>74</v>
      </c>
      <c r="C1675" s="2">
        <v>102700</v>
      </c>
      <c r="D1675" t="s">
        <v>21</v>
      </c>
      <c r="E1675" s="2">
        <v>21900</v>
      </c>
      <c r="F1675" s="2">
        <v>130000</v>
      </c>
      <c r="G1675" t="s">
        <v>16</v>
      </c>
      <c r="H1675" t="s">
        <v>20</v>
      </c>
      <c r="I1675" t="s">
        <v>18</v>
      </c>
      <c r="J1675" s="3">
        <v>46203</v>
      </c>
      <c r="K1675" s="4">
        <f>ClientiBanca[[#This Row],[Prestito]]+ClientiBanca[[#This Row],[Mutuo]]</f>
        <v>151900</v>
      </c>
      <c r="L1675" t="str">
        <f>IF(ClientiBanca[[#This Row],[Reddito annuo]]&gt;=70000,"si","no")</f>
        <v>si</v>
      </c>
    </row>
    <row r="1676" spans="1:12">
      <c r="A1676">
        <v>101675</v>
      </c>
      <c r="B1676">
        <v>55</v>
      </c>
      <c r="C1676" s="2">
        <v>101100</v>
      </c>
      <c r="D1676" t="s">
        <v>12</v>
      </c>
      <c r="E1676" s="2">
        <v>48900</v>
      </c>
      <c r="F1676" s="2">
        <v>0</v>
      </c>
      <c r="G1676" t="s">
        <v>24</v>
      </c>
      <c r="H1676" t="s">
        <v>17</v>
      </c>
      <c r="I1676" t="s">
        <v>18</v>
      </c>
      <c r="J1676" s="3">
        <v>46193</v>
      </c>
      <c r="K1676" s="4">
        <f>ClientiBanca[[#This Row],[Prestito]]+ClientiBanca[[#This Row],[Mutuo]]</f>
        <v>48900</v>
      </c>
      <c r="L1676" t="str">
        <f>IF(ClientiBanca[[#This Row],[Reddito annuo]]&gt;=70000,"si","no")</f>
        <v>si</v>
      </c>
    </row>
    <row r="1677" spans="1:12">
      <c r="A1677">
        <v>101676</v>
      </c>
      <c r="B1677">
        <v>35</v>
      </c>
      <c r="C1677" s="2">
        <v>60900</v>
      </c>
      <c r="D1677" t="s">
        <v>21</v>
      </c>
      <c r="E1677" s="2">
        <v>0</v>
      </c>
      <c r="F1677" s="2">
        <v>0</v>
      </c>
      <c r="G1677" t="s">
        <v>13</v>
      </c>
      <c r="H1677" t="s">
        <v>17</v>
      </c>
      <c r="I1677" t="s">
        <v>18</v>
      </c>
      <c r="J1677" s="3">
        <v>45540</v>
      </c>
      <c r="K1677" s="4">
        <f>ClientiBanca[[#This Row],[Prestito]]+ClientiBanca[[#This Row],[Mutuo]]</f>
        <v>0</v>
      </c>
      <c r="L1677" t="str">
        <f>IF(ClientiBanca[[#This Row],[Reddito annuo]]&gt;=70000,"si","no")</f>
        <v>no</v>
      </c>
    </row>
    <row r="1678" spans="1:12">
      <c r="A1678">
        <v>101677</v>
      </c>
      <c r="B1678">
        <v>29</v>
      </c>
      <c r="C1678" s="2">
        <v>73200</v>
      </c>
      <c r="D1678" t="s">
        <v>21</v>
      </c>
      <c r="E1678" s="2">
        <v>44800</v>
      </c>
      <c r="F1678" s="2">
        <v>0</v>
      </c>
      <c r="G1678" t="s">
        <v>26</v>
      </c>
      <c r="H1678" t="s">
        <v>17</v>
      </c>
      <c r="I1678" t="s">
        <v>18</v>
      </c>
      <c r="J1678" s="3">
        <v>45540</v>
      </c>
      <c r="K1678" s="4">
        <f>ClientiBanca[[#This Row],[Prestito]]+ClientiBanca[[#This Row],[Mutuo]]</f>
        <v>44800</v>
      </c>
      <c r="L1678" t="str">
        <f>IF(ClientiBanca[[#This Row],[Reddito annuo]]&gt;=70000,"si","no")</f>
        <v>si</v>
      </c>
    </row>
    <row r="1679" spans="1:12">
      <c r="A1679">
        <v>101678</v>
      </c>
      <c r="B1679">
        <v>46</v>
      </c>
      <c r="C1679" s="2">
        <v>81000</v>
      </c>
      <c r="D1679" t="s">
        <v>21</v>
      </c>
      <c r="E1679" s="2">
        <v>0</v>
      </c>
      <c r="F1679" s="2">
        <v>0</v>
      </c>
      <c r="G1679" t="s">
        <v>16</v>
      </c>
      <c r="H1679" t="s">
        <v>20</v>
      </c>
      <c r="I1679" t="s">
        <v>18</v>
      </c>
      <c r="J1679" s="3">
        <v>45609</v>
      </c>
      <c r="K1679" s="4">
        <f>ClientiBanca[[#This Row],[Prestito]]+ClientiBanca[[#This Row],[Mutuo]]</f>
        <v>0</v>
      </c>
      <c r="L1679" t="str">
        <f>IF(ClientiBanca[[#This Row],[Reddito annuo]]&gt;=70000,"si","no")</f>
        <v>si</v>
      </c>
    </row>
    <row r="1680" spans="1:12">
      <c r="A1680">
        <v>101679</v>
      </c>
      <c r="B1680">
        <v>69</v>
      </c>
      <c r="C1680" s="2">
        <v>44100</v>
      </c>
      <c r="D1680" t="s">
        <v>21</v>
      </c>
      <c r="E1680" s="2">
        <v>27800</v>
      </c>
      <c r="F1680" s="2">
        <v>0</v>
      </c>
      <c r="G1680" t="s">
        <v>16</v>
      </c>
      <c r="H1680" t="s">
        <v>17</v>
      </c>
      <c r="I1680" t="s">
        <v>18</v>
      </c>
      <c r="J1680" s="3">
        <v>45674</v>
      </c>
      <c r="K1680" s="4">
        <f>ClientiBanca[[#This Row],[Prestito]]+ClientiBanca[[#This Row],[Mutuo]]</f>
        <v>27800</v>
      </c>
      <c r="L1680" t="str">
        <f>IF(ClientiBanca[[#This Row],[Reddito annuo]]&gt;=70000,"si","no")</f>
        <v>no</v>
      </c>
    </row>
    <row r="1681" spans="1:12">
      <c r="A1681">
        <v>101680</v>
      </c>
      <c r="B1681">
        <v>68</v>
      </c>
      <c r="C1681" s="2">
        <v>46400</v>
      </c>
      <c r="D1681" t="s">
        <v>22</v>
      </c>
      <c r="E1681" s="2">
        <v>53400</v>
      </c>
      <c r="F1681" s="2">
        <v>0</v>
      </c>
      <c r="G1681" t="s">
        <v>19</v>
      </c>
      <c r="H1681" t="s">
        <v>17</v>
      </c>
      <c r="I1681" t="s">
        <v>18</v>
      </c>
      <c r="J1681" s="3">
        <v>45592</v>
      </c>
      <c r="K1681" s="4">
        <f>ClientiBanca[[#This Row],[Prestito]]+ClientiBanca[[#This Row],[Mutuo]]</f>
        <v>53400</v>
      </c>
      <c r="L1681" t="str">
        <f>IF(ClientiBanca[[#This Row],[Reddito annuo]]&gt;=70000,"si","no")</f>
        <v>no</v>
      </c>
    </row>
    <row r="1682" spans="1:12">
      <c r="A1682">
        <v>101681</v>
      </c>
      <c r="B1682">
        <v>32</v>
      </c>
      <c r="C1682" s="2">
        <v>110000</v>
      </c>
      <c r="D1682" t="s">
        <v>22</v>
      </c>
      <c r="E1682" s="2">
        <v>12900</v>
      </c>
      <c r="F1682" s="2">
        <v>0</v>
      </c>
      <c r="G1682" t="s">
        <v>16</v>
      </c>
      <c r="H1682" t="s">
        <v>17</v>
      </c>
      <c r="I1682" t="s">
        <v>18</v>
      </c>
      <c r="J1682" s="3">
        <v>45817</v>
      </c>
      <c r="K1682" s="4">
        <f>ClientiBanca[[#This Row],[Prestito]]+ClientiBanca[[#This Row],[Mutuo]]</f>
        <v>12900</v>
      </c>
      <c r="L1682" t="str">
        <f>IF(ClientiBanca[[#This Row],[Reddito annuo]]&gt;=70000,"si","no")</f>
        <v>si</v>
      </c>
    </row>
    <row r="1683" spans="1:12">
      <c r="A1683">
        <v>101682</v>
      </c>
      <c r="B1683">
        <v>56</v>
      </c>
      <c r="C1683" s="2">
        <v>110100</v>
      </c>
      <c r="D1683" t="s">
        <v>12</v>
      </c>
      <c r="E1683" s="2">
        <v>0</v>
      </c>
      <c r="F1683" s="2">
        <v>155000</v>
      </c>
      <c r="G1683" t="s">
        <v>13</v>
      </c>
      <c r="H1683" t="s">
        <v>20</v>
      </c>
      <c r="I1683" t="s">
        <v>18</v>
      </c>
      <c r="J1683" s="3">
        <v>45861</v>
      </c>
      <c r="K1683" s="4">
        <f>ClientiBanca[[#This Row],[Prestito]]+ClientiBanca[[#This Row],[Mutuo]]</f>
        <v>155000</v>
      </c>
      <c r="L1683" t="str">
        <f>IF(ClientiBanca[[#This Row],[Reddito annuo]]&gt;=70000,"si","no")</f>
        <v>si</v>
      </c>
    </row>
    <row r="1684" spans="1:12">
      <c r="A1684">
        <v>101683</v>
      </c>
      <c r="B1684">
        <v>64</v>
      </c>
      <c r="C1684" s="2">
        <v>59900</v>
      </c>
      <c r="D1684" t="s">
        <v>21</v>
      </c>
      <c r="E1684" s="2">
        <v>0</v>
      </c>
      <c r="F1684" s="2">
        <v>0</v>
      </c>
      <c r="G1684" t="s">
        <v>24</v>
      </c>
      <c r="H1684" t="s">
        <v>17</v>
      </c>
      <c r="I1684" t="s">
        <v>18</v>
      </c>
      <c r="J1684" s="3">
        <v>46143</v>
      </c>
      <c r="K1684" s="4">
        <f>ClientiBanca[[#This Row],[Prestito]]+ClientiBanca[[#This Row],[Mutuo]]</f>
        <v>0</v>
      </c>
      <c r="L1684" t="str">
        <f>IF(ClientiBanca[[#This Row],[Reddito annuo]]&gt;=70000,"si","no")</f>
        <v>no</v>
      </c>
    </row>
    <row r="1685" spans="1:12">
      <c r="A1685">
        <v>101684</v>
      </c>
      <c r="B1685">
        <v>64</v>
      </c>
      <c r="C1685" s="2">
        <v>30900</v>
      </c>
      <c r="D1685" t="s">
        <v>12</v>
      </c>
      <c r="E1685" s="2">
        <v>38600</v>
      </c>
      <c r="F1685" s="2">
        <v>305000</v>
      </c>
      <c r="G1685" t="s">
        <v>23</v>
      </c>
      <c r="H1685" t="s">
        <v>17</v>
      </c>
      <c r="I1685" t="s">
        <v>18</v>
      </c>
      <c r="J1685" s="3">
        <v>46075</v>
      </c>
      <c r="K1685" s="4">
        <f>ClientiBanca[[#This Row],[Prestito]]+ClientiBanca[[#This Row],[Mutuo]]</f>
        <v>343600</v>
      </c>
      <c r="L1685" t="str">
        <f>IF(ClientiBanca[[#This Row],[Reddito annuo]]&gt;=70000,"si","no")</f>
        <v>no</v>
      </c>
    </row>
    <row r="1686" spans="1:12">
      <c r="A1686">
        <v>101685</v>
      </c>
      <c r="B1686">
        <v>72</v>
      </c>
      <c r="C1686" s="2">
        <v>50300</v>
      </c>
      <c r="D1686" t="s">
        <v>22</v>
      </c>
      <c r="E1686" s="2">
        <v>24100</v>
      </c>
      <c r="F1686" s="2">
        <v>0</v>
      </c>
      <c r="G1686" t="s">
        <v>16</v>
      </c>
      <c r="H1686" t="s">
        <v>14</v>
      </c>
      <c r="I1686" t="s">
        <v>18</v>
      </c>
      <c r="J1686" s="3">
        <v>46117</v>
      </c>
      <c r="K1686" s="4">
        <f>ClientiBanca[[#This Row],[Prestito]]+ClientiBanca[[#This Row],[Mutuo]]</f>
        <v>24100</v>
      </c>
      <c r="L1686" t="str">
        <f>IF(ClientiBanca[[#This Row],[Reddito annuo]]&gt;=70000,"si","no")</f>
        <v>no</v>
      </c>
    </row>
    <row r="1687" spans="1:12">
      <c r="A1687">
        <v>101686</v>
      </c>
      <c r="B1687">
        <v>26</v>
      </c>
      <c r="C1687" s="2">
        <v>33600</v>
      </c>
      <c r="D1687" t="s">
        <v>12</v>
      </c>
      <c r="E1687" s="2">
        <v>31900</v>
      </c>
      <c r="F1687" s="2">
        <v>0</v>
      </c>
      <c r="G1687" t="s">
        <v>13</v>
      </c>
      <c r="H1687" t="s">
        <v>14</v>
      </c>
      <c r="I1687" t="s">
        <v>18</v>
      </c>
      <c r="J1687" s="3">
        <v>45495</v>
      </c>
      <c r="K1687" s="4">
        <f>ClientiBanca[[#This Row],[Prestito]]+ClientiBanca[[#This Row],[Mutuo]]</f>
        <v>31900</v>
      </c>
      <c r="L1687" t="str">
        <f>IF(ClientiBanca[[#This Row],[Reddito annuo]]&gt;=70000,"si","no")</f>
        <v>no</v>
      </c>
    </row>
    <row r="1688" spans="1:12">
      <c r="A1688">
        <v>101687</v>
      </c>
      <c r="B1688">
        <v>35</v>
      </c>
      <c r="C1688" s="2">
        <v>66700</v>
      </c>
      <c r="D1688" t="s">
        <v>12</v>
      </c>
      <c r="E1688" s="2">
        <v>19600</v>
      </c>
      <c r="F1688" s="2">
        <v>0</v>
      </c>
      <c r="G1688" t="s">
        <v>19</v>
      </c>
      <c r="H1688" t="s">
        <v>25</v>
      </c>
      <c r="I1688" t="s">
        <v>15</v>
      </c>
      <c r="J1688" s="3">
        <v>45708</v>
      </c>
      <c r="K1688" s="4">
        <f>ClientiBanca[[#This Row],[Prestito]]+ClientiBanca[[#This Row],[Mutuo]]</f>
        <v>19600</v>
      </c>
      <c r="L1688" t="str">
        <f>IF(ClientiBanca[[#This Row],[Reddito annuo]]&gt;=70000,"si","no")</f>
        <v>no</v>
      </c>
    </row>
    <row r="1689" spans="1:12">
      <c r="A1689">
        <v>101688</v>
      </c>
      <c r="B1689">
        <v>74</v>
      </c>
      <c r="C1689" s="2">
        <v>27700</v>
      </c>
      <c r="D1689" t="s">
        <v>21</v>
      </c>
      <c r="E1689" s="2">
        <v>34600</v>
      </c>
      <c r="F1689" s="2">
        <v>0</v>
      </c>
      <c r="G1689" t="s">
        <v>28</v>
      </c>
      <c r="H1689" t="s">
        <v>14</v>
      </c>
      <c r="I1689" t="s">
        <v>18</v>
      </c>
      <c r="J1689" s="3">
        <v>45690</v>
      </c>
      <c r="K1689" s="4">
        <f>ClientiBanca[[#This Row],[Prestito]]+ClientiBanca[[#This Row],[Mutuo]]</f>
        <v>34600</v>
      </c>
      <c r="L1689" t="str">
        <f>IF(ClientiBanca[[#This Row],[Reddito annuo]]&gt;=70000,"si","no")</f>
        <v>no</v>
      </c>
    </row>
    <row r="1690" spans="1:12">
      <c r="A1690">
        <v>101689</v>
      </c>
      <c r="B1690">
        <v>26</v>
      </c>
      <c r="C1690" s="2">
        <v>57200</v>
      </c>
      <c r="D1690" t="s">
        <v>12</v>
      </c>
      <c r="E1690" s="2">
        <v>36800</v>
      </c>
      <c r="F1690" s="2">
        <v>0</v>
      </c>
      <c r="G1690" t="s">
        <v>27</v>
      </c>
      <c r="H1690" t="s">
        <v>20</v>
      </c>
      <c r="I1690" t="s">
        <v>18</v>
      </c>
      <c r="J1690" s="3">
        <v>46132</v>
      </c>
      <c r="K1690" s="4">
        <f>ClientiBanca[[#This Row],[Prestito]]+ClientiBanca[[#This Row],[Mutuo]]</f>
        <v>36800</v>
      </c>
      <c r="L1690" t="str">
        <f>IF(ClientiBanca[[#This Row],[Reddito annuo]]&gt;=70000,"si","no")</f>
        <v>no</v>
      </c>
    </row>
    <row r="1691" spans="1:12">
      <c r="A1691">
        <v>101690</v>
      </c>
      <c r="B1691">
        <v>21</v>
      </c>
      <c r="C1691" s="2">
        <v>124800</v>
      </c>
      <c r="D1691" t="s">
        <v>21</v>
      </c>
      <c r="E1691" s="2">
        <v>52500</v>
      </c>
      <c r="F1691" s="2">
        <v>131000</v>
      </c>
      <c r="G1691" t="s">
        <v>27</v>
      </c>
      <c r="H1691" t="s">
        <v>20</v>
      </c>
      <c r="I1691" t="s">
        <v>18</v>
      </c>
      <c r="J1691" s="3">
        <v>45775</v>
      </c>
      <c r="K1691" s="4">
        <f>ClientiBanca[[#This Row],[Prestito]]+ClientiBanca[[#This Row],[Mutuo]]</f>
        <v>183500</v>
      </c>
      <c r="L1691" t="str">
        <f>IF(ClientiBanca[[#This Row],[Reddito annuo]]&gt;=70000,"si","no")</f>
        <v>si</v>
      </c>
    </row>
    <row r="1692" spans="1:12">
      <c r="A1692">
        <v>101691</v>
      </c>
      <c r="B1692">
        <v>60</v>
      </c>
      <c r="C1692" s="2">
        <v>75900</v>
      </c>
      <c r="D1692" t="s">
        <v>21</v>
      </c>
      <c r="E1692" s="2">
        <v>78500</v>
      </c>
      <c r="F1692" s="2">
        <v>263000</v>
      </c>
      <c r="G1692" t="s">
        <v>16</v>
      </c>
      <c r="H1692" t="s">
        <v>14</v>
      </c>
      <c r="I1692" t="s">
        <v>18</v>
      </c>
      <c r="J1692" s="3">
        <v>45988</v>
      </c>
      <c r="K1692" s="4">
        <f>ClientiBanca[[#This Row],[Prestito]]+ClientiBanca[[#This Row],[Mutuo]]</f>
        <v>341500</v>
      </c>
      <c r="L1692" t="str">
        <f>IF(ClientiBanca[[#This Row],[Reddito annuo]]&gt;=70000,"si","no")</f>
        <v>si</v>
      </c>
    </row>
    <row r="1693" spans="1:12">
      <c r="A1693">
        <v>101692</v>
      </c>
      <c r="B1693">
        <v>33</v>
      </c>
      <c r="C1693" s="2">
        <v>52600</v>
      </c>
      <c r="D1693" t="s">
        <v>12</v>
      </c>
      <c r="E1693" s="2">
        <v>63100</v>
      </c>
      <c r="F1693" s="2">
        <v>231000</v>
      </c>
      <c r="G1693" t="s">
        <v>13</v>
      </c>
      <c r="H1693" t="s">
        <v>14</v>
      </c>
      <c r="I1693" t="s">
        <v>18</v>
      </c>
      <c r="J1693" s="3">
        <v>45880</v>
      </c>
      <c r="K1693" s="4">
        <f>ClientiBanca[[#This Row],[Prestito]]+ClientiBanca[[#This Row],[Mutuo]]</f>
        <v>294100</v>
      </c>
      <c r="L1693" t="str">
        <f>IF(ClientiBanca[[#This Row],[Reddito annuo]]&gt;=70000,"si","no")</f>
        <v>no</v>
      </c>
    </row>
    <row r="1694" spans="1:12">
      <c r="A1694">
        <v>101693</v>
      </c>
      <c r="B1694">
        <v>38</v>
      </c>
      <c r="C1694" s="2">
        <v>35100</v>
      </c>
      <c r="D1694" t="s">
        <v>21</v>
      </c>
      <c r="E1694" s="2">
        <v>35400</v>
      </c>
      <c r="F1694" s="2">
        <v>0</v>
      </c>
      <c r="G1694" t="s">
        <v>27</v>
      </c>
      <c r="H1694" t="s">
        <v>14</v>
      </c>
      <c r="I1694" t="s">
        <v>18</v>
      </c>
      <c r="J1694" s="3">
        <v>45709</v>
      </c>
      <c r="K1694" s="4">
        <f>ClientiBanca[[#This Row],[Prestito]]+ClientiBanca[[#This Row],[Mutuo]]</f>
        <v>35400</v>
      </c>
      <c r="L1694" t="str">
        <f>IF(ClientiBanca[[#This Row],[Reddito annuo]]&gt;=70000,"si","no")</f>
        <v>no</v>
      </c>
    </row>
    <row r="1695" spans="1:12">
      <c r="A1695">
        <v>101694</v>
      </c>
      <c r="B1695">
        <v>32</v>
      </c>
      <c r="C1695" s="2">
        <v>39400</v>
      </c>
      <c r="D1695" t="s">
        <v>12</v>
      </c>
      <c r="E1695" s="2">
        <v>0</v>
      </c>
      <c r="F1695" s="2">
        <v>0</v>
      </c>
      <c r="G1695" t="s">
        <v>24</v>
      </c>
      <c r="H1695" t="s">
        <v>20</v>
      </c>
      <c r="I1695" t="s">
        <v>18</v>
      </c>
      <c r="J1695" s="3">
        <v>45754</v>
      </c>
      <c r="K1695" s="4">
        <f>ClientiBanca[[#This Row],[Prestito]]+ClientiBanca[[#This Row],[Mutuo]]</f>
        <v>0</v>
      </c>
      <c r="L1695" t="str">
        <f>IF(ClientiBanca[[#This Row],[Reddito annuo]]&gt;=70000,"si","no")</f>
        <v>no</v>
      </c>
    </row>
    <row r="1696" spans="1:12">
      <c r="A1696">
        <v>101695</v>
      </c>
      <c r="B1696">
        <v>37</v>
      </c>
      <c r="C1696" s="2">
        <v>49100</v>
      </c>
      <c r="D1696" t="s">
        <v>21</v>
      </c>
      <c r="E1696" s="2">
        <v>61400</v>
      </c>
      <c r="F1696" s="2">
        <v>0</v>
      </c>
      <c r="G1696" t="s">
        <v>26</v>
      </c>
      <c r="H1696" t="s">
        <v>20</v>
      </c>
      <c r="I1696" t="s">
        <v>18</v>
      </c>
      <c r="J1696" s="3">
        <v>46255</v>
      </c>
      <c r="K1696" s="4">
        <f>ClientiBanca[[#This Row],[Prestito]]+ClientiBanca[[#This Row],[Mutuo]]</f>
        <v>61400</v>
      </c>
      <c r="L1696" t="str">
        <f>IF(ClientiBanca[[#This Row],[Reddito annuo]]&gt;=70000,"si","no")</f>
        <v>no</v>
      </c>
    </row>
    <row r="1697" spans="1:12">
      <c r="A1697">
        <v>101696</v>
      </c>
      <c r="B1697">
        <v>67</v>
      </c>
      <c r="C1697" s="2">
        <v>28700</v>
      </c>
      <c r="D1697" t="s">
        <v>21</v>
      </c>
      <c r="E1697" s="2">
        <v>35900</v>
      </c>
      <c r="F1697" s="2">
        <v>0</v>
      </c>
      <c r="G1697" t="s">
        <v>16</v>
      </c>
      <c r="H1697" t="s">
        <v>17</v>
      </c>
      <c r="I1697" t="s">
        <v>18</v>
      </c>
      <c r="J1697" s="3">
        <v>46053</v>
      </c>
      <c r="K1697" s="4">
        <f>ClientiBanca[[#This Row],[Prestito]]+ClientiBanca[[#This Row],[Mutuo]]</f>
        <v>35900</v>
      </c>
      <c r="L1697" t="str">
        <f>IF(ClientiBanca[[#This Row],[Reddito annuo]]&gt;=70000,"si","no")</f>
        <v>no</v>
      </c>
    </row>
    <row r="1698" spans="1:12">
      <c r="A1698">
        <v>101697</v>
      </c>
      <c r="B1698">
        <v>22</v>
      </c>
      <c r="C1698" s="2">
        <v>61200</v>
      </c>
      <c r="D1698" t="s">
        <v>21</v>
      </c>
      <c r="E1698" s="2">
        <v>0</v>
      </c>
      <c r="F1698" s="2">
        <v>0</v>
      </c>
      <c r="G1698" t="s">
        <v>27</v>
      </c>
      <c r="H1698" t="s">
        <v>14</v>
      </c>
      <c r="I1698" t="s">
        <v>18</v>
      </c>
      <c r="J1698" s="3">
        <v>46258</v>
      </c>
      <c r="K1698" s="4">
        <f>ClientiBanca[[#This Row],[Prestito]]+ClientiBanca[[#This Row],[Mutuo]]</f>
        <v>0</v>
      </c>
      <c r="L1698" t="str">
        <f>IF(ClientiBanca[[#This Row],[Reddito annuo]]&gt;=70000,"si","no")</f>
        <v>no</v>
      </c>
    </row>
    <row r="1699" spans="1:12">
      <c r="A1699">
        <v>101698</v>
      </c>
      <c r="B1699">
        <v>32</v>
      </c>
      <c r="C1699" s="2">
        <v>94900</v>
      </c>
      <c r="D1699" t="s">
        <v>21</v>
      </c>
      <c r="E1699" s="2">
        <v>0</v>
      </c>
      <c r="F1699" s="2">
        <v>0</v>
      </c>
      <c r="G1699" t="s">
        <v>16</v>
      </c>
      <c r="H1699" t="s">
        <v>14</v>
      </c>
      <c r="I1699" t="s">
        <v>18</v>
      </c>
      <c r="J1699" s="3">
        <v>45382</v>
      </c>
      <c r="K1699" s="4">
        <f>ClientiBanca[[#This Row],[Prestito]]+ClientiBanca[[#This Row],[Mutuo]]</f>
        <v>0</v>
      </c>
      <c r="L1699" t="str">
        <f>IF(ClientiBanca[[#This Row],[Reddito annuo]]&gt;=70000,"si","no")</f>
        <v>si</v>
      </c>
    </row>
    <row r="1700" spans="1:12">
      <c r="A1700">
        <v>101699</v>
      </c>
      <c r="B1700">
        <v>72</v>
      </c>
      <c r="C1700" s="2">
        <v>94400</v>
      </c>
      <c r="D1700" t="s">
        <v>21</v>
      </c>
      <c r="E1700" s="2">
        <v>31300</v>
      </c>
      <c r="F1700" s="2">
        <v>0</v>
      </c>
      <c r="G1700" t="s">
        <v>23</v>
      </c>
      <c r="H1700" t="s">
        <v>20</v>
      </c>
      <c r="I1700" t="s">
        <v>18</v>
      </c>
      <c r="J1700" s="3">
        <v>45515</v>
      </c>
      <c r="K1700" s="4">
        <f>ClientiBanca[[#This Row],[Prestito]]+ClientiBanca[[#This Row],[Mutuo]]</f>
        <v>31300</v>
      </c>
      <c r="L1700" t="str">
        <f>IF(ClientiBanca[[#This Row],[Reddito annuo]]&gt;=70000,"si","no")</f>
        <v>si</v>
      </c>
    </row>
    <row r="1701" spans="1:12">
      <c r="A1701">
        <v>101700</v>
      </c>
      <c r="B1701">
        <v>36</v>
      </c>
      <c r="C1701" s="2">
        <v>98200</v>
      </c>
      <c r="D1701" t="s">
        <v>21</v>
      </c>
      <c r="E1701" s="2">
        <v>0</v>
      </c>
      <c r="F1701" s="2">
        <v>0</v>
      </c>
      <c r="G1701" t="s">
        <v>24</v>
      </c>
      <c r="H1701" t="s">
        <v>20</v>
      </c>
      <c r="I1701" t="s">
        <v>18</v>
      </c>
      <c r="J1701" s="3">
        <v>45403</v>
      </c>
      <c r="K1701" s="4">
        <f>ClientiBanca[[#This Row],[Prestito]]+ClientiBanca[[#This Row],[Mutuo]]</f>
        <v>0</v>
      </c>
      <c r="L1701" t="str">
        <f>IF(ClientiBanca[[#This Row],[Reddito annuo]]&gt;=70000,"si","no")</f>
        <v>si</v>
      </c>
    </row>
    <row r="1702" spans="1:12">
      <c r="A1702">
        <v>101701</v>
      </c>
      <c r="B1702">
        <v>51</v>
      </c>
      <c r="C1702" s="2">
        <v>69300</v>
      </c>
      <c r="D1702" t="s">
        <v>21</v>
      </c>
      <c r="E1702" s="2">
        <v>0</v>
      </c>
      <c r="F1702" s="2">
        <v>0</v>
      </c>
      <c r="G1702" t="s">
        <v>24</v>
      </c>
      <c r="H1702" t="s">
        <v>17</v>
      </c>
      <c r="I1702" t="s">
        <v>18</v>
      </c>
      <c r="J1702" s="3">
        <v>45829</v>
      </c>
      <c r="K1702" s="4">
        <f>ClientiBanca[[#This Row],[Prestito]]+ClientiBanca[[#This Row],[Mutuo]]</f>
        <v>0</v>
      </c>
      <c r="L1702" t="str">
        <f>IF(ClientiBanca[[#This Row],[Reddito annuo]]&gt;=70000,"si","no")</f>
        <v>no</v>
      </c>
    </row>
    <row r="1703" spans="1:12">
      <c r="A1703">
        <v>101702</v>
      </c>
      <c r="B1703">
        <v>73</v>
      </c>
      <c r="C1703" s="2">
        <v>44800</v>
      </c>
      <c r="D1703" t="s">
        <v>12</v>
      </c>
      <c r="E1703" s="2">
        <v>20700</v>
      </c>
      <c r="F1703" s="2">
        <v>0</v>
      </c>
      <c r="G1703" t="s">
        <v>27</v>
      </c>
      <c r="H1703" t="s">
        <v>14</v>
      </c>
      <c r="I1703" t="s">
        <v>18</v>
      </c>
      <c r="J1703" s="3">
        <v>46090</v>
      </c>
      <c r="K1703" s="4">
        <f>ClientiBanca[[#This Row],[Prestito]]+ClientiBanca[[#This Row],[Mutuo]]</f>
        <v>20700</v>
      </c>
      <c r="L1703" t="str">
        <f>IF(ClientiBanca[[#This Row],[Reddito annuo]]&gt;=70000,"si","no")</f>
        <v>no</v>
      </c>
    </row>
    <row r="1704" spans="1:12">
      <c r="A1704">
        <v>101703</v>
      </c>
      <c r="B1704">
        <v>32</v>
      </c>
      <c r="C1704" s="2">
        <v>49500</v>
      </c>
      <c r="D1704" t="s">
        <v>21</v>
      </c>
      <c r="E1704" s="2">
        <v>0</v>
      </c>
      <c r="F1704" s="2">
        <v>0</v>
      </c>
      <c r="G1704" t="s">
        <v>24</v>
      </c>
      <c r="H1704" t="s">
        <v>17</v>
      </c>
      <c r="I1704" t="s">
        <v>18</v>
      </c>
      <c r="J1704" s="3">
        <v>45509</v>
      </c>
      <c r="K1704" s="4">
        <f>ClientiBanca[[#This Row],[Prestito]]+ClientiBanca[[#This Row],[Mutuo]]</f>
        <v>0</v>
      </c>
      <c r="L1704" t="str">
        <f>IF(ClientiBanca[[#This Row],[Reddito annuo]]&gt;=70000,"si","no")</f>
        <v>no</v>
      </c>
    </row>
    <row r="1705" spans="1:12">
      <c r="A1705">
        <v>101704</v>
      </c>
      <c r="B1705">
        <v>34</v>
      </c>
      <c r="C1705" s="2">
        <v>70900</v>
      </c>
      <c r="D1705" t="s">
        <v>12</v>
      </c>
      <c r="E1705" s="2">
        <v>14000</v>
      </c>
      <c r="F1705" s="2">
        <v>0</v>
      </c>
      <c r="G1705" t="s">
        <v>27</v>
      </c>
      <c r="H1705" t="s">
        <v>17</v>
      </c>
      <c r="I1705" t="s">
        <v>15</v>
      </c>
      <c r="J1705" s="3">
        <v>45669</v>
      </c>
      <c r="K1705" s="4">
        <f>ClientiBanca[[#This Row],[Prestito]]+ClientiBanca[[#This Row],[Mutuo]]</f>
        <v>14000</v>
      </c>
      <c r="L1705" t="str">
        <f>IF(ClientiBanca[[#This Row],[Reddito annuo]]&gt;=70000,"si","no")</f>
        <v>si</v>
      </c>
    </row>
    <row r="1706" spans="1:12">
      <c r="A1706">
        <v>101705</v>
      </c>
      <c r="B1706">
        <v>56</v>
      </c>
      <c r="C1706" s="2">
        <v>65700</v>
      </c>
      <c r="D1706" t="s">
        <v>21</v>
      </c>
      <c r="E1706" s="2">
        <v>38100</v>
      </c>
      <c r="F1706" s="2">
        <v>0</v>
      </c>
      <c r="G1706" t="s">
        <v>28</v>
      </c>
      <c r="H1706" t="s">
        <v>25</v>
      </c>
      <c r="I1706" t="s">
        <v>18</v>
      </c>
      <c r="J1706" s="3">
        <v>45461</v>
      </c>
      <c r="K1706" s="4">
        <f>ClientiBanca[[#This Row],[Prestito]]+ClientiBanca[[#This Row],[Mutuo]]</f>
        <v>38100</v>
      </c>
      <c r="L1706" t="str">
        <f>IF(ClientiBanca[[#This Row],[Reddito annuo]]&gt;=70000,"si","no")</f>
        <v>no</v>
      </c>
    </row>
    <row r="1707" spans="1:12">
      <c r="A1707">
        <v>101706</v>
      </c>
      <c r="B1707">
        <v>45</v>
      </c>
      <c r="C1707" s="2">
        <v>81000</v>
      </c>
      <c r="D1707" t="s">
        <v>12</v>
      </c>
      <c r="E1707" s="2">
        <v>41300</v>
      </c>
      <c r="F1707" s="2">
        <v>0</v>
      </c>
      <c r="G1707" t="s">
        <v>16</v>
      </c>
      <c r="H1707" t="s">
        <v>14</v>
      </c>
      <c r="I1707" t="s">
        <v>18</v>
      </c>
      <c r="J1707" s="3">
        <v>46142</v>
      </c>
      <c r="K1707" s="4">
        <f>ClientiBanca[[#This Row],[Prestito]]+ClientiBanca[[#This Row],[Mutuo]]</f>
        <v>41300</v>
      </c>
      <c r="L1707" t="str">
        <f>IF(ClientiBanca[[#This Row],[Reddito annuo]]&gt;=70000,"si","no")</f>
        <v>si</v>
      </c>
    </row>
    <row r="1708" spans="1:12">
      <c r="A1708">
        <v>101707</v>
      </c>
      <c r="B1708">
        <v>55</v>
      </c>
      <c r="C1708" s="2">
        <v>70600</v>
      </c>
      <c r="D1708" t="s">
        <v>12</v>
      </c>
      <c r="E1708" s="2">
        <v>0</v>
      </c>
      <c r="F1708" s="2">
        <v>0</v>
      </c>
      <c r="G1708" t="s">
        <v>28</v>
      </c>
      <c r="H1708" t="s">
        <v>20</v>
      </c>
      <c r="I1708" t="s">
        <v>18</v>
      </c>
      <c r="J1708" s="3">
        <v>45826</v>
      </c>
      <c r="K1708" s="4">
        <f>ClientiBanca[[#This Row],[Prestito]]+ClientiBanca[[#This Row],[Mutuo]]</f>
        <v>0</v>
      </c>
      <c r="L1708" t="str">
        <f>IF(ClientiBanca[[#This Row],[Reddito annuo]]&gt;=70000,"si","no")</f>
        <v>si</v>
      </c>
    </row>
    <row r="1709" spans="1:12">
      <c r="A1709">
        <v>101708</v>
      </c>
      <c r="B1709">
        <v>38</v>
      </c>
      <c r="C1709" s="2">
        <v>37800</v>
      </c>
      <c r="D1709" t="s">
        <v>12</v>
      </c>
      <c r="E1709" s="2">
        <v>42000</v>
      </c>
      <c r="F1709" s="2">
        <v>0</v>
      </c>
      <c r="G1709" t="s">
        <v>24</v>
      </c>
      <c r="H1709" t="s">
        <v>17</v>
      </c>
      <c r="I1709" t="s">
        <v>18</v>
      </c>
      <c r="J1709" s="3">
        <v>45313</v>
      </c>
      <c r="K1709" s="4">
        <f>ClientiBanca[[#This Row],[Prestito]]+ClientiBanca[[#This Row],[Mutuo]]</f>
        <v>42000</v>
      </c>
      <c r="L1709" t="str">
        <f>IF(ClientiBanca[[#This Row],[Reddito annuo]]&gt;=70000,"si","no")</f>
        <v>no</v>
      </c>
    </row>
    <row r="1710" spans="1:12">
      <c r="A1710">
        <v>101709</v>
      </c>
      <c r="B1710">
        <v>69</v>
      </c>
      <c r="C1710" s="2">
        <v>59800</v>
      </c>
      <c r="D1710" t="s">
        <v>21</v>
      </c>
      <c r="E1710" s="2">
        <v>74800</v>
      </c>
      <c r="F1710" s="2">
        <v>143000</v>
      </c>
      <c r="G1710" t="s">
        <v>23</v>
      </c>
      <c r="H1710" t="s">
        <v>20</v>
      </c>
      <c r="I1710" t="s">
        <v>18</v>
      </c>
      <c r="J1710" s="3">
        <v>46118</v>
      </c>
      <c r="K1710" s="4">
        <f>ClientiBanca[[#This Row],[Prestito]]+ClientiBanca[[#This Row],[Mutuo]]</f>
        <v>217800</v>
      </c>
      <c r="L1710" t="str">
        <f>IF(ClientiBanca[[#This Row],[Reddito annuo]]&gt;=70000,"si","no")</f>
        <v>no</v>
      </c>
    </row>
    <row r="1711" spans="1:12">
      <c r="A1711">
        <v>101710</v>
      </c>
      <c r="B1711">
        <v>72</v>
      </c>
      <c r="C1711" s="2">
        <v>42500</v>
      </c>
      <c r="D1711" t="s">
        <v>12</v>
      </c>
      <c r="E1711" s="2">
        <v>0</v>
      </c>
      <c r="F1711" s="2">
        <v>0</v>
      </c>
      <c r="G1711" t="s">
        <v>27</v>
      </c>
      <c r="H1711" t="s">
        <v>17</v>
      </c>
      <c r="I1711" t="s">
        <v>18</v>
      </c>
      <c r="J1711" s="3">
        <v>46008</v>
      </c>
      <c r="K1711" s="4">
        <f>ClientiBanca[[#This Row],[Prestito]]+ClientiBanca[[#This Row],[Mutuo]]</f>
        <v>0</v>
      </c>
      <c r="L1711" t="str">
        <f>IF(ClientiBanca[[#This Row],[Reddito annuo]]&gt;=70000,"si","no")</f>
        <v>no</v>
      </c>
    </row>
    <row r="1712" spans="1:12">
      <c r="A1712">
        <v>101711</v>
      </c>
      <c r="B1712">
        <v>21</v>
      </c>
      <c r="C1712" s="2">
        <v>120100</v>
      </c>
      <c r="D1712" t="s">
        <v>21</v>
      </c>
      <c r="E1712" s="2">
        <v>14900</v>
      </c>
      <c r="F1712" s="2">
        <v>0</v>
      </c>
      <c r="G1712" t="s">
        <v>27</v>
      </c>
      <c r="H1712" t="s">
        <v>17</v>
      </c>
      <c r="I1712" t="s">
        <v>18</v>
      </c>
      <c r="J1712" s="3">
        <v>45513</v>
      </c>
      <c r="K1712" s="4">
        <f>ClientiBanca[[#This Row],[Prestito]]+ClientiBanca[[#This Row],[Mutuo]]</f>
        <v>14900</v>
      </c>
      <c r="L1712" t="str">
        <f>IF(ClientiBanca[[#This Row],[Reddito annuo]]&gt;=70000,"si","no")</f>
        <v>si</v>
      </c>
    </row>
    <row r="1713" spans="1:12">
      <c r="A1713">
        <v>101712</v>
      </c>
      <c r="B1713">
        <v>39</v>
      </c>
      <c r="C1713" s="2">
        <v>64300</v>
      </c>
      <c r="D1713" t="s">
        <v>22</v>
      </c>
      <c r="E1713" s="2">
        <v>40100</v>
      </c>
      <c r="F1713" s="2">
        <v>0</v>
      </c>
      <c r="G1713" t="s">
        <v>19</v>
      </c>
      <c r="H1713" t="s">
        <v>17</v>
      </c>
      <c r="I1713" t="s">
        <v>18</v>
      </c>
      <c r="J1713" s="3">
        <v>45824</v>
      </c>
      <c r="K1713" s="4">
        <f>ClientiBanca[[#This Row],[Prestito]]+ClientiBanca[[#This Row],[Mutuo]]</f>
        <v>40100</v>
      </c>
      <c r="L1713" t="str">
        <f>IF(ClientiBanca[[#This Row],[Reddito annuo]]&gt;=70000,"si","no")</f>
        <v>no</v>
      </c>
    </row>
    <row r="1714" spans="1:12">
      <c r="A1714">
        <v>101713</v>
      </c>
      <c r="B1714">
        <v>28</v>
      </c>
      <c r="C1714" s="2">
        <v>71900</v>
      </c>
      <c r="D1714" t="s">
        <v>12</v>
      </c>
      <c r="E1714" s="2">
        <v>56100</v>
      </c>
      <c r="F1714" s="2">
        <v>0</v>
      </c>
      <c r="G1714" t="s">
        <v>27</v>
      </c>
      <c r="H1714" t="s">
        <v>14</v>
      </c>
      <c r="I1714" t="s">
        <v>18</v>
      </c>
      <c r="J1714" s="3">
        <v>46200</v>
      </c>
      <c r="K1714" s="4">
        <f>ClientiBanca[[#This Row],[Prestito]]+ClientiBanca[[#This Row],[Mutuo]]</f>
        <v>56100</v>
      </c>
      <c r="L1714" t="str">
        <f>IF(ClientiBanca[[#This Row],[Reddito annuo]]&gt;=70000,"si","no")</f>
        <v>si</v>
      </c>
    </row>
    <row r="1715" spans="1:12">
      <c r="A1715">
        <v>101714</v>
      </c>
      <c r="B1715">
        <v>62</v>
      </c>
      <c r="C1715" s="2">
        <v>35800</v>
      </c>
      <c r="D1715" t="s">
        <v>21</v>
      </c>
      <c r="E1715" s="2">
        <v>40300</v>
      </c>
      <c r="F1715" s="2">
        <v>0</v>
      </c>
      <c r="G1715" t="s">
        <v>24</v>
      </c>
      <c r="H1715" t="s">
        <v>17</v>
      </c>
      <c r="I1715" t="s">
        <v>18</v>
      </c>
      <c r="J1715" s="3">
        <v>45849</v>
      </c>
      <c r="K1715" s="4">
        <f>ClientiBanca[[#This Row],[Prestito]]+ClientiBanca[[#This Row],[Mutuo]]</f>
        <v>40300</v>
      </c>
      <c r="L1715" t="str">
        <f>IF(ClientiBanca[[#This Row],[Reddito annuo]]&gt;=70000,"si","no")</f>
        <v>no</v>
      </c>
    </row>
    <row r="1716" spans="1:12">
      <c r="A1716">
        <v>101715</v>
      </c>
      <c r="B1716">
        <v>63</v>
      </c>
      <c r="C1716" s="2">
        <v>37900</v>
      </c>
      <c r="D1716" t="s">
        <v>12</v>
      </c>
      <c r="E1716" s="2">
        <v>36600</v>
      </c>
      <c r="F1716" s="2">
        <v>0</v>
      </c>
      <c r="G1716" t="s">
        <v>19</v>
      </c>
      <c r="H1716" t="s">
        <v>17</v>
      </c>
      <c r="I1716" t="s">
        <v>18</v>
      </c>
      <c r="J1716" s="3">
        <v>46141</v>
      </c>
      <c r="K1716" s="4">
        <f>ClientiBanca[[#This Row],[Prestito]]+ClientiBanca[[#This Row],[Mutuo]]</f>
        <v>36600</v>
      </c>
      <c r="L1716" t="str">
        <f>IF(ClientiBanca[[#This Row],[Reddito annuo]]&gt;=70000,"si","no")</f>
        <v>no</v>
      </c>
    </row>
    <row r="1717" spans="1:12">
      <c r="A1717">
        <v>101716</v>
      </c>
      <c r="B1717">
        <v>33</v>
      </c>
      <c r="C1717" s="2">
        <v>24300</v>
      </c>
      <c r="D1717" t="s">
        <v>21</v>
      </c>
      <c r="E1717" s="2">
        <v>30400</v>
      </c>
      <c r="F1717" s="2">
        <v>0</v>
      </c>
      <c r="G1717" t="s">
        <v>24</v>
      </c>
      <c r="H1717" t="s">
        <v>14</v>
      </c>
      <c r="I1717" t="s">
        <v>18</v>
      </c>
      <c r="J1717" s="3">
        <v>45613</v>
      </c>
      <c r="K1717" s="4">
        <f>ClientiBanca[[#This Row],[Prestito]]+ClientiBanca[[#This Row],[Mutuo]]</f>
        <v>30400</v>
      </c>
      <c r="L1717" t="str">
        <f>IF(ClientiBanca[[#This Row],[Reddito annuo]]&gt;=70000,"si","no")</f>
        <v>no</v>
      </c>
    </row>
    <row r="1718" spans="1:12">
      <c r="A1718">
        <v>101717</v>
      </c>
      <c r="B1718">
        <v>56</v>
      </c>
      <c r="C1718" s="2">
        <v>49200</v>
      </c>
      <c r="D1718" t="s">
        <v>22</v>
      </c>
      <c r="E1718" s="2">
        <v>58500</v>
      </c>
      <c r="F1718" s="2">
        <v>0</v>
      </c>
      <c r="G1718" t="s">
        <v>16</v>
      </c>
      <c r="H1718" t="s">
        <v>17</v>
      </c>
      <c r="I1718" t="s">
        <v>18</v>
      </c>
      <c r="J1718" s="3">
        <v>46107</v>
      </c>
      <c r="K1718" s="4">
        <f>ClientiBanca[[#This Row],[Prestito]]+ClientiBanca[[#This Row],[Mutuo]]</f>
        <v>58500</v>
      </c>
      <c r="L1718" t="str">
        <f>IF(ClientiBanca[[#This Row],[Reddito annuo]]&gt;=70000,"si","no")</f>
        <v>no</v>
      </c>
    </row>
    <row r="1719" spans="1:12">
      <c r="A1719">
        <v>101718</v>
      </c>
      <c r="B1719">
        <v>69</v>
      </c>
      <c r="C1719" s="2">
        <v>47600</v>
      </c>
      <c r="D1719" t="s">
        <v>12</v>
      </c>
      <c r="E1719" s="2">
        <v>9600</v>
      </c>
      <c r="F1719" s="2">
        <v>359000</v>
      </c>
      <c r="G1719" t="s">
        <v>28</v>
      </c>
      <c r="H1719" t="s">
        <v>14</v>
      </c>
      <c r="I1719" t="s">
        <v>15</v>
      </c>
      <c r="J1719" s="3">
        <v>45975</v>
      </c>
      <c r="K1719" s="4">
        <f>ClientiBanca[[#This Row],[Prestito]]+ClientiBanca[[#This Row],[Mutuo]]</f>
        <v>368600</v>
      </c>
      <c r="L1719" t="str">
        <f>IF(ClientiBanca[[#This Row],[Reddito annuo]]&gt;=70000,"si","no")</f>
        <v>no</v>
      </c>
    </row>
    <row r="1720" spans="1:12">
      <c r="A1720">
        <v>101719</v>
      </c>
      <c r="B1720">
        <v>74</v>
      </c>
      <c r="C1720" s="2">
        <v>60800</v>
      </c>
      <c r="D1720" t="s">
        <v>12</v>
      </c>
      <c r="E1720" s="2">
        <v>0</v>
      </c>
      <c r="F1720" s="2">
        <v>0</v>
      </c>
      <c r="G1720" t="s">
        <v>27</v>
      </c>
      <c r="H1720" t="s">
        <v>20</v>
      </c>
      <c r="I1720" t="s">
        <v>18</v>
      </c>
      <c r="J1720" s="3">
        <v>46073</v>
      </c>
      <c r="K1720" s="4">
        <f>ClientiBanca[[#This Row],[Prestito]]+ClientiBanca[[#This Row],[Mutuo]]</f>
        <v>0</v>
      </c>
      <c r="L1720" t="str">
        <f>IF(ClientiBanca[[#This Row],[Reddito annuo]]&gt;=70000,"si","no")</f>
        <v>no</v>
      </c>
    </row>
    <row r="1721" spans="1:12">
      <c r="A1721">
        <v>101720</v>
      </c>
      <c r="B1721">
        <v>44</v>
      </c>
      <c r="C1721" s="2">
        <v>60100</v>
      </c>
      <c r="D1721" t="s">
        <v>21</v>
      </c>
      <c r="E1721" s="2">
        <v>55700</v>
      </c>
      <c r="F1721" s="2">
        <v>0</v>
      </c>
      <c r="G1721" t="s">
        <v>27</v>
      </c>
      <c r="H1721" t="s">
        <v>20</v>
      </c>
      <c r="I1721" t="s">
        <v>18</v>
      </c>
      <c r="J1721" s="3">
        <v>45832</v>
      </c>
      <c r="K1721" s="4">
        <f>ClientiBanca[[#This Row],[Prestito]]+ClientiBanca[[#This Row],[Mutuo]]</f>
        <v>55700</v>
      </c>
      <c r="L1721" t="str">
        <f>IF(ClientiBanca[[#This Row],[Reddito annuo]]&gt;=70000,"si","no")</f>
        <v>no</v>
      </c>
    </row>
    <row r="1722" spans="1:12">
      <c r="A1722">
        <v>101721</v>
      </c>
      <c r="B1722">
        <v>23</v>
      </c>
      <c r="C1722" s="2">
        <v>68200</v>
      </c>
      <c r="D1722" t="s">
        <v>21</v>
      </c>
      <c r="E1722" s="2">
        <v>40100</v>
      </c>
      <c r="F1722" s="2">
        <v>0</v>
      </c>
      <c r="G1722" t="s">
        <v>19</v>
      </c>
      <c r="H1722" t="s">
        <v>20</v>
      </c>
      <c r="I1722" t="s">
        <v>18</v>
      </c>
      <c r="J1722" s="3">
        <v>45473</v>
      </c>
      <c r="K1722" s="4">
        <f>ClientiBanca[[#This Row],[Prestito]]+ClientiBanca[[#This Row],[Mutuo]]</f>
        <v>40100</v>
      </c>
      <c r="L1722" t="str">
        <f>IF(ClientiBanca[[#This Row],[Reddito annuo]]&gt;=70000,"si","no")</f>
        <v>no</v>
      </c>
    </row>
    <row r="1723" spans="1:12">
      <c r="A1723">
        <v>101722</v>
      </c>
      <c r="B1723">
        <v>75</v>
      </c>
      <c r="C1723" s="2">
        <v>69600</v>
      </c>
      <c r="D1723" t="s">
        <v>21</v>
      </c>
      <c r="E1723" s="2">
        <v>30600</v>
      </c>
      <c r="F1723" s="2">
        <v>0</v>
      </c>
      <c r="G1723" t="s">
        <v>24</v>
      </c>
      <c r="H1723" t="s">
        <v>20</v>
      </c>
      <c r="I1723" t="s">
        <v>18</v>
      </c>
      <c r="J1723" s="3">
        <v>45944</v>
      </c>
      <c r="K1723" s="4">
        <f>ClientiBanca[[#This Row],[Prestito]]+ClientiBanca[[#This Row],[Mutuo]]</f>
        <v>30600</v>
      </c>
      <c r="L1723" t="str">
        <f>IF(ClientiBanca[[#This Row],[Reddito annuo]]&gt;=70000,"si","no")</f>
        <v>no</v>
      </c>
    </row>
    <row r="1724" spans="1:12">
      <c r="A1724">
        <v>101723</v>
      </c>
      <c r="B1724">
        <v>37</v>
      </c>
      <c r="C1724" s="2">
        <v>45200</v>
      </c>
      <c r="D1724" t="s">
        <v>22</v>
      </c>
      <c r="E1724" s="2">
        <v>39600</v>
      </c>
      <c r="F1724" s="2">
        <v>0</v>
      </c>
      <c r="G1724" t="s">
        <v>27</v>
      </c>
      <c r="H1724" t="s">
        <v>17</v>
      </c>
      <c r="I1724" t="s">
        <v>18</v>
      </c>
      <c r="J1724" s="3">
        <v>45435</v>
      </c>
      <c r="K1724" s="4">
        <f>ClientiBanca[[#This Row],[Prestito]]+ClientiBanca[[#This Row],[Mutuo]]</f>
        <v>39600</v>
      </c>
      <c r="L1724" t="str">
        <f>IF(ClientiBanca[[#This Row],[Reddito annuo]]&gt;=70000,"si","no")</f>
        <v>no</v>
      </c>
    </row>
    <row r="1725" spans="1:12">
      <c r="A1725">
        <v>101724</v>
      </c>
      <c r="B1725">
        <v>66</v>
      </c>
      <c r="C1725" s="2">
        <v>53300</v>
      </c>
      <c r="D1725" t="s">
        <v>22</v>
      </c>
      <c r="E1725" s="2">
        <v>39400</v>
      </c>
      <c r="F1725" s="2">
        <v>0</v>
      </c>
      <c r="G1725" t="s">
        <v>13</v>
      </c>
      <c r="H1725" t="s">
        <v>14</v>
      </c>
      <c r="I1725" t="s">
        <v>18</v>
      </c>
      <c r="J1725" s="3">
        <v>45932</v>
      </c>
      <c r="K1725" s="4">
        <f>ClientiBanca[[#This Row],[Prestito]]+ClientiBanca[[#This Row],[Mutuo]]</f>
        <v>39400</v>
      </c>
      <c r="L1725" t="str">
        <f>IF(ClientiBanca[[#This Row],[Reddito annuo]]&gt;=70000,"si","no")</f>
        <v>no</v>
      </c>
    </row>
    <row r="1726" spans="1:12">
      <c r="A1726">
        <v>101725</v>
      </c>
      <c r="B1726">
        <v>72</v>
      </c>
      <c r="C1726" s="2">
        <v>58000</v>
      </c>
      <c r="D1726" t="s">
        <v>21</v>
      </c>
      <c r="E1726" s="2">
        <v>17100</v>
      </c>
      <c r="F1726" s="2">
        <v>0</v>
      </c>
      <c r="G1726" t="s">
        <v>13</v>
      </c>
      <c r="H1726" t="s">
        <v>14</v>
      </c>
      <c r="I1726" t="s">
        <v>18</v>
      </c>
      <c r="J1726" s="3">
        <v>45698</v>
      </c>
      <c r="K1726" s="4">
        <f>ClientiBanca[[#This Row],[Prestito]]+ClientiBanca[[#This Row],[Mutuo]]</f>
        <v>17100</v>
      </c>
      <c r="L1726" t="str">
        <f>IF(ClientiBanca[[#This Row],[Reddito annuo]]&gt;=70000,"si","no")</f>
        <v>no</v>
      </c>
    </row>
    <row r="1727" spans="1:12">
      <c r="A1727">
        <v>101726</v>
      </c>
      <c r="B1727">
        <v>53</v>
      </c>
      <c r="C1727" s="2">
        <v>73400</v>
      </c>
      <c r="D1727" t="s">
        <v>21</v>
      </c>
      <c r="E1727" s="2">
        <v>0</v>
      </c>
      <c r="F1727" s="2">
        <v>198000</v>
      </c>
      <c r="G1727" t="s">
        <v>13</v>
      </c>
      <c r="H1727" t="s">
        <v>14</v>
      </c>
      <c r="I1727" t="s">
        <v>18</v>
      </c>
      <c r="J1727" s="3">
        <v>46245</v>
      </c>
      <c r="K1727" s="4">
        <f>ClientiBanca[[#This Row],[Prestito]]+ClientiBanca[[#This Row],[Mutuo]]</f>
        <v>198000</v>
      </c>
      <c r="L1727" t="str">
        <f>IF(ClientiBanca[[#This Row],[Reddito annuo]]&gt;=70000,"si","no")</f>
        <v>si</v>
      </c>
    </row>
    <row r="1728" spans="1:12">
      <c r="A1728">
        <v>101727</v>
      </c>
      <c r="B1728">
        <v>40</v>
      </c>
      <c r="C1728" s="2">
        <v>50400</v>
      </c>
      <c r="D1728" t="s">
        <v>22</v>
      </c>
      <c r="E1728" s="2">
        <v>63000</v>
      </c>
      <c r="F1728" s="2">
        <v>0</v>
      </c>
      <c r="G1728" t="s">
        <v>28</v>
      </c>
      <c r="H1728" t="s">
        <v>17</v>
      </c>
      <c r="I1728" t="s">
        <v>18</v>
      </c>
      <c r="J1728" s="3">
        <v>45302</v>
      </c>
      <c r="K1728" s="4">
        <f>ClientiBanca[[#This Row],[Prestito]]+ClientiBanca[[#This Row],[Mutuo]]</f>
        <v>63000</v>
      </c>
      <c r="L1728" t="str">
        <f>IF(ClientiBanca[[#This Row],[Reddito annuo]]&gt;=70000,"si","no")</f>
        <v>no</v>
      </c>
    </row>
    <row r="1729" spans="1:12">
      <c r="A1729">
        <v>101728</v>
      </c>
      <c r="B1729">
        <v>33</v>
      </c>
      <c r="C1729" s="2">
        <v>91500</v>
      </c>
      <c r="D1729" t="s">
        <v>22</v>
      </c>
      <c r="E1729" s="2">
        <v>14000</v>
      </c>
      <c r="F1729" s="2">
        <v>0</v>
      </c>
      <c r="G1729" t="s">
        <v>27</v>
      </c>
      <c r="H1729" t="s">
        <v>20</v>
      </c>
      <c r="I1729" t="s">
        <v>18</v>
      </c>
      <c r="J1729" s="3">
        <v>45724</v>
      </c>
      <c r="K1729" s="4">
        <f>ClientiBanca[[#This Row],[Prestito]]+ClientiBanca[[#This Row],[Mutuo]]</f>
        <v>14000</v>
      </c>
      <c r="L1729" t="str">
        <f>IF(ClientiBanca[[#This Row],[Reddito annuo]]&gt;=70000,"si","no")</f>
        <v>si</v>
      </c>
    </row>
    <row r="1730" spans="1:12">
      <c r="A1730">
        <v>101729</v>
      </c>
      <c r="B1730">
        <v>35</v>
      </c>
      <c r="C1730" s="2">
        <v>88500</v>
      </c>
      <c r="D1730" t="s">
        <v>22</v>
      </c>
      <c r="E1730" s="2">
        <v>31900</v>
      </c>
      <c r="F1730" s="2">
        <v>0</v>
      </c>
      <c r="G1730" t="s">
        <v>19</v>
      </c>
      <c r="H1730" t="s">
        <v>20</v>
      </c>
      <c r="I1730" t="s">
        <v>18</v>
      </c>
      <c r="J1730" s="3">
        <v>45750</v>
      </c>
      <c r="K1730" s="4">
        <f>ClientiBanca[[#This Row],[Prestito]]+ClientiBanca[[#This Row],[Mutuo]]</f>
        <v>31900</v>
      </c>
      <c r="L1730" t="str">
        <f>IF(ClientiBanca[[#This Row],[Reddito annuo]]&gt;=70000,"si","no")</f>
        <v>si</v>
      </c>
    </row>
    <row r="1731" spans="1:12">
      <c r="A1731">
        <v>101730</v>
      </c>
      <c r="B1731">
        <v>24</v>
      </c>
      <c r="C1731" s="2">
        <v>97300</v>
      </c>
      <c r="D1731" t="s">
        <v>12</v>
      </c>
      <c r="E1731" s="2">
        <v>39200</v>
      </c>
      <c r="F1731" s="2">
        <v>0</v>
      </c>
      <c r="G1731" t="s">
        <v>24</v>
      </c>
      <c r="H1731" t="s">
        <v>14</v>
      </c>
      <c r="I1731" t="s">
        <v>18</v>
      </c>
      <c r="J1731" s="3">
        <v>45436</v>
      </c>
      <c r="K1731" s="4">
        <f>ClientiBanca[[#This Row],[Prestito]]+ClientiBanca[[#This Row],[Mutuo]]</f>
        <v>39200</v>
      </c>
      <c r="L1731" t="str">
        <f>IF(ClientiBanca[[#This Row],[Reddito annuo]]&gt;=70000,"si","no")</f>
        <v>si</v>
      </c>
    </row>
    <row r="1732" spans="1:12">
      <c r="A1732">
        <v>101731</v>
      </c>
      <c r="B1732">
        <v>75</v>
      </c>
      <c r="C1732" s="2">
        <v>52800</v>
      </c>
      <c r="D1732" t="s">
        <v>12</v>
      </c>
      <c r="E1732" s="2">
        <v>0</v>
      </c>
      <c r="F1732" s="2">
        <v>164000</v>
      </c>
      <c r="G1732" t="s">
        <v>27</v>
      </c>
      <c r="H1732" t="s">
        <v>20</v>
      </c>
      <c r="I1732" t="s">
        <v>18</v>
      </c>
      <c r="J1732" s="3">
        <v>45501</v>
      </c>
      <c r="K1732" s="4">
        <f>ClientiBanca[[#This Row],[Prestito]]+ClientiBanca[[#This Row],[Mutuo]]</f>
        <v>164000</v>
      </c>
      <c r="L1732" t="str">
        <f>IF(ClientiBanca[[#This Row],[Reddito annuo]]&gt;=70000,"si","no")</f>
        <v>no</v>
      </c>
    </row>
    <row r="1733" spans="1:12">
      <c r="A1733">
        <v>101732</v>
      </c>
      <c r="B1733">
        <v>63</v>
      </c>
      <c r="C1733" s="2">
        <v>44000</v>
      </c>
      <c r="D1733" t="s">
        <v>21</v>
      </c>
      <c r="E1733" s="2">
        <v>14300</v>
      </c>
      <c r="F1733" s="2">
        <v>0</v>
      </c>
      <c r="G1733" t="s">
        <v>28</v>
      </c>
      <c r="H1733" t="s">
        <v>14</v>
      </c>
      <c r="I1733" t="s">
        <v>18</v>
      </c>
      <c r="J1733" s="3">
        <v>45817</v>
      </c>
      <c r="K1733" s="4">
        <f>ClientiBanca[[#This Row],[Prestito]]+ClientiBanca[[#This Row],[Mutuo]]</f>
        <v>14300</v>
      </c>
      <c r="L1733" t="str">
        <f>IF(ClientiBanca[[#This Row],[Reddito annuo]]&gt;=70000,"si","no")</f>
        <v>no</v>
      </c>
    </row>
    <row r="1734" spans="1:12">
      <c r="A1734">
        <v>101733</v>
      </c>
      <c r="B1734">
        <v>30</v>
      </c>
      <c r="C1734" s="2">
        <v>101100</v>
      </c>
      <c r="D1734" t="s">
        <v>21</v>
      </c>
      <c r="E1734" s="2">
        <v>0</v>
      </c>
      <c r="F1734" s="2">
        <v>0</v>
      </c>
      <c r="G1734" t="s">
        <v>28</v>
      </c>
      <c r="H1734" t="s">
        <v>14</v>
      </c>
      <c r="I1734" t="s">
        <v>18</v>
      </c>
      <c r="J1734" s="3">
        <v>45895</v>
      </c>
      <c r="K1734" s="4">
        <f>ClientiBanca[[#This Row],[Prestito]]+ClientiBanca[[#This Row],[Mutuo]]</f>
        <v>0</v>
      </c>
      <c r="L1734" t="str">
        <f>IF(ClientiBanca[[#This Row],[Reddito annuo]]&gt;=70000,"si","no")</f>
        <v>si</v>
      </c>
    </row>
    <row r="1735" spans="1:12">
      <c r="A1735">
        <v>101734</v>
      </c>
      <c r="B1735">
        <v>54</v>
      </c>
      <c r="C1735" s="2">
        <v>88700</v>
      </c>
      <c r="D1735" t="s">
        <v>21</v>
      </c>
      <c r="E1735" s="2">
        <v>34800</v>
      </c>
      <c r="F1735" s="2">
        <v>0</v>
      </c>
      <c r="G1735" t="s">
        <v>24</v>
      </c>
      <c r="H1735" t="s">
        <v>17</v>
      </c>
      <c r="I1735" t="s">
        <v>18</v>
      </c>
      <c r="J1735" s="3">
        <v>46141</v>
      </c>
      <c r="K1735" s="4">
        <f>ClientiBanca[[#This Row],[Prestito]]+ClientiBanca[[#This Row],[Mutuo]]</f>
        <v>34800</v>
      </c>
      <c r="L1735" t="str">
        <f>IF(ClientiBanca[[#This Row],[Reddito annuo]]&gt;=70000,"si","no")</f>
        <v>si</v>
      </c>
    </row>
    <row r="1736" spans="1:12">
      <c r="A1736">
        <v>101735</v>
      </c>
      <c r="B1736">
        <v>51</v>
      </c>
      <c r="C1736" s="2">
        <v>83900</v>
      </c>
      <c r="D1736" t="s">
        <v>12</v>
      </c>
      <c r="E1736" s="2">
        <v>50800</v>
      </c>
      <c r="F1736" s="2">
        <v>0</v>
      </c>
      <c r="G1736" t="s">
        <v>23</v>
      </c>
      <c r="H1736" t="s">
        <v>14</v>
      </c>
      <c r="I1736" t="s">
        <v>18</v>
      </c>
      <c r="J1736" s="3">
        <v>46189</v>
      </c>
      <c r="K1736" s="4">
        <f>ClientiBanca[[#This Row],[Prestito]]+ClientiBanca[[#This Row],[Mutuo]]</f>
        <v>50800</v>
      </c>
      <c r="L1736" t="str">
        <f>IF(ClientiBanca[[#This Row],[Reddito annuo]]&gt;=70000,"si","no")</f>
        <v>si</v>
      </c>
    </row>
    <row r="1737" spans="1:12">
      <c r="A1737">
        <v>101736</v>
      </c>
      <c r="B1737">
        <v>27</v>
      </c>
      <c r="C1737" s="2">
        <v>91300</v>
      </c>
      <c r="D1737" t="s">
        <v>21</v>
      </c>
      <c r="E1737" s="2">
        <v>24300</v>
      </c>
      <c r="F1737" s="2">
        <v>155000</v>
      </c>
      <c r="G1737" t="s">
        <v>28</v>
      </c>
      <c r="H1737" t="s">
        <v>14</v>
      </c>
      <c r="I1737" t="s">
        <v>15</v>
      </c>
      <c r="J1737" s="3">
        <v>46096</v>
      </c>
      <c r="K1737" s="4">
        <f>ClientiBanca[[#This Row],[Prestito]]+ClientiBanca[[#This Row],[Mutuo]]</f>
        <v>179300</v>
      </c>
      <c r="L1737" t="str">
        <f>IF(ClientiBanca[[#This Row],[Reddito annuo]]&gt;=70000,"si","no")</f>
        <v>si</v>
      </c>
    </row>
    <row r="1738" spans="1:12">
      <c r="A1738">
        <v>101737</v>
      </c>
      <c r="B1738">
        <v>64</v>
      </c>
      <c r="C1738" s="2">
        <v>66300</v>
      </c>
      <c r="D1738" t="s">
        <v>12</v>
      </c>
      <c r="E1738" s="2">
        <v>45000</v>
      </c>
      <c r="F1738" s="2">
        <v>0</v>
      </c>
      <c r="G1738" t="s">
        <v>28</v>
      </c>
      <c r="H1738" t="s">
        <v>17</v>
      </c>
      <c r="I1738" t="s">
        <v>18</v>
      </c>
      <c r="J1738" s="3">
        <v>46173</v>
      </c>
      <c r="K1738" s="4">
        <f>ClientiBanca[[#This Row],[Prestito]]+ClientiBanca[[#This Row],[Mutuo]]</f>
        <v>45000</v>
      </c>
      <c r="L1738" t="str">
        <f>IF(ClientiBanca[[#This Row],[Reddito annuo]]&gt;=70000,"si","no")</f>
        <v>no</v>
      </c>
    </row>
    <row r="1739" spans="1:12">
      <c r="A1739">
        <v>101738</v>
      </c>
      <c r="B1739">
        <v>51</v>
      </c>
      <c r="C1739" s="2">
        <v>43200</v>
      </c>
      <c r="D1739" t="s">
        <v>21</v>
      </c>
      <c r="E1739" s="2">
        <v>0</v>
      </c>
      <c r="F1739" s="2">
        <v>283000</v>
      </c>
      <c r="G1739" t="s">
        <v>19</v>
      </c>
      <c r="H1739" t="s">
        <v>14</v>
      </c>
      <c r="I1739" t="s">
        <v>18</v>
      </c>
      <c r="J1739" s="3">
        <v>45677</v>
      </c>
      <c r="K1739" s="4">
        <f>ClientiBanca[[#This Row],[Prestito]]+ClientiBanca[[#This Row],[Mutuo]]</f>
        <v>283000</v>
      </c>
      <c r="L1739" t="str">
        <f>IF(ClientiBanca[[#This Row],[Reddito annuo]]&gt;=70000,"si","no")</f>
        <v>no</v>
      </c>
    </row>
    <row r="1740" spans="1:12">
      <c r="A1740">
        <v>101739</v>
      </c>
      <c r="B1740">
        <v>54</v>
      </c>
      <c r="C1740" s="2">
        <v>37600</v>
      </c>
      <c r="D1740" t="s">
        <v>12</v>
      </c>
      <c r="E1740" s="2">
        <v>19900</v>
      </c>
      <c r="F1740" s="2">
        <v>0</v>
      </c>
      <c r="G1740" t="s">
        <v>24</v>
      </c>
      <c r="H1740" t="s">
        <v>20</v>
      </c>
      <c r="I1740" t="s">
        <v>18</v>
      </c>
      <c r="J1740" s="3">
        <v>46186</v>
      </c>
      <c r="K1740" s="4">
        <f>ClientiBanca[[#This Row],[Prestito]]+ClientiBanca[[#This Row],[Mutuo]]</f>
        <v>19900</v>
      </c>
      <c r="L1740" t="str">
        <f>IF(ClientiBanca[[#This Row],[Reddito annuo]]&gt;=70000,"si","no")</f>
        <v>no</v>
      </c>
    </row>
    <row r="1741" spans="1:12">
      <c r="A1741">
        <v>101740</v>
      </c>
      <c r="B1741">
        <v>62</v>
      </c>
      <c r="C1741" s="2">
        <v>51000</v>
      </c>
      <c r="D1741" t="s">
        <v>12</v>
      </c>
      <c r="E1741" s="2">
        <v>30800</v>
      </c>
      <c r="F1741" s="2">
        <v>162000</v>
      </c>
      <c r="G1741" t="s">
        <v>24</v>
      </c>
      <c r="H1741" t="s">
        <v>14</v>
      </c>
      <c r="I1741" t="s">
        <v>18</v>
      </c>
      <c r="J1741" s="3">
        <v>46080</v>
      </c>
      <c r="K1741" s="4">
        <f>ClientiBanca[[#This Row],[Prestito]]+ClientiBanca[[#This Row],[Mutuo]]</f>
        <v>192800</v>
      </c>
      <c r="L1741" t="str">
        <f>IF(ClientiBanca[[#This Row],[Reddito annuo]]&gt;=70000,"si","no")</f>
        <v>no</v>
      </c>
    </row>
    <row r="1742" spans="1:12">
      <c r="A1742">
        <v>101741</v>
      </c>
      <c r="B1742">
        <v>31</v>
      </c>
      <c r="C1742" s="2">
        <v>32000</v>
      </c>
      <c r="D1742" t="s">
        <v>12</v>
      </c>
      <c r="E1742" s="2">
        <v>28200</v>
      </c>
      <c r="F1742" s="2">
        <v>0</v>
      </c>
      <c r="G1742" t="s">
        <v>27</v>
      </c>
      <c r="H1742" t="s">
        <v>14</v>
      </c>
      <c r="I1742" t="s">
        <v>18</v>
      </c>
      <c r="J1742" s="3">
        <v>45990</v>
      </c>
      <c r="K1742" s="4">
        <f>ClientiBanca[[#This Row],[Prestito]]+ClientiBanca[[#This Row],[Mutuo]]</f>
        <v>28200</v>
      </c>
      <c r="L1742" t="str">
        <f>IF(ClientiBanca[[#This Row],[Reddito annuo]]&gt;=70000,"si","no")</f>
        <v>no</v>
      </c>
    </row>
    <row r="1743" spans="1:12">
      <c r="A1743">
        <v>101742</v>
      </c>
      <c r="B1743">
        <v>37</v>
      </c>
      <c r="C1743" s="2">
        <v>43200</v>
      </c>
      <c r="D1743" t="s">
        <v>12</v>
      </c>
      <c r="E1743" s="2">
        <v>53000</v>
      </c>
      <c r="F1743" s="2">
        <v>0</v>
      </c>
      <c r="G1743" t="s">
        <v>24</v>
      </c>
      <c r="H1743" t="s">
        <v>20</v>
      </c>
      <c r="I1743" t="s">
        <v>18</v>
      </c>
      <c r="J1743" s="3">
        <v>46163</v>
      </c>
      <c r="K1743" s="4">
        <f>ClientiBanca[[#This Row],[Prestito]]+ClientiBanca[[#This Row],[Mutuo]]</f>
        <v>53000</v>
      </c>
      <c r="L1743" t="str">
        <f>IF(ClientiBanca[[#This Row],[Reddito annuo]]&gt;=70000,"si","no")</f>
        <v>no</v>
      </c>
    </row>
    <row r="1744" spans="1:12">
      <c r="A1744">
        <v>101743</v>
      </c>
      <c r="B1744">
        <v>41</v>
      </c>
      <c r="C1744" s="2">
        <v>85400</v>
      </c>
      <c r="D1744" t="s">
        <v>22</v>
      </c>
      <c r="E1744" s="2">
        <v>20100</v>
      </c>
      <c r="F1744" s="2">
        <v>0</v>
      </c>
      <c r="G1744" t="s">
        <v>16</v>
      </c>
      <c r="H1744" t="s">
        <v>25</v>
      </c>
      <c r="I1744" t="s">
        <v>18</v>
      </c>
      <c r="J1744" s="3">
        <v>46000</v>
      </c>
      <c r="K1744" s="4">
        <f>ClientiBanca[[#This Row],[Prestito]]+ClientiBanca[[#This Row],[Mutuo]]</f>
        <v>20100</v>
      </c>
      <c r="L1744" t="str">
        <f>IF(ClientiBanca[[#This Row],[Reddito annuo]]&gt;=70000,"si","no")</f>
        <v>si</v>
      </c>
    </row>
    <row r="1745" spans="1:12">
      <c r="A1745">
        <v>101744</v>
      </c>
      <c r="B1745">
        <v>36</v>
      </c>
      <c r="C1745" s="2">
        <v>60300</v>
      </c>
      <c r="D1745" t="s">
        <v>21</v>
      </c>
      <c r="E1745" s="2">
        <v>62700</v>
      </c>
      <c r="F1745" s="2">
        <v>0</v>
      </c>
      <c r="G1745" t="s">
        <v>13</v>
      </c>
      <c r="H1745" t="s">
        <v>17</v>
      </c>
      <c r="I1745" t="s">
        <v>18</v>
      </c>
      <c r="J1745" s="3">
        <v>45754</v>
      </c>
      <c r="K1745" s="4">
        <f>ClientiBanca[[#This Row],[Prestito]]+ClientiBanca[[#This Row],[Mutuo]]</f>
        <v>62700</v>
      </c>
      <c r="L1745" t="str">
        <f>IF(ClientiBanca[[#This Row],[Reddito annuo]]&gt;=70000,"si","no")</f>
        <v>no</v>
      </c>
    </row>
    <row r="1746" spans="1:12">
      <c r="A1746">
        <v>101745</v>
      </c>
      <c r="B1746">
        <v>60</v>
      </c>
      <c r="C1746" s="2">
        <v>63100</v>
      </c>
      <c r="D1746" t="s">
        <v>21</v>
      </c>
      <c r="E1746" s="2">
        <v>0</v>
      </c>
      <c r="F1746" s="2">
        <v>0</v>
      </c>
      <c r="G1746" t="s">
        <v>28</v>
      </c>
      <c r="H1746" t="s">
        <v>20</v>
      </c>
      <c r="I1746" t="s">
        <v>18</v>
      </c>
      <c r="J1746" s="3">
        <v>46237</v>
      </c>
      <c r="K1746" s="4">
        <f>ClientiBanca[[#This Row],[Prestito]]+ClientiBanca[[#This Row],[Mutuo]]</f>
        <v>0</v>
      </c>
      <c r="L1746" t="str">
        <f>IF(ClientiBanca[[#This Row],[Reddito annuo]]&gt;=70000,"si","no")</f>
        <v>no</v>
      </c>
    </row>
    <row r="1747" spans="1:12">
      <c r="A1747">
        <v>101746</v>
      </c>
      <c r="B1747">
        <v>31</v>
      </c>
      <c r="C1747" s="2">
        <v>43200</v>
      </c>
      <c r="D1747" t="s">
        <v>12</v>
      </c>
      <c r="E1747" s="2">
        <v>32500</v>
      </c>
      <c r="F1747" s="2">
        <v>0</v>
      </c>
      <c r="G1747" t="s">
        <v>24</v>
      </c>
      <c r="H1747" t="s">
        <v>20</v>
      </c>
      <c r="I1747" t="s">
        <v>18</v>
      </c>
      <c r="J1747" s="3">
        <v>45573</v>
      </c>
      <c r="K1747" s="4">
        <f>ClientiBanca[[#This Row],[Prestito]]+ClientiBanca[[#This Row],[Mutuo]]</f>
        <v>32500</v>
      </c>
      <c r="L1747" t="str">
        <f>IF(ClientiBanca[[#This Row],[Reddito annuo]]&gt;=70000,"si","no")</f>
        <v>no</v>
      </c>
    </row>
    <row r="1748" spans="1:12">
      <c r="A1748">
        <v>101747</v>
      </c>
      <c r="B1748">
        <v>44</v>
      </c>
      <c r="C1748" s="2">
        <v>83500</v>
      </c>
      <c r="D1748" t="s">
        <v>22</v>
      </c>
      <c r="E1748" s="2">
        <v>41400</v>
      </c>
      <c r="F1748" s="2">
        <v>0</v>
      </c>
      <c r="G1748" t="s">
        <v>28</v>
      </c>
      <c r="H1748" t="s">
        <v>17</v>
      </c>
      <c r="I1748" t="s">
        <v>18</v>
      </c>
      <c r="J1748" s="3">
        <v>45846</v>
      </c>
      <c r="K1748" s="4">
        <f>ClientiBanca[[#This Row],[Prestito]]+ClientiBanca[[#This Row],[Mutuo]]</f>
        <v>41400</v>
      </c>
      <c r="L1748" t="str">
        <f>IF(ClientiBanca[[#This Row],[Reddito annuo]]&gt;=70000,"si","no")</f>
        <v>si</v>
      </c>
    </row>
    <row r="1749" spans="1:12">
      <c r="A1749">
        <v>101748</v>
      </c>
      <c r="B1749">
        <v>29</v>
      </c>
      <c r="C1749" s="2">
        <v>92500</v>
      </c>
      <c r="D1749" t="s">
        <v>12</v>
      </c>
      <c r="E1749" s="2">
        <v>33600</v>
      </c>
      <c r="F1749" s="2">
        <v>0</v>
      </c>
      <c r="G1749" t="s">
        <v>24</v>
      </c>
      <c r="H1749" t="s">
        <v>20</v>
      </c>
      <c r="I1749" t="s">
        <v>18</v>
      </c>
      <c r="J1749" s="3">
        <v>45797</v>
      </c>
      <c r="K1749" s="4">
        <f>ClientiBanca[[#This Row],[Prestito]]+ClientiBanca[[#This Row],[Mutuo]]</f>
        <v>33600</v>
      </c>
      <c r="L1749" t="str">
        <f>IF(ClientiBanca[[#This Row],[Reddito annuo]]&gt;=70000,"si","no")</f>
        <v>si</v>
      </c>
    </row>
    <row r="1750" spans="1:12">
      <c r="A1750">
        <v>101749</v>
      </c>
      <c r="B1750">
        <v>67</v>
      </c>
      <c r="C1750" s="2">
        <v>28100</v>
      </c>
      <c r="D1750" t="s">
        <v>12</v>
      </c>
      <c r="E1750" s="2">
        <v>35100</v>
      </c>
      <c r="F1750" s="2">
        <v>0</v>
      </c>
      <c r="G1750" t="s">
        <v>24</v>
      </c>
      <c r="H1750" t="s">
        <v>14</v>
      </c>
      <c r="I1750" t="s">
        <v>18</v>
      </c>
      <c r="J1750" s="3">
        <v>45669</v>
      </c>
      <c r="K1750" s="4">
        <f>ClientiBanca[[#This Row],[Prestito]]+ClientiBanca[[#This Row],[Mutuo]]</f>
        <v>35100</v>
      </c>
      <c r="L1750" t="str">
        <f>IF(ClientiBanca[[#This Row],[Reddito annuo]]&gt;=70000,"si","no")</f>
        <v>no</v>
      </c>
    </row>
    <row r="1751" spans="1:12">
      <c r="A1751">
        <v>101750</v>
      </c>
      <c r="B1751">
        <v>23</v>
      </c>
      <c r="C1751" s="2">
        <v>75200</v>
      </c>
      <c r="D1751" t="s">
        <v>22</v>
      </c>
      <c r="E1751" s="2">
        <v>61100</v>
      </c>
      <c r="F1751" s="2">
        <v>0</v>
      </c>
      <c r="G1751" t="s">
        <v>16</v>
      </c>
      <c r="H1751" t="s">
        <v>20</v>
      </c>
      <c r="I1751" t="s">
        <v>18</v>
      </c>
      <c r="J1751" s="3">
        <v>45994</v>
      </c>
      <c r="K1751" s="4">
        <f>ClientiBanca[[#This Row],[Prestito]]+ClientiBanca[[#This Row],[Mutuo]]</f>
        <v>61100</v>
      </c>
      <c r="L1751" t="str">
        <f>IF(ClientiBanca[[#This Row],[Reddito annuo]]&gt;=70000,"si","no")</f>
        <v>si</v>
      </c>
    </row>
    <row r="1752" spans="1:12">
      <c r="A1752">
        <v>101751</v>
      </c>
      <c r="B1752">
        <v>49</v>
      </c>
      <c r="C1752" s="2">
        <v>64800</v>
      </c>
      <c r="D1752" t="s">
        <v>21</v>
      </c>
      <c r="E1752" s="2">
        <v>22400</v>
      </c>
      <c r="F1752" s="2">
        <v>0</v>
      </c>
      <c r="G1752" t="s">
        <v>19</v>
      </c>
      <c r="H1752" t="s">
        <v>14</v>
      </c>
      <c r="I1752" t="s">
        <v>18</v>
      </c>
      <c r="J1752" s="3">
        <v>45478</v>
      </c>
      <c r="K1752" s="4">
        <f>ClientiBanca[[#This Row],[Prestito]]+ClientiBanca[[#This Row],[Mutuo]]</f>
        <v>22400</v>
      </c>
      <c r="L1752" t="str">
        <f>IF(ClientiBanca[[#This Row],[Reddito annuo]]&gt;=70000,"si","no")</f>
        <v>no</v>
      </c>
    </row>
    <row r="1753" spans="1:12">
      <c r="A1753">
        <v>101752</v>
      </c>
      <c r="B1753">
        <v>53</v>
      </c>
      <c r="C1753" s="2">
        <v>52700</v>
      </c>
      <c r="D1753" t="s">
        <v>12</v>
      </c>
      <c r="E1753" s="2">
        <v>26000</v>
      </c>
      <c r="F1753" s="2">
        <v>0</v>
      </c>
      <c r="G1753" t="s">
        <v>26</v>
      </c>
      <c r="H1753" t="s">
        <v>20</v>
      </c>
      <c r="I1753" t="s">
        <v>18</v>
      </c>
      <c r="J1753" s="3">
        <v>45428</v>
      </c>
      <c r="K1753" s="4">
        <f>ClientiBanca[[#This Row],[Prestito]]+ClientiBanca[[#This Row],[Mutuo]]</f>
        <v>26000</v>
      </c>
      <c r="L1753" t="str">
        <f>IF(ClientiBanca[[#This Row],[Reddito annuo]]&gt;=70000,"si","no")</f>
        <v>no</v>
      </c>
    </row>
    <row r="1754" spans="1:12">
      <c r="A1754">
        <v>101753</v>
      </c>
      <c r="B1754">
        <v>63</v>
      </c>
      <c r="C1754" s="2">
        <v>62100</v>
      </c>
      <c r="D1754" t="s">
        <v>12</v>
      </c>
      <c r="E1754" s="2">
        <v>27900</v>
      </c>
      <c r="F1754" s="2">
        <v>0</v>
      </c>
      <c r="G1754" t="s">
        <v>23</v>
      </c>
      <c r="H1754" t="s">
        <v>17</v>
      </c>
      <c r="I1754" t="s">
        <v>18</v>
      </c>
      <c r="J1754" s="3">
        <v>45878</v>
      </c>
      <c r="K1754" s="4">
        <f>ClientiBanca[[#This Row],[Prestito]]+ClientiBanca[[#This Row],[Mutuo]]</f>
        <v>27900</v>
      </c>
      <c r="L1754" t="str">
        <f>IF(ClientiBanca[[#This Row],[Reddito annuo]]&gt;=70000,"si","no")</f>
        <v>no</v>
      </c>
    </row>
    <row r="1755" spans="1:12">
      <c r="A1755">
        <v>101754</v>
      </c>
      <c r="B1755">
        <v>26</v>
      </c>
      <c r="C1755" s="2">
        <v>49400</v>
      </c>
      <c r="D1755" t="s">
        <v>21</v>
      </c>
      <c r="E1755" s="2">
        <v>45000</v>
      </c>
      <c r="F1755" s="2">
        <v>0</v>
      </c>
      <c r="G1755" t="s">
        <v>19</v>
      </c>
      <c r="H1755" t="s">
        <v>14</v>
      </c>
      <c r="I1755" t="s">
        <v>18</v>
      </c>
      <c r="J1755" s="3">
        <v>45474</v>
      </c>
      <c r="K1755" s="4">
        <f>ClientiBanca[[#This Row],[Prestito]]+ClientiBanca[[#This Row],[Mutuo]]</f>
        <v>45000</v>
      </c>
      <c r="L1755" t="str">
        <f>IF(ClientiBanca[[#This Row],[Reddito annuo]]&gt;=70000,"si","no")</f>
        <v>no</v>
      </c>
    </row>
    <row r="1756" spans="1:12">
      <c r="A1756">
        <v>101755</v>
      </c>
      <c r="B1756">
        <v>41</v>
      </c>
      <c r="C1756" s="2">
        <v>52400</v>
      </c>
      <c r="D1756" t="s">
        <v>22</v>
      </c>
      <c r="E1756" s="2">
        <v>65500</v>
      </c>
      <c r="F1756" s="2">
        <v>254000</v>
      </c>
      <c r="G1756" t="s">
        <v>19</v>
      </c>
      <c r="H1756" t="s">
        <v>17</v>
      </c>
      <c r="I1756" t="s">
        <v>18</v>
      </c>
      <c r="J1756" s="3">
        <v>45670</v>
      </c>
      <c r="K1756" s="4">
        <f>ClientiBanca[[#This Row],[Prestito]]+ClientiBanca[[#This Row],[Mutuo]]</f>
        <v>319500</v>
      </c>
      <c r="L1756" t="str">
        <f>IF(ClientiBanca[[#This Row],[Reddito annuo]]&gt;=70000,"si","no")</f>
        <v>no</v>
      </c>
    </row>
    <row r="1757" spans="1:12">
      <c r="A1757">
        <v>101756</v>
      </c>
      <c r="B1757">
        <v>26</v>
      </c>
      <c r="C1757" s="2">
        <v>42500</v>
      </c>
      <c r="D1757" t="s">
        <v>22</v>
      </c>
      <c r="E1757" s="2">
        <v>37200</v>
      </c>
      <c r="F1757" s="2">
        <v>0</v>
      </c>
      <c r="G1757" t="s">
        <v>19</v>
      </c>
      <c r="H1757" t="s">
        <v>20</v>
      </c>
      <c r="I1757" t="s">
        <v>18</v>
      </c>
      <c r="J1757" s="3">
        <v>45823</v>
      </c>
      <c r="K1757" s="4">
        <f>ClientiBanca[[#This Row],[Prestito]]+ClientiBanca[[#This Row],[Mutuo]]</f>
        <v>37200</v>
      </c>
      <c r="L1757" t="str">
        <f>IF(ClientiBanca[[#This Row],[Reddito annuo]]&gt;=70000,"si","no")</f>
        <v>no</v>
      </c>
    </row>
    <row r="1758" spans="1:12">
      <c r="A1758">
        <v>101757</v>
      </c>
      <c r="B1758">
        <v>36</v>
      </c>
      <c r="C1758" s="2">
        <v>109200</v>
      </c>
      <c r="D1758" t="s">
        <v>22</v>
      </c>
      <c r="E1758" s="2">
        <v>6700</v>
      </c>
      <c r="F1758" s="2">
        <v>0</v>
      </c>
      <c r="G1758" t="s">
        <v>28</v>
      </c>
      <c r="H1758" t="s">
        <v>17</v>
      </c>
      <c r="I1758" t="s">
        <v>18</v>
      </c>
      <c r="J1758" s="3">
        <v>45559</v>
      </c>
      <c r="K1758" s="4">
        <f>ClientiBanca[[#This Row],[Prestito]]+ClientiBanca[[#This Row],[Mutuo]]</f>
        <v>6700</v>
      </c>
      <c r="L1758" t="str">
        <f>IF(ClientiBanca[[#This Row],[Reddito annuo]]&gt;=70000,"si","no")</f>
        <v>si</v>
      </c>
    </row>
    <row r="1759" spans="1:12">
      <c r="A1759">
        <v>101758</v>
      </c>
      <c r="B1759">
        <v>34</v>
      </c>
      <c r="C1759" s="2">
        <v>22500</v>
      </c>
      <c r="D1759" t="s">
        <v>21</v>
      </c>
      <c r="E1759" s="2">
        <v>28100</v>
      </c>
      <c r="F1759" s="2">
        <v>0</v>
      </c>
      <c r="G1759" t="s">
        <v>13</v>
      </c>
      <c r="H1759" t="s">
        <v>25</v>
      </c>
      <c r="I1759" t="s">
        <v>15</v>
      </c>
      <c r="J1759" s="3">
        <v>45784</v>
      </c>
      <c r="K1759" s="4">
        <f>ClientiBanca[[#This Row],[Prestito]]+ClientiBanca[[#This Row],[Mutuo]]</f>
        <v>28100</v>
      </c>
      <c r="L1759" t="str">
        <f>IF(ClientiBanca[[#This Row],[Reddito annuo]]&gt;=70000,"si","no")</f>
        <v>no</v>
      </c>
    </row>
    <row r="1760" spans="1:12">
      <c r="A1760">
        <v>101759</v>
      </c>
      <c r="B1760">
        <v>58</v>
      </c>
      <c r="C1760" s="2">
        <v>58700</v>
      </c>
      <c r="D1760" t="s">
        <v>21</v>
      </c>
      <c r="E1760" s="2">
        <v>46700</v>
      </c>
      <c r="F1760" s="2">
        <v>0</v>
      </c>
      <c r="G1760" t="s">
        <v>26</v>
      </c>
      <c r="H1760" t="s">
        <v>14</v>
      </c>
      <c r="I1760" t="s">
        <v>15</v>
      </c>
      <c r="J1760" s="3">
        <v>45664</v>
      </c>
      <c r="K1760" s="4">
        <f>ClientiBanca[[#This Row],[Prestito]]+ClientiBanca[[#This Row],[Mutuo]]</f>
        <v>46700</v>
      </c>
      <c r="L1760" t="str">
        <f>IF(ClientiBanca[[#This Row],[Reddito annuo]]&gt;=70000,"si","no")</f>
        <v>no</v>
      </c>
    </row>
    <row r="1761" spans="1:12">
      <c r="A1761">
        <v>101760</v>
      </c>
      <c r="B1761">
        <v>33</v>
      </c>
      <c r="C1761" s="2">
        <v>52800</v>
      </c>
      <c r="D1761" t="s">
        <v>21</v>
      </c>
      <c r="E1761" s="2">
        <v>14300</v>
      </c>
      <c r="F1761" s="2">
        <v>0</v>
      </c>
      <c r="G1761" t="s">
        <v>23</v>
      </c>
      <c r="H1761" t="s">
        <v>20</v>
      </c>
      <c r="I1761" t="s">
        <v>18</v>
      </c>
      <c r="J1761" s="3">
        <v>45666</v>
      </c>
      <c r="K1761" s="4">
        <f>ClientiBanca[[#This Row],[Prestito]]+ClientiBanca[[#This Row],[Mutuo]]</f>
        <v>14300</v>
      </c>
      <c r="L1761" t="str">
        <f>IF(ClientiBanca[[#This Row],[Reddito annuo]]&gt;=70000,"si","no")</f>
        <v>no</v>
      </c>
    </row>
    <row r="1762" spans="1:12">
      <c r="A1762">
        <v>101761</v>
      </c>
      <c r="B1762">
        <v>59</v>
      </c>
      <c r="C1762" s="2">
        <v>96500</v>
      </c>
      <c r="D1762" t="s">
        <v>12</v>
      </c>
      <c r="E1762" s="2">
        <v>58800</v>
      </c>
      <c r="F1762" s="2">
        <v>0</v>
      </c>
      <c r="G1762" t="s">
        <v>23</v>
      </c>
      <c r="H1762" t="s">
        <v>17</v>
      </c>
      <c r="I1762" t="s">
        <v>18</v>
      </c>
      <c r="J1762" s="3">
        <v>45616</v>
      </c>
      <c r="K1762" s="4">
        <f>ClientiBanca[[#This Row],[Prestito]]+ClientiBanca[[#This Row],[Mutuo]]</f>
        <v>58800</v>
      </c>
      <c r="L1762" t="str">
        <f>IF(ClientiBanca[[#This Row],[Reddito annuo]]&gt;=70000,"si","no")</f>
        <v>si</v>
      </c>
    </row>
    <row r="1763" spans="1:12">
      <c r="A1763">
        <v>101762</v>
      </c>
      <c r="B1763">
        <v>22</v>
      </c>
      <c r="C1763" s="2">
        <v>24600</v>
      </c>
      <c r="D1763" t="s">
        <v>12</v>
      </c>
      <c r="E1763" s="2">
        <v>0</v>
      </c>
      <c r="F1763" s="2">
        <v>0</v>
      </c>
      <c r="G1763" t="s">
        <v>13</v>
      </c>
      <c r="H1763" t="s">
        <v>17</v>
      </c>
      <c r="I1763" t="s">
        <v>18</v>
      </c>
      <c r="J1763" s="3">
        <v>46080</v>
      </c>
      <c r="K1763" s="4">
        <f>ClientiBanca[[#This Row],[Prestito]]+ClientiBanca[[#This Row],[Mutuo]]</f>
        <v>0</v>
      </c>
      <c r="L1763" t="str">
        <f>IF(ClientiBanca[[#This Row],[Reddito annuo]]&gt;=70000,"si","no")</f>
        <v>no</v>
      </c>
    </row>
    <row r="1764" spans="1:12">
      <c r="A1764">
        <v>101763</v>
      </c>
      <c r="B1764">
        <v>70</v>
      </c>
      <c r="C1764" s="2">
        <v>33300</v>
      </c>
      <c r="D1764" t="s">
        <v>12</v>
      </c>
      <c r="E1764" s="2">
        <v>27500</v>
      </c>
      <c r="F1764" s="2">
        <v>0</v>
      </c>
      <c r="G1764" t="s">
        <v>13</v>
      </c>
      <c r="H1764" t="s">
        <v>14</v>
      </c>
      <c r="I1764" t="s">
        <v>18</v>
      </c>
      <c r="J1764" s="3">
        <v>45866</v>
      </c>
      <c r="K1764" s="4">
        <f>ClientiBanca[[#This Row],[Prestito]]+ClientiBanca[[#This Row],[Mutuo]]</f>
        <v>27500</v>
      </c>
      <c r="L1764" t="str">
        <f>IF(ClientiBanca[[#This Row],[Reddito annuo]]&gt;=70000,"si","no")</f>
        <v>no</v>
      </c>
    </row>
    <row r="1765" spans="1:12">
      <c r="A1765">
        <v>101764</v>
      </c>
      <c r="B1765">
        <v>23</v>
      </c>
      <c r="C1765" s="2">
        <v>67600</v>
      </c>
      <c r="D1765" t="s">
        <v>22</v>
      </c>
      <c r="E1765" s="2">
        <v>0</v>
      </c>
      <c r="F1765" s="2">
        <v>180000</v>
      </c>
      <c r="G1765" t="s">
        <v>23</v>
      </c>
      <c r="H1765" t="s">
        <v>14</v>
      </c>
      <c r="I1765" t="s">
        <v>18</v>
      </c>
      <c r="J1765" s="3">
        <v>45831</v>
      </c>
      <c r="K1765" s="4">
        <f>ClientiBanca[[#This Row],[Prestito]]+ClientiBanca[[#This Row],[Mutuo]]</f>
        <v>180000</v>
      </c>
      <c r="L1765" t="str">
        <f>IF(ClientiBanca[[#This Row],[Reddito annuo]]&gt;=70000,"si","no")</f>
        <v>no</v>
      </c>
    </row>
    <row r="1766" spans="1:12">
      <c r="A1766">
        <v>101765</v>
      </c>
      <c r="B1766">
        <v>55</v>
      </c>
      <c r="C1766" s="2">
        <v>92400</v>
      </c>
      <c r="D1766" t="s">
        <v>21</v>
      </c>
      <c r="E1766" s="2">
        <v>15900</v>
      </c>
      <c r="F1766" s="2">
        <v>0</v>
      </c>
      <c r="G1766" t="s">
        <v>16</v>
      </c>
      <c r="H1766" t="s">
        <v>20</v>
      </c>
      <c r="I1766" t="s">
        <v>18</v>
      </c>
      <c r="J1766" s="3">
        <v>46176</v>
      </c>
      <c r="K1766" s="4">
        <f>ClientiBanca[[#This Row],[Prestito]]+ClientiBanca[[#This Row],[Mutuo]]</f>
        <v>15900</v>
      </c>
      <c r="L1766" t="str">
        <f>IF(ClientiBanca[[#This Row],[Reddito annuo]]&gt;=70000,"si","no")</f>
        <v>si</v>
      </c>
    </row>
    <row r="1767" spans="1:12">
      <c r="A1767">
        <v>101766</v>
      </c>
      <c r="B1767">
        <v>69</v>
      </c>
      <c r="C1767" s="2">
        <v>65900</v>
      </c>
      <c r="D1767" t="s">
        <v>21</v>
      </c>
      <c r="E1767" s="2">
        <v>0</v>
      </c>
      <c r="F1767" s="2">
        <v>0</v>
      </c>
      <c r="G1767" t="s">
        <v>26</v>
      </c>
      <c r="H1767" t="s">
        <v>20</v>
      </c>
      <c r="I1767" t="s">
        <v>18</v>
      </c>
      <c r="J1767" s="3">
        <v>45463</v>
      </c>
      <c r="K1767" s="4">
        <f>ClientiBanca[[#This Row],[Prestito]]+ClientiBanca[[#This Row],[Mutuo]]</f>
        <v>0</v>
      </c>
      <c r="L1767" t="str">
        <f>IF(ClientiBanca[[#This Row],[Reddito annuo]]&gt;=70000,"si","no")</f>
        <v>no</v>
      </c>
    </row>
    <row r="1768" spans="1:12">
      <c r="A1768">
        <v>101767</v>
      </c>
      <c r="B1768">
        <v>28</v>
      </c>
      <c r="C1768" s="2">
        <v>59300</v>
      </c>
      <c r="D1768" t="s">
        <v>21</v>
      </c>
      <c r="E1768" s="2">
        <v>49500</v>
      </c>
      <c r="F1768" s="2">
        <v>0</v>
      </c>
      <c r="G1768" t="s">
        <v>19</v>
      </c>
      <c r="H1768" t="s">
        <v>14</v>
      </c>
      <c r="I1768" t="s">
        <v>18</v>
      </c>
      <c r="J1768" s="3">
        <v>45664</v>
      </c>
      <c r="K1768" s="4">
        <f>ClientiBanca[[#This Row],[Prestito]]+ClientiBanca[[#This Row],[Mutuo]]</f>
        <v>49500</v>
      </c>
      <c r="L1768" t="str">
        <f>IF(ClientiBanca[[#This Row],[Reddito annuo]]&gt;=70000,"si","no")</f>
        <v>no</v>
      </c>
    </row>
    <row r="1769" spans="1:12">
      <c r="A1769">
        <v>101768</v>
      </c>
      <c r="B1769">
        <v>70</v>
      </c>
      <c r="C1769" s="2">
        <v>93800</v>
      </c>
      <c r="D1769" t="s">
        <v>12</v>
      </c>
      <c r="E1769" s="2">
        <v>0</v>
      </c>
      <c r="F1769" s="2">
        <v>0</v>
      </c>
      <c r="G1769" t="s">
        <v>24</v>
      </c>
      <c r="H1769" t="s">
        <v>20</v>
      </c>
      <c r="I1769" t="s">
        <v>18</v>
      </c>
      <c r="J1769" s="3">
        <v>45921</v>
      </c>
      <c r="K1769" s="4">
        <f>ClientiBanca[[#This Row],[Prestito]]+ClientiBanca[[#This Row],[Mutuo]]</f>
        <v>0</v>
      </c>
      <c r="L1769" t="str">
        <f>IF(ClientiBanca[[#This Row],[Reddito annuo]]&gt;=70000,"si","no")</f>
        <v>si</v>
      </c>
    </row>
    <row r="1770" spans="1:12">
      <c r="A1770">
        <v>101769</v>
      </c>
      <c r="B1770">
        <v>27</v>
      </c>
      <c r="C1770" s="2">
        <v>112100</v>
      </c>
      <c r="D1770" t="s">
        <v>12</v>
      </c>
      <c r="E1770" s="2">
        <v>25000</v>
      </c>
      <c r="F1770" s="2">
        <v>304000</v>
      </c>
      <c r="G1770" t="s">
        <v>27</v>
      </c>
      <c r="H1770" t="s">
        <v>20</v>
      </c>
      <c r="I1770" t="s">
        <v>18</v>
      </c>
      <c r="J1770" s="3">
        <v>45673</v>
      </c>
      <c r="K1770" s="4">
        <f>ClientiBanca[[#This Row],[Prestito]]+ClientiBanca[[#This Row],[Mutuo]]</f>
        <v>329000</v>
      </c>
      <c r="L1770" t="str">
        <f>IF(ClientiBanca[[#This Row],[Reddito annuo]]&gt;=70000,"si","no")</f>
        <v>si</v>
      </c>
    </row>
    <row r="1771" spans="1:12">
      <c r="A1771">
        <v>101770</v>
      </c>
      <c r="B1771">
        <v>60</v>
      </c>
      <c r="C1771" s="2">
        <v>42900</v>
      </c>
      <c r="D1771" t="s">
        <v>12</v>
      </c>
      <c r="E1771" s="2">
        <v>53600</v>
      </c>
      <c r="F1771" s="2">
        <v>0</v>
      </c>
      <c r="G1771" t="s">
        <v>13</v>
      </c>
      <c r="H1771" t="s">
        <v>14</v>
      </c>
      <c r="I1771" t="s">
        <v>18</v>
      </c>
      <c r="J1771" s="3">
        <v>45362</v>
      </c>
      <c r="K1771" s="4">
        <f>ClientiBanca[[#This Row],[Prestito]]+ClientiBanca[[#This Row],[Mutuo]]</f>
        <v>53600</v>
      </c>
      <c r="L1771" t="str">
        <f>IF(ClientiBanca[[#This Row],[Reddito annuo]]&gt;=70000,"si","no")</f>
        <v>no</v>
      </c>
    </row>
    <row r="1772" spans="1:12">
      <c r="A1772">
        <v>101771</v>
      </c>
      <c r="B1772">
        <v>33</v>
      </c>
      <c r="C1772" s="2">
        <v>21900</v>
      </c>
      <c r="D1772" t="s">
        <v>21</v>
      </c>
      <c r="E1772" s="2">
        <v>19000</v>
      </c>
      <c r="F1772" s="2">
        <v>0</v>
      </c>
      <c r="G1772" t="s">
        <v>24</v>
      </c>
      <c r="H1772" t="s">
        <v>14</v>
      </c>
      <c r="I1772" t="s">
        <v>18</v>
      </c>
      <c r="J1772" s="3">
        <v>45583</v>
      </c>
      <c r="K1772" s="4">
        <f>ClientiBanca[[#This Row],[Prestito]]+ClientiBanca[[#This Row],[Mutuo]]</f>
        <v>19000</v>
      </c>
      <c r="L1772" t="str">
        <f>IF(ClientiBanca[[#This Row],[Reddito annuo]]&gt;=70000,"si","no")</f>
        <v>no</v>
      </c>
    </row>
    <row r="1773" spans="1:12">
      <c r="A1773">
        <v>101772</v>
      </c>
      <c r="B1773">
        <v>74</v>
      </c>
      <c r="C1773" s="2">
        <v>61200</v>
      </c>
      <c r="D1773" t="s">
        <v>12</v>
      </c>
      <c r="E1773" s="2">
        <v>40900</v>
      </c>
      <c r="F1773" s="2">
        <v>0</v>
      </c>
      <c r="G1773" t="s">
        <v>24</v>
      </c>
      <c r="H1773" t="s">
        <v>17</v>
      </c>
      <c r="I1773" t="s">
        <v>18</v>
      </c>
      <c r="J1773" s="3">
        <v>46251</v>
      </c>
      <c r="K1773" s="4">
        <f>ClientiBanca[[#This Row],[Prestito]]+ClientiBanca[[#This Row],[Mutuo]]</f>
        <v>40900</v>
      </c>
      <c r="L1773" t="str">
        <f>IF(ClientiBanca[[#This Row],[Reddito annuo]]&gt;=70000,"si","no")</f>
        <v>no</v>
      </c>
    </row>
    <row r="1774" spans="1:12">
      <c r="A1774">
        <v>101773</v>
      </c>
      <c r="B1774">
        <v>34</v>
      </c>
      <c r="C1774" s="2">
        <v>54600</v>
      </c>
      <c r="D1774" t="s">
        <v>22</v>
      </c>
      <c r="E1774" s="2">
        <v>0</v>
      </c>
      <c r="F1774" s="2">
        <v>0</v>
      </c>
      <c r="G1774" t="s">
        <v>26</v>
      </c>
      <c r="H1774" t="s">
        <v>17</v>
      </c>
      <c r="I1774" t="s">
        <v>18</v>
      </c>
      <c r="J1774" s="3">
        <v>45445</v>
      </c>
      <c r="K1774" s="4">
        <f>ClientiBanca[[#This Row],[Prestito]]+ClientiBanca[[#This Row],[Mutuo]]</f>
        <v>0</v>
      </c>
      <c r="L1774" t="str">
        <f>IF(ClientiBanca[[#This Row],[Reddito annuo]]&gt;=70000,"si","no")</f>
        <v>no</v>
      </c>
    </row>
    <row r="1775" spans="1:12">
      <c r="A1775">
        <v>101774</v>
      </c>
      <c r="B1775">
        <v>67</v>
      </c>
      <c r="C1775" s="2">
        <v>22100</v>
      </c>
      <c r="D1775" t="s">
        <v>21</v>
      </c>
      <c r="E1775" s="2">
        <v>27600</v>
      </c>
      <c r="F1775" s="2">
        <v>0</v>
      </c>
      <c r="G1775" t="s">
        <v>19</v>
      </c>
      <c r="H1775" t="s">
        <v>17</v>
      </c>
      <c r="I1775" t="s">
        <v>18</v>
      </c>
      <c r="J1775" s="3">
        <v>45363</v>
      </c>
      <c r="K1775" s="4">
        <f>ClientiBanca[[#This Row],[Prestito]]+ClientiBanca[[#This Row],[Mutuo]]</f>
        <v>27600</v>
      </c>
      <c r="L1775" t="str">
        <f>IF(ClientiBanca[[#This Row],[Reddito annuo]]&gt;=70000,"si","no")</f>
        <v>no</v>
      </c>
    </row>
    <row r="1776" spans="1:12">
      <c r="A1776">
        <v>101775</v>
      </c>
      <c r="B1776">
        <v>53</v>
      </c>
      <c r="C1776" s="2">
        <v>42200</v>
      </c>
      <c r="D1776" t="s">
        <v>12</v>
      </c>
      <c r="E1776" s="2">
        <v>52800</v>
      </c>
      <c r="F1776" s="2">
        <v>133000</v>
      </c>
      <c r="G1776" t="s">
        <v>13</v>
      </c>
      <c r="H1776" t="s">
        <v>20</v>
      </c>
      <c r="I1776" t="s">
        <v>18</v>
      </c>
      <c r="J1776" s="3">
        <v>46191</v>
      </c>
      <c r="K1776" s="4">
        <f>ClientiBanca[[#This Row],[Prestito]]+ClientiBanca[[#This Row],[Mutuo]]</f>
        <v>185800</v>
      </c>
      <c r="L1776" t="str">
        <f>IF(ClientiBanca[[#This Row],[Reddito annuo]]&gt;=70000,"si","no")</f>
        <v>no</v>
      </c>
    </row>
    <row r="1777" spans="1:12">
      <c r="A1777">
        <v>101776</v>
      </c>
      <c r="B1777">
        <v>73</v>
      </c>
      <c r="C1777" s="2">
        <v>70900</v>
      </c>
      <c r="D1777" t="s">
        <v>12</v>
      </c>
      <c r="E1777" s="2">
        <v>11100</v>
      </c>
      <c r="F1777" s="2">
        <v>0</v>
      </c>
      <c r="G1777" t="s">
        <v>13</v>
      </c>
      <c r="H1777" t="s">
        <v>17</v>
      </c>
      <c r="I1777" t="s">
        <v>18</v>
      </c>
      <c r="J1777" s="3">
        <v>45793</v>
      </c>
      <c r="K1777" s="4">
        <f>ClientiBanca[[#This Row],[Prestito]]+ClientiBanca[[#This Row],[Mutuo]]</f>
        <v>11100</v>
      </c>
      <c r="L1777" t="str">
        <f>IF(ClientiBanca[[#This Row],[Reddito annuo]]&gt;=70000,"si","no")</f>
        <v>si</v>
      </c>
    </row>
    <row r="1778" spans="1:12">
      <c r="A1778">
        <v>101777</v>
      </c>
      <c r="B1778">
        <v>30</v>
      </c>
      <c r="C1778" s="2">
        <v>41400</v>
      </c>
      <c r="D1778" t="s">
        <v>12</v>
      </c>
      <c r="E1778" s="2">
        <v>35600</v>
      </c>
      <c r="F1778" s="2">
        <v>0</v>
      </c>
      <c r="G1778" t="s">
        <v>16</v>
      </c>
      <c r="H1778" t="s">
        <v>17</v>
      </c>
      <c r="I1778" t="s">
        <v>18</v>
      </c>
      <c r="J1778" s="3">
        <v>45758</v>
      </c>
      <c r="K1778" s="4">
        <f>ClientiBanca[[#This Row],[Prestito]]+ClientiBanca[[#This Row],[Mutuo]]</f>
        <v>35600</v>
      </c>
      <c r="L1778" t="str">
        <f>IF(ClientiBanca[[#This Row],[Reddito annuo]]&gt;=70000,"si","no")</f>
        <v>no</v>
      </c>
    </row>
    <row r="1779" spans="1:12">
      <c r="A1779">
        <v>101778</v>
      </c>
      <c r="B1779">
        <v>31</v>
      </c>
      <c r="C1779" s="2">
        <v>84200</v>
      </c>
      <c r="D1779" t="s">
        <v>22</v>
      </c>
      <c r="E1779" s="2">
        <v>24400</v>
      </c>
      <c r="F1779" s="2">
        <v>0</v>
      </c>
      <c r="G1779" t="s">
        <v>19</v>
      </c>
      <c r="H1779" t="s">
        <v>17</v>
      </c>
      <c r="I1779" t="s">
        <v>18</v>
      </c>
      <c r="J1779" s="3">
        <v>45430</v>
      </c>
      <c r="K1779" s="4">
        <f>ClientiBanca[[#This Row],[Prestito]]+ClientiBanca[[#This Row],[Mutuo]]</f>
        <v>24400</v>
      </c>
      <c r="L1779" t="str">
        <f>IF(ClientiBanca[[#This Row],[Reddito annuo]]&gt;=70000,"si","no")</f>
        <v>si</v>
      </c>
    </row>
    <row r="1780" spans="1:12">
      <c r="A1780">
        <v>101779</v>
      </c>
      <c r="B1780">
        <v>44</v>
      </c>
      <c r="C1780" s="2">
        <v>38400</v>
      </c>
      <c r="D1780" t="s">
        <v>12</v>
      </c>
      <c r="E1780" s="2">
        <v>16200</v>
      </c>
      <c r="F1780" s="2">
        <v>292000</v>
      </c>
      <c r="G1780" t="s">
        <v>28</v>
      </c>
      <c r="H1780" t="s">
        <v>17</v>
      </c>
      <c r="I1780" t="s">
        <v>18</v>
      </c>
      <c r="J1780" s="3">
        <v>45538</v>
      </c>
      <c r="K1780" s="4">
        <f>ClientiBanca[[#This Row],[Prestito]]+ClientiBanca[[#This Row],[Mutuo]]</f>
        <v>308200</v>
      </c>
      <c r="L1780" t="str">
        <f>IF(ClientiBanca[[#This Row],[Reddito annuo]]&gt;=70000,"si","no")</f>
        <v>no</v>
      </c>
    </row>
    <row r="1781" spans="1:12">
      <c r="A1781">
        <v>101780</v>
      </c>
      <c r="B1781">
        <v>66</v>
      </c>
      <c r="C1781" s="2">
        <v>34600</v>
      </c>
      <c r="D1781" t="s">
        <v>21</v>
      </c>
      <c r="E1781" s="2">
        <v>0</v>
      </c>
      <c r="F1781" s="2">
        <v>0</v>
      </c>
      <c r="G1781" t="s">
        <v>13</v>
      </c>
      <c r="H1781" t="s">
        <v>14</v>
      </c>
      <c r="I1781" t="s">
        <v>18</v>
      </c>
      <c r="J1781" s="3">
        <v>45471</v>
      </c>
      <c r="K1781" s="4">
        <f>ClientiBanca[[#This Row],[Prestito]]+ClientiBanca[[#This Row],[Mutuo]]</f>
        <v>0</v>
      </c>
      <c r="L1781" t="str">
        <f>IF(ClientiBanca[[#This Row],[Reddito annuo]]&gt;=70000,"si","no")</f>
        <v>no</v>
      </c>
    </row>
    <row r="1782" spans="1:12">
      <c r="A1782">
        <v>101781</v>
      </c>
      <c r="B1782">
        <v>24</v>
      </c>
      <c r="C1782" s="2">
        <v>56900</v>
      </c>
      <c r="D1782" t="s">
        <v>21</v>
      </c>
      <c r="E1782" s="2">
        <v>47700</v>
      </c>
      <c r="F1782" s="2">
        <v>222000</v>
      </c>
      <c r="G1782" t="s">
        <v>24</v>
      </c>
      <c r="H1782" t="s">
        <v>25</v>
      </c>
      <c r="I1782" t="s">
        <v>18</v>
      </c>
      <c r="J1782" s="3">
        <v>45625</v>
      </c>
      <c r="K1782" s="4">
        <f>ClientiBanca[[#This Row],[Prestito]]+ClientiBanca[[#This Row],[Mutuo]]</f>
        <v>269700</v>
      </c>
      <c r="L1782" t="str">
        <f>IF(ClientiBanca[[#This Row],[Reddito annuo]]&gt;=70000,"si","no")</f>
        <v>no</v>
      </c>
    </row>
    <row r="1783" spans="1:12">
      <c r="A1783">
        <v>101782</v>
      </c>
      <c r="B1783">
        <v>31</v>
      </c>
      <c r="C1783" s="2">
        <v>39500</v>
      </c>
      <c r="D1783" t="s">
        <v>12</v>
      </c>
      <c r="E1783" s="2">
        <v>40600</v>
      </c>
      <c r="F1783" s="2">
        <v>0</v>
      </c>
      <c r="G1783" t="s">
        <v>24</v>
      </c>
      <c r="H1783" t="s">
        <v>25</v>
      </c>
      <c r="I1783" t="s">
        <v>18</v>
      </c>
      <c r="J1783" s="3">
        <v>46110</v>
      </c>
      <c r="K1783" s="4">
        <f>ClientiBanca[[#This Row],[Prestito]]+ClientiBanca[[#This Row],[Mutuo]]</f>
        <v>40600</v>
      </c>
      <c r="L1783" t="str">
        <f>IF(ClientiBanca[[#This Row],[Reddito annuo]]&gt;=70000,"si","no")</f>
        <v>no</v>
      </c>
    </row>
    <row r="1784" spans="1:12">
      <c r="A1784">
        <v>101783</v>
      </c>
      <c r="B1784">
        <v>40</v>
      </c>
      <c r="C1784" s="2">
        <v>71900</v>
      </c>
      <c r="D1784" t="s">
        <v>12</v>
      </c>
      <c r="E1784" s="2">
        <v>20400</v>
      </c>
      <c r="F1784" s="2">
        <v>0</v>
      </c>
      <c r="G1784" t="s">
        <v>23</v>
      </c>
      <c r="H1784" t="s">
        <v>14</v>
      </c>
      <c r="I1784" t="s">
        <v>18</v>
      </c>
      <c r="J1784" s="3">
        <v>45664</v>
      </c>
      <c r="K1784" s="4">
        <f>ClientiBanca[[#This Row],[Prestito]]+ClientiBanca[[#This Row],[Mutuo]]</f>
        <v>20400</v>
      </c>
      <c r="L1784" t="str">
        <f>IF(ClientiBanca[[#This Row],[Reddito annuo]]&gt;=70000,"si","no")</f>
        <v>si</v>
      </c>
    </row>
    <row r="1785" spans="1:12">
      <c r="A1785">
        <v>101784</v>
      </c>
      <c r="B1785">
        <v>64</v>
      </c>
      <c r="C1785" s="2">
        <v>111200</v>
      </c>
      <c r="D1785" t="s">
        <v>12</v>
      </c>
      <c r="E1785" s="2">
        <v>0</v>
      </c>
      <c r="F1785" s="2">
        <v>0</v>
      </c>
      <c r="G1785" t="s">
        <v>19</v>
      </c>
      <c r="H1785" t="s">
        <v>17</v>
      </c>
      <c r="I1785" t="s">
        <v>18</v>
      </c>
      <c r="J1785" s="3">
        <v>45607</v>
      </c>
      <c r="K1785" s="4">
        <f>ClientiBanca[[#This Row],[Prestito]]+ClientiBanca[[#This Row],[Mutuo]]</f>
        <v>0</v>
      </c>
      <c r="L1785" t="str">
        <f>IF(ClientiBanca[[#This Row],[Reddito annuo]]&gt;=70000,"si","no")</f>
        <v>si</v>
      </c>
    </row>
    <row r="1786" spans="1:12">
      <c r="A1786">
        <v>101785</v>
      </c>
      <c r="B1786">
        <v>37</v>
      </c>
      <c r="C1786" s="2">
        <v>54300</v>
      </c>
      <c r="D1786" t="s">
        <v>21</v>
      </c>
      <c r="E1786" s="2">
        <v>49200</v>
      </c>
      <c r="F1786" s="2">
        <v>0</v>
      </c>
      <c r="G1786" t="s">
        <v>23</v>
      </c>
      <c r="H1786" t="s">
        <v>20</v>
      </c>
      <c r="I1786" t="s">
        <v>18</v>
      </c>
      <c r="J1786" s="3">
        <v>45545</v>
      </c>
      <c r="K1786" s="4">
        <f>ClientiBanca[[#This Row],[Prestito]]+ClientiBanca[[#This Row],[Mutuo]]</f>
        <v>49200</v>
      </c>
      <c r="L1786" t="str">
        <f>IF(ClientiBanca[[#This Row],[Reddito annuo]]&gt;=70000,"si","no")</f>
        <v>no</v>
      </c>
    </row>
    <row r="1787" spans="1:12">
      <c r="A1787">
        <v>101786</v>
      </c>
      <c r="B1787">
        <v>21</v>
      </c>
      <c r="C1787" s="2">
        <v>65000</v>
      </c>
      <c r="D1787" t="s">
        <v>21</v>
      </c>
      <c r="E1787" s="2">
        <v>55400</v>
      </c>
      <c r="F1787" s="2">
        <v>0</v>
      </c>
      <c r="G1787" t="s">
        <v>13</v>
      </c>
      <c r="H1787" t="s">
        <v>20</v>
      </c>
      <c r="I1787" t="s">
        <v>18</v>
      </c>
      <c r="J1787" s="3">
        <v>46136</v>
      </c>
      <c r="K1787" s="4">
        <f>ClientiBanca[[#This Row],[Prestito]]+ClientiBanca[[#This Row],[Mutuo]]</f>
        <v>55400</v>
      </c>
      <c r="L1787" t="str">
        <f>IF(ClientiBanca[[#This Row],[Reddito annuo]]&gt;=70000,"si","no")</f>
        <v>no</v>
      </c>
    </row>
    <row r="1788" spans="1:12">
      <c r="A1788">
        <v>101787</v>
      </c>
      <c r="B1788">
        <v>74</v>
      </c>
      <c r="C1788" s="2">
        <v>92900</v>
      </c>
      <c r="D1788" t="s">
        <v>21</v>
      </c>
      <c r="E1788" s="2">
        <v>17700</v>
      </c>
      <c r="F1788" s="2">
        <v>107000</v>
      </c>
      <c r="G1788" t="s">
        <v>23</v>
      </c>
      <c r="H1788" t="s">
        <v>17</v>
      </c>
      <c r="I1788" t="s">
        <v>18</v>
      </c>
      <c r="J1788" s="3">
        <v>46069</v>
      </c>
      <c r="K1788" s="4">
        <f>ClientiBanca[[#This Row],[Prestito]]+ClientiBanca[[#This Row],[Mutuo]]</f>
        <v>124700</v>
      </c>
      <c r="L1788" t="str">
        <f>IF(ClientiBanca[[#This Row],[Reddito annuo]]&gt;=70000,"si","no")</f>
        <v>si</v>
      </c>
    </row>
    <row r="1789" spans="1:12">
      <c r="A1789">
        <v>101788</v>
      </c>
      <c r="B1789">
        <v>53</v>
      </c>
      <c r="C1789" s="2">
        <v>100300</v>
      </c>
      <c r="D1789" t="s">
        <v>12</v>
      </c>
      <c r="E1789" s="2">
        <v>47000</v>
      </c>
      <c r="F1789" s="2">
        <v>0</v>
      </c>
      <c r="G1789" t="s">
        <v>24</v>
      </c>
      <c r="H1789" t="s">
        <v>17</v>
      </c>
      <c r="I1789" t="s">
        <v>18</v>
      </c>
      <c r="J1789" s="3">
        <v>46228</v>
      </c>
      <c r="K1789" s="4">
        <f>ClientiBanca[[#This Row],[Prestito]]+ClientiBanca[[#This Row],[Mutuo]]</f>
        <v>47000</v>
      </c>
      <c r="L1789" t="str">
        <f>IF(ClientiBanca[[#This Row],[Reddito annuo]]&gt;=70000,"si","no")</f>
        <v>si</v>
      </c>
    </row>
    <row r="1790" spans="1:12">
      <c r="A1790">
        <v>101789</v>
      </c>
      <c r="B1790">
        <v>53</v>
      </c>
      <c r="C1790" s="2">
        <v>43600</v>
      </c>
      <c r="D1790" t="s">
        <v>21</v>
      </c>
      <c r="E1790" s="2">
        <v>0</v>
      </c>
      <c r="F1790" s="2">
        <v>0</v>
      </c>
      <c r="G1790" t="s">
        <v>13</v>
      </c>
      <c r="H1790" t="s">
        <v>20</v>
      </c>
      <c r="I1790" t="s">
        <v>18</v>
      </c>
      <c r="J1790" s="3">
        <v>45665</v>
      </c>
      <c r="K1790" s="4">
        <f>ClientiBanca[[#This Row],[Prestito]]+ClientiBanca[[#This Row],[Mutuo]]</f>
        <v>0</v>
      </c>
      <c r="L1790" t="str">
        <f>IF(ClientiBanca[[#This Row],[Reddito annuo]]&gt;=70000,"si","no")</f>
        <v>no</v>
      </c>
    </row>
    <row r="1791" spans="1:12">
      <c r="A1791">
        <v>101790</v>
      </c>
      <c r="B1791">
        <v>45</v>
      </c>
      <c r="C1791" s="2">
        <v>78300</v>
      </c>
      <c r="D1791" t="s">
        <v>12</v>
      </c>
      <c r="E1791" s="2">
        <v>18300</v>
      </c>
      <c r="F1791" s="2">
        <v>102000</v>
      </c>
      <c r="G1791" t="s">
        <v>28</v>
      </c>
      <c r="H1791" t="s">
        <v>17</v>
      </c>
      <c r="I1791" t="s">
        <v>18</v>
      </c>
      <c r="J1791" s="3">
        <v>46198</v>
      </c>
      <c r="K1791" s="4">
        <f>ClientiBanca[[#This Row],[Prestito]]+ClientiBanca[[#This Row],[Mutuo]]</f>
        <v>120300</v>
      </c>
      <c r="L1791" t="str">
        <f>IF(ClientiBanca[[#This Row],[Reddito annuo]]&gt;=70000,"si","no")</f>
        <v>si</v>
      </c>
    </row>
    <row r="1792" spans="1:12">
      <c r="A1792">
        <v>101791</v>
      </c>
      <c r="B1792">
        <v>49</v>
      </c>
      <c r="C1792" s="2">
        <v>61100</v>
      </c>
      <c r="D1792" t="s">
        <v>12</v>
      </c>
      <c r="E1792" s="2">
        <v>25800</v>
      </c>
      <c r="F1792" s="2">
        <v>267000</v>
      </c>
      <c r="G1792" t="s">
        <v>19</v>
      </c>
      <c r="H1792" t="s">
        <v>17</v>
      </c>
      <c r="I1792" t="s">
        <v>18</v>
      </c>
      <c r="J1792" s="3">
        <v>45534</v>
      </c>
      <c r="K1792" s="4">
        <f>ClientiBanca[[#This Row],[Prestito]]+ClientiBanca[[#This Row],[Mutuo]]</f>
        <v>292800</v>
      </c>
      <c r="L1792" t="str">
        <f>IF(ClientiBanca[[#This Row],[Reddito annuo]]&gt;=70000,"si","no")</f>
        <v>no</v>
      </c>
    </row>
    <row r="1793" spans="1:12">
      <c r="A1793">
        <v>101792</v>
      </c>
      <c r="B1793">
        <v>60</v>
      </c>
      <c r="C1793" s="2">
        <v>62300</v>
      </c>
      <c r="D1793" t="s">
        <v>22</v>
      </c>
      <c r="E1793" s="2">
        <v>0</v>
      </c>
      <c r="F1793" s="2">
        <v>0</v>
      </c>
      <c r="G1793" t="s">
        <v>27</v>
      </c>
      <c r="H1793" t="s">
        <v>20</v>
      </c>
      <c r="I1793" t="s">
        <v>18</v>
      </c>
      <c r="J1793" s="3">
        <v>45576</v>
      </c>
      <c r="K1793" s="4">
        <f>ClientiBanca[[#This Row],[Prestito]]+ClientiBanca[[#This Row],[Mutuo]]</f>
        <v>0</v>
      </c>
      <c r="L1793" t="str">
        <f>IF(ClientiBanca[[#This Row],[Reddito annuo]]&gt;=70000,"si","no")</f>
        <v>no</v>
      </c>
    </row>
    <row r="1794" spans="1:12">
      <c r="A1794">
        <v>101793</v>
      </c>
      <c r="B1794">
        <v>39</v>
      </c>
      <c r="C1794" s="2">
        <v>43200</v>
      </c>
      <c r="D1794" t="s">
        <v>21</v>
      </c>
      <c r="E1794" s="2">
        <v>38000</v>
      </c>
      <c r="F1794" s="2">
        <v>0</v>
      </c>
      <c r="G1794" t="s">
        <v>19</v>
      </c>
      <c r="H1794" t="s">
        <v>20</v>
      </c>
      <c r="I1794" t="s">
        <v>18</v>
      </c>
      <c r="J1794" s="3">
        <v>46147</v>
      </c>
      <c r="K1794" s="4">
        <f>ClientiBanca[[#This Row],[Prestito]]+ClientiBanca[[#This Row],[Mutuo]]</f>
        <v>38000</v>
      </c>
      <c r="L1794" t="str">
        <f>IF(ClientiBanca[[#This Row],[Reddito annuo]]&gt;=70000,"si","no")</f>
        <v>no</v>
      </c>
    </row>
    <row r="1795" spans="1:12">
      <c r="A1795">
        <v>101794</v>
      </c>
      <c r="B1795">
        <v>75</v>
      </c>
      <c r="C1795" s="2">
        <v>38900</v>
      </c>
      <c r="D1795" t="s">
        <v>21</v>
      </c>
      <c r="E1795" s="2">
        <v>0</v>
      </c>
      <c r="F1795" s="2">
        <v>0</v>
      </c>
      <c r="G1795" t="s">
        <v>13</v>
      </c>
      <c r="H1795" t="s">
        <v>20</v>
      </c>
      <c r="I1795" t="s">
        <v>18</v>
      </c>
      <c r="J1795" s="3">
        <v>45444</v>
      </c>
      <c r="K1795" s="4">
        <f>ClientiBanca[[#This Row],[Prestito]]+ClientiBanca[[#This Row],[Mutuo]]</f>
        <v>0</v>
      </c>
      <c r="L1795" t="str">
        <f>IF(ClientiBanca[[#This Row],[Reddito annuo]]&gt;=70000,"si","no")</f>
        <v>no</v>
      </c>
    </row>
    <row r="1796" spans="1:12">
      <c r="A1796">
        <v>101795</v>
      </c>
      <c r="B1796">
        <v>61</v>
      </c>
      <c r="C1796" s="2">
        <v>65400</v>
      </c>
      <c r="D1796" t="s">
        <v>12</v>
      </c>
      <c r="E1796" s="2">
        <v>0</v>
      </c>
      <c r="F1796" s="2">
        <v>0</v>
      </c>
      <c r="G1796" t="s">
        <v>19</v>
      </c>
      <c r="H1796" t="s">
        <v>17</v>
      </c>
      <c r="I1796" t="s">
        <v>18</v>
      </c>
      <c r="J1796" s="3">
        <v>45386</v>
      </c>
      <c r="K1796" s="4">
        <f>ClientiBanca[[#This Row],[Prestito]]+ClientiBanca[[#This Row],[Mutuo]]</f>
        <v>0</v>
      </c>
      <c r="L1796" t="str">
        <f>IF(ClientiBanca[[#This Row],[Reddito annuo]]&gt;=70000,"si","no")</f>
        <v>no</v>
      </c>
    </row>
    <row r="1797" spans="1:12">
      <c r="A1797">
        <v>101796</v>
      </c>
      <c r="B1797">
        <v>39</v>
      </c>
      <c r="C1797" s="2">
        <v>41100</v>
      </c>
      <c r="D1797" t="s">
        <v>21</v>
      </c>
      <c r="E1797" s="2">
        <v>0</v>
      </c>
      <c r="F1797" s="2">
        <v>0</v>
      </c>
      <c r="G1797" t="s">
        <v>27</v>
      </c>
      <c r="H1797" t="s">
        <v>14</v>
      </c>
      <c r="I1797" t="s">
        <v>18</v>
      </c>
      <c r="J1797" s="3">
        <v>45493</v>
      </c>
      <c r="K1797" s="4">
        <f>ClientiBanca[[#This Row],[Prestito]]+ClientiBanca[[#This Row],[Mutuo]]</f>
        <v>0</v>
      </c>
      <c r="L1797" t="str">
        <f>IF(ClientiBanca[[#This Row],[Reddito annuo]]&gt;=70000,"si","no")</f>
        <v>no</v>
      </c>
    </row>
    <row r="1798" spans="1:12">
      <c r="A1798">
        <v>101797</v>
      </c>
      <c r="B1798">
        <v>20</v>
      </c>
      <c r="C1798" s="2">
        <v>65400</v>
      </c>
      <c r="D1798" t="s">
        <v>22</v>
      </c>
      <c r="E1798" s="2">
        <v>45500</v>
      </c>
      <c r="F1798" s="2">
        <v>0</v>
      </c>
      <c r="G1798" t="s">
        <v>13</v>
      </c>
      <c r="H1798" t="s">
        <v>20</v>
      </c>
      <c r="I1798" t="s">
        <v>18</v>
      </c>
      <c r="J1798" s="3">
        <v>45446</v>
      </c>
      <c r="K1798" s="4">
        <f>ClientiBanca[[#This Row],[Prestito]]+ClientiBanca[[#This Row],[Mutuo]]</f>
        <v>45500</v>
      </c>
      <c r="L1798" t="str">
        <f>IF(ClientiBanca[[#This Row],[Reddito annuo]]&gt;=70000,"si","no")</f>
        <v>no</v>
      </c>
    </row>
    <row r="1799" spans="1:12">
      <c r="A1799">
        <v>101798</v>
      </c>
      <c r="B1799">
        <v>66</v>
      </c>
      <c r="C1799" s="2">
        <v>38200</v>
      </c>
      <c r="D1799" t="s">
        <v>21</v>
      </c>
      <c r="E1799" s="2">
        <v>45500</v>
      </c>
      <c r="F1799" s="2">
        <v>0</v>
      </c>
      <c r="G1799" t="s">
        <v>28</v>
      </c>
      <c r="H1799" t="s">
        <v>17</v>
      </c>
      <c r="I1799" t="s">
        <v>18</v>
      </c>
      <c r="J1799" s="3">
        <v>45434</v>
      </c>
      <c r="K1799" s="4">
        <f>ClientiBanca[[#This Row],[Prestito]]+ClientiBanca[[#This Row],[Mutuo]]</f>
        <v>45500</v>
      </c>
      <c r="L1799" t="str">
        <f>IF(ClientiBanca[[#This Row],[Reddito annuo]]&gt;=70000,"si","no")</f>
        <v>no</v>
      </c>
    </row>
    <row r="1800" spans="1:12">
      <c r="A1800">
        <v>101799</v>
      </c>
      <c r="B1800">
        <v>23</v>
      </c>
      <c r="C1800" s="2">
        <v>35600</v>
      </c>
      <c r="D1800" t="s">
        <v>12</v>
      </c>
      <c r="E1800" s="2">
        <v>14800</v>
      </c>
      <c r="F1800" s="2">
        <v>0</v>
      </c>
      <c r="G1800" t="s">
        <v>13</v>
      </c>
      <c r="H1800" t="s">
        <v>20</v>
      </c>
      <c r="I1800" t="s">
        <v>18</v>
      </c>
      <c r="J1800" s="3">
        <v>45415</v>
      </c>
      <c r="K1800" s="4">
        <f>ClientiBanca[[#This Row],[Prestito]]+ClientiBanca[[#This Row],[Mutuo]]</f>
        <v>14800</v>
      </c>
      <c r="L1800" t="str">
        <f>IF(ClientiBanca[[#This Row],[Reddito annuo]]&gt;=70000,"si","no")</f>
        <v>no</v>
      </c>
    </row>
    <row r="1801" spans="1:12">
      <c r="A1801">
        <v>101800</v>
      </c>
      <c r="B1801">
        <v>59</v>
      </c>
      <c r="C1801" s="2">
        <v>77600</v>
      </c>
      <c r="D1801" t="s">
        <v>21</v>
      </c>
      <c r="E1801" s="2">
        <v>0</v>
      </c>
      <c r="F1801" s="2">
        <v>0</v>
      </c>
      <c r="G1801" t="s">
        <v>28</v>
      </c>
      <c r="H1801" t="s">
        <v>14</v>
      </c>
      <c r="I1801" t="s">
        <v>18</v>
      </c>
      <c r="J1801" s="3">
        <v>45494</v>
      </c>
      <c r="K1801" s="4">
        <f>ClientiBanca[[#This Row],[Prestito]]+ClientiBanca[[#This Row],[Mutuo]]</f>
        <v>0</v>
      </c>
      <c r="L1801" t="str">
        <f>IF(ClientiBanca[[#This Row],[Reddito annuo]]&gt;=70000,"si","no")</f>
        <v>si</v>
      </c>
    </row>
    <row r="1802" spans="1:12">
      <c r="A1802">
        <v>101801</v>
      </c>
      <c r="B1802">
        <v>59</v>
      </c>
      <c r="C1802" s="2">
        <v>80000</v>
      </c>
      <c r="D1802" t="s">
        <v>21</v>
      </c>
      <c r="E1802" s="2">
        <v>18500</v>
      </c>
      <c r="F1802" s="2">
        <v>0</v>
      </c>
      <c r="G1802" t="s">
        <v>23</v>
      </c>
      <c r="H1802" t="s">
        <v>17</v>
      </c>
      <c r="I1802" t="s">
        <v>18</v>
      </c>
      <c r="J1802" s="3">
        <v>45758</v>
      </c>
      <c r="K1802" s="4">
        <f>ClientiBanca[[#This Row],[Prestito]]+ClientiBanca[[#This Row],[Mutuo]]</f>
        <v>18500</v>
      </c>
      <c r="L1802" t="str">
        <f>IF(ClientiBanca[[#This Row],[Reddito annuo]]&gt;=70000,"si","no")</f>
        <v>si</v>
      </c>
    </row>
    <row r="1803" spans="1:12">
      <c r="A1803">
        <v>101802</v>
      </c>
      <c r="B1803">
        <v>61</v>
      </c>
      <c r="C1803" s="2">
        <v>95200</v>
      </c>
      <c r="D1803" t="s">
        <v>12</v>
      </c>
      <c r="E1803" s="2">
        <v>0</v>
      </c>
      <c r="F1803" s="2">
        <v>274000</v>
      </c>
      <c r="G1803" t="s">
        <v>26</v>
      </c>
      <c r="H1803" t="s">
        <v>20</v>
      </c>
      <c r="I1803" t="s">
        <v>18</v>
      </c>
      <c r="J1803" s="3">
        <v>45384</v>
      </c>
      <c r="K1803" s="4">
        <f>ClientiBanca[[#This Row],[Prestito]]+ClientiBanca[[#This Row],[Mutuo]]</f>
        <v>274000</v>
      </c>
      <c r="L1803" t="str">
        <f>IF(ClientiBanca[[#This Row],[Reddito annuo]]&gt;=70000,"si","no")</f>
        <v>si</v>
      </c>
    </row>
    <row r="1804" spans="1:12">
      <c r="A1804">
        <v>101803</v>
      </c>
      <c r="B1804">
        <v>38</v>
      </c>
      <c r="C1804" s="2">
        <v>25800</v>
      </c>
      <c r="D1804" t="s">
        <v>12</v>
      </c>
      <c r="E1804" s="2">
        <v>32200</v>
      </c>
      <c r="F1804" s="2">
        <v>0</v>
      </c>
      <c r="G1804" t="s">
        <v>27</v>
      </c>
      <c r="H1804" t="s">
        <v>14</v>
      </c>
      <c r="I1804" t="s">
        <v>18</v>
      </c>
      <c r="J1804" s="3">
        <v>45429</v>
      </c>
      <c r="K1804" s="4">
        <f>ClientiBanca[[#This Row],[Prestito]]+ClientiBanca[[#This Row],[Mutuo]]</f>
        <v>32200</v>
      </c>
      <c r="L1804" t="str">
        <f>IF(ClientiBanca[[#This Row],[Reddito annuo]]&gt;=70000,"si","no")</f>
        <v>no</v>
      </c>
    </row>
    <row r="1805" spans="1:12">
      <c r="A1805">
        <v>101804</v>
      </c>
      <c r="B1805">
        <v>29</v>
      </c>
      <c r="C1805" s="2">
        <v>66900</v>
      </c>
      <c r="D1805" t="s">
        <v>21</v>
      </c>
      <c r="E1805" s="2">
        <v>56500</v>
      </c>
      <c r="F1805" s="2">
        <v>303000</v>
      </c>
      <c r="G1805" t="s">
        <v>19</v>
      </c>
      <c r="H1805" t="s">
        <v>14</v>
      </c>
      <c r="I1805" t="s">
        <v>18</v>
      </c>
      <c r="J1805" s="3">
        <v>45359</v>
      </c>
      <c r="K1805" s="4">
        <f>ClientiBanca[[#This Row],[Prestito]]+ClientiBanca[[#This Row],[Mutuo]]</f>
        <v>359500</v>
      </c>
      <c r="L1805" t="str">
        <f>IF(ClientiBanca[[#This Row],[Reddito annuo]]&gt;=70000,"si","no")</f>
        <v>no</v>
      </c>
    </row>
    <row r="1806" spans="1:12">
      <c r="A1806">
        <v>101805</v>
      </c>
      <c r="B1806">
        <v>71</v>
      </c>
      <c r="C1806" s="2">
        <v>79600</v>
      </c>
      <c r="D1806" t="s">
        <v>12</v>
      </c>
      <c r="E1806" s="2">
        <v>0</v>
      </c>
      <c r="F1806" s="2">
        <v>247000</v>
      </c>
      <c r="G1806" t="s">
        <v>19</v>
      </c>
      <c r="H1806" t="s">
        <v>20</v>
      </c>
      <c r="I1806" t="s">
        <v>18</v>
      </c>
      <c r="J1806" s="3">
        <v>46003</v>
      </c>
      <c r="K1806" s="4">
        <f>ClientiBanca[[#This Row],[Prestito]]+ClientiBanca[[#This Row],[Mutuo]]</f>
        <v>247000</v>
      </c>
      <c r="L1806" t="str">
        <f>IF(ClientiBanca[[#This Row],[Reddito annuo]]&gt;=70000,"si","no")</f>
        <v>si</v>
      </c>
    </row>
    <row r="1807" spans="1:12">
      <c r="A1807">
        <v>101806</v>
      </c>
      <c r="B1807">
        <v>57</v>
      </c>
      <c r="C1807" s="2">
        <v>59600</v>
      </c>
      <c r="D1807" t="s">
        <v>21</v>
      </c>
      <c r="E1807" s="2">
        <v>74500</v>
      </c>
      <c r="F1807" s="2">
        <v>164000</v>
      </c>
      <c r="G1807" t="s">
        <v>16</v>
      </c>
      <c r="H1807" t="s">
        <v>14</v>
      </c>
      <c r="I1807" t="s">
        <v>18</v>
      </c>
      <c r="J1807" s="3">
        <v>45844</v>
      </c>
      <c r="K1807" s="4">
        <f>ClientiBanca[[#This Row],[Prestito]]+ClientiBanca[[#This Row],[Mutuo]]</f>
        <v>238500</v>
      </c>
      <c r="L1807" t="str">
        <f>IF(ClientiBanca[[#This Row],[Reddito annuo]]&gt;=70000,"si","no")</f>
        <v>no</v>
      </c>
    </row>
    <row r="1808" spans="1:12">
      <c r="A1808">
        <v>101807</v>
      </c>
      <c r="B1808">
        <v>43</v>
      </c>
      <c r="C1808" s="2">
        <v>52300</v>
      </c>
      <c r="D1808" t="s">
        <v>12</v>
      </c>
      <c r="E1808" s="2">
        <v>58800</v>
      </c>
      <c r="F1808" s="2">
        <v>114000</v>
      </c>
      <c r="G1808" t="s">
        <v>24</v>
      </c>
      <c r="H1808" t="s">
        <v>20</v>
      </c>
      <c r="I1808" t="s">
        <v>18</v>
      </c>
      <c r="J1808" s="3">
        <v>46244</v>
      </c>
      <c r="K1808" s="4">
        <f>ClientiBanca[[#This Row],[Prestito]]+ClientiBanca[[#This Row],[Mutuo]]</f>
        <v>172800</v>
      </c>
      <c r="L1808" t="str">
        <f>IF(ClientiBanca[[#This Row],[Reddito annuo]]&gt;=70000,"si","no")</f>
        <v>no</v>
      </c>
    </row>
    <row r="1809" spans="1:12">
      <c r="A1809">
        <v>101808</v>
      </c>
      <c r="B1809">
        <v>23</v>
      </c>
      <c r="C1809" s="2">
        <v>54600</v>
      </c>
      <c r="D1809" t="s">
        <v>21</v>
      </c>
      <c r="E1809" s="2">
        <v>20200</v>
      </c>
      <c r="F1809" s="2">
        <v>0</v>
      </c>
      <c r="G1809" t="s">
        <v>27</v>
      </c>
      <c r="H1809" t="s">
        <v>20</v>
      </c>
      <c r="I1809" t="s">
        <v>18</v>
      </c>
      <c r="J1809" s="3">
        <v>45745</v>
      </c>
      <c r="K1809" s="4">
        <f>ClientiBanca[[#This Row],[Prestito]]+ClientiBanca[[#This Row],[Mutuo]]</f>
        <v>20200</v>
      </c>
      <c r="L1809" t="str">
        <f>IF(ClientiBanca[[#This Row],[Reddito annuo]]&gt;=70000,"si","no")</f>
        <v>no</v>
      </c>
    </row>
    <row r="1810" spans="1:12">
      <c r="A1810">
        <v>101809</v>
      </c>
      <c r="B1810">
        <v>66</v>
      </c>
      <c r="C1810" s="2">
        <v>77600</v>
      </c>
      <c r="D1810" t="s">
        <v>21</v>
      </c>
      <c r="E1810" s="2">
        <v>39100</v>
      </c>
      <c r="F1810" s="2">
        <v>0</v>
      </c>
      <c r="G1810" t="s">
        <v>24</v>
      </c>
      <c r="H1810" t="s">
        <v>20</v>
      </c>
      <c r="I1810" t="s">
        <v>18</v>
      </c>
      <c r="J1810" s="3">
        <v>45957</v>
      </c>
      <c r="K1810" s="4">
        <f>ClientiBanca[[#This Row],[Prestito]]+ClientiBanca[[#This Row],[Mutuo]]</f>
        <v>39100</v>
      </c>
      <c r="L1810" t="str">
        <f>IF(ClientiBanca[[#This Row],[Reddito annuo]]&gt;=70000,"si","no")</f>
        <v>si</v>
      </c>
    </row>
    <row r="1811" spans="1:12">
      <c r="A1811">
        <v>101810</v>
      </c>
      <c r="B1811">
        <v>26</v>
      </c>
      <c r="C1811" s="2">
        <v>49500</v>
      </c>
      <c r="D1811" t="s">
        <v>21</v>
      </c>
      <c r="E1811" s="2">
        <v>0</v>
      </c>
      <c r="F1811" s="2">
        <v>0</v>
      </c>
      <c r="G1811" t="s">
        <v>27</v>
      </c>
      <c r="H1811" t="s">
        <v>20</v>
      </c>
      <c r="I1811" t="s">
        <v>18</v>
      </c>
      <c r="J1811" s="3">
        <v>46019</v>
      </c>
      <c r="K1811" s="4">
        <f>ClientiBanca[[#This Row],[Prestito]]+ClientiBanca[[#This Row],[Mutuo]]</f>
        <v>0</v>
      </c>
      <c r="L1811" t="str">
        <f>IF(ClientiBanca[[#This Row],[Reddito annuo]]&gt;=70000,"si","no")</f>
        <v>no</v>
      </c>
    </row>
    <row r="1812" spans="1:12">
      <c r="A1812">
        <v>101811</v>
      </c>
      <c r="B1812">
        <v>75</v>
      </c>
      <c r="C1812" s="2">
        <v>46100</v>
      </c>
      <c r="D1812" t="s">
        <v>21</v>
      </c>
      <c r="E1812" s="2">
        <v>40700</v>
      </c>
      <c r="F1812" s="2">
        <v>0</v>
      </c>
      <c r="G1812" t="s">
        <v>16</v>
      </c>
      <c r="H1812" t="s">
        <v>25</v>
      </c>
      <c r="I1812" t="s">
        <v>18</v>
      </c>
      <c r="J1812" s="3">
        <v>46078</v>
      </c>
      <c r="K1812" s="4">
        <f>ClientiBanca[[#This Row],[Prestito]]+ClientiBanca[[#This Row],[Mutuo]]</f>
        <v>40700</v>
      </c>
      <c r="L1812" t="str">
        <f>IF(ClientiBanca[[#This Row],[Reddito annuo]]&gt;=70000,"si","no")</f>
        <v>no</v>
      </c>
    </row>
    <row r="1813" spans="1:12">
      <c r="A1813">
        <v>101812</v>
      </c>
      <c r="B1813">
        <v>60</v>
      </c>
      <c r="C1813" s="2">
        <v>56500</v>
      </c>
      <c r="D1813" t="s">
        <v>21</v>
      </c>
      <c r="E1813" s="2">
        <v>0</v>
      </c>
      <c r="F1813" s="2">
        <v>0</v>
      </c>
      <c r="G1813" t="s">
        <v>19</v>
      </c>
      <c r="H1813" t="s">
        <v>17</v>
      </c>
      <c r="I1813" t="s">
        <v>18</v>
      </c>
      <c r="J1813" s="3">
        <v>45985</v>
      </c>
      <c r="K1813" s="4">
        <f>ClientiBanca[[#This Row],[Prestito]]+ClientiBanca[[#This Row],[Mutuo]]</f>
        <v>0</v>
      </c>
      <c r="L1813" t="str">
        <f>IF(ClientiBanca[[#This Row],[Reddito annuo]]&gt;=70000,"si","no")</f>
        <v>no</v>
      </c>
    </row>
    <row r="1814" spans="1:12">
      <c r="A1814">
        <v>101813</v>
      </c>
      <c r="B1814">
        <v>69</v>
      </c>
      <c r="C1814" s="2">
        <v>125600</v>
      </c>
      <c r="D1814" t="s">
        <v>21</v>
      </c>
      <c r="E1814" s="2">
        <v>17600</v>
      </c>
      <c r="F1814" s="2">
        <v>0</v>
      </c>
      <c r="G1814" t="s">
        <v>28</v>
      </c>
      <c r="H1814" t="s">
        <v>14</v>
      </c>
      <c r="I1814" t="s">
        <v>18</v>
      </c>
      <c r="J1814" s="3">
        <v>46121</v>
      </c>
      <c r="K1814" s="4">
        <f>ClientiBanca[[#This Row],[Prestito]]+ClientiBanca[[#This Row],[Mutuo]]</f>
        <v>17600</v>
      </c>
      <c r="L1814" t="str">
        <f>IF(ClientiBanca[[#This Row],[Reddito annuo]]&gt;=70000,"si","no")</f>
        <v>si</v>
      </c>
    </row>
    <row r="1815" spans="1:12">
      <c r="A1815">
        <v>101814</v>
      </c>
      <c r="B1815">
        <v>36</v>
      </c>
      <c r="C1815" s="2">
        <v>57200</v>
      </c>
      <c r="D1815" t="s">
        <v>21</v>
      </c>
      <c r="E1815" s="2">
        <v>11100</v>
      </c>
      <c r="F1815" s="2">
        <v>280000</v>
      </c>
      <c r="G1815" t="s">
        <v>13</v>
      </c>
      <c r="H1815" t="s">
        <v>20</v>
      </c>
      <c r="I1815" t="s">
        <v>18</v>
      </c>
      <c r="J1815" s="3">
        <v>46225</v>
      </c>
      <c r="K1815" s="4">
        <f>ClientiBanca[[#This Row],[Prestito]]+ClientiBanca[[#This Row],[Mutuo]]</f>
        <v>291100</v>
      </c>
      <c r="L1815" t="str">
        <f>IF(ClientiBanca[[#This Row],[Reddito annuo]]&gt;=70000,"si","no")</f>
        <v>no</v>
      </c>
    </row>
    <row r="1816" spans="1:12">
      <c r="A1816">
        <v>101815</v>
      </c>
      <c r="B1816">
        <v>67</v>
      </c>
      <c r="C1816" s="2">
        <v>84800</v>
      </c>
      <c r="D1816" t="s">
        <v>12</v>
      </c>
      <c r="E1816" s="2">
        <v>28300</v>
      </c>
      <c r="F1816" s="2">
        <v>0</v>
      </c>
      <c r="G1816" t="s">
        <v>13</v>
      </c>
      <c r="H1816" t="s">
        <v>20</v>
      </c>
      <c r="I1816" t="s">
        <v>18</v>
      </c>
      <c r="J1816" s="3">
        <v>45335</v>
      </c>
      <c r="K1816" s="4">
        <f>ClientiBanca[[#This Row],[Prestito]]+ClientiBanca[[#This Row],[Mutuo]]</f>
        <v>28300</v>
      </c>
      <c r="L1816" t="str">
        <f>IF(ClientiBanca[[#This Row],[Reddito annuo]]&gt;=70000,"si","no")</f>
        <v>si</v>
      </c>
    </row>
    <row r="1817" spans="1:12">
      <c r="A1817">
        <v>101816</v>
      </c>
      <c r="B1817">
        <v>54</v>
      </c>
      <c r="C1817" s="2">
        <v>23900</v>
      </c>
      <c r="D1817" t="s">
        <v>21</v>
      </c>
      <c r="E1817" s="2">
        <v>0</v>
      </c>
      <c r="F1817" s="2">
        <v>0</v>
      </c>
      <c r="G1817" t="s">
        <v>13</v>
      </c>
      <c r="H1817" t="s">
        <v>20</v>
      </c>
      <c r="I1817" t="s">
        <v>18</v>
      </c>
      <c r="J1817" s="3">
        <v>45323</v>
      </c>
      <c r="K1817" s="4">
        <f>ClientiBanca[[#This Row],[Prestito]]+ClientiBanca[[#This Row],[Mutuo]]</f>
        <v>0</v>
      </c>
      <c r="L1817" t="str">
        <f>IF(ClientiBanca[[#This Row],[Reddito annuo]]&gt;=70000,"si","no")</f>
        <v>no</v>
      </c>
    </row>
    <row r="1818" spans="1:12">
      <c r="A1818">
        <v>101817</v>
      </c>
      <c r="B1818">
        <v>75</v>
      </c>
      <c r="C1818" s="2">
        <v>77400</v>
      </c>
      <c r="D1818" t="s">
        <v>22</v>
      </c>
      <c r="E1818" s="2">
        <v>31700</v>
      </c>
      <c r="F1818" s="2">
        <v>101000</v>
      </c>
      <c r="G1818" t="s">
        <v>28</v>
      </c>
      <c r="H1818" t="s">
        <v>20</v>
      </c>
      <c r="I1818" t="s">
        <v>18</v>
      </c>
      <c r="J1818" s="3">
        <v>46021</v>
      </c>
      <c r="K1818" s="4">
        <f>ClientiBanca[[#This Row],[Prestito]]+ClientiBanca[[#This Row],[Mutuo]]</f>
        <v>132700</v>
      </c>
      <c r="L1818" t="str">
        <f>IF(ClientiBanca[[#This Row],[Reddito annuo]]&gt;=70000,"si","no")</f>
        <v>si</v>
      </c>
    </row>
    <row r="1819" spans="1:12">
      <c r="A1819">
        <v>101818</v>
      </c>
      <c r="B1819">
        <v>34</v>
      </c>
      <c r="C1819" s="2">
        <v>48900</v>
      </c>
      <c r="D1819" t="s">
        <v>22</v>
      </c>
      <c r="E1819" s="2">
        <v>0</v>
      </c>
      <c r="F1819" s="2">
        <v>0</v>
      </c>
      <c r="G1819" t="s">
        <v>26</v>
      </c>
      <c r="H1819" t="s">
        <v>17</v>
      </c>
      <c r="I1819" t="s">
        <v>18</v>
      </c>
      <c r="J1819" s="3">
        <v>45496</v>
      </c>
      <c r="K1819" s="4">
        <f>ClientiBanca[[#This Row],[Prestito]]+ClientiBanca[[#This Row],[Mutuo]]</f>
        <v>0</v>
      </c>
      <c r="L1819" t="str">
        <f>IF(ClientiBanca[[#This Row],[Reddito annuo]]&gt;=70000,"si","no")</f>
        <v>no</v>
      </c>
    </row>
    <row r="1820" spans="1:12">
      <c r="A1820">
        <v>101819</v>
      </c>
      <c r="B1820">
        <v>71</v>
      </c>
      <c r="C1820" s="2">
        <v>53100</v>
      </c>
      <c r="D1820" t="s">
        <v>21</v>
      </c>
      <c r="E1820" s="2">
        <v>7000</v>
      </c>
      <c r="F1820" s="2">
        <v>0</v>
      </c>
      <c r="G1820" t="s">
        <v>19</v>
      </c>
      <c r="H1820" t="s">
        <v>17</v>
      </c>
      <c r="I1820" t="s">
        <v>18</v>
      </c>
      <c r="J1820" s="3">
        <v>45655</v>
      </c>
      <c r="K1820" s="4">
        <f>ClientiBanca[[#This Row],[Prestito]]+ClientiBanca[[#This Row],[Mutuo]]</f>
        <v>7000</v>
      </c>
      <c r="L1820" t="str">
        <f>IF(ClientiBanca[[#This Row],[Reddito annuo]]&gt;=70000,"si","no")</f>
        <v>no</v>
      </c>
    </row>
    <row r="1821" spans="1:12">
      <c r="A1821">
        <v>101820</v>
      </c>
      <c r="B1821">
        <v>48</v>
      </c>
      <c r="C1821" s="2">
        <v>54800</v>
      </c>
      <c r="D1821" t="s">
        <v>21</v>
      </c>
      <c r="E1821" s="2">
        <v>8500</v>
      </c>
      <c r="F1821" s="2">
        <v>75000</v>
      </c>
      <c r="G1821" t="s">
        <v>23</v>
      </c>
      <c r="H1821" t="s">
        <v>25</v>
      </c>
      <c r="I1821" t="s">
        <v>18</v>
      </c>
      <c r="J1821" s="3">
        <v>46087</v>
      </c>
      <c r="K1821" s="4">
        <f>ClientiBanca[[#This Row],[Prestito]]+ClientiBanca[[#This Row],[Mutuo]]</f>
        <v>83500</v>
      </c>
      <c r="L1821" t="str">
        <f>IF(ClientiBanca[[#This Row],[Reddito annuo]]&gt;=70000,"si","no")</f>
        <v>no</v>
      </c>
    </row>
    <row r="1822" spans="1:12">
      <c r="A1822">
        <v>101821</v>
      </c>
      <c r="B1822">
        <v>32</v>
      </c>
      <c r="C1822" s="2">
        <v>67800</v>
      </c>
      <c r="D1822" t="s">
        <v>21</v>
      </c>
      <c r="E1822" s="2">
        <v>0</v>
      </c>
      <c r="F1822" s="2">
        <v>0</v>
      </c>
      <c r="G1822" t="s">
        <v>26</v>
      </c>
      <c r="H1822" t="s">
        <v>14</v>
      </c>
      <c r="I1822" t="s">
        <v>18</v>
      </c>
      <c r="J1822" s="3">
        <v>46202</v>
      </c>
      <c r="K1822" s="4">
        <f>ClientiBanca[[#This Row],[Prestito]]+ClientiBanca[[#This Row],[Mutuo]]</f>
        <v>0</v>
      </c>
      <c r="L1822" t="str">
        <f>IF(ClientiBanca[[#This Row],[Reddito annuo]]&gt;=70000,"si","no")</f>
        <v>no</v>
      </c>
    </row>
    <row r="1823" spans="1:12">
      <c r="A1823">
        <v>101822</v>
      </c>
      <c r="B1823">
        <v>45</v>
      </c>
      <c r="C1823" s="2">
        <v>55500</v>
      </c>
      <c r="D1823" t="s">
        <v>21</v>
      </c>
      <c r="E1823" s="2">
        <v>11500</v>
      </c>
      <c r="F1823" s="2">
        <v>134000</v>
      </c>
      <c r="G1823" t="s">
        <v>28</v>
      </c>
      <c r="H1823" t="s">
        <v>20</v>
      </c>
      <c r="I1823" t="s">
        <v>18</v>
      </c>
      <c r="J1823" s="3">
        <v>45564</v>
      </c>
      <c r="K1823" s="4">
        <f>ClientiBanca[[#This Row],[Prestito]]+ClientiBanca[[#This Row],[Mutuo]]</f>
        <v>145500</v>
      </c>
      <c r="L1823" t="str">
        <f>IF(ClientiBanca[[#This Row],[Reddito annuo]]&gt;=70000,"si","no")</f>
        <v>no</v>
      </c>
    </row>
    <row r="1824" spans="1:12">
      <c r="A1824">
        <v>101823</v>
      </c>
      <c r="B1824">
        <v>45</v>
      </c>
      <c r="C1824" s="2">
        <v>54100</v>
      </c>
      <c r="D1824" t="s">
        <v>21</v>
      </c>
      <c r="E1824" s="2">
        <v>0</v>
      </c>
      <c r="F1824" s="2">
        <v>0</v>
      </c>
      <c r="G1824" t="s">
        <v>27</v>
      </c>
      <c r="H1824" t="s">
        <v>14</v>
      </c>
      <c r="I1824" t="s">
        <v>18</v>
      </c>
      <c r="J1824" s="3">
        <v>46106</v>
      </c>
      <c r="K1824" s="4">
        <f>ClientiBanca[[#This Row],[Prestito]]+ClientiBanca[[#This Row],[Mutuo]]</f>
        <v>0</v>
      </c>
      <c r="L1824" t="str">
        <f>IF(ClientiBanca[[#This Row],[Reddito annuo]]&gt;=70000,"si","no")</f>
        <v>no</v>
      </c>
    </row>
    <row r="1825" spans="1:12">
      <c r="A1825">
        <v>101824</v>
      </c>
      <c r="B1825">
        <v>27</v>
      </c>
      <c r="C1825" s="2">
        <v>29700</v>
      </c>
      <c r="D1825" t="s">
        <v>12</v>
      </c>
      <c r="E1825" s="2">
        <v>15200</v>
      </c>
      <c r="F1825" s="2">
        <v>0</v>
      </c>
      <c r="G1825" t="s">
        <v>27</v>
      </c>
      <c r="H1825" t="s">
        <v>14</v>
      </c>
      <c r="I1825" t="s">
        <v>18</v>
      </c>
      <c r="J1825" s="3">
        <v>45533</v>
      </c>
      <c r="K1825" s="4">
        <f>ClientiBanca[[#This Row],[Prestito]]+ClientiBanca[[#This Row],[Mutuo]]</f>
        <v>15200</v>
      </c>
      <c r="L1825" t="str">
        <f>IF(ClientiBanca[[#This Row],[Reddito annuo]]&gt;=70000,"si","no")</f>
        <v>no</v>
      </c>
    </row>
    <row r="1826" spans="1:12">
      <c r="A1826">
        <v>101825</v>
      </c>
      <c r="B1826">
        <v>54</v>
      </c>
      <c r="C1826" s="2">
        <v>82200</v>
      </c>
      <c r="D1826" t="s">
        <v>12</v>
      </c>
      <c r="E1826" s="2">
        <v>0</v>
      </c>
      <c r="F1826" s="2">
        <v>0</v>
      </c>
      <c r="G1826" t="s">
        <v>26</v>
      </c>
      <c r="H1826" t="s">
        <v>17</v>
      </c>
      <c r="I1826" t="s">
        <v>18</v>
      </c>
      <c r="J1826" s="3">
        <v>45614</v>
      </c>
      <c r="K1826" s="4">
        <f>ClientiBanca[[#This Row],[Prestito]]+ClientiBanca[[#This Row],[Mutuo]]</f>
        <v>0</v>
      </c>
      <c r="L1826" t="str">
        <f>IF(ClientiBanca[[#This Row],[Reddito annuo]]&gt;=70000,"si","no")</f>
        <v>si</v>
      </c>
    </row>
    <row r="1827" spans="1:12">
      <c r="A1827">
        <v>101826</v>
      </c>
      <c r="B1827">
        <v>35</v>
      </c>
      <c r="C1827" s="2">
        <v>72800</v>
      </c>
      <c r="D1827" t="s">
        <v>12</v>
      </c>
      <c r="E1827" s="2">
        <v>17600</v>
      </c>
      <c r="F1827" s="2">
        <v>232000</v>
      </c>
      <c r="G1827" t="s">
        <v>27</v>
      </c>
      <c r="H1827" t="s">
        <v>14</v>
      </c>
      <c r="I1827" t="s">
        <v>18</v>
      </c>
      <c r="J1827" s="3">
        <v>46142</v>
      </c>
      <c r="K1827" s="4">
        <f>ClientiBanca[[#This Row],[Prestito]]+ClientiBanca[[#This Row],[Mutuo]]</f>
        <v>249600</v>
      </c>
      <c r="L1827" t="str">
        <f>IF(ClientiBanca[[#This Row],[Reddito annuo]]&gt;=70000,"si","no")</f>
        <v>si</v>
      </c>
    </row>
    <row r="1828" spans="1:12">
      <c r="A1828">
        <v>101827</v>
      </c>
      <c r="B1828">
        <v>58</v>
      </c>
      <c r="C1828" s="2">
        <v>88100</v>
      </c>
      <c r="D1828" t="s">
        <v>22</v>
      </c>
      <c r="E1828" s="2">
        <v>40000</v>
      </c>
      <c r="F1828" s="2">
        <v>0</v>
      </c>
      <c r="G1828" t="s">
        <v>23</v>
      </c>
      <c r="H1828" t="s">
        <v>17</v>
      </c>
      <c r="I1828" t="s">
        <v>18</v>
      </c>
      <c r="J1828" s="3">
        <v>45896</v>
      </c>
      <c r="K1828" s="4">
        <f>ClientiBanca[[#This Row],[Prestito]]+ClientiBanca[[#This Row],[Mutuo]]</f>
        <v>40000</v>
      </c>
      <c r="L1828" t="str">
        <f>IF(ClientiBanca[[#This Row],[Reddito annuo]]&gt;=70000,"si","no")</f>
        <v>si</v>
      </c>
    </row>
    <row r="1829" spans="1:12">
      <c r="A1829">
        <v>101828</v>
      </c>
      <c r="B1829">
        <v>48</v>
      </c>
      <c r="C1829" s="2">
        <v>74300</v>
      </c>
      <c r="D1829" t="s">
        <v>12</v>
      </c>
      <c r="E1829" s="2">
        <v>37000</v>
      </c>
      <c r="F1829" s="2">
        <v>0</v>
      </c>
      <c r="G1829" t="s">
        <v>16</v>
      </c>
      <c r="H1829" t="s">
        <v>14</v>
      </c>
      <c r="I1829" t="s">
        <v>18</v>
      </c>
      <c r="J1829" s="3">
        <v>45444</v>
      </c>
      <c r="K1829" s="4">
        <f>ClientiBanca[[#This Row],[Prestito]]+ClientiBanca[[#This Row],[Mutuo]]</f>
        <v>37000</v>
      </c>
      <c r="L1829" t="str">
        <f>IF(ClientiBanca[[#This Row],[Reddito annuo]]&gt;=70000,"si","no")</f>
        <v>si</v>
      </c>
    </row>
    <row r="1830" spans="1:12">
      <c r="A1830">
        <v>101829</v>
      </c>
      <c r="B1830">
        <v>33</v>
      </c>
      <c r="C1830" s="2">
        <v>58800</v>
      </c>
      <c r="D1830" t="s">
        <v>22</v>
      </c>
      <c r="E1830" s="2">
        <v>37900</v>
      </c>
      <c r="F1830" s="2">
        <v>297000</v>
      </c>
      <c r="G1830" t="s">
        <v>19</v>
      </c>
      <c r="H1830" t="s">
        <v>17</v>
      </c>
      <c r="I1830" t="s">
        <v>18</v>
      </c>
      <c r="J1830" s="3">
        <v>45997</v>
      </c>
      <c r="K1830" s="4">
        <f>ClientiBanca[[#This Row],[Prestito]]+ClientiBanca[[#This Row],[Mutuo]]</f>
        <v>334900</v>
      </c>
      <c r="L1830" t="str">
        <f>IF(ClientiBanca[[#This Row],[Reddito annuo]]&gt;=70000,"si","no")</f>
        <v>no</v>
      </c>
    </row>
    <row r="1831" spans="1:12">
      <c r="A1831">
        <v>101830</v>
      </c>
      <c r="B1831">
        <v>52</v>
      </c>
      <c r="C1831" s="2">
        <v>72900</v>
      </c>
      <c r="D1831" t="s">
        <v>12</v>
      </c>
      <c r="E1831" s="2">
        <v>66400</v>
      </c>
      <c r="F1831" s="2">
        <v>0</v>
      </c>
      <c r="G1831" t="s">
        <v>28</v>
      </c>
      <c r="H1831" t="s">
        <v>14</v>
      </c>
      <c r="I1831" t="s">
        <v>15</v>
      </c>
      <c r="J1831" s="3">
        <v>46134</v>
      </c>
      <c r="K1831" s="4">
        <f>ClientiBanca[[#This Row],[Prestito]]+ClientiBanca[[#This Row],[Mutuo]]</f>
        <v>66400</v>
      </c>
      <c r="L1831" t="str">
        <f>IF(ClientiBanca[[#This Row],[Reddito annuo]]&gt;=70000,"si","no")</f>
        <v>si</v>
      </c>
    </row>
    <row r="1832" spans="1:12">
      <c r="A1832">
        <v>101831</v>
      </c>
      <c r="B1832">
        <v>36</v>
      </c>
      <c r="C1832" s="2">
        <v>39100</v>
      </c>
      <c r="D1832" t="s">
        <v>21</v>
      </c>
      <c r="E1832" s="2">
        <v>0</v>
      </c>
      <c r="F1832" s="2">
        <v>0</v>
      </c>
      <c r="G1832" t="s">
        <v>27</v>
      </c>
      <c r="H1832" t="s">
        <v>17</v>
      </c>
      <c r="I1832" t="s">
        <v>18</v>
      </c>
      <c r="J1832" s="3">
        <v>45344</v>
      </c>
      <c r="K1832" s="4">
        <f>ClientiBanca[[#This Row],[Prestito]]+ClientiBanca[[#This Row],[Mutuo]]</f>
        <v>0</v>
      </c>
      <c r="L1832" t="str">
        <f>IF(ClientiBanca[[#This Row],[Reddito annuo]]&gt;=70000,"si","no")</f>
        <v>no</v>
      </c>
    </row>
    <row r="1833" spans="1:12">
      <c r="A1833">
        <v>101832</v>
      </c>
      <c r="B1833">
        <v>52</v>
      </c>
      <c r="C1833" s="2">
        <v>57100</v>
      </c>
      <c r="D1833" t="s">
        <v>22</v>
      </c>
      <c r="E1833" s="2">
        <v>0</v>
      </c>
      <c r="F1833" s="2">
        <v>190000</v>
      </c>
      <c r="G1833" t="s">
        <v>24</v>
      </c>
      <c r="H1833" t="s">
        <v>17</v>
      </c>
      <c r="I1833" t="s">
        <v>18</v>
      </c>
      <c r="J1833" s="3">
        <v>45967</v>
      </c>
      <c r="K1833" s="4">
        <f>ClientiBanca[[#This Row],[Prestito]]+ClientiBanca[[#This Row],[Mutuo]]</f>
        <v>190000</v>
      </c>
      <c r="L1833" t="str">
        <f>IF(ClientiBanca[[#This Row],[Reddito annuo]]&gt;=70000,"si","no")</f>
        <v>no</v>
      </c>
    </row>
    <row r="1834" spans="1:12">
      <c r="A1834">
        <v>101833</v>
      </c>
      <c r="B1834">
        <v>21</v>
      </c>
      <c r="C1834" s="2">
        <v>69700</v>
      </c>
      <c r="D1834" t="s">
        <v>12</v>
      </c>
      <c r="E1834" s="2">
        <v>59100</v>
      </c>
      <c r="F1834" s="2">
        <v>0</v>
      </c>
      <c r="G1834" t="s">
        <v>13</v>
      </c>
      <c r="H1834" t="s">
        <v>20</v>
      </c>
      <c r="I1834" t="s">
        <v>18</v>
      </c>
      <c r="J1834" s="3">
        <v>46060</v>
      </c>
      <c r="K1834" s="4">
        <f>ClientiBanca[[#This Row],[Prestito]]+ClientiBanca[[#This Row],[Mutuo]]</f>
        <v>59100</v>
      </c>
      <c r="L1834" t="str">
        <f>IF(ClientiBanca[[#This Row],[Reddito annuo]]&gt;=70000,"si","no")</f>
        <v>no</v>
      </c>
    </row>
    <row r="1835" spans="1:12">
      <c r="A1835">
        <v>101834</v>
      </c>
      <c r="B1835">
        <v>59</v>
      </c>
      <c r="C1835" s="2">
        <v>65000</v>
      </c>
      <c r="D1835" t="s">
        <v>12</v>
      </c>
      <c r="E1835" s="2">
        <v>0</v>
      </c>
      <c r="F1835" s="2">
        <v>0</v>
      </c>
      <c r="G1835" t="s">
        <v>28</v>
      </c>
      <c r="H1835" t="s">
        <v>14</v>
      </c>
      <c r="I1835" t="s">
        <v>18</v>
      </c>
      <c r="J1835" s="3">
        <v>46210</v>
      </c>
      <c r="K1835" s="4">
        <f>ClientiBanca[[#This Row],[Prestito]]+ClientiBanca[[#This Row],[Mutuo]]</f>
        <v>0</v>
      </c>
      <c r="L1835" t="str">
        <f>IF(ClientiBanca[[#This Row],[Reddito annuo]]&gt;=70000,"si","no")</f>
        <v>no</v>
      </c>
    </row>
    <row r="1836" spans="1:12">
      <c r="A1836">
        <v>101835</v>
      </c>
      <c r="B1836">
        <v>27</v>
      </c>
      <c r="C1836" s="2">
        <v>33000</v>
      </c>
      <c r="D1836" t="s">
        <v>21</v>
      </c>
      <c r="E1836" s="2">
        <v>41200</v>
      </c>
      <c r="F1836" s="2">
        <v>0</v>
      </c>
      <c r="G1836" t="s">
        <v>26</v>
      </c>
      <c r="H1836" t="s">
        <v>25</v>
      </c>
      <c r="I1836" t="s">
        <v>18</v>
      </c>
      <c r="J1836" s="3">
        <v>46126</v>
      </c>
      <c r="K1836" s="4">
        <f>ClientiBanca[[#This Row],[Prestito]]+ClientiBanca[[#This Row],[Mutuo]]</f>
        <v>41200</v>
      </c>
      <c r="L1836" t="str">
        <f>IF(ClientiBanca[[#This Row],[Reddito annuo]]&gt;=70000,"si","no")</f>
        <v>no</v>
      </c>
    </row>
    <row r="1837" spans="1:12">
      <c r="A1837">
        <v>101836</v>
      </c>
      <c r="B1837">
        <v>72</v>
      </c>
      <c r="C1837" s="2">
        <v>91700</v>
      </c>
      <c r="D1837" t="s">
        <v>22</v>
      </c>
      <c r="E1837" s="2">
        <v>0</v>
      </c>
      <c r="F1837" s="2">
        <v>0</v>
      </c>
      <c r="G1837" t="s">
        <v>26</v>
      </c>
      <c r="H1837" t="s">
        <v>17</v>
      </c>
      <c r="I1837" t="s">
        <v>18</v>
      </c>
      <c r="J1837" s="3">
        <v>45456</v>
      </c>
      <c r="K1837" s="4">
        <f>ClientiBanca[[#This Row],[Prestito]]+ClientiBanca[[#This Row],[Mutuo]]</f>
        <v>0</v>
      </c>
      <c r="L1837" t="str">
        <f>IF(ClientiBanca[[#This Row],[Reddito annuo]]&gt;=70000,"si","no")</f>
        <v>si</v>
      </c>
    </row>
    <row r="1838" spans="1:12">
      <c r="A1838">
        <v>101837</v>
      </c>
      <c r="B1838">
        <v>68</v>
      </c>
      <c r="C1838" s="2">
        <v>36000</v>
      </c>
      <c r="D1838" t="s">
        <v>22</v>
      </c>
      <c r="E1838" s="2">
        <v>0</v>
      </c>
      <c r="F1838" s="2">
        <v>0</v>
      </c>
      <c r="G1838" t="s">
        <v>23</v>
      </c>
      <c r="H1838" t="s">
        <v>14</v>
      </c>
      <c r="I1838" t="s">
        <v>18</v>
      </c>
      <c r="J1838" s="3">
        <v>45742</v>
      </c>
      <c r="K1838" s="4">
        <f>ClientiBanca[[#This Row],[Prestito]]+ClientiBanca[[#This Row],[Mutuo]]</f>
        <v>0</v>
      </c>
      <c r="L1838" t="str">
        <f>IF(ClientiBanca[[#This Row],[Reddito annuo]]&gt;=70000,"si","no")</f>
        <v>no</v>
      </c>
    </row>
    <row r="1839" spans="1:12">
      <c r="A1839">
        <v>101838</v>
      </c>
      <c r="B1839">
        <v>52</v>
      </c>
      <c r="C1839" s="2">
        <v>51400</v>
      </c>
      <c r="D1839" t="s">
        <v>22</v>
      </c>
      <c r="E1839" s="2">
        <v>11300</v>
      </c>
      <c r="F1839" s="2">
        <v>217000</v>
      </c>
      <c r="G1839" t="s">
        <v>16</v>
      </c>
      <c r="H1839" t="s">
        <v>17</v>
      </c>
      <c r="I1839" t="s">
        <v>18</v>
      </c>
      <c r="J1839" s="3">
        <v>45387</v>
      </c>
      <c r="K1839" s="4">
        <f>ClientiBanca[[#This Row],[Prestito]]+ClientiBanca[[#This Row],[Mutuo]]</f>
        <v>228300</v>
      </c>
      <c r="L1839" t="str">
        <f>IF(ClientiBanca[[#This Row],[Reddito annuo]]&gt;=70000,"si","no")</f>
        <v>no</v>
      </c>
    </row>
    <row r="1840" spans="1:12">
      <c r="A1840">
        <v>101839</v>
      </c>
      <c r="B1840">
        <v>73</v>
      </c>
      <c r="C1840" s="2">
        <v>90600</v>
      </c>
      <c r="D1840" t="s">
        <v>22</v>
      </c>
      <c r="E1840" s="2">
        <v>12900</v>
      </c>
      <c r="F1840" s="2">
        <v>0</v>
      </c>
      <c r="G1840" t="s">
        <v>13</v>
      </c>
      <c r="H1840" t="s">
        <v>17</v>
      </c>
      <c r="I1840" t="s">
        <v>18</v>
      </c>
      <c r="J1840" s="3">
        <v>46248</v>
      </c>
      <c r="K1840" s="4">
        <f>ClientiBanca[[#This Row],[Prestito]]+ClientiBanca[[#This Row],[Mutuo]]</f>
        <v>12900</v>
      </c>
      <c r="L1840" t="str">
        <f>IF(ClientiBanca[[#This Row],[Reddito annuo]]&gt;=70000,"si","no")</f>
        <v>si</v>
      </c>
    </row>
    <row r="1841" spans="1:12">
      <c r="A1841">
        <v>101840</v>
      </c>
      <c r="B1841">
        <v>30</v>
      </c>
      <c r="C1841" s="2">
        <v>60600</v>
      </c>
      <c r="D1841" t="s">
        <v>21</v>
      </c>
      <c r="E1841" s="2">
        <v>0</v>
      </c>
      <c r="F1841" s="2">
        <v>141000</v>
      </c>
      <c r="G1841" t="s">
        <v>16</v>
      </c>
      <c r="H1841" t="s">
        <v>17</v>
      </c>
      <c r="I1841" t="s">
        <v>18</v>
      </c>
      <c r="J1841" s="3">
        <v>45808</v>
      </c>
      <c r="K1841" s="4">
        <f>ClientiBanca[[#This Row],[Prestito]]+ClientiBanca[[#This Row],[Mutuo]]</f>
        <v>141000</v>
      </c>
      <c r="L1841" t="str">
        <f>IF(ClientiBanca[[#This Row],[Reddito annuo]]&gt;=70000,"si","no")</f>
        <v>no</v>
      </c>
    </row>
    <row r="1842" spans="1:12">
      <c r="A1842">
        <v>101841</v>
      </c>
      <c r="B1842">
        <v>29</v>
      </c>
      <c r="C1842" s="2">
        <v>57300</v>
      </c>
      <c r="D1842" t="s">
        <v>12</v>
      </c>
      <c r="E1842" s="2">
        <v>71600</v>
      </c>
      <c r="F1842" s="2">
        <v>0</v>
      </c>
      <c r="G1842" t="s">
        <v>28</v>
      </c>
      <c r="H1842" t="s">
        <v>17</v>
      </c>
      <c r="I1842" t="s">
        <v>15</v>
      </c>
      <c r="J1842" s="3">
        <v>45336</v>
      </c>
      <c r="K1842" s="4">
        <f>ClientiBanca[[#This Row],[Prestito]]+ClientiBanca[[#This Row],[Mutuo]]</f>
        <v>71600</v>
      </c>
      <c r="L1842" t="str">
        <f>IF(ClientiBanca[[#This Row],[Reddito annuo]]&gt;=70000,"si","no")</f>
        <v>no</v>
      </c>
    </row>
    <row r="1843" spans="1:12">
      <c r="A1843">
        <v>101842</v>
      </c>
      <c r="B1843">
        <v>57</v>
      </c>
      <c r="C1843" s="2">
        <v>50200</v>
      </c>
      <c r="D1843" t="s">
        <v>12</v>
      </c>
      <c r="E1843" s="2">
        <v>53600</v>
      </c>
      <c r="F1843" s="2">
        <v>0</v>
      </c>
      <c r="G1843" t="s">
        <v>16</v>
      </c>
      <c r="H1843" t="s">
        <v>20</v>
      </c>
      <c r="I1843" t="s">
        <v>18</v>
      </c>
      <c r="J1843" s="3">
        <v>45798</v>
      </c>
      <c r="K1843" s="4">
        <f>ClientiBanca[[#This Row],[Prestito]]+ClientiBanca[[#This Row],[Mutuo]]</f>
        <v>53600</v>
      </c>
      <c r="L1843" t="str">
        <f>IF(ClientiBanca[[#This Row],[Reddito annuo]]&gt;=70000,"si","no")</f>
        <v>no</v>
      </c>
    </row>
    <row r="1844" spans="1:12">
      <c r="A1844">
        <v>101843</v>
      </c>
      <c r="B1844">
        <v>55</v>
      </c>
      <c r="C1844" s="2">
        <v>70600</v>
      </c>
      <c r="D1844" t="s">
        <v>21</v>
      </c>
      <c r="E1844" s="2">
        <v>64100</v>
      </c>
      <c r="F1844" s="2">
        <v>0</v>
      </c>
      <c r="G1844" t="s">
        <v>23</v>
      </c>
      <c r="H1844" t="s">
        <v>17</v>
      </c>
      <c r="I1844" t="s">
        <v>18</v>
      </c>
      <c r="J1844" s="3">
        <v>45401</v>
      </c>
      <c r="K1844" s="4">
        <f>ClientiBanca[[#This Row],[Prestito]]+ClientiBanca[[#This Row],[Mutuo]]</f>
        <v>64100</v>
      </c>
      <c r="L1844" t="str">
        <f>IF(ClientiBanca[[#This Row],[Reddito annuo]]&gt;=70000,"si","no")</f>
        <v>si</v>
      </c>
    </row>
    <row r="1845" spans="1:12">
      <c r="A1845">
        <v>101844</v>
      </c>
      <c r="B1845">
        <v>69</v>
      </c>
      <c r="C1845" s="2">
        <v>103900</v>
      </c>
      <c r="D1845" t="s">
        <v>12</v>
      </c>
      <c r="E1845" s="2">
        <v>0</v>
      </c>
      <c r="F1845" s="2">
        <v>0</v>
      </c>
      <c r="G1845" t="s">
        <v>16</v>
      </c>
      <c r="H1845" t="s">
        <v>20</v>
      </c>
      <c r="I1845" t="s">
        <v>18</v>
      </c>
      <c r="J1845" s="3">
        <v>45947</v>
      </c>
      <c r="K1845" s="4">
        <f>ClientiBanca[[#This Row],[Prestito]]+ClientiBanca[[#This Row],[Mutuo]]</f>
        <v>0</v>
      </c>
      <c r="L1845" t="str">
        <f>IF(ClientiBanca[[#This Row],[Reddito annuo]]&gt;=70000,"si","no")</f>
        <v>si</v>
      </c>
    </row>
    <row r="1846" spans="1:12">
      <c r="A1846">
        <v>101845</v>
      </c>
      <c r="B1846">
        <v>22</v>
      </c>
      <c r="C1846" s="2">
        <v>96300</v>
      </c>
      <c r="D1846" t="s">
        <v>22</v>
      </c>
      <c r="E1846" s="2">
        <v>22600</v>
      </c>
      <c r="F1846" s="2">
        <v>0</v>
      </c>
      <c r="G1846" t="s">
        <v>16</v>
      </c>
      <c r="H1846" t="s">
        <v>17</v>
      </c>
      <c r="I1846" t="s">
        <v>18</v>
      </c>
      <c r="J1846" s="3">
        <v>46250</v>
      </c>
      <c r="K1846" s="4">
        <f>ClientiBanca[[#This Row],[Prestito]]+ClientiBanca[[#This Row],[Mutuo]]</f>
        <v>22600</v>
      </c>
      <c r="L1846" t="str">
        <f>IF(ClientiBanca[[#This Row],[Reddito annuo]]&gt;=70000,"si","no")</f>
        <v>si</v>
      </c>
    </row>
    <row r="1847" spans="1:12">
      <c r="A1847">
        <v>101846</v>
      </c>
      <c r="B1847">
        <v>59</v>
      </c>
      <c r="C1847" s="2">
        <v>55000</v>
      </c>
      <c r="D1847" t="s">
        <v>21</v>
      </c>
      <c r="E1847" s="2">
        <v>16600</v>
      </c>
      <c r="F1847" s="2">
        <v>0</v>
      </c>
      <c r="G1847" t="s">
        <v>24</v>
      </c>
      <c r="H1847" t="s">
        <v>17</v>
      </c>
      <c r="I1847" t="s">
        <v>18</v>
      </c>
      <c r="J1847" s="3">
        <v>45437</v>
      </c>
      <c r="K1847" s="4">
        <f>ClientiBanca[[#This Row],[Prestito]]+ClientiBanca[[#This Row],[Mutuo]]</f>
        <v>16600</v>
      </c>
      <c r="L1847" t="str">
        <f>IF(ClientiBanca[[#This Row],[Reddito annuo]]&gt;=70000,"si","no")</f>
        <v>no</v>
      </c>
    </row>
    <row r="1848" spans="1:12">
      <c r="A1848">
        <v>101847</v>
      </c>
      <c r="B1848">
        <v>30</v>
      </c>
      <c r="C1848" s="2">
        <v>116400</v>
      </c>
      <c r="D1848" t="s">
        <v>21</v>
      </c>
      <c r="E1848" s="2">
        <v>0</v>
      </c>
      <c r="F1848" s="2">
        <v>0</v>
      </c>
      <c r="G1848" t="s">
        <v>16</v>
      </c>
      <c r="H1848" t="s">
        <v>20</v>
      </c>
      <c r="I1848" t="s">
        <v>18</v>
      </c>
      <c r="J1848" s="3">
        <v>45851</v>
      </c>
      <c r="K1848" s="4">
        <f>ClientiBanca[[#This Row],[Prestito]]+ClientiBanca[[#This Row],[Mutuo]]</f>
        <v>0</v>
      </c>
      <c r="L1848" t="str">
        <f>IF(ClientiBanca[[#This Row],[Reddito annuo]]&gt;=70000,"si","no")</f>
        <v>si</v>
      </c>
    </row>
    <row r="1849" spans="1:12">
      <c r="A1849">
        <v>101848</v>
      </c>
      <c r="B1849">
        <v>28</v>
      </c>
      <c r="C1849" s="2">
        <v>19000</v>
      </c>
      <c r="D1849" t="s">
        <v>22</v>
      </c>
      <c r="E1849" s="2">
        <v>0</v>
      </c>
      <c r="F1849" s="2">
        <v>0</v>
      </c>
      <c r="G1849" t="s">
        <v>26</v>
      </c>
      <c r="H1849" t="s">
        <v>14</v>
      </c>
      <c r="I1849" t="s">
        <v>18</v>
      </c>
      <c r="J1849" s="3">
        <v>45837</v>
      </c>
      <c r="K1849" s="4">
        <f>ClientiBanca[[#This Row],[Prestito]]+ClientiBanca[[#This Row],[Mutuo]]</f>
        <v>0</v>
      </c>
      <c r="L1849" t="str">
        <f>IF(ClientiBanca[[#This Row],[Reddito annuo]]&gt;=70000,"si","no")</f>
        <v>no</v>
      </c>
    </row>
    <row r="1850" spans="1:12">
      <c r="A1850">
        <v>101849</v>
      </c>
      <c r="B1850">
        <v>64</v>
      </c>
      <c r="C1850" s="2">
        <v>59900</v>
      </c>
      <c r="D1850" t="s">
        <v>12</v>
      </c>
      <c r="E1850" s="2">
        <v>0</v>
      </c>
      <c r="F1850" s="2">
        <v>161000</v>
      </c>
      <c r="G1850" t="s">
        <v>28</v>
      </c>
      <c r="H1850" t="s">
        <v>20</v>
      </c>
      <c r="I1850" t="s">
        <v>18</v>
      </c>
      <c r="J1850" s="3">
        <v>46062</v>
      </c>
      <c r="K1850" s="4">
        <f>ClientiBanca[[#This Row],[Prestito]]+ClientiBanca[[#This Row],[Mutuo]]</f>
        <v>161000</v>
      </c>
      <c r="L1850" t="str">
        <f>IF(ClientiBanca[[#This Row],[Reddito annuo]]&gt;=70000,"si","no")</f>
        <v>no</v>
      </c>
    </row>
    <row r="1851" spans="1:12">
      <c r="A1851">
        <v>101850</v>
      </c>
      <c r="B1851">
        <v>53</v>
      </c>
      <c r="C1851" s="2">
        <v>56100</v>
      </c>
      <c r="D1851" t="s">
        <v>12</v>
      </c>
      <c r="E1851" s="2">
        <v>41100</v>
      </c>
      <c r="F1851" s="2">
        <v>169000</v>
      </c>
      <c r="G1851" t="s">
        <v>23</v>
      </c>
      <c r="H1851" t="s">
        <v>25</v>
      </c>
      <c r="I1851" t="s">
        <v>15</v>
      </c>
      <c r="J1851" s="3">
        <v>46209</v>
      </c>
      <c r="K1851" s="4">
        <f>ClientiBanca[[#This Row],[Prestito]]+ClientiBanca[[#This Row],[Mutuo]]</f>
        <v>210100</v>
      </c>
      <c r="L1851" t="str">
        <f>IF(ClientiBanca[[#This Row],[Reddito annuo]]&gt;=70000,"si","no")</f>
        <v>no</v>
      </c>
    </row>
    <row r="1852" spans="1:12">
      <c r="A1852">
        <v>101851</v>
      </c>
      <c r="B1852">
        <v>68</v>
      </c>
      <c r="C1852" s="2">
        <v>122500</v>
      </c>
      <c r="D1852" t="s">
        <v>21</v>
      </c>
      <c r="E1852" s="2">
        <v>81000</v>
      </c>
      <c r="F1852" s="2">
        <v>0</v>
      </c>
      <c r="G1852" t="s">
        <v>24</v>
      </c>
      <c r="H1852" t="s">
        <v>25</v>
      </c>
      <c r="I1852" t="s">
        <v>18</v>
      </c>
      <c r="J1852" s="3">
        <v>46023</v>
      </c>
      <c r="K1852" s="4">
        <f>ClientiBanca[[#This Row],[Prestito]]+ClientiBanca[[#This Row],[Mutuo]]</f>
        <v>81000</v>
      </c>
      <c r="L1852" t="str">
        <f>IF(ClientiBanca[[#This Row],[Reddito annuo]]&gt;=70000,"si","no")</f>
        <v>si</v>
      </c>
    </row>
    <row r="1853" spans="1:12">
      <c r="A1853">
        <v>101852</v>
      </c>
      <c r="B1853">
        <v>46</v>
      </c>
      <c r="C1853" s="2">
        <v>35000</v>
      </c>
      <c r="D1853" t="s">
        <v>21</v>
      </c>
      <c r="E1853" s="2">
        <v>43800</v>
      </c>
      <c r="F1853" s="2">
        <v>0</v>
      </c>
      <c r="G1853" t="s">
        <v>23</v>
      </c>
      <c r="H1853" t="s">
        <v>20</v>
      </c>
      <c r="I1853" t="s">
        <v>18</v>
      </c>
      <c r="J1853" s="3">
        <v>45861</v>
      </c>
      <c r="K1853" s="4">
        <f>ClientiBanca[[#This Row],[Prestito]]+ClientiBanca[[#This Row],[Mutuo]]</f>
        <v>43800</v>
      </c>
      <c r="L1853" t="str">
        <f>IF(ClientiBanca[[#This Row],[Reddito annuo]]&gt;=70000,"si","no")</f>
        <v>no</v>
      </c>
    </row>
    <row r="1854" spans="1:12">
      <c r="A1854">
        <v>101853</v>
      </c>
      <c r="B1854">
        <v>52</v>
      </c>
      <c r="C1854" s="2">
        <v>33900</v>
      </c>
      <c r="D1854" t="s">
        <v>21</v>
      </c>
      <c r="E1854" s="2">
        <v>0</v>
      </c>
      <c r="F1854" s="2">
        <v>141000</v>
      </c>
      <c r="G1854" t="s">
        <v>26</v>
      </c>
      <c r="H1854" t="s">
        <v>14</v>
      </c>
      <c r="I1854" t="s">
        <v>18</v>
      </c>
      <c r="J1854" s="3">
        <v>45799</v>
      </c>
      <c r="K1854" s="4">
        <f>ClientiBanca[[#This Row],[Prestito]]+ClientiBanca[[#This Row],[Mutuo]]</f>
        <v>141000</v>
      </c>
      <c r="L1854" t="str">
        <f>IF(ClientiBanca[[#This Row],[Reddito annuo]]&gt;=70000,"si","no")</f>
        <v>no</v>
      </c>
    </row>
    <row r="1855" spans="1:12">
      <c r="A1855">
        <v>101854</v>
      </c>
      <c r="B1855">
        <v>29</v>
      </c>
      <c r="C1855" s="2">
        <v>44700</v>
      </c>
      <c r="D1855" t="s">
        <v>12</v>
      </c>
      <c r="E1855" s="2">
        <v>42900</v>
      </c>
      <c r="F1855" s="2">
        <v>0</v>
      </c>
      <c r="G1855" t="s">
        <v>26</v>
      </c>
      <c r="H1855" t="s">
        <v>17</v>
      </c>
      <c r="I1855" t="s">
        <v>18</v>
      </c>
      <c r="J1855" s="3">
        <v>45718</v>
      </c>
      <c r="K1855" s="4">
        <f>ClientiBanca[[#This Row],[Prestito]]+ClientiBanca[[#This Row],[Mutuo]]</f>
        <v>42900</v>
      </c>
      <c r="L1855" t="str">
        <f>IF(ClientiBanca[[#This Row],[Reddito annuo]]&gt;=70000,"si","no")</f>
        <v>no</v>
      </c>
    </row>
    <row r="1856" spans="1:12">
      <c r="A1856">
        <v>101855</v>
      </c>
      <c r="B1856">
        <v>45</v>
      </c>
      <c r="C1856" s="2">
        <v>90900</v>
      </c>
      <c r="D1856" t="s">
        <v>21</v>
      </c>
      <c r="E1856" s="2">
        <v>0</v>
      </c>
      <c r="F1856" s="2">
        <v>0</v>
      </c>
      <c r="G1856" t="s">
        <v>13</v>
      </c>
      <c r="H1856" t="s">
        <v>17</v>
      </c>
      <c r="I1856" t="s">
        <v>18</v>
      </c>
      <c r="J1856" s="3">
        <v>45421</v>
      </c>
      <c r="K1856" s="4">
        <f>ClientiBanca[[#This Row],[Prestito]]+ClientiBanca[[#This Row],[Mutuo]]</f>
        <v>0</v>
      </c>
      <c r="L1856" t="str">
        <f>IF(ClientiBanca[[#This Row],[Reddito annuo]]&gt;=70000,"si","no")</f>
        <v>si</v>
      </c>
    </row>
    <row r="1857" spans="1:12">
      <c r="A1857">
        <v>101856</v>
      </c>
      <c r="B1857">
        <v>64</v>
      </c>
      <c r="C1857" s="2">
        <v>44500</v>
      </c>
      <c r="D1857" t="s">
        <v>12</v>
      </c>
      <c r="E1857" s="2">
        <v>0</v>
      </c>
      <c r="F1857" s="2">
        <v>0</v>
      </c>
      <c r="G1857" t="s">
        <v>27</v>
      </c>
      <c r="H1857" t="s">
        <v>14</v>
      </c>
      <c r="I1857" t="s">
        <v>18</v>
      </c>
      <c r="J1857" s="3">
        <v>45764</v>
      </c>
      <c r="K1857" s="4">
        <f>ClientiBanca[[#This Row],[Prestito]]+ClientiBanca[[#This Row],[Mutuo]]</f>
        <v>0</v>
      </c>
      <c r="L1857" t="str">
        <f>IF(ClientiBanca[[#This Row],[Reddito annuo]]&gt;=70000,"si","no")</f>
        <v>no</v>
      </c>
    </row>
    <row r="1858" spans="1:12">
      <c r="A1858">
        <v>101857</v>
      </c>
      <c r="B1858">
        <v>73</v>
      </c>
      <c r="C1858" s="2">
        <v>63500</v>
      </c>
      <c r="D1858" t="s">
        <v>21</v>
      </c>
      <c r="E1858" s="2">
        <v>22000</v>
      </c>
      <c r="F1858" s="2">
        <v>0</v>
      </c>
      <c r="G1858" t="s">
        <v>13</v>
      </c>
      <c r="H1858" t="s">
        <v>14</v>
      </c>
      <c r="I1858" t="s">
        <v>18</v>
      </c>
      <c r="J1858" s="3">
        <v>45929</v>
      </c>
      <c r="K1858" s="4">
        <f>ClientiBanca[[#This Row],[Prestito]]+ClientiBanca[[#This Row],[Mutuo]]</f>
        <v>22000</v>
      </c>
      <c r="L1858" t="str">
        <f>IF(ClientiBanca[[#This Row],[Reddito annuo]]&gt;=70000,"si","no")</f>
        <v>no</v>
      </c>
    </row>
    <row r="1859" spans="1:12">
      <c r="A1859">
        <v>101858</v>
      </c>
      <c r="B1859">
        <v>31</v>
      </c>
      <c r="C1859" s="2">
        <v>101800</v>
      </c>
      <c r="D1859" t="s">
        <v>12</v>
      </c>
      <c r="E1859" s="2">
        <v>0</v>
      </c>
      <c r="F1859" s="2">
        <v>0</v>
      </c>
      <c r="G1859" t="s">
        <v>23</v>
      </c>
      <c r="H1859" t="s">
        <v>17</v>
      </c>
      <c r="I1859" t="s">
        <v>18</v>
      </c>
      <c r="J1859" s="3">
        <v>45887</v>
      </c>
      <c r="K1859" s="4">
        <f>ClientiBanca[[#This Row],[Prestito]]+ClientiBanca[[#This Row],[Mutuo]]</f>
        <v>0</v>
      </c>
      <c r="L1859" t="str">
        <f>IF(ClientiBanca[[#This Row],[Reddito annuo]]&gt;=70000,"si","no")</f>
        <v>si</v>
      </c>
    </row>
    <row r="1860" spans="1:12">
      <c r="A1860">
        <v>101859</v>
      </c>
      <c r="B1860">
        <v>45</v>
      </c>
      <c r="C1860" s="2">
        <v>75300</v>
      </c>
      <c r="D1860" t="s">
        <v>12</v>
      </c>
      <c r="E1860" s="2">
        <v>34100</v>
      </c>
      <c r="F1860" s="2">
        <v>0</v>
      </c>
      <c r="G1860" t="s">
        <v>13</v>
      </c>
      <c r="H1860" t="s">
        <v>20</v>
      </c>
      <c r="I1860" t="s">
        <v>18</v>
      </c>
      <c r="J1860" s="3">
        <v>45613</v>
      </c>
      <c r="K1860" s="4">
        <f>ClientiBanca[[#This Row],[Prestito]]+ClientiBanca[[#This Row],[Mutuo]]</f>
        <v>34100</v>
      </c>
      <c r="L1860" t="str">
        <f>IF(ClientiBanca[[#This Row],[Reddito annuo]]&gt;=70000,"si","no")</f>
        <v>si</v>
      </c>
    </row>
    <row r="1861" spans="1:12">
      <c r="A1861">
        <v>101860</v>
      </c>
      <c r="B1861">
        <v>71</v>
      </c>
      <c r="C1861" s="2">
        <v>72100</v>
      </c>
      <c r="D1861" t="s">
        <v>21</v>
      </c>
      <c r="E1861" s="2">
        <v>48100</v>
      </c>
      <c r="F1861" s="2">
        <v>0</v>
      </c>
      <c r="G1861" t="s">
        <v>27</v>
      </c>
      <c r="H1861" t="s">
        <v>14</v>
      </c>
      <c r="I1861" t="s">
        <v>18</v>
      </c>
      <c r="J1861" s="3">
        <v>45661</v>
      </c>
      <c r="K1861" s="4">
        <f>ClientiBanca[[#This Row],[Prestito]]+ClientiBanca[[#This Row],[Mutuo]]</f>
        <v>48100</v>
      </c>
      <c r="L1861" t="str">
        <f>IF(ClientiBanca[[#This Row],[Reddito annuo]]&gt;=70000,"si","no")</f>
        <v>si</v>
      </c>
    </row>
    <row r="1862" spans="1:12">
      <c r="A1862">
        <v>101861</v>
      </c>
      <c r="B1862">
        <v>35</v>
      </c>
      <c r="C1862" s="2">
        <v>75400</v>
      </c>
      <c r="D1862" t="s">
        <v>21</v>
      </c>
      <c r="E1862" s="2">
        <v>25900</v>
      </c>
      <c r="F1862" s="2">
        <v>116000</v>
      </c>
      <c r="G1862" t="s">
        <v>27</v>
      </c>
      <c r="H1862" t="s">
        <v>20</v>
      </c>
      <c r="I1862" t="s">
        <v>18</v>
      </c>
      <c r="J1862" s="3">
        <v>46062</v>
      </c>
      <c r="K1862" s="4">
        <f>ClientiBanca[[#This Row],[Prestito]]+ClientiBanca[[#This Row],[Mutuo]]</f>
        <v>141900</v>
      </c>
      <c r="L1862" t="str">
        <f>IF(ClientiBanca[[#This Row],[Reddito annuo]]&gt;=70000,"si","no")</f>
        <v>si</v>
      </c>
    </row>
    <row r="1863" spans="1:12">
      <c r="A1863">
        <v>101862</v>
      </c>
      <c r="B1863">
        <v>69</v>
      </c>
      <c r="C1863" s="2">
        <v>63800</v>
      </c>
      <c r="D1863" t="s">
        <v>21</v>
      </c>
      <c r="E1863" s="2">
        <v>21000</v>
      </c>
      <c r="F1863" s="2">
        <v>0</v>
      </c>
      <c r="G1863" t="s">
        <v>24</v>
      </c>
      <c r="H1863" t="s">
        <v>20</v>
      </c>
      <c r="I1863" t="s">
        <v>18</v>
      </c>
      <c r="J1863" s="3">
        <v>45627</v>
      </c>
      <c r="K1863" s="4">
        <f>ClientiBanca[[#This Row],[Prestito]]+ClientiBanca[[#This Row],[Mutuo]]</f>
        <v>21000</v>
      </c>
      <c r="L1863" t="str">
        <f>IF(ClientiBanca[[#This Row],[Reddito annuo]]&gt;=70000,"si","no")</f>
        <v>no</v>
      </c>
    </row>
    <row r="1864" spans="1:12">
      <c r="A1864">
        <v>101863</v>
      </c>
      <c r="B1864">
        <v>43</v>
      </c>
      <c r="C1864" s="2">
        <v>67200</v>
      </c>
      <c r="D1864" t="s">
        <v>21</v>
      </c>
      <c r="E1864" s="2">
        <v>7900</v>
      </c>
      <c r="F1864" s="2">
        <v>0</v>
      </c>
      <c r="G1864" t="s">
        <v>26</v>
      </c>
      <c r="H1864" t="s">
        <v>14</v>
      </c>
      <c r="I1864" t="s">
        <v>18</v>
      </c>
      <c r="J1864" s="3">
        <v>45886</v>
      </c>
      <c r="K1864" s="4">
        <f>ClientiBanca[[#This Row],[Prestito]]+ClientiBanca[[#This Row],[Mutuo]]</f>
        <v>7900</v>
      </c>
      <c r="L1864" t="str">
        <f>IF(ClientiBanca[[#This Row],[Reddito annuo]]&gt;=70000,"si","no")</f>
        <v>no</v>
      </c>
    </row>
    <row r="1865" spans="1:12">
      <c r="A1865">
        <v>101864</v>
      </c>
      <c r="B1865">
        <v>36</v>
      </c>
      <c r="C1865" s="2">
        <v>39900</v>
      </c>
      <c r="D1865" t="s">
        <v>21</v>
      </c>
      <c r="E1865" s="2">
        <v>27100</v>
      </c>
      <c r="F1865" s="2">
        <v>0</v>
      </c>
      <c r="G1865" t="s">
        <v>16</v>
      </c>
      <c r="H1865" t="s">
        <v>17</v>
      </c>
      <c r="I1865" t="s">
        <v>18</v>
      </c>
      <c r="J1865" s="3">
        <v>45626</v>
      </c>
      <c r="K1865" s="4">
        <f>ClientiBanca[[#This Row],[Prestito]]+ClientiBanca[[#This Row],[Mutuo]]</f>
        <v>27100</v>
      </c>
      <c r="L1865" t="str">
        <f>IF(ClientiBanca[[#This Row],[Reddito annuo]]&gt;=70000,"si","no")</f>
        <v>no</v>
      </c>
    </row>
    <row r="1866" spans="1:12">
      <c r="A1866">
        <v>101865</v>
      </c>
      <c r="B1866">
        <v>70</v>
      </c>
      <c r="C1866" s="2">
        <v>55400</v>
      </c>
      <c r="D1866" t="s">
        <v>21</v>
      </c>
      <c r="E1866" s="2">
        <v>0</v>
      </c>
      <c r="F1866" s="2">
        <v>0</v>
      </c>
      <c r="G1866" t="s">
        <v>19</v>
      </c>
      <c r="H1866" t="s">
        <v>17</v>
      </c>
      <c r="I1866" t="s">
        <v>18</v>
      </c>
      <c r="J1866" s="3">
        <v>45664</v>
      </c>
      <c r="K1866" s="4">
        <f>ClientiBanca[[#This Row],[Prestito]]+ClientiBanca[[#This Row],[Mutuo]]</f>
        <v>0</v>
      </c>
      <c r="L1866" t="str">
        <f>IF(ClientiBanca[[#This Row],[Reddito annuo]]&gt;=70000,"si","no")</f>
        <v>no</v>
      </c>
    </row>
    <row r="1867" spans="1:12">
      <c r="A1867">
        <v>101866</v>
      </c>
      <c r="B1867">
        <v>51</v>
      </c>
      <c r="C1867" s="2">
        <v>81000</v>
      </c>
      <c r="D1867" t="s">
        <v>21</v>
      </c>
      <c r="E1867" s="2">
        <v>0</v>
      </c>
      <c r="F1867" s="2">
        <v>0</v>
      </c>
      <c r="G1867" t="s">
        <v>26</v>
      </c>
      <c r="H1867" t="s">
        <v>17</v>
      </c>
      <c r="I1867" t="s">
        <v>18</v>
      </c>
      <c r="J1867" s="3">
        <v>45518</v>
      </c>
      <c r="K1867" s="4">
        <f>ClientiBanca[[#This Row],[Prestito]]+ClientiBanca[[#This Row],[Mutuo]]</f>
        <v>0</v>
      </c>
      <c r="L1867" t="str">
        <f>IF(ClientiBanca[[#This Row],[Reddito annuo]]&gt;=70000,"si","no")</f>
        <v>si</v>
      </c>
    </row>
    <row r="1868" spans="1:12">
      <c r="A1868">
        <v>101867</v>
      </c>
      <c r="B1868">
        <v>32</v>
      </c>
      <c r="C1868" s="2">
        <v>83600</v>
      </c>
      <c r="D1868" t="s">
        <v>12</v>
      </c>
      <c r="E1868" s="2">
        <v>15600</v>
      </c>
      <c r="F1868" s="2">
        <v>0</v>
      </c>
      <c r="G1868" t="s">
        <v>19</v>
      </c>
      <c r="H1868" t="s">
        <v>20</v>
      </c>
      <c r="I1868" t="s">
        <v>18</v>
      </c>
      <c r="J1868" s="3">
        <v>45682</v>
      </c>
      <c r="K1868" s="4">
        <f>ClientiBanca[[#This Row],[Prestito]]+ClientiBanca[[#This Row],[Mutuo]]</f>
        <v>15600</v>
      </c>
      <c r="L1868" t="str">
        <f>IF(ClientiBanca[[#This Row],[Reddito annuo]]&gt;=70000,"si","no")</f>
        <v>si</v>
      </c>
    </row>
    <row r="1869" spans="1:12">
      <c r="A1869">
        <v>101868</v>
      </c>
      <c r="B1869">
        <v>70</v>
      </c>
      <c r="C1869" s="2">
        <v>36800</v>
      </c>
      <c r="D1869" t="s">
        <v>12</v>
      </c>
      <c r="E1869" s="2">
        <v>0</v>
      </c>
      <c r="F1869" s="2">
        <v>0</v>
      </c>
      <c r="G1869" t="s">
        <v>26</v>
      </c>
      <c r="H1869" t="s">
        <v>20</v>
      </c>
      <c r="I1869" t="s">
        <v>18</v>
      </c>
      <c r="J1869" s="3">
        <v>45698</v>
      </c>
      <c r="K1869" s="4">
        <f>ClientiBanca[[#This Row],[Prestito]]+ClientiBanca[[#This Row],[Mutuo]]</f>
        <v>0</v>
      </c>
      <c r="L1869" t="str">
        <f>IF(ClientiBanca[[#This Row],[Reddito annuo]]&gt;=70000,"si","no")</f>
        <v>no</v>
      </c>
    </row>
    <row r="1870" spans="1:12">
      <c r="A1870">
        <v>101869</v>
      </c>
      <c r="B1870">
        <v>60</v>
      </c>
      <c r="C1870" s="2">
        <v>49000</v>
      </c>
      <c r="D1870" t="s">
        <v>12</v>
      </c>
      <c r="E1870" s="2">
        <v>10700</v>
      </c>
      <c r="F1870" s="2">
        <v>0</v>
      </c>
      <c r="G1870" t="s">
        <v>16</v>
      </c>
      <c r="H1870" t="s">
        <v>20</v>
      </c>
      <c r="I1870" t="s">
        <v>18</v>
      </c>
      <c r="J1870" s="3">
        <v>45471</v>
      </c>
      <c r="K1870" s="4">
        <f>ClientiBanca[[#This Row],[Prestito]]+ClientiBanca[[#This Row],[Mutuo]]</f>
        <v>10700</v>
      </c>
      <c r="L1870" t="str">
        <f>IF(ClientiBanca[[#This Row],[Reddito annuo]]&gt;=70000,"si","no")</f>
        <v>no</v>
      </c>
    </row>
    <row r="1871" spans="1:12">
      <c r="A1871">
        <v>101870</v>
      </c>
      <c r="B1871">
        <v>29</v>
      </c>
      <c r="C1871" s="2">
        <v>46600</v>
      </c>
      <c r="D1871" t="s">
        <v>22</v>
      </c>
      <c r="E1871" s="2">
        <v>0</v>
      </c>
      <c r="F1871" s="2">
        <v>0</v>
      </c>
      <c r="G1871" t="s">
        <v>28</v>
      </c>
      <c r="H1871" t="s">
        <v>17</v>
      </c>
      <c r="I1871" t="s">
        <v>18</v>
      </c>
      <c r="J1871" s="3">
        <v>45777</v>
      </c>
      <c r="K1871" s="4">
        <f>ClientiBanca[[#This Row],[Prestito]]+ClientiBanca[[#This Row],[Mutuo]]</f>
        <v>0</v>
      </c>
      <c r="L1871" t="str">
        <f>IF(ClientiBanca[[#This Row],[Reddito annuo]]&gt;=70000,"si","no")</f>
        <v>no</v>
      </c>
    </row>
    <row r="1872" spans="1:12">
      <c r="A1872">
        <v>101871</v>
      </c>
      <c r="B1872">
        <v>39</v>
      </c>
      <c r="C1872" s="2">
        <v>53200</v>
      </c>
      <c r="D1872" t="s">
        <v>12</v>
      </c>
      <c r="E1872" s="2">
        <v>27800</v>
      </c>
      <c r="F1872" s="2">
        <v>144000</v>
      </c>
      <c r="G1872" t="s">
        <v>13</v>
      </c>
      <c r="H1872" t="s">
        <v>20</v>
      </c>
      <c r="I1872" t="s">
        <v>18</v>
      </c>
      <c r="J1872" s="3">
        <v>46164</v>
      </c>
      <c r="K1872" s="4">
        <f>ClientiBanca[[#This Row],[Prestito]]+ClientiBanca[[#This Row],[Mutuo]]</f>
        <v>171800</v>
      </c>
      <c r="L1872" t="str">
        <f>IF(ClientiBanca[[#This Row],[Reddito annuo]]&gt;=70000,"si","no")</f>
        <v>no</v>
      </c>
    </row>
    <row r="1873" spans="1:12">
      <c r="A1873">
        <v>101872</v>
      </c>
      <c r="B1873">
        <v>52</v>
      </c>
      <c r="C1873" s="2">
        <v>87300</v>
      </c>
      <c r="D1873" t="s">
        <v>21</v>
      </c>
      <c r="E1873" s="2">
        <v>0</v>
      </c>
      <c r="F1873" s="2">
        <v>0</v>
      </c>
      <c r="G1873" t="s">
        <v>27</v>
      </c>
      <c r="H1873" t="s">
        <v>20</v>
      </c>
      <c r="I1873" t="s">
        <v>18</v>
      </c>
      <c r="J1873" s="3">
        <v>46218</v>
      </c>
      <c r="K1873" s="4">
        <f>ClientiBanca[[#This Row],[Prestito]]+ClientiBanca[[#This Row],[Mutuo]]</f>
        <v>0</v>
      </c>
      <c r="L1873" t="str">
        <f>IF(ClientiBanca[[#This Row],[Reddito annuo]]&gt;=70000,"si","no")</f>
        <v>si</v>
      </c>
    </row>
    <row r="1874" spans="1:12">
      <c r="A1874">
        <v>101873</v>
      </c>
      <c r="B1874">
        <v>54</v>
      </c>
      <c r="C1874" s="2">
        <v>24400</v>
      </c>
      <c r="D1874" t="s">
        <v>21</v>
      </c>
      <c r="E1874" s="2">
        <v>28100</v>
      </c>
      <c r="F1874" s="2">
        <v>0</v>
      </c>
      <c r="G1874" t="s">
        <v>24</v>
      </c>
      <c r="H1874" t="s">
        <v>17</v>
      </c>
      <c r="I1874" t="s">
        <v>18</v>
      </c>
      <c r="J1874" s="3">
        <v>45883</v>
      </c>
      <c r="K1874" s="4">
        <f>ClientiBanca[[#This Row],[Prestito]]+ClientiBanca[[#This Row],[Mutuo]]</f>
        <v>28100</v>
      </c>
      <c r="L1874" t="str">
        <f>IF(ClientiBanca[[#This Row],[Reddito annuo]]&gt;=70000,"si","no")</f>
        <v>no</v>
      </c>
    </row>
    <row r="1875" spans="1:12">
      <c r="A1875">
        <v>101874</v>
      </c>
      <c r="B1875">
        <v>58</v>
      </c>
      <c r="C1875" s="2">
        <v>96000</v>
      </c>
      <c r="D1875" t="s">
        <v>21</v>
      </c>
      <c r="E1875" s="2">
        <v>0</v>
      </c>
      <c r="F1875" s="2">
        <v>0</v>
      </c>
      <c r="G1875" t="s">
        <v>26</v>
      </c>
      <c r="H1875" t="s">
        <v>20</v>
      </c>
      <c r="I1875" t="s">
        <v>18</v>
      </c>
      <c r="J1875" s="3">
        <v>46027</v>
      </c>
      <c r="K1875" s="4">
        <f>ClientiBanca[[#This Row],[Prestito]]+ClientiBanca[[#This Row],[Mutuo]]</f>
        <v>0</v>
      </c>
      <c r="L1875" t="str">
        <f>IF(ClientiBanca[[#This Row],[Reddito annuo]]&gt;=70000,"si","no")</f>
        <v>si</v>
      </c>
    </row>
    <row r="1876" spans="1:12">
      <c r="A1876">
        <v>101875</v>
      </c>
      <c r="B1876">
        <v>46</v>
      </c>
      <c r="C1876" s="2">
        <v>84800</v>
      </c>
      <c r="D1876" t="s">
        <v>22</v>
      </c>
      <c r="E1876" s="2">
        <v>29600</v>
      </c>
      <c r="F1876" s="2">
        <v>126000</v>
      </c>
      <c r="G1876" t="s">
        <v>24</v>
      </c>
      <c r="H1876" t="s">
        <v>20</v>
      </c>
      <c r="I1876" t="s">
        <v>18</v>
      </c>
      <c r="J1876" s="3">
        <v>45526</v>
      </c>
      <c r="K1876" s="4">
        <f>ClientiBanca[[#This Row],[Prestito]]+ClientiBanca[[#This Row],[Mutuo]]</f>
        <v>155600</v>
      </c>
      <c r="L1876" t="str">
        <f>IF(ClientiBanca[[#This Row],[Reddito annuo]]&gt;=70000,"si","no")</f>
        <v>si</v>
      </c>
    </row>
    <row r="1877" spans="1:12">
      <c r="A1877">
        <v>101876</v>
      </c>
      <c r="B1877">
        <v>67</v>
      </c>
      <c r="C1877" s="2">
        <v>81300</v>
      </c>
      <c r="D1877" t="s">
        <v>21</v>
      </c>
      <c r="E1877" s="2">
        <v>25600</v>
      </c>
      <c r="F1877" s="2">
        <v>0</v>
      </c>
      <c r="G1877" t="s">
        <v>16</v>
      </c>
      <c r="H1877" t="s">
        <v>14</v>
      </c>
      <c r="I1877" t="s">
        <v>18</v>
      </c>
      <c r="J1877" s="3">
        <v>45764</v>
      </c>
      <c r="K1877" s="4">
        <f>ClientiBanca[[#This Row],[Prestito]]+ClientiBanca[[#This Row],[Mutuo]]</f>
        <v>25600</v>
      </c>
      <c r="L1877" t="str">
        <f>IF(ClientiBanca[[#This Row],[Reddito annuo]]&gt;=70000,"si","no")</f>
        <v>si</v>
      </c>
    </row>
    <row r="1878" spans="1:12">
      <c r="A1878">
        <v>101877</v>
      </c>
      <c r="B1878">
        <v>55</v>
      </c>
      <c r="C1878" s="2">
        <v>50000</v>
      </c>
      <c r="D1878" t="s">
        <v>12</v>
      </c>
      <c r="E1878" s="2">
        <v>62500</v>
      </c>
      <c r="F1878" s="2">
        <v>0</v>
      </c>
      <c r="G1878" t="s">
        <v>24</v>
      </c>
      <c r="H1878" t="s">
        <v>17</v>
      </c>
      <c r="I1878" t="s">
        <v>18</v>
      </c>
      <c r="J1878" s="3">
        <v>45862</v>
      </c>
      <c r="K1878" s="4">
        <f>ClientiBanca[[#This Row],[Prestito]]+ClientiBanca[[#This Row],[Mutuo]]</f>
        <v>62500</v>
      </c>
      <c r="L1878" t="str">
        <f>IF(ClientiBanca[[#This Row],[Reddito annuo]]&gt;=70000,"si","no")</f>
        <v>no</v>
      </c>
    </row>
    <row r="1879" spans="1:12">
      <c r="A1879">
        <v>101878</v>
      </c>
      <c r="B1879">
        <v>64</v>
      </c>
      <c r="C1879" s="2">
        <v>80500</v>
      </c>
      <c r="D1879" t="s">
        <v>12</v>
      </c>
      <c r="E1879" s="2">
        <v>0</v>
      </c>
      <c r="F1879" s="2">
        <v>0</v>
      </c>
      <c r="G1879" t="s">
        <v>26</v>
      </c>
      <c r="H1879" t="s">
        <v>20</v>
      </c>
      <c r="I1879" t="s">
        <v>18</v>
      </c>
      <c r="J1879" s="3">
        <v>45984</v>
      </c>
      <c r="K1879" s="4">
        <f>ClientiBanca[[#This Row],[Prestito]]+ClientiBanca[[#This Row],[Mutuo]]</f>
        <v>0</v>
      </c>
      <c r="L1879" t="str">
        <f>IF(ClientiBanca[[#This Row],[Reddito annuo]]&gt;=70000,"si","no")</f>
        <v>si</v>
      </c>
    </row>
    <row r="1880" spans="1:12">
      <c r="A1880">
        <v>101879</v>
      </c>
      <c r="B1880">
        <v>47</v>
      </c>
      <c r="C1880" s="2">
        <v>44300</v>
      </c>
      <c r="D1880" t="s">
        <v>12</v>
      </c>
      <c r="E1880" s="2">
        <v>31900</v>
      </c>
      <c r="F1880" s="2">
        <v>0</v>
      </c>
      <c r="G1880" t="s">
        <v>23</v>
      </c>
      <c r="H1880" t="s">
        <v>14</v>
      </c>
      <c r="I1880" t="s">
        <v>15</v>
      </c>
      <c r="J1880" s="3">
        <v>45435</v>
      </c>
      <c r="K1880" s="4">
        <f>ClientiBanca[[#This Row],[Prestito]]+ClientiBanca[[#This Row],[Mutuo]]</f>
        <v>31900</v>
      </c>
      <c r="L1880" t="str">
        <f>IF(ClientiBanca[[#This Row],[Reddito annuo]]&gt;=70000,"si","no")</f>
        <v>no</v>
      </c>
    </row>
    <row r="1881" spans="1:12">
      <c r="A1881">
        <v>101880</v>
      </c>
      <c r="B1881">
        <v>32</v>
      </c>
      <c r="C1881" s="2">
        <v>38400</v>
      </c>
      <c r="D1881" t="s">
        <v>12</v>
      </c>
      <c r="E1881" s="2">
        <v>48000</v>
      </c>
      <c r="F1881" s="2">
        <v>0</v>
      </c>
      <c r="G1881" t="s">
        <v>28</v>
      </c>
      <c r="H1881" t="s">
        <v>14</v>
      </c>
      <c r="I1881" t="s">
        <v>18</v>
      </c>
      <c r="J1881" s="3">
        <v>46127</v>
      </c>
      <c r="K1881" s="4">
        <f>ClientiBanca[[#This Row],[Prestito]]+ClientiBanca[[#This Row],[Mutuo]]</f>
        <v>48000</v>
      </c>
      <c r="L1881" t="str">
        <f>IF(ClientiBanca[[#This Row],[Reddito annuo]]&gt;=70000,"si","no")</f>
        <v>no</v>
      </c>
    </row>
    <row r="1882" spans="1:12">
      <c r="A1882">
        <v>101881</v>
      </c>
      <c r="B1882">
        <v>25</v>
      </c>
      <c r="C1882" s="2">
        <v>56400</v>
      </c>
      <c r="D1882" t="s">
        <v>22</v>
      </c>
      <c r="E1882" s="2">
        <v>19100</v>
      </c>
      <c r="F1882" s="2">
        <v>0</v>
      </c>
      <c r="G1882" t="s">
        <v>24</v>
      </c>
      <c r="H1882" t="s">
        <v>17</v>
      </c>
      <c r="I1882" t="s">
        <v>15</v>
      </c>
      <c r="J1882" s="3">
        <v>46180</v>
      </c>
      <c r="K1882" s="4">
        <f>ClientiBanca[[#This Row],[Prestito]]+ClientiBanca[[#This Row],[Mutuo]]</f>
        <v>19100</v>
      </c>
      <c r="L1882" t="str">
        <f>IF(ClientiBanca[[#This Row],[Reddito annuo]]&gt;=70000,"si","no")</f>
        <v>no</v>
      </c>
    </row>
    <row r="1883" spans="1:12">
      <c r="A1883">
        <v>101882</v>
      </c>
      <c r="B1883">
        <v>73</v>
      </c>
      <c r="C1883" s="2">
        <v>63800</v>
      </c>
      <c r="D1883" t="s">
        <v>21</v>
      </c>
      <c r="E1883" s="2">
        <v>12100</v>
      </c>
      <c r="F1883" s="2">
        <v>0</v>
      </c>
      <c r="G1883" t="s">
        <v>27</v>
      </c>
      <c r="H1883" t="s">
        <v>17</v>
      </c>
      <c r="I1883" t="s">
        <v>18</v>
      </c>
      <c r="J1883" s="3">
        <v>46159</v>
      </c>
      <c r="K1883" s="4">
        <f>ClientiBanca[[#This Row],[Prestito]]+ClientiBanca[[#This Row],[Mutuo]]</f>
        <v>12100</v>
      </c>
      <c r="L1883" t="str">
        <f>IF(ClientiBanca[[#This Row],[Reddito annuo]]&gt;=70000,"si","no")</f>
        <v>no</v>
      </c>
    </row>
    <row r="1884" spans="1:12">
      <c r="A1884">
        <v>101883</v>
      </c>
      <c r="B1884">
        <v>24</v>
      </c>
      <c r="C1884" s="2">
        <v>67700</v>
      </c>
      <c r="D1884" t="s">
        <v>21</v>
      </c>
      <c r="E1884" s="2">
        <v>9700</v>
      </c>
      <c r="F1884" s="2">
        <v>0</v>
      </c>
      <c r="G1884" t="s">
        <v>23</v>
      </c>
      <c r="H1884" t="s">
        <v>20</v>
      </c>
      <c r="I1884" t="s">
        <v>18</v>
      </c>
      <c r="J1884" s="3">
        <v>46103</v>
      </c>
      <c r="K1884" s="4">
        <f>ClientiBanca[[#This Row],[Prestito]]+ClientiBanca[[#This Row],[Mutuo]]</f>
        <v>9700</v>
      </c>
      <c r="L1884" t="str">
        <f>IF(ClientiBanca[[#This Row],[Reddito annuo]]&gt;=70000,"si","no")</f>
        <v>no</v>
      </c>
    </row>
    <row r="1885" spans="1:12">
      <c r="A1885">
        <v>101884</v>
      </c>
      <c r="B1885">
        <v>34</v>
      </c>
      <c r="C1885" s="2">
        <v>48400</v>
      </c>
      <c r="D1885" t="s">
        <v>12</v>
      </c>
      <c r="E1885" s="2">
        <v>0</v>
      </c>
      <c r="F1885" s="2">
        <v>322000</v>
      </c>
      <c r="G1885" t="s">
        <v>19</v>
      </c>
      <c r="H1885" t="s">
        <v>14</v>
      </c>
      <c r="I1885" t="s">
        <v>18</v>
      </c>
      <c r="J1885" s="3">
        <v>46194</v>
      </c>
      <c r="K1885" s="4">
        <f>ClientiBanca[[#This Row],[Prestito]]+ClientiBanca[[#This Row],[Mutuo]]</f>
        <v>322000</v>
      </c>
      <c r="L1885" t="str">
        <f>IF(ClientiBanca[[#This Row],[Reddito annuo]]&gt;=70000,"si","no")</f>
        <v>no</v>
      </c>
    </row>
    <row r="1886" spans="1:12">
      <c r="A1886">
        <v>101885</v>
      </c>
      <c r="B1886">
        <v>39</v>
      </c>
      <c r="C1886" s="2">
        <v>23600</v>
      </c>
      <c r="D1886" t="s">
        <v>22</v>
      </c>
      <c r="E1886" s="2">
        <v>0</v>
      </c>
      <c r="F1886" s="2">
        <v>0</v>
      </c>
      <c r="G1886" t="s">
        <v>13</v>
      </c>
      <c r="H1886" t="s">
        <v>17</v>
      </c>
      <c r="I1886" t="s">
        <v>18</v>
      </c>
      <c r="J1886" s="3">
        <v>46024</v>
      </c>
      <c r="K1886" s="4">
        <f>ClientiBanca[[#This Row],[Prestito]]+ClientiBanca[[#This Row],[Mutuo]]</f>
        <v>0</v>
      </c>
      <c r="L1886" t="str">
        <f>IF(ClientiBanca[[#This Row],[Reddito annuo]]&gt;=70000,"si","no")</f>
        <v>no</v>
      </c>
    </row>
    <row r="1887" spans="1:12">
      <c r="A1887">
        <v>101886</v>
      </c>
      <c r="B1887">
        <v>75</v>
      </c>
      <c r="C1887" s="2">
        <v>52900</v>
      </c>
      <c r="D1887" t="s">
        <v>21</v>
      </c>
      <c r="E1887" s="2">
        <v>65500</v>
      </c>
      <c r="F1887" s="2">
        <v>0</v>
      </c>
      <c r="G1887" t="s">
        <v>19</v>
      </c>
      <c r="H1887" t="s">
        <v>25</v>
      </c>
      <c r="I1887" t="s">
        <v>18</v>
      </c>
      <c r="J1887" s="3">
        <v>45552</v>
      </c>
      <c r="K1887" s="4">
        <f>ClientiBanca[[#This Row],[Prestito]]+ClientiBanca[[#This Row],[Mutuo]]</f>
        <v>65500</v>
      </c>
      <c r="L1887" t="str">
        <f>IF(ClientiBanca[[#This Row],[Reddito annuo]]&gt;=70000,"si","no")</f>
        <v>no</v>
      </c>
    </row>
    <row r="1888" spans="1:12">
      <c r="A1888">
        <v>101887</v>
      </c>
      <c r="B1888">
        <v>62</v>
      </c>
      <c r="C1888" s="2">
        <v>109100</v>
      </c>
      <c r="D1888" t="s">
        <v>21</v>
      </c>
      <c r="E1888" s="2">
        <v>56800</v>
      </c>
      <c r="F1888" s="2">
        <v>215000</v>
      </c>
      <c r="G1888" t="s">
        <v>19</v>
      </c>
      <c r="H1888" t="s">
        <v>17</v>
      </c>
      <c r="I1888" t="s">
        <v>18</v>
      </c>
      <c r="J1888" s="3">
        <v>45926</v>
      </c>
      <c r="K1888" s="4">
        <f>ClientiBanca[[#This Row],[Prestito]]+ClientiBanca[[#This Row],[Mutuo]]</f>
        <v>271800</v>
      </c>
      <c r="L1888" t="str">
        <f>IF(ClientiBanca[[#This Row],[Reddito annuo]]&gt;=70000,"si","no")</f>
        <v>si</v>
      </c>
    </row>
    <row r="1889" spans="1:12">
      <c r="A1889">
        <v>101888</v>
      </c>
      <c r="B1889">
        <v>33</v>
      </c>
      <c r="C1889" s="2">
        <v>56400</v>
      </c>
      <c r="D1889" t="s">
        <v>12</v>
      </c>
      <c r="E1889" s="2">
        <v>42400</v>
      </c>
      <c r="F1889" s="2">
        <v>0</v>
      </c>
      <c r="G1889" t="s">
        <v>19</v>
      </c>
      <c r="H1889" t="s">
        <v>20</v>
      </c>
      <c r="I1889" t="s">
        <v>18</v>
      </c>
      <c r="J1889" s="3">
        <v>45442</v>
      </c>
      <c r="K1889" s="4">
        <f>ClientiBanca[[#This Row],[Prestito]]+ClientiBanca[[#This Row],[Mutuo]]</f>
        <v>42400</v>
      </c>
      <c r="L1889" t="str">
        <f>IF(ClientiBanca[[#This Row],[Reddito annuo]]&gt;=70000,"si","no")</f>
        <v>no</v>
      </c>
    </row>
    <row r="1890" spans="1:12">
      <c r="A1890">
        <v>101889</v>
      </c>
      <c r="B1890">
        <v>54</v>
      </c>
      <c r="C1890" s="2">
        <v>56800</v>
      </c>
      <c r="D1890" t="s">
        <v>12</v>
      </c>
      <c r="E1890" s="2">
        <v>61800</v>
      </c>
      <c r="F1890" s="2">
        <v>0</v>
      </c>
      <c r="G1890" t="s">
        <v>16</v>
      </c>
      <c r="H1890" t="s">
        <v>25</v>
      </c>
      <c r="I1890" t="s">
        <v>18</v>
      </c>
      <c r="J1890" s="3">
        <v>46087</v>
      </c>
      <c r="K1890" s="4">
        <f>ClientiBanca[[#This Row],[Prestito]]+ClientiBanca[[#This Row],[Mutuo]]</f>
        <v>61800</v>
      </c>
      <c r="L1890" t="str">
        <f>IF(ClientiBanca[[#This Row],[Reddito annuo]]&gt;=70000,"si","no")</f>
        <v>no</v>
      </c>
    </row>
    <row r="1891" spans="1:12">
      <c r="A1891">
        <v>101890</v>
      </c>
      <c r="B1891">
        <v>29</v>
      </c>
      <c r="C1891" s="2">
        <v>96300</v>
      </c>
      <c r="D1891" t="s">
        <v>12</v>
      </c>
      <c r="E1891" s="2">
        <v>23700</v>
      </c>
      <c r="F1891" s="2">
        <v>0</v>
      </c>
      <c r="G1891" t="s">
        <v>28</v>
      </c>
      <c r="H1891" t="s">
        <v>17</v>
      </c>
      <c r="I1891" t="s">
        <v>18</v>
      </c>
      <c r="J1891" s="3">
        <v>45782</v>
      </c>
      <c r="K1891" s="4">
        <f>ClientiBanca[[#This Row],[Prestito]]+ClientiBanca[[#This Row],[Mutuo]]</f>
        <v>23700</v>
      </c>
      <c r="L1891" t="str">
        <f>IF(ClientiBanca[[#This Row],[Reddito annuo]]&gt;=70000,"si","no")</f>
        <v>si</v>
      </c>
    </row>
    <row r="1892" spans="1:12">
      <c r="A1892">
        <v>101891</v>
      </c>
      <c r="B1892">
        <v>26</v>
      </c>
      <c r="C1892" s="2">
        <v>45400</v>
      </c>
      <c r="D1892" t="s">
        <v>21</v>
      </c>
      <c r="E1892" s="2">
        <v>27200</v>
      </c>
      <c r="F1892" s="2">
        <v>120000</v>
      </c>
      <c r="G1892" t="s">
        <v>16</v>
      </c>
      <c r="H1892" t="s">
        <v>17</v>
      </c>
      <c r="I1892" t="s">
        <v>18</v>
      </c>
      <c r="J1892" s="3">
        <v>45427</v>
      </c>
      <c r="K1892" s="4">
        <f>ClientiBanca[[#This Row],[Prestito]]+ClientiBanca[[#This Row],[Mutuo]]</f>
        <v>147200</v>
      </c>
      <c r="L1892" t="str">
        <f>IF(ClientiBanca[[#This Row],[Reddito annuo]]&gt;=70000,"si","no")</f>
        <v>no</v>
      </c>
    </row>
    <row r="1893" spans="1:12">
      <c r="A1893">
        <v>101892</v>
      </c>
      <c r="B1893">
        <v>33</v>
      </c>
      <c r="C1893" s="2">
        <v>89300</v>
      </c>
      <c r="D1893" t="s">
        <v>12</v>
      </c>
      <c r="E1893" s="2">
        <v>17100</v>
      </c>
      <c r="F1893" s="2">
        <v>223000</v>
      </c>
      <c r="G1893" t="s">
        <v>13</v>
      </c>
      <c r="H1893" t="s">
        <v>20</v>
      </c>
      <c r="I1893" t="s">
        <v>18</v>
      </c>
      <c r="J1893" s="3">
        <v>45953</v>
      </c>
      <c r="K1893" s="4">
        <f>ClientiBanca[[#This Row],[Prestito]]+ClientiBanca[[#This Row],[Mutuo]]</f>
        <v>240100</v>
      </c>
      <c r="L1893" t="str">
        <f>IF(ClientiBanca[[#This Row],[Reddito annuo]]&gt;=70000,"si","no")</f>
        <v>si</v>
      </c>
    </row>
    <row r="1894" spans="1:12">
      <c r="A1894">
        <v>101893</v>
      </c>
      <c r="B1894">
        <v>62</v>
      </c>
      <c r="C1894" s="2">
        <v>63400</v>
      </c>
      <c r="D1894" t="s">
        <v>21</v>
      </c>
      <c r="E1894" s="2">
        <v>0</v>
      </c>
      <c r="F1894" s="2">
        <v>317000</v>
      </c>
      <c r="G1894" t="s">
        <v>23</v>
      </c>
      <c r="H1894" t="s">
        <v>25</v>
      </c>
      <c r="I1894" t="s">
        <v>18</v>
      </c>
      <c r="J1894" s="3">
        <v>45821</v>
      </c>
      <c r="K1894" s="4">
        <f>ClientiBanca[[#This Row],[Prestito]]+ClientiBanca[[#This Row],[Mutuo]]</f>
        <v>317000</v>
      </c>
      <c r="L1894" t="str">
        <f>IF(ClientiBanca[[#This Row],[Reddito annuo]]&gt;=70000,"si","no")</f>
        <v>no</v>
      </c>
    </row>
    <row r="1895" spans="1:12">
      <c r="A1895">
        <v>101894</v>
      </c>
      <c r="B1895">
        <v>75</v>
      </c>
      <c r="C1895" s="2">
        <v>60800</v>
      </c>
      <c r="D1895" t="s">
        <v>21</v>
      </c>
      <c r="E1895" s="2">
        <v>68100</v>
      </c>
      <c r="F1895" s="2">
        <v>129000</v>
      </c>
      <c r="G1895" t="s">
        <v>13</v>
      </c>
      <c r="H1895" t="s">
        <v>20</v>
      </c>
      <c r="I1895" t="s">
        <v>18</v>
      </c>
      <c r="J1895" s="3">
        <v>46202</v>
      </c>
      <c r="K1895" s="4">
        <f>ClientiBanca[[#This Row],[Prestito]]+ClientiBanca[[#This Row],[Mutuo]]</f>
        <v>197100</v>
      </c>
      <c r="L1895" t="str">
        <f>IF(ClientiBanca[[#This Row],[Reddito annuo]]&gt;=70000,"si","no")</f>
        <v>no</v>
      </c>
    </row>
    <row r="1896" spans="1:12">
      <c r="A1896">
        <v>101895</v>
      </c>
      <c r="B1896">
        <v>20</v>
      </c>
      <c r="C1896" s="2">
        <v>24600</v>
      </c>
      <c r="D1896" t="s">
        <v>12</v>
      </c>
      <c r="E1896" s="2">
        <v>30100</v>
      </c>
      <c r="F1896" s="2">
        <v>330000</v>
      </c>
      <c r="G1896" t="s">
        <v>28</v>
      </c>
      <c r="H1896" t="s">
        <v>14</v>
      </c>
      <c r="I1896" t="s">
        <v>18</v>
      </c>
      <c r="J1896" s="3">
        <v>45852</v>
      </c>
      <c r="K1896" s="4">
        <f>ClientiBanca[[#This Row],[Prestito]]+ClientiBanca[[#This Row],[Mutuo]]</f>
        <v>360100</v>
      </c>
      <c r="L1896" t="str">
        <f>IF(ClientiBanca[[#This Row],[Reddito annuo]]&gt;=70000,"si","no")</f>
        <v>no</v>
      </c>
    </row>
    <row r="1897" spans="1:12">
      <c r="A1897">
        <v>101896</v>
      </c>
      <c r="B1897">
        <v>25</v>
      </c>
      <c r="C1897" s="2">
        <v>87600</v>
      </c>
      <c r="D1897" t="s">
        <v>21</v>
      </c>
      <c r="E1897" s="2">
        <v>13400</v>
      </c>
      <c r="F1897" s="2">
        <v>263000</v>
      </c>
      <c r="G1897" t="s">
        <v>26</v>
      </c>
      <c r="H1897" t="s">
        <v>14</v>
      </c>
      <c r="I1897" t="s">
        <v>18</v>
      </c>
      <c r="J1897" s="3">
        <v>45948</v>
      </c>
      <c r="K1897" s="4">
        <f>ClientiBanca[[#This Row],[Prestito]]+ClientiBanca[[#This Row],[Mutuo]]</f>
        <v>276400</v>
      </c>
      <c r="L1897" t="str">
        <f>IF(ClientiBanca[[#This Row],[Reddito annuo]]&gt;=70000,"si","no")</f>
        <v>si</v>
      </c>
    </row>
    <row r="1898" spans="1:12">
      <c r="A1898">
        <v>101897</v>
      </c>
      <c r="B1898">
        <v>25</v>
      </c>
      <c r="C1898" s="2">
        <v>66400</v>
      </c>
      <c r="D1898" t="s">
        <v>12</v>
      </c>
      <c r="E1898" s="2">
        <v>0</v>
      </c>
      <c r="F1898" s="2">
        <v>0</v>
      </c>
      <c r="G1898" t="s">
        <v>24</v>
      </c>
      <c r="H1898" t="s">
        <v>20</v>
      </c>
      <c r="I1898" t="s">
        <v>18</v>
      </c>
      <c r="J1898" s="3">
        <v>45608</v>
      </c>
      <c r="K1898" s="4">
        <f>ClientiBanca[[#This Row],[Prestito]]+ClientiBanca[[#This Row],[Mutuo]]</f>
        <v>0</v>
      </c>
      <c r="L1898" t="str">
        <f>IF(ClientiBanca[[#This Row],[Reddito annuo]]&gt;=70000,"si","no")</f>
        <v>no</v>
      </c>
    </row>
    <row r="1899" spans="1:12">
      <c r="A1899">
        <v>101898</v>
      </c>
      <c r="B1899">
        <v>46</v>
      </c>
      <c r="C1899" s="2">
        <v>93700</v>
      </c>
      <c r="D1899" t="s">
        <v>12</v>
      </c>
      <c r="E1899" s="2">
        <v>0</v>
      </c>
      <c r="F1899" s="2">
        <v>0</v>
      </c>
      <c r="G1899" t="s">
        <v>27</v>
      </c>
      <c r="H1899" t="s">
        <v>20</v>
      </c>
      <c r="I1899" t="s">
        <v>18</v>
      </c>
      <c r="J1899" s="3">
        <v>46042</v>
      </c>
      <c r="K1899" s="4">
        <f>ClientiBanca[[#This Row],[Prestito]]+ClientiBanca[[#This Row],[Mutuo]]</f>
        <v>0</v>
      </c>
      <c r="L1899" t="str">
        <f>IF(ClientiBanca[[#This Row],[Reddito annuo]]&gt;=70000,"si","no")</f>
        <v>si</v>
      </c>
    </row>
    <row r="1900" spans="1:12">
      <c r="A1900">
        <v>101899</v>
      </c>
      <c r="B1900">
        <v>69</v>
      </c>
      <c r="C1900" s="2">
        <v>122700</v>
      </c>
      <c r="D1900" t="s">
        <v>21</v>
      </c>
      <c r="E1900" s="2">
        <v>0</v>
      </c>
      <c r="F1900" s="2">
        <v>0</v>
      </c>
      <c r="G1900" t="s">
        <v>27</v>
      </c>
      <c r="H1900" t="s">
        <v>20</v>
      </c>
      <c r="I1900" t="s">
        <v>18</v>
      </c>
      <c r="J1900" s="3">
        <v>46127</v>
      </c>
      <c r="K1900" s="4">
        <f>ClientiBanca[[#This Row],[Prestito]]+ClientiBanca[[#This Row],[Mutuo]]</f>
        <v>0</v>
      </c>
      <c r="L1900" t="str">
        <f>IF(ClientiBanca[[#This Row],[Reddito annuo]]&gt;=70000,"si","no")</f>
        <v>si</v>
      </c>
    </row>
    <row r="1901" spans="1:12">
      <c r="A1901">
        <v>101900</v>
      </c>
      <c r="B1901">
        <v>37</v>
      </c>
      <c r="C1901" s="2">
        <v>106400</v>
      </c>
      <c r="D1901" t="s">
        <v>22</v>
      </c>
      <c r="E1901" s="2">
        <v>30300</v>
      </c>
      <c r="F1901" s="2">
        <v>88000</v>
      </c>
      <c r="G1901" t="s">
        <v>27</v>
      </c>
      <c r="H1901" t="s">
        <v>20</v>
      </c>
      <c r="I1901" t="s">
        <v>18</v>
      </c>
      <c r="J1901" s="3">
        <v>45976</v>
      </c>
      <c r="K1901" s="4">
        <f>ClientiBanca[[#This Row],[Prestito]]+ClientiBanca[[#This Row],[Mutuo]]</f>
        <v>118300</v>
      </c>
      <c r="L1901" t="str">
        <f>IF(ClientiBanca[[#This Row],[Reddito annuo]]&gt;=70000,"si","no")</f>
        <v>si</v>
      </c>
    </row>
    <row r="1902" spans="1:12">
      <c r="A1902">
        <v>101901</v>
      </c>
      <c r="B1902">
        <v>44</v>
      </c>
      <c r="C1902" s="2">
        <v>54500</v>
      </c>
      <c r="D1902" t="s">
        <v>21</v>
      </c>
      <c r="E1902" s="2">
        <v>42700</v>
      </c>
      <c r="F1902" s="2">
        <v>0</v>
      </c>
      <c r="G1902" t="s">
        <v>26</v>
      </c>
      <c r="H1902" t="s">
        <v>14</v>
      </c>
      <c r="I1902" t="s">
        <v>18</v>
      </c>
      <c r="J1902" s="3">
        <v>46012</v>
      </c>
      <c r="K1902" s="4">
        <f>ClientiBanca[[#This Row],[Prestito]]+ClientiBanca[[#This Row],[Mutuo]]</f>
        <v>42700</v>
      </c>
      <c r="L1902" t="str">
        <f>IF(ClientiBanca[[#This Row],[Reddito annuo]]&gt;=70000,"si","no")</f>
        <v>no</v>
      </c>
    </row>
    <row r="1903" spans="1:12">
      <c r="A1903">
        <v>101902</v>
      </c>
      <c r="B1903">
        <v>73</v>
      </c>
      <c r="C1903" s="2">
        <v>97300</v>
      </c>
      <c r="D1903" t="s">
        <v>22</v>
      </c>
      <c r="E1903" s="2">
        <v>0</v>
      </c>
      <c r="F1903" s="2">
        <v>197000</v>
      </c>
      <c r="G1903" t="s">
        <v>19</v>
      </c>
      <c r="H1903" t="s">
        <v>20</v>
      </c>
      <c r="I1903" t="s">
        <v>18</v>
      </c>
      <c r="J1903" s="3">
        <v>45920</v>
      </c>
      <c r="K1903" s="4">
        <f>ClientiBanca[[#This Row],[Prestito]]+ClientiBanca[[#This Row],[Mutuo]]</f>
        <v>197000</v>
      </c>
      <c r="L1903" t="str">
        <f>IF(ClientiBanca[[#This Row],[Reddito annuo]]&gt;=70000,"si","no")</f>
        <v>si</v>
      </c>
    </row>
    <row r="1904" spans="1:12">
      <c r="A1904">
        <v>101903</v>
      </c>
      <c r="B1904">
        <v>72</v>
      </c>
      <c r="C1904" s="2">
        <v>102300</v>
      </c>
      <c r="D1904" t="s">
        <v>12</v>
      </c>
      <c r="E1904" s="2">
        <v>0</v>
      </c>
      <c r="F1904" s="2">
        <v>0</v>
      </c>
      <c r="G1904" t="s">
        <v>27</v>
      </c>
      <c r="H1904" t="s">
        <v>20</v>
      </c>
      <c r="I1904" t="s">
        <v>18</v>
      </c>
      <c r="J1904" s="3">
        <v>45867</v>
      </c>
      <c r="K1904" s="4">
        <f>ClientiBanca[[#This Row],[Prestito]]+ClientiBanca[[#This Row],[Mutuo]]</f>
        <v>0</v>
      </c>
      <c r="L1904" t="str">
        <f>IF(ClientiBanca[[#This Row],[Reddito annuo]]&gt;=70000,"si","no")</f>
        <v>si</v>
      </c>
    </row>
    <row r="1905" spans="1:12">
      <c r="A1905">
        <v>101904</v>
      </c>
      <c r="B1905">
        <v>68</v>
      </c>
      <c r="C1905" s="2">
        <v>40900</v>
      </c>
      <c r="D1905" t="s">
        <v>21</v>
      </c>
      <c r="E1905" s="2">
        <v>36800</v>
      </c>
      <c r="F1905" s="2">
        <v>0</v>
      </c>
      <c r="G1905" t="s">
        <v>16</v>
      </c>
      <c r="H1905" t="s">
        <v>17</v>
      </c>
      <c r="I1905" t="s">
        <v>18</v>
      </c>
      <c r="J1905" s="3">
        <v>46095</v>
      </c>
      <c r="K1905" s="4">
        <f>ClientiBanca[[#This Row],[Prestito]]+ClientiBanca[[#This Row],[Mutuo]]</f>
        <v>36800</v>
      </c>
      <c r="L1905" t="str">
        <f>IF(ClientiBanca[[#This Row],[Reddito annuo]]&gt;=70000,"si","no")</f>
        <v>no</v>
      </c>
    </row>
    <row r="1906" spans="1:12">
      <c r="A1906">
        <v>101905</v>
      </c>
      <c r="B1906">
        <v>20</v>
      </c>
      <c r="C1906" s="2">
        <v>61800</v>
      </c>
      <c r="D1906" t="s">
        <v>12</v>
      </c>
      <c r="E1906" s="2">
        <v>34900</v>
      </c>
      <c r="F1906" s="2">
        <v>0</v>
      </c>
      <c r="G1906" t="s">
        <v>13</v>
      </c>
      <c r="H1906" t="s">
        <v>17</v>
      </c>
      <c r="I1906" t="s">
        <v>18</v>
      </c>
      <c r="J1906" s="3">
        <v>45968</v>
      </c>
      <c r="K1906" s="4">
        <f>ClientiBanca[[#This Row],[Prestito]]+ClientiBanca[[#This Row],[Mutuo]]</f>
        <v>34900</v>
      </c>
      <c r="L1906" t="str">
        <f>IF(ClientiBanca[[#This Row],[Reddito annuo]]&gt;=70000,"si","no")</f>
        <v>no</v>
      </c>
    </row>
    <row r="1907" spans="1:12">
      <c r="A1907">
        <v>101906</v>
      </c>
      <c r="B1907">
        <v>61</v>
      </c>
      <c r="C1907" s="2">
        <v>58800</v>
      </c>
      <c r="D1907" t="s">
        <v>12</v>
      </c>
      <c r="E1907" s="2">
        <v>26900</v>
      </c>
      <c r="F1907" s="2">
        <v>0</v>
      </c>
      <c r="G1907" t="s">
        <v>24</v>
      </c>
      <c r="H1907" t="s">
        <v>17</v>
      </c>
      <c r="I1907" t="s">
        <v>18</v>
      </c>
      <c r="J1907" s="3">
        <v>45875</v>
      </c>
      <c r="K1907" s="4">
        <f>ClientiBanca[[#This Row],[Prestito]]+ClientiBanca[[#This Row],[Mutuo]]</f>
        <v>26900</v>
      </c>
      <c r="L1907" t="str">
        <f>IF(ClientiBanca[[#This Row],[Reddito annuo]]&gt;=70000,"si","no")</f>
        <v>no</v>
      </c>
    </row>
    <row r="1908" spans="1:12">
      <c r="A1908">
        <v>101907</v>
      </c>
      <c r="B1908">
        <v>49</v>
      </c>
      <c r="C1908" s="2">
        <v>98100</v>
      </c>
      <c r="D1908" t="s">
        <v>21</v>
      </c>
      <c r="E1908" s="2">
        <v>15300</v>
      </c>
      <c r="F1908" s="2">
        <v>0</v>
      </c>
      <c r="G1908" t="s">
        <v>24</v>
      </c>
      <c r="H1908" t="s">
        <v>20</v>
      </c>
      <c r="I1908" t="s">
        <v>18</v>
      </c>
      <c r="J1908" s="3">
        <v>45659</v>
      </c>
      <c r="K1908" s="4">
        <f>ClientiBanca[[#This Row],[Prestito]]+ClientiBanca[[#This Row],[Mutuo]]</f>
        <v>15300</v>
      </c>
      <c r="L1908" t="str">
        <f>IF(ClientiBanca[[#This Row],[Reddito annuo]]&gt;=70000,"si","no")</f>
        <v>si</v>
      </c>
    </row>
    <row r="1909" spans="1:12">
      <c r="A1909">
        <v>101908</v>
      </c>
      <c r="B1909">
        <v>49</v>
      </c>
      <c r="C1909" s="2">
        <v>91500</v>
      </c>
      <c r="D1909" t="s">
        <v>12</v>
      </c>
      <c r="E1909" s="2">
        <v>57300</v>
      </c>
      <c r="F1909" s="2">
        <v>84000</v>
      </c>
      <c r="G1909" t="s">
        <v>13</v>
      </c>
      <c r="H1909" t="s">
        <v>17</v>
      </c>
      <c r="I1909" t="s">
        <v>15</v>
      </c>
      <c r="J1909" s="3">
        <v>46258</v>
      </c>
      <c r="K1909" s="4">
        <f>ClientiBanca[[#This Row],[Prestito]]+ClientiBanca[[#This Row],[Mutuo]]</f>
        <v>141300</v>
      </c>
      <c r="L1909" t="str">
        <f>IF(ClientiBanca[[#This Row],[Reddito annuo]]&gt;=70000,"si","no")</f>
        <v>si</v>
      </c>
    </row>
    <row r="1910" spans="1:12">
      <c r="A1910">
        <v>101909</v>
      </c>
      <c r="B1910">
        <v>56</v>
      </c>
      <c r="C1910" s="2">
        <v>51100</v>
      </c>
      <c r="D1910" t="s">
        <v>21</v>
      </c>
      <c r="E1910" s="2">
        <v>31600</v>
      </c>
      <c r="F1910" s="2">
        <v>0</v>
      </c>
      <c r="G1910" t="s">
        <v>19</v>
      </c>
      <c r="H1910" t="s">
        <v>25</v>
      </c>
      <c r="I1910" t="s">
        <v>15</v>
      </c>
      <c r="J1910" s="3">
        <v>45790</v>
      </c>
      <c r="K1910" s="4">
        <f>ClientiBanca[[#This Row],[Prestito]]+ClientiBanca[[#This Row],[Mutuo]]</f>
        <v>31600</v>
      </c>
      <c r="L1910" t="str">
        <f>IF(ClientiBanca[[#This Row],[Reddito annuo]]&gt;=70000,"si","no")</f>
        <v>no</v>
      </c>
    </row>
    <row r="1911" spans="1:12">
      <c r="A1911">
        <v>101910</v>
      </c>
      <c r="B1911">
        <v>49</v>
      </c>
      <c r="C1911" s="2">
        <v>46400</v>
      </c>
      <c r="D1911" t="s">
        <v>21</v>
      </c>
      <c r="E1911" s="2">
        <v>0</v>
      </c>
      <c r="F1911" s="2">
        <v>0</v>
      </c>
      <c r="G1911" t="s">
        <v>16</v>
      </c>
      <c r="H1911" t="s">
        <v>17</v>
      </c>
      <c r="I1911" t="s">
        <v>18</v>
      </c>
      <c r="J1911" s="3">
        <v>46094</v>
      </c>
      <c r="K1911" s="4">
        <f>ClientiBanca[[#This Row],[Prestito]]+ClientiBanca[[#This Row],[Mutuo]]</f>
        <v>0</v>
      </c>
      <c r="L1911" t="str">
        <f>IF(ClientiBanca[[#This Row],[Reddito annuo]]&gt;=70000,"si","no")</f>
        <v>no</v>
      </c>
    </row>
    <row r="1912" spans="1:12">
      <c r="A1912">
        <v>101911</v>
      </c>
      <c r="B1912">
        <v>24</v>
      </c>
      <c r="C1912" s="2">
        <v>34100</v>
      </c>
      <c r="D1912" t="s">
        <v>12</v>
      </c>
      <c r="E1912" s="2">
        <v>0</v>
      </c>
      <c r="F1912" s="2">
        <v>0</v>
      </c>
      <c r="G1912" t="s">
        <v>26</v>
      </c>
      <c r="H1912" t="s">
        <v>20</v>
      </c>
      <c r="I1912" t="s">
        <v>18</v>
      </c>
      <c r="J1912" s="3">
        <v>46021</v>
      </c>
      <c r="K1912" s="4">
        <f>ClientiBanca[[#This Row],[Prestito]]+ClientiBanca[[#This Row],[Mutuo]]</f>
        <v>0</v>
      </c>
      <c r="L1912" t="str">
        <f>IF(ClientiBanca[[#This Row],[Reddito annuo]]&gt;=70000,"si","no")</f>
        <v>no</v>
      </c>
    </row>
    <row r="1913" spans="1:12">
      <c r="A1913">
        <v>101912</v>
      </c>
      <c r="B1913">
        <v>57</v>
      </c>
      <c r="C1913" s="2">
        <v>53300</v>
      </c>
      <c r="D1913" t="s">
        <v>21</v>
      </c>
      <c r="E1913" s="2">
        <v>17100</v>
      </c>
      <c r="F1913" s="2">
        <v>0</v>
      </c>
      <c r="G1913" t="s">
        <v>28</v>
      </c>
      <c r="H1913" t="s">
        <v>17</v>
      </c>
      <c r="I1913" t="s">
        <v>18</v>
      </c>
      <c r="J1913" s="3">
        <v>45752</v>
      </c>
      <c r="K1913" s="4">
        <f>ClientiBanca[[#This Row],[Prestito]]+ClientiBanca[[#This Row],[Mutuo]]</f>
        <v>17100</v>
      </c>
      <c r="L1913" t="str">
        <f>IF(ClientiBanca[[#This Row],[Reddito annuo]]&gt;=70000,"si","no")</f>
        <v>no</v>
      </c>
    </row>
    <row r="1914" spans="1:12">
      <c r="A1914">
        <v>101913</v>
      </c>
      <c r="B1914">
        <v>23</v>
      </c>
      <c r="C1914" s="2">
        <v>86900</v>
      </c>
      <c r="D1914" t="s">
        <v>22</v>
      </c>
      <c r="E1914" s="2">
        <v>0</v>
      </c>
      <c r="F1914" s="2">
        <v>0</v>
      </c>
      <c r="G1914" t="s">
        <v>19</v>
      </c>
      <c r="H1914" t="s">
        <v>20</v>
      </c>
      <c r="I1914" t="s">
        <v>18</v>
      </c>
      <c r="J1914" s="3">
        <v>45427</v>
      </c>
      <c r="K1914" s="4">
        <f>ClientiBanca[[#This Row],[Prestito]]+ClientiBanca[[#This Row],[Mutuo]]</f>
        <v>0</v>
      </c>
      <c r="L1914" t="str">
        <f>IF(ClientiBanca[[#This Row],[Reddito annuo]]&gt;=70000,"si","no")</f>
        <v>si</v>
      </c>
    </row>
    <row r="1915" spans="1:12">
      <c r="A1915">
        <v>101914</v>
      </c>
      <c r="B1915">
        <v>26</v>
      </c>
      <c r="C1915" s="2">
        <v>88300</v>
      </c>
      <c r="D1915" t="s">
        <v>21</v>
      </c>
      <c r="E1915" s="2">
        <v>32900</v>
      </c>
      <c r="F1915" s="2">
        <v>0</v>
      </c>
      <c r="G1915" t="s">
        <v>19</v>
      </c>
      <c r="H1915" t="s">
        <v>20</v>
      </c>
      <c r="I1915" t="s">
        <v>18</v>
      </c>
      <c r="J1915" s="3">
        <v>45294</v>
      </c>
      <c r="K1915" s="4">
        <f>ClientiBanca[[#This Row],[Prestito]]+ClientiBanca[[#This Row],[Mutuo]]</f>
        <v>32900</v>
      </c>
      <c r="L1915" t="str">
        <f>IF(ClientiBanca[[#This Row],[Reddito annuo]]&gt;=70000,"si","no")</f>
        <v>si</v>
      </c>
    </row>
    <row r="1916" spans="1:12">
      <c r="A1916">
        <v>101915</v>
      </c>
      <c r="B1916">
        <v>74</v>
      </c>
      <c r="C1916" s="2">
        <v>65500</v>
      </c>
      <c r="D1916" t="s">
        <v>21</v>
      </c>
      <c r="E1916" s="2">
        <v>0</v>
      </c>
      <c r="F1916" s="2">
        <v>0</v>
      </c>
      <c r="G1916" t="s">
        <v>27</v>
      </c>
      <c r="H1916" t="s">
        <v>17</v>
      </c>
      <c r="I1916" t="s">
        <v>18</v>
      </c>
      <c r="J1916" s="3">
        <v>45310</v>
      </c>
      <c r="K1916" s="4">
        <f>ClientiBanca[[#This Row],[Prestito]]+ClientiBanca[[#This Row],[Mutuo]]</f>
        <v>0</v>
      </c>
      <c r="L1916" t="str">
        <f>IF(ClientiBanca[[#This Row],[Reddito annuo]]&gt;=70000,"si","no")</f>
        <v>no</v>
      </c>
    </row>
    <row r="1917" spans="1:12">
      <c r="A1917">
        <v>101916</v>
      </c>
      <c r="B1917">
        <v>66</v>
      </c>
      <c r="C1917" s="2">
        <v>29600</v>
      </c>
      <c r="D1917" t="s">
        <v>12</v>
      </c>
      <c r="E1917" s="2">
        <v>37000</v>
      </c>
      <c r="F1917" s="2">
        <v>0</v>
      </c>
      <c r="G1917" t="s">
        <v>26</v>
      </c>
      <c r="H1917" t="s">
        <v>25</v>
      </c>
      <c r="I1917" t="s">
        <v>18</v>
      </c>
      <c r="J1917" s="3">
        <v>45508</v>
      </c>
      <c r="K1917" s="4">
        <f>ClientiBanca[[#This Row],[Prestito]]+ClientiBanca[[#This Row],[Mutuo]]</f>
        <v>37000</v>
      </c>
      <c r="L1917" t="str">
        <f>IF(ClientiBanca[[#This Row],[Reddito annuo]]&gt;=70000,"si","no")</f>
        <v>no</v>
      </c>
    </row>
    <row r="1918" spans="1:12">
      <c r="A1918">
        <v>101917</v>
      </c>
      <c r="B1918">
        <v>72</v>
      </c>
      <c r="C1918" s="2">
        <v>37100</v>
      </c>
      <c r="D1918" t="s">
        <v>22</v>
      </c>
      <c r="E1918" s="2">
        <v>17800</v>
      </c>
      <c r="F1918" s="2">
        <v>0</v>
      </c>
      <c r="G1918" t="s">
        <v>19</v>
      </c>
      <c r="H1918" t="s">
        <v>25</v>
      </c>
      <c r="I1918" t="s">
        <v>18</v>
      </c>
      <c r="J1918" s="3">
        <v>45578</v>
      </c>
      <c r="K1918" s="4">
        <f>ClientiBanca[[#This Row],[Prestito]]+ClientiBanca[[#This Row],[Mutuo]]</f>
        <v>17800</v>
      </c>
      <c r="L1918" t="str">
        <f>IF(ClientiBanca[[#This Row],[Reddito annuo]]&gt;=70000,"si","no")</f>
        <v>no</v>
      </c>
    </row>
    <row r="1919" spans="1:12">
      <c r="A1919">
        <v>101918</v>
      </c>
      <c r="B1919">
        <v>20</v>
      </c>
      <c r="C1919" s="2">
        <v>30500</v>
      </c>
      <c r="D1919" t="s">
        <v>21</v>
      </c>
      <c r="E1919" s="2">
        <v>38100</v>
      </c>
      <c r="F1919" s="2">
        <v>0</v>
      </c>
      <c r="G1919" t="s">
        <v>24</v>
      </c>
      <c r="H1919" t="s">
        <v>14</v>
      </c>
      <c r="I1919" t="s">
        <v>18</v>
      </c>
      <c r="J1919" s="3">
        <v>45538</v>
      </c>
      <c r="K1919" s="4">
        <f>ClientiBanca[[#This Row],[Prestito]]+ClientiBanca[[#This Row],[Mutuo]]</f>
        <v>38100</v>
      </c>
      <c r="L1919" t="str">
        <f>IF(ClientiBanca[[#This Row],[Reddito annuo]]&gt;=70000,"si","no")</f>
        <v>no</v>
      </c>
    </row>
    <row r="1920" spans="1:12">
      <c r="A1920">
        <v>101919</v>
      </c>
      <c r="B1920">
        <v>25</v>
      </c>
      <c r="C1920" s="2">
        <v>37100</v>
      </c>
      <c r="D1920" t="s">
        <v>21</v>
      </c>
      <c r="E1920" s="2">
        <v>46400</v>
      </c>
      <c r="F1920" s="2">
        <v>0</v>
      </c>
      <c r="G1920" t="s">
        <v>19</v>
      </c>
      <c r="H1920" t="s">
        <v>20</v>
      </c>
      <c r="I1920" t="s">
        <v>18</v>
      </c>
      <c r="J1920" s="3">
        <v>46097</v>
      </c>
      <c r="K1920" s="4">
        <f>ClientiBanca[[#This Row],[Prestito]]+ClientiBanca[[#This Row],[Mutuo]]</f>
        <v>46400</v>
      </c>
      <c r="L1920" t="str">
        <f>IF(ClientiBanca[[#This Row],[Reddito annuo]]&gt;=70000,"si","no")</f>
        <v>no</v>
      </c>
    </row>
    <row r="1921" spans="1:12">
      <c r="A1921">
        <v>101920</v>
      </c>
      <c r="B1921">
        <v>42</v>
      </c>
      <c r="C1921" s="2">
        <v>106300</v>
      </c>
      <c r="D1921" t="s">
        <v>12</v>
      </c>
      <c r="E1921" s="2">
        <v>0</v>
      </c>
      <c r="F1921" s="2">
        <v>128000</v>
      </c>
      <c r="G1921" t="s">
        <v>19</v>
      </c>
      <c r="H1921" t="s">
        <v>25</v>
      </c>
      <c r="I1921" t="s">
        <v>18</v>
      </c>
      <c r="J1921" s="3">
        <v>45917</v>
      </c>
      <c r="K1921" s="4">
        <f>ClientiBanca[[#This Row],[Prestito]]+ClientiBanca[[#This Row],[Mutuo]]</f>
        <v>128000</v>
      </c>
      <c r="L1921" t="str">
        <f>IF(ClientiBanca[[#This Row],[Reddito annuo]]&gt;=70000,"si","no")</f>
        <v>si</v>
      </c>
    </row>
    <row r="1922" spans="1:12">
      <c r="A1922">
        <v>101921</v>
      </c>
      <c r="B1922">
        <v>31</v>
      </c>
      <c r="C1922" s="2">
        <v>90800</v>
      </c>
      <c r="D1922" t="s">
        <v>22</v>
      </c>
      <c r="E1922" s="2">
        <v>55900</v>
      </c>
      <c r="F1922" s="2">
        <v>146000</v>
      </c>
      <c r="G1922" t="s">
        <v>13</v>
      </c>
      <c r="H1922" t="s">
        <v>17</v>
      </c>
      <c r="I1922" t="s">
        <v>15</v>
      </c>
      <c r="J1922" s="3">
        <v>45663</v>
      </c>
      <c r="K1922" s="4">
        <f>ClientiBanca[[#This Row],[Prestito]]+ClientiBanca[[#This Row],[Mutuo]]</f>
        <v>201900</v>
      </c>
      <c r="L1922" t="str">
        <f>IF(ClientiBanca[[#This Row],[Reddito annuo]]&gt;=70000,"si","no")</f>
        <v>si</v>
      </c>
    </row>
    <row r="1923" spans="1:12">
      <c r="A1923">
        <v>101922</v>
      </c>
      <c r="B1923">
        <v>34</v>
      </c>
      <c r="C1923" s="2">
        <v>107100</v>
      </c>
      <c r="D1923" t="s">
        <v>22</v>
      </c>
      <c r="E1923" s="2">
        <v>56300</v>
      </c>
      <c r="F1923" s="2">
        <v>102000</v>
      </c>
      <c r="G1923" t="s">
        <v>28</v>
      </c>
      <c r="H1923" t="s">
        <v>20</v>
      </c>
      <c r="I1923" t="s">
        <v>18</v>
      </c>
      <c r="J1923" s="3">
        <v>45613</v>
      </c>
      <c r="K1923" s="4">
        <f>ClientiBanca[[#This Row],[Prestito]]+ClientiBanca[[#This Row],[Mutuo]]</f>
        <v>158300</v>
      </c>
      <c r="L1923" t="str">
        <f>IF(ClientiBanca[[#This Row],[Reddito annuo]]&gt;=70000,"si","no")</f>
        <v>si</v>
      </c>
    </row>
    <row r="1924" spans="1:12">
      <c r="A1924">
        <v>101923</v>
      </c>
      <c r="B1924">
        <v>63</v>
      </c>
      <c r="C1924" s="2">
        <v>24300</v>
      </c>
      <c r="D1924" t="s">
        <v>22</v>
      </c>
      <c r="E1924" s="2">
        <v>30400</v>
      </c>
      <c r="F1924" s="2">
        <v>0</v>
      </c>
      <c r="G1924" t="s">
        <v>13</v>
      </c>
      <c r="H1924" t="s">
        <v>25</v>
      </c>
      <c r="I1924" t="s">
        <v>18</v>
      </c>
      <c r="J1924" s="3">
        <v>45611</v>
      </c>
      <c r="K1924" s="4">
        <f>ClientiBanca[[#This Row],[Prestito]]+ClientiBanca[[#This Row],[Mutuo]]</f>
        <v>30400</v>
      </c>
      <c r="L1924" t="str">
        <f>IF(ClientiBanca[[#This Row],[Reddito annuo]]&gt;=70000,"si","no")</f>
        <v>no</v>
      </c>
    </row>
    <row r="1925" spans="1:12">
      <c r="A1925">
        <v>101924</v>
      </c>
      <c r="B1925">
        <v>55</v>
      </c>
      <c r="C1925" s="2">
        <v>76700</v>
      </c>
      <c r="D1925" t="s">
        <v>12</v>
      </c>
      <c r="E1925" s="2">
        <v>42600</v>
      </c>
      <c r="F1925" s="2">
        <v>0</v>
      </c>
      <c r="G1925" t="s">
        <v>28</v>
      </c>
      <c r="H1925" t="s">
        <v>20</v>
      </c>
      <c r="I1925" t="s">
        <v>18</v>
      </c>
      <c r="J1925" s="3">
        <v>45510</v>
      </c>
      <c r="K1925" s="4">
        <f>ClientiBanca[[#This Row],[Prestito]]+ClientiBanca[[#This Row],[Mutuo]]</f>
        <v>42600</v>
      </c>
      <c r="L1925" t="str">
        <f>IF(ClientiBanca[[#This Row],[Reddito annuo]]&gt;=70000,"si","no")</f>
        <v>si</v>
      </c>
    </row>
    <row r="1926" spans="1:12">
      <c r="A1926">
        <v>101925</v>
      </c>
      <c r="B1926">
        <v>75</v>
      </c>
      <c r="C1926" s="2">
        <v>92500</v>
      </c>
      <c r="D1926" t="s">
        <v>21</v>
      </c>
      <c r="E1926" s="2">
        <v>22400</v>
      </c>
      <c r="F1926" s="2">
        <v>0</v>
      </c>
      <c r="G1926" t="s">
        <v>13</v>
      </c>
      <c r="H1926" t="s">
        <v>20</v>
      </c>
      <c r="I1926" t="s">
        <v>18</v>
      </c>
      <c r="J1926" s="3">
        <v>45931</v>
      </c>
      <c r="K1926" s="4">
        <f>ClientiBanca[[#This Row],[Prestito]]+ClientiBanca[[#This Row],[Mutuo]]</f>
        <v>22400</v>
      </c>
      <c r="L1926" t="str">
        <f>IF(ClientiBanca[[#This Row],[Reddito annuo]]&gt;=70000,"si","no")</f>
        <v>si</v>
      </c>
    </row>
    <row r="1927" spans="1:12">
      <c r="A1927">
        <v>101926</v>
      </c>
      <c r="B1927">
        <v>70</v>
      </c>
      <c r="C1927" s="2">
        <v>77600</v>
      </c>
      <c r="D1927" t="s">
        <v>22</v>
      </c>
      <c r="E1927" s="2">
        <v>0</v>
      </c>
      <c r="F1927" s="2">
        <v>171000</v>
      </c>
      <c r="G1927" t="s">
        <v>13</v>
      </c>
      <c r="H1927" t="s">
        <v>20</v>
      </c>
      <c r="I1927" t="s">
        <v>18</v>
      </c>
      <c r="J1927" s="3">
        <v>46081</v>
      </c>
      <c r="K1927" s="4">
        <f>ClientiBanca[[#This Row],[Prestito]]+ClientiBanca[[#This Row],[Mutuo]]</f>
        <v>171000</v>
      </c>
      <c r="L1927" t="str">
        <f>IF(ClientiBanca[[#This Row],[Reddito annuo]]&gt;=70000,"si","no")</f>
        <v>si</v>
      </c>
    </row>
    <row r="1928" spans="1:12">
      <c r="A1928">
        <v>101927</v>
      </c>
      <c r="B1928">
        <v>66</v>
      </c>
      <c r="C1928" s="2">
        <v>82700</v>
      </c>
      <c r="D1928" t="s">
        <v>21</v>
      </c>
      <c r="E1928" s="2">
        <v>16700</v>
      </c>
      <c r="F1928" s="2">
        <v>0</v>
      </c>
      <c r="G1928" t="s">
        <v>16</v>
      </c>
      <c r="H1928" t="s">
        <v>20</v>
      </c>
      <c r="I1928" t="s">
        <v>18</v>
      </c>
      <c r="J1928" s="3">
        <v>45771</v>
      </c>
      <c r="K1928" s="4">
        <f>ClientiBanca[[#This Row],[Prestito]]+ClientiBanca[[#This Row],[Mutuo]]</f>
        <v>16700</v>
      </c>
      <c r="L1928" t="str">
        <f>IF(ClientiBanca[[#This Row],[Reddito annuo]]&gt;=70000,"si","no")</f>
        <v>si</v>
      </c>
    </row>
    <row r="1929" spans="1:12">
      <c r="A1929">
        <v>101928</v>
      </c>
      <c r="B1929">
        <v>38</v>
      </c>
      <c r="C1929" s="2">
        <v>41900</v>
      </c>
      <c r="D1929" t="s">
        <v>22</v>
      </c>
      <c r="E1929" s="2">
        <v>0</v>
      </c>
      <c r="F1929" s="2">
        <v>0</v>
      </c>
      <c r="G1929" t="s">
        <v>26</v>
      </c>
      <c r="H1929" t="s">
        <v>17</v>
      </c>
      <c r="I1929" t="s">
        <v>18</v>
      </c>
      <c r="J1929" s="3">
        <v>46194</v>
      </c>
      <c r="K1929" s="4">
        <f>ClientiBanca[[#This Row],[Prestito]]+ClientiBanca[[#This Row],[Mutuo]]</f>
        <v>0</v>
      </c>
      <c r="L1929" t="str">
        <f>IF(ClientiBanca[[#This Row],[Reddito annuo]]&gt;=70000,"si","no")</f>
        <v>no</v>
      </c>
    </row>
    <row r="1930" spans="1:12">
      <c r="A1930">
        <v>101929</v>
      </c>
      <c r="B1930">
        <v>72</v>
      </c>
      <c r="C1930" s="2">
        <v>43600</v>
      </c>
      <c r="D1930" t="s">
        <v>22</v>
      </c>
      <c r="E1930" s="2">
        <v>35400</v>
      </c>
      <c r="F1930" s="2">
        <v>0</v>
      </c>
      <c r="G1930" t="s">
        <v>26</v>
      </c>
      <c r="H1930" t="s">
        <v>25</v>
      </c>
      <c r="I1930" t="s">
        <v>18</v>
      </c>
      <c r="J1930" s="3">
        <v>46055</v>
      </c>
      <c r="K1930" s="4">
        <f>ClientiBanca[[#This Row],[Prestito]]+ClientiBanca[[#This Row],[Mutuo]]</f>
        <v>35400</v>
      </c>
      <c r="L1930" t="str">
        <f>IF(ClientiBanca[[#This Row],[Reddito annuo]]&gt;=70000,"si","no")</f>
        <v>no</v>
      </c>
    </row>
    <row r="1931" spans="1:12">
      <c r="A1931">
        <v>101930</v>
      </c>
      <c r="B1931">
        <v>47</v>
      </c>
      <c r="C1931" s="2">
        <v>56200</v>
      </c>
      <c r="D1931" t="s">
        <v>12</v>
      </c>
      <c r="E1931" s="2">
        <v>47700</v>
      </c>
      <c r="F1931" s="2">
        <v>169000</v>
      </c>
      <c r="G1931" t="s">
        <v>23</v>
      </c>
      <c r="H1931" t="s">
        <v>17</v>
      </c>
      <c r="I1931" t="s">
        <v>18</v>
      </c>
      <c r="J1931" s="3">
        <v>45617</v>
      </c>
      <c r="K1931" s="4">
        <f>ClientiBanca[[#This Row],[Prestito]]+ClientiBanca[[#This Row],[Mutuo]]</f>
        <v>216700</v>
      </c>
      <c r="L1931" t="str">
        <f>IF(ClientiBanca[[#This Row],[Reddito annuo]]&gt;=70000,"si","no")</f>
        <v>no</v>
      </c>
    </row>
    <row r="1932" spans="1:12">
      <c r="A1932">
        <v>101931</v>
      </c>
      <c r="B1932">
        <v>71</v>
      </c>
      <c r="C1932" s="2">
        <v>42800</v>
      </c>
      <c r="D1932" t="s">
        <v>22</v>
      </c>
      <c r="E1932" s="2">
        <v>0</v>
      </c>
      <c r="F1932" s="2">
        <v>0</v>
      </c>
      <c r="G1932" t="s">
        <v>26</v>
      </c>
      <c r="H1932" t="s">
        <v>17</v>
      </c>
      <c r="I1932" t="s">
        <v>18</v>
      </c>
      <c r="J1932" s="3">
        <v>45433</v>
      </c>
      <c r="K1932" s="4">
        <f>ClientiBanca[[#This Row],[Prestito]]+ClientiBanca[[#This Row],[Mutuo]]</f>
        <v>0</v>
      </c>
      <c r="L1932" t="str">
        <f>IF(ClientiBanca[[#This Row],[Reddito annuo]]&gt;=70000,"si","no")</f>
        <v>no</v>
      </c>
    </row>
    <row r="1933" spans="1:12">
      <c r="A1933">
        <v>101932</v>
      </c>
      <c r="B1933">
        <v>54</v>
      </c>
      <c r="C1933" s="2">
        <v>29300</v>
      </c>
      <c r="D1933" t="s">
        <v>21</v>
      </c>
      <c r="E1933" s="2">
        <v>30700</v>
      </c>
      <c r="F1933" s="2">
        <v>0</v>
      </c>
      <c r="G1933" t="s">
        <v>27</v>
      </c>
      <c r="H1933" t="s">
        <v>17</v>
      </c>
      <c r="I1933" t="s">
        <v>18</v>
      </c>
      <c r="J1933" s="3">
        <v>45635</v>
      </c>
      <c r="K1933" s="4">
        <f>ClientiBanca[[#This Row],[Prestito]]+ClientiBanca[[#This Row],[Mutuo]]</f>
        <v>30700</v>
      </c>
      <c r="L1933" t="str">
        <f>IF(ClientiBanca[[#This Row],[Reddito annuo]]&gt;=70000,"si","no")</f>
        <v>no</v>
      </c>
    </row>
    <row r="1934" spans="1:12">
      <c r="A1934">
        <v>101933</v>
      </c>
      <c r="B1934">
        <v>42</v>
      </c>
      <c r="C1934" s="2">
        <v>32700</v>
      </c>
      <c r="D1934" t="s">
        <v>22</v>
      </c>
      <c r="E1934" s="2">
        <v>37500</v>
      </c>
      <c r="F1934" s="2">
        <v>0</v>
      </c>
      <c r="G1934" t="s">
        <v>27</v>
      </c>
      <c r="H1934" t="s">
        <v>14</v>
      </c>
      <c r="I1934" t="s">
        <v>18</v>
      </c>
      <c r="J1934" s="3">
        <v>45633</v>
      </c>
      <c r="K1934" s="4">
        <f>ClientiBanca[[#This Row],[Prestito]]+ClientiBanca[[#This Row],[Mutuo]]</f>
        <v>37500</v>
      </c>
      <c r="L1934" t="str">
        <f>IF(ClientiBanca[[#This Row],[Reddito annuo]]&gt;=70000,"si","no")</f>
        <v>no</v>
      </c>
    </row>
    <row r="1935" spans="1:12">
      <c r="A1935">
        <v>101934</v>
      </c>
      <c r="B1935">
        <v>69</v>
      </c>
      <c r="C1935" s="2">
        <v>48400</v>
      </c>
      <c r="D1935" t="s">
        <v>21</v>
      </c>
      <c r="E1935" s="2">
        <v>23900</v>
      </c>
      <c r="F1935" s="2">
        <v>390000</v>
      </c>
      <c r="G1935" t="s">
        <v>13</v>
      </c>
      <c r="H1935" t="s">
        <v>14</v>
      </c>
      <c r="I1935" t="s">
        <v>15</v>
      </c>
      <c r="J1935" s="3">
        <v>45377</v>
      </c>
      <c r="K1935" s="4">
        <f>ClientiBanca[[#This Row],[Prestito]]+ClientiBanca[[#This Row],[Mutuo]]</f>
        <v>413900</v>
      </c>
      <c r="L1935" t="str">
        <f>IF(ClientiBanca[[#This Row],[Reddito annuo]]&gt;=70000,"si","no")</f>
        <v>no</v>
      </c>
    </row>
    <row r="1936" spans="1:12">
      <c r="A1936">
        <v>101935</v>
      </c>
      <c r="B1936">
        <v>26</v>
      </c>
      <c r="C1936" s="2">
        <v>57200</v>
      </c>
      <c r="D1936" t="s">
        <v>12</v>
      </c>
      <c r="E1936" s="2">
        <v>39700</v>
      </c>
      <c r="F1936" s="2">
        <v>0</v>
      </c>
      <c r="G1936" t="s">
        <v>24</v>
      </c>
      <c r="H1936" t="s">
        <v>17</v>
      </c>
      <c r="I1936" t="s">
        <v>18</v>
      </c>
      <c r="J1936" s="3">
        <v>46257</v>
      </c>
      <c r="K1936" s="4">
        <f>ClientiBanca[[#This Row],[Prestito]]+ClientiBanca[[#This Row],[Mutuo]]</f>
        <v>39700</v>
      </c>
      <c r="L1936" t="str">
        <f>IF(ClientiBanca[[#This Row],[Reddito annuo]]&gt;=70000,"si","no")</f>
        <v>no</v>
      </c>
    </row>
    <row r="1937" spans="1:12">
      <c r="A1937">
        <v>101936</v>
      </c>
      <c r="B1937">
        <v>48</v>
      </c>
      <c r="C1937" s="2">
        <v>74000</v>
      </c>
      <c r="D1937" t="s">
        <v>21</v>
      </c>
      <c r="E1937" s="2">
        <v>17400</v>
      </c>
      <c r="F1937" s="2">
        <v>260000</v>
      </c>
      <c r="G1937" t="s">
        <v>19</v>
      </c>
      <c r="H1937" t="s">
        <v>14</v>
      </c>
      <c r="I1937" t="s">
        <v>18</v>
      </c>
      <c r="J1937" s="3">
        <v>46233</v>
      </c>
      <c r="K1937" s="4">
        <f>ClientiBanca[[#This Row],[Prestito]]+ClientiBanca[[#This Row],[Mutuo]]</f>
        <v>277400</v>
      </c>
      <c r="L1937" t="str">
        <f>IF(ClientiBanca[[#This Row],[Reddito annuo]]&gt;=70000,"si","no")</f>
        <v>si</v>
      </c>
    </row>
    <row r="1938" spans="1:12">
      <c r="A1938">
        <v>101937</v>
      </c>
      <c r="B1938">
        <v>37</v>
      </c>
      <c r="C1938" s="2">
        <v>75500</v>
      </c>
      <c r="D1938" t="s">
        <v>21</v>
      </c>
      <c r="E1938" s="2">
        <v>3000</v>
      </c>
      <c r="F1938" s="2">
        <v>133000</v>
      </c>
      <c r="G1938" t="s">
        <v>28</v>
      </c>
      <c r="H1938" t="s">
        <v>14</v>
      </c>
      <c r="I1938" t="s">
        <v>18</v>
      </c>
      <c r="J1938" s="3">
        <v>46213</v>
      </c>
      <c r="K1938" s="4">
        <f>ClientiBanca[[#This Row],[Prestito]]+ClientiBanca[[#This Row],[Mutuo]]</f>
        <v>136000</v>
      </c>
      <c r="L1938" t="str">
        <f>IF(ClientiBanca[[#This Row],[Reddito annuo]]&gt;=70000,"si","no")</f>
        <v>si</v>
      </c>
    </row>
    <row r="1939" spans="1:12">
      <c r="A1939">
        <v>101938</v>
      </c>
      <c r="B1939">
        <v>56</v>
      </c>
      <c r="C1939" s="2">
        <v>50400</v>
      </c>
      <c r="D1939" t="s">
        <v>22</v>
      </c>
      <c r="E1939" s="2">
        <v>60200</v>
      </c>
      <c r="F1939" s="2">
        <v>0</v>
      </c>
      <c r="G1939" t="s">
        <v>27</v>
      </c>
      <c r="H1939" t="s">
        <v>20</v>
      </c>
      <c r="I1939" t="s">
        <v>18</v>
      </c>
      <c r="J1939" s="3">
        <v>45511</v>
      </c>
      <c r="K1939" s="4">
        <f>ClientiBanca[[#This Row],[Prestito]]+ClientiBanca[[#This Row],[Mutuo]]</f>
        <v>60200</v>
      </c>
      <c r="L1939" t="str">
        <f>IF(ClientiBanca[[#This Row],[Reddito annuo]]&gt;=70000,"si","no")</f>
        <v>no</v>
      </c>
    </row>
    <row r="1940" spans="1:12">
      <c r="A1940">
        <v>101939</v>
      </c>
      <c r="B1940">
        <v>75</v>
      </c>
      <c r="C1940" s="2">
        <v>77400</v>
      </c>
      <c r="D1940" t="s">
        <v>21</v>
      </c>
      <c r="E1940" s="2">
        <v>0</v>
      </c>
      <c r="F1940" s="2">
        <v>0</v>
      </c>
      <c r="G1940" t="s">
        <v>26</v>
      </c>
      <c r="H1940" t="s">
        <v>20</v>
      </c>
      <c r="I1940" t="s">
        <v>18</v>
      </c>
      <c r="J1940" s="3">
        <v>46203</v>
      </c>
      <c r="K1940" s="4">
        <f>ClientiBanca[[#This Row],[Prestito]]+ClientiBanca[[#This Row],[Mutuo]]</f>
        <v>0</v>
      </c>
      <c r="L1940" t="str">
        <f>IF(ClientiBanca[[#This Row],[Reddito annuo]]&gt;=70000,"si","no")</f>
        <v>si</v>
      </c>
    </row>
    <row r="1941" spans="1:12">
      <c r="A1941">
        <v>101940</v>
      </c>
      <c r="B1941">
        <v>59</v>
      </c>
      <c r="C1941" s="2">
        <v>49300</v>
      </c>
      <c r="D1941" t="s">
        <v>21</v>
      </c>
      <c r="E1941" s="2">
        <v>57600</v>
      </c>
      <c r="F1941" s="2">
        <v>196000</v>
      </c>
      <c r="G1941" t="s">
        <v>23</v>
      </c>
      <c r="H1941" t="s">
        <v>14</v>
      </c>
      <c r="I1941" t="s">
        <v>18</v>
      </c>
      <c r="J1941" s="3">
        <v>45855</v>
      </c>
      <c r="K1941" s="4">
        <f>ClientiBanca[[#This Row],[Prestito]]+ClientiBanca[[#This Row],[Mutuo]]</f>
        <v>253600</v>
      </c>
      <c r="L1941" t="str">
        <f>IF(ClientiBanca[[#This Row],[Reddito annuo]]&gt;=70000,"si","no")</f>
        <v>no</v>
      </c>
    </row>
    <row r="1942" spans="1:12">
      <c r="A1942">
        <v>101941</v>
      </c>
      <c r="B1942">
        <v>23</v>
      </c>
      <c r="C1942" s="2">
        <v>103900</v>
      </c>
      <c r="D1942" t="s">
        <v>12</v>
      </c>
      <c r="E1942" s="2">
        <v>26600</v>
      </c>
      <c r="F1942" s="2">
        <v>156000</v>
      </c>
      <c r="G1942" t="s">
        <v>13</v>
      </c>
      <c r="H1942" t="s">
        <v>20</v>
      </c>
      <c r="I1942" t="s">
        <v>18</v>
      </c>
      <c r="J1942" s="3">
        <v>45586</v>
      </c>
      <c r="K1942" s="4">
        <f>ClientiBanca[[#This Row],[Prestito]]+ClientiBanca[[#This Row],[Mutuo]]</f>
        <v>182600</v>
      </c>
      <c r="L1942" t="str">
        <f>IF(ClientiBanca[[#This Row],[Reddito annuo]]&gt;=70000,"si","no")</f>
        <v>si</v>
      </c>
    </row>
    <row r="1943" spans="1:12">
      <c r="A1943">
        <v>101942</v>
      </c>
      <c r="B1943">
        <v>63</v>
      </c>
      <c r="C1943" s="2">
        <v>69000</v>
      </c>
      <c r="D1943" t="s">
        <v>22</v>
      </c>
      <c r="E1943" s="2">
        <v>0</v>
      </c>
      <c r="F1943" s="2">
        <v>253000</v>
      </c>
      <c r="G1943" t="s">
        <v>13</v>
      </c>
      <c r="H1943" t="s">
        <v>20</v>
      </c>
      <c r="I1943" t="s">
        <v>18</v>
      </c>
      <c r="J1943" s="3">
        <v>45648</v>
      </c>
      <c r="K1943" s="4">
        <f>ClientiBanca[[#This Row],[Prestito]]+ClientiBanca[[#This Row],[Mutuo]]</f>
        <v>253000</v>
      </c>
      <c r="L1943" t="str">
        <f>IF(ClientiBanca[[#This Row],[Reddito annuo]]&gt;=70000,"si","no")</f>
        <v>no</v>
      </c>
    </row>
    <row r="1944" spans="1:12">
      <c r="A1944">
        <v>101943</v>
      </c>
      <c r="B1944">
        <v>28</v>
      </c>
      <c r="C1944" s="2">
        <v>105200</v>
      </c>
      <c r="D1944" t="s">
        <v>22</v>
      </c>
      <c r="E1944" s="2">
        <v>34100</v>
      </c>
      <c r="F1944" s="2">
        <v>0</v>
      </c>
      <c r="G1944" t="s">
        <v>26</v>
      </c>
      <c r="H1944" t="s">
        <v>20</v>
      </c>
      <c r="I1944" t="s">
        <v>18</v>
      </c>
      <c r="J1944" s="3">
        <v>45933</v>
      </c>
      <c r="K1944" s="4">
        <f>ClientiBanca[[#This Row],[Prestito]]+ClientiBanca[[#This Row],[Mutuo]]</f>
        <v>34100</v>
      </c>
      <c r="L1944" t="str">
        <f>IF(ClientiBanca[[#This Row],[Reddito annuo]]&gt;=70000,"si","no")</f>
        <v>si</v>
      </c>
    </row>
    <row r="1945" spans="1:12">
      <c r="A1945">
        <v>101944</v>
      </c>
      <c r="B1945">
        <v>59</v>
      </c>
      <c r="C1945" s="2">
        <v>100200</v>
      </c>
      <c r="D1945" t="s">
        <v>22</v>
      </c>
      <c r="E1945" s="2">
        <v>0</v>
      </c>
      <c r="F1945" s="2">
        <v>0</v>
      </c>
      <c r="G1945" t="s">
        <v>24</v>
      </c>
      <c r="H1945" t="s">
        <v>14</v>
      </c>
      <c r="I1945" t="s">
        <v>18</v>
      </c>
      <c r="J1945" s="3">
        <v>45659</v>
      </c>
      <c r="K1945" s="4">
        <f>ClientiBanca[[#This Row],[Prestito]]+ClientiBanca[[#This Row],[Mutuo]]</f>
        <v>0</v>
      </c>
      <c r="L1945" t="str">
        <f>IF(ClientiBanca[[#This Row],[Reddito annuo]]&gt;=70000,"si","no")</f>
        <v>si</v>
      </c>
    </row>
    <row r="1946" spans="1:12">
      <c r="A1946">
        <v>101945</v>
      </c>
      <c r="B1946">
        <v>42</v>
      </c>
      <c r="C1946" s="2">
        <v>81400</v>
      </c>
      <c r="D1946" t="s">
        <v>21</v>
      </c>
      <c r="E1946" s="2">
        <v>37600</v>
      </c>
      <c r="F1946" s="2">
        <v>180000</v>
      </c>
      <c r="G1946" t="s">
        <v>13</v>
      </c>
      <c r="H1946" t="s">
        <v>20</v>
      </c>
      <c r="I1946" t="s">
        <v>18</v>
      </c>
      <c r="J1946" s="3">
        <v>45790</v>
      </c>
      <c r="K1946" s="4">
        <f>ClientiBanca[[#This Row],[Prestito]]+ClientiBanca[[#This Row],[Mutuo]]</f>
        <v>217600</v>
      </c>
      <c r="L1946" t="str">
        <f>IF(ClientiBanca[[#This Row],[Reddito annuo]]&gt;=70000,"si","no")</f>
        <v>si</v>
      </c>
    </row>
    <row r="1947" spans="1:12">
      <c r="A1947">
        <v>101946</v>
      </c>
      <c r="B1947">
        <v>56</v>
      </c>
      <c r="C1947" s="2">
        <v>105800</v>
      </c>
      <c r="D1947" t="s">
        <v>21</v>
      </c>
      <c r="E1947" s="2">
        <v>37900</v>
      </c>
      <c r="F1947" s="2">
        <v>0</v>
      </c>
      <c r="G1947" t="s">
        <v>27</v>
      </c>
      <c r="H1947" t="s">
        <v>20</v>
      </c>
      <c r="I1947" t="s">
        <v>18</v>
      </c>
      <c r="J1947" s="3">
        <v>45741</v>
      </c>
      <c r="K1947" s="4">
        <f>ClientiBanca[[#This Row],[Prestito]]+ClientiBanca[[#This Row],[Mutuo]]</f>
        <v>37900</v>
      </c>
      <c r="L1947" t="str">
        <f>IF(ClientiBanca[[#This Row],[Reddito annuo]]&gt;=70000,"si","no")</f>
        <v>si</v>
      </c>
    </row>
    <row r="1948" spans="1:12">
      <c r="A1948">
        <v>101947</v>
      </c>
      <c r="B1948">
        <v>50</v>
      </c>
      <c r="C1948" s="2">
        <v>44800</v>
      </c>
      <c r="D1948" t="s">
        <v>12</v>
      </c>
      <c r="E1948" s="2">
        <v>0</v>
      </c>
      <c r="F1948" s="2">
        <v>0</v>
      </c>
      <c r="G1948" t="s">
        <v>26</v>
      </c>
      <c r="H1948" t="s">
        <v>14</v>
      </c>
      <c r="I1948" t="s">
        <v>18</v>
      </c>
      <c r="J1948" s="3">
        <v>45420</v>
      </c>
      <c r="K1948" s="4">
        <f>ClientiBanca[[#This Row],[Prestito]]+ClientiBanca[[#This Row],[Mutuo]]</f>
        <v>0</v>
      </c>
      <c r="L1948" t="str">
        <f>IF(ClientiBanca[[#This Row],[Reddito annuo]]&gt;=70000,"si","no")</f>
        <v>no</v>
      </c>
    </row>
    <row r="1949" spans="1:12">
      <c r="A1949">
        <v>101948</v>
      </c>
      <c r="B1949">
        <v>65</v>
      </c>
      <c r="C1949" s="2">
        <v>97000</v>
      </c>
      <c r="D1949" t="s">
        <v>21</v>
      </c>
      <c r="E1949" s="2">
        <v>59000</v>
      </c>
      <c r="F1949" s="2">
        <v>0</v>
      </c>
      <c r="G1949" t="s">
        <v>19</v>
      </c>
      <c r="H1949" t="s">
        <v>14</v>
      </c>
      <c r="I1949" t="s">
        <v>15</v>
      </c>
      <c r="J1949" s="3">
        <v>45694</v>
      </c>
      <c r="K1949" s="4">
        <f>ClientiBanca[[#This Row],[Prestito]]+ClientiBanca[[#This Row],[Mutuo]]</f>
        <v>59000</v>
      </c>
      <c r="L1949" t="str">
        <f>IF(ClientiBanca[[#This Row],[Reddito annuo]]&gt;=70000,"si","no")</f>
        <v>si</v>
      </c>
    </row>
    <row r="1950" spans="1:12">
      <c r="A1950">
        <v>101949</v>
      </c>
      <c r="B1950">
        <v>51</v>
      </c>
      <c r="C1950" s="2">
        <v>56900</v>
      </c>
      <c r="D1950" t="s">
        <v>12</v>
      </c>
      <c r="E1950" s="2">
        <v>0</v>
      </c>
      <c r="F1950" s="2">
        <v>0</v>
      </c>
      <c r="G1950" t="s">
        <v>27</v>
      </c>
      <c r="H1950" t="s">
        <v>20</v>
      </c>
      <c r="I1950" t="s">
        <v>18</v>
      </c>
      <c r="J1950" s="3">
        <v>45940</v>
      </c>
      <c r="K1950" s="4">
        <f>ClientiBanca[[#This Row],[Prestito]]+ClientiBanca[[#This Row],[Mutuo]]</f>
        <v>0</v>
      </c>
      <c r="L1950" t="str">
        <f>IF(ClientiBanca[[#This Row],[Reddito annuo]]&gt;=70000,"si","no")</f>
        <v>no</v>
      </c>
    </row>
    <row r="1951" spans="1:12">
      <c r="A1951">
        <v>101950</v>
      </c>
      <c r="B1951">
        <v>42</v>
      </c>
      <c r="C1951" s="2">
        <v>88900</v>
      </c>
      <c r="D1951" t="s">
        <v>21</v>
      </c>
      <c r="E1951" s="2">
        <v>27300</v>
      </c>
      <c r="F1951" s="2">
        <v>325000</v>
      </c>
      <c r="G1951" t="s">
        <v>24</v>
      </c>
      <c r="H1951" t="s">
        <v>20</v>
      </c>
      <c r="I1951" t="s">
        <v>18</v>
      </c>
      <c r="J1951" s="3">
        <v>45552</v>
      </c>
      <c r="K1951" s="4">
        <f>ClientiBanca[[#This Row],[Prestito]]+ClientiBanca[[#This Row],[Mutuo]]</f>
        <v>352300</v>
      </c>
      <c r="L1951" t="str">
        <f>IF(ClientiBanca[[#This Row],[Reddito annuo]]&gt;=70000,"si","no")</f>
        <v>si</v>
      </c>
    </row>
    <row r="1952" spans="1:12">
      <c r="A1952">
        <v>101951</v>
      </c>
      <c r="B1952">
        <v>31</v>
      </c>
      <c r="C1952" s="2">
        <v>65800</v>
      </c>
      <c r="D1952" t="s">
        <v>12</v>
      </c>
      <c r="E1952" s="2">
        <v>38000</v>
      </c>
      <c r="F1952" s="2">
        <v>0</v>
      </c>
      <c r="G1952" t="s">
        <v>23</v>
      </c>
      <c r="H1952" t="s">
        <v>14</v>
      </c>
      <c r="I1952" t="s">
        <v>18</v>
      </c>
      <c r="J1952" s="3">
        <v>46168</v>
      </c>
      <c r="K1952" s="4">
        <f>ClientiBanca[[#This Row],[Prestito]]+ClientiBanca[[#This Row],[Mutuo]]</f>
        <v>38000</v>
      </c>
      <c r="L1952" t="str">
        <f>IF(ClientiBanca[[#This Row],[Reddito annuo]]&gt;=70000,"si","no")</f>
        <v>no</v>
      </c>
    </row>
    <row r="1953" spans="1:12">
      <c r="A1953">
        <v>101952</v>
      </c>
      <c r="B1953">
        <v>26</v>
      </c>
      <c r="C1953" s="2">
        <v>31700</v>
      </c>
      <c r="D1953" t="s">
        <v>12</v>
      </c>
      <c r="E1953" s="2">
        <v>9500</v>
      </c>
      <c r="F1953" s="2">
        <v>0</v>
      </c>
      <c r="G1953" t="s">
        <v>16</v>
      </c>
      <c r="H1953" t="s">
        <v>14</v>
      </c>
      <c r="I1953" t="s">
        <v>15</v>
      </c>
      <c r="J1953" s="3">
        <v>45542</v>
      </c>
      <c r="K1953" s="4">
        <f>ClientiBanca[[#This Row],[Prestito]]+ClientiBanca[[#This Row],[Mutuo]]</f>
        <v>9500</v>
      </c>
      <c r="L1953" t="str">
        <f>IF(ClientiBanca[[#This Row],[Reddito annuo]]&gt;=70000,"si","no")</f>
        <v>no</v>
      </c>
    </row>
    <row r="1954" spans="1:12">
      <c r="A1954">
        <v>101953</v>
      </c>
      <c r="B1954">
        <v>20</v>
      </c>
      <c r="C1954" s="2">
        <v>70200</v>
      </c>
      <c r="D1954" t="s">
        <v>22</v>
      </c>
      <c r="E1954" s="2">
        <v>29100</v>
      </c>
      <c r="F1954" s="2">
        <v>0</v>
      </c>
      <c r="G1954" t="s">
        <v>27</v>
      </c>
      <c r="H1954" t="s">
        <v>20</v>
      </c>
      <c r="I1954" t="s">
        <v>18</v>
      </c>
      <c r="J1954" s="3">
        <v>45382</v>
      </c>
      <c r="K1954" s="4">
        <f>ClientiBanca[[#This Row],[Prestito]]+ClientiBanca[[#This Row],[Mutuo]]</f>
        <v>29100</v>
      </c>
      <c r="L1954" t="str">
        <f>IF(ClientiBanca[[#This Row],[Reddito annuo]]&gt;=70000,"si","no")</f>
        <v>si</v>
      </c>
    </row>
    <row r="1955" spans="1:12">
      <c r="A1955">
        <v>101954</v>
      </c>
      <c r="B1955">
        <v>44</v>
      </c>
      <c r="C1955" s="2">
        <v>52600</v>
      </c>
      <c r="D1955" t="s">
        <v>21</v>
      </c>
      <c r="E1955" s="2">
        <v>65800</v>
      </c>
      <c r="F1955" s="2">
        <v>0</v>
      </c>
      <c r="G1955" t="s">
        <v>19</v>
      </c>
      <c r="H1955" t="s">
        <v>25</v>
      </c>
      <c r="I1955" t="s">
        <v>18</v>
      </c>
      <c r="J1955" s="3">
        <v>45759</v>
      </c>
      <c r="K1955" s="4">
        <f>ClientiBanca[[#This Row],[Prestito]]+ClientiBanca[[#This Row],[Mutuo]]</f>
        <v>65800</v>
      </c>
      <c r="L1955" t="str">
        <f>IF(ClientiBanca[[#This Row],[Reddito annuo]]&gt;=70000,"si","no")</f>
        <v>no</v>
      </c>
    </row>
    <row r="1956" spans="1:12">
      <c r="A1956">
        <v>101955</v>
      </c>
      <c r="B1956">
        <v>41</v>
      </c>
      <c r="C1956" s="2">
        <v>80800</v>
      </c>
      <c r="D1956" t="s">
        <v>22</v>
      </c>
      <c r="E1956" s="2">
        <v>79300</v>
      </c>
      <c r="F1956" s="2">
        <v>0</v>
      </c>
      <c r="G1956" t="s">
        <v>24</v>
      </c>
      <c r="H1956" t="s">
        <v>20</v>
      </c>
      <c r="I1956" t="s">
        <v>18</v>
      </c>
      <c r="J1956" s="3">
        <v>45899</v>
      </c>
      <c r="K1956" s="4">
        <f>ClientiBanca[[#This Row],[Prestito]]+ClientiBanca[[#This Row],[Mutuo]]</f>
        <v>79300</v>
      </c>
      <c r="L1956" t="str">
        <f>IF(ClientiBanca[[#This Row],[Reddito annuo]]&gt;=70000,"si","no")</f>
        <v>si</v>
      </c>
    </row>
    <row r="1957" spans="1:12">
      <c r="A1957">
        <v>101956</v>
      </c>
      <c r="B1957">
        <v>69</v>
      </c>
      <c r="C1957" s="2">
        <v>54600</v>
      </c>
      <c r="D1957" t="s">
        <v>21</v>
      </c>
      <c r="E1957" s="2">
        <v>68200</v>
      </c>
      <c r="F1957" s="2">
        <v>0</v>
      </c>
      <c r="G1957" t="s">
        <v>24</v>
      </c>
      <c r="H1957" t="s">
        <v>14</v>
      </c>
      <c r="I1957" t="s">
        <v>18</v>
      </c>
      <c r="J1957" s="3">
        <v>45436</v>
      </c>
      <c r="K1957" s="4">
        <f>ClientiBanca[[#This Row],[Prestito]]+ClientiBanca[[#This Row],[Mutuo]]</f>
        <v>68200</v>
      </c>
      <c r="L1957" t="str">
        <f>IF(ClientiBanca[[#This Row],[Reddito annuo]]&gt;=70000,"si","no")</f>
        <v>no</v>
      </c>
    </row>
    <row r="1958" spans="1:12">
      <c r="A1958">
        <v>101957</v>
      </c>
      <c r="B1958">
        <v>49</v>
      </c>
      <c r="C1958" s="2">
        <v>51200</v>
      </c>
      <c r="D1958" t="s">
        <v>12</v>
      </c>
      <c r="E1958" s="2">
        <v>31600</v>
      </c>
      <c r="F1958" s="2">
        <v>0</v>
      </c>
      <c r="G1958" t="s">
        <v>27</v>
      </c>
      <c r="H1958" t="s">
        <v>17</v>
      </c>
      <c r="I1958" t="s">
        <v>18</v>
      </c>
      <c r="J1958" s="3">
        <v>46221</v>
      </c>
      <c r="K1958" s="4">
        <f>ClientiBanca[[#This Row],[Prestito]]+ClientiBanca[[#This Row],[Mutuo]]</f>
        <v>31600</v>
      </c>
      <c r="L1958" t="str">
        <f>IF(ClientiBanca[[#This Row],[Reddito annuo]]&gt;=70000,"si","no")</f>
        <v>no</v>
      </c>
    </row>
    <row r="1959" spans="1:12">
      <c r="A1959">
        <v>101958</v>
      </c>
      <c r="B1959">
        <v>48</v>
      </c>
      <c r="C1959" s="2">
        <v>35500</v>
      </c>
      <c r="D1959" t="s">
        <v>12</v>
      </c>
      <c r="E1959" s="2">
        <v>0</v>
      </c>
      <c r="F1959" s="2">
        <v>0</v>
      </c>
      <c r="G1959" t="s">
        <v>27</v>
      </c>
      <c r="H1959" t="s">
        <v>17</v>
      </c>
      <c r="I1959" t="s">
        <v>18</v>
      </c>
      <c r="J1959" s="3">
        <v>45733</v>
      </c>
      <c r="K1959" s="4">
        <f>ClientiBanca[[#This Row],[Prestito]]+ClientiBanca[[#This Row],[Mutuo]]</f>
        <v>0</v>
      </c>
      <c r="L1959" t="str">
        <f>IF(ClientiBanca[[#This Row],[Reddito annuo]]&gt;=70000,"si","no")</f>
        <v>no</v>
      </c>
    </row>
    <row r="1960" spans="1:12">
      <c r="A1960">
        <v>101959</v>
      </c>
      <c r="B1960">
        <v>64</v>
      </c>
      <c r="C1960" s="2">
        <v>109500</v>
      </c>
      <c r="D1960" t="s">
        <v>21</v>
      </c>
      <c r="E1960" s="2">
        <v>0</v>
      </c>
      <c r="F1960" s="2">
        <v>0</v>
      </c>
      <c r="G1960" t="s">
        <v>24</v>
      </c>
      <c r="H1960" t="s">
        <v>20</v>
      </c>
      <c r="I1960" t="s">
        <v>18</v>
      </c>
      <c r="J1960" s="3">
        <v>46220</v>
      </c>
      <c r="K1960" s="4">
        <f>ClientiBanca[[#This Row],[Prestito]]+ClientiBanca[[#This Row],[Mutuo]]</f>
        <v>0</v>
      </c>
      <c r="L1960" t="str">
        <f>IF(ClientiBanca[[#This Row],[Reddito annuo]]&gt;=70000,"si","no")</f>
        <v>si</v>
      </c>
    </row>
    <row r="1961" spans="1:12">
      <c r="A1961">
        <v>101960</v>
      </c>
      <c r="B1961">
        <v>53</v>
      </c>
      <c r="C1961" s="2">
        <v>84000</v>
      </c>
      <c r="D1961" t="s">
        <v>12</v>
      </c>
      <c r="E1961" s="2">
        <v>0</v>
      </c>
      <c r="F1961" s="2">
        <v>0</v>
      </c>
      <c r="G1961" t="s">
        <v>19</v>
      </c>
      <c r="H1961" t="s">
        <v>17</v>
      </c>
      <c r="I1961" t="s">
        <v>18</v>
      </c>
      <c r="J1961" s="3">
        <v>45736</v>
      </c>
      <c r="K1961" s="4">
        <f>ClientiBanca[[#This Row],[Prestito]]+ClientiBanca[[#This Row],[Mutuo]]</f>
        <v>0</v>
      </c>
      <c r="L1961" t="str">
        <f>IF(ClientiBanca[[#This Row],[Reddito annuo]]&gt;=70000,"si","no")</f>
        <v>si</v>
      </c>
    </row>
    <row r="1962" spans="1:12">
      <c r="A1962">
        <v>101961</v>
      </c>
      <c r="B1962">
        <v>26</v>
      </c>
      <c r="C1962" s="2">
        <v>82700</v>
      </c>
      <c r="D1962" t="s">
        <v>12</v>
      </c>
      <c r="E1962" s="2">
        <v>26900</v>
      </c>
      <c r="F1962" s="2">
        <v>0</v>
      </c>
      <c r="G1962" t="s">
        <v>13</v>
      </c>
      <c r="H1962" t="s">
        <v>17</v>
      </c>
      <c r="I1962" t="s">
        <v>18</v>
      </c>
      <c r="J1962" s="3">
        <v>45874</v>
      </c>
      <c r="K1962" s="4">
        <f>ClientiBanca[[#This Row],[Prestito]]+ClientiBanca[[#This Row],[Mutuo]]</f>
        <v>26900</v>
      </c>
      <c r="L1962" t="str">
        <f>IF(ClientiBanca[[#This Row],[Reddito annuo]]&gt;=70000,"si","no")</f>
        <v>si</v>
      </c>
    </row>
    <row r="1963" spans="1:12">
      <c r="A1963">
        <v>101962</v>
      </c>
      <c r="B1963">
        <v>67</v>
      </c>
      <c r="C1963" s="2">
        <v>57300</v>
      </c>
      <c r="D1963" t="s">
        <v>22</v>
      </c>
      <c r="E1963" s="2">
        <v>45700</v>
      </c>
      <c r="F1963" s="2">
        <v>0</v>
      </c>
      <c r="G1963" t="s">
        <v>27</v>
      </c>
      <c r="H1963" t="s">
        <v>17</v>
      </c>
      <c r="I1963" t="s">
        <v>18</v>
      </c>
      <c r="J1963" s="3">
        <v>46083</v>
      </c>
      <c r="K1963" s="4">
        <f>ClientiBanca[[#This Row],[Prestito]]+ClientiBanca[[#This Row],[Mutuo]]</f>
        <v>45700</v>
      </c>
      <c r="L1963" t="str">
        <f>IF(ClientiBanca[[#This Row],[Reddito annuo]]&gt;=70000,"si","no")</f>
        <v>no</v>
      </c>
    </row>
    <row r="1964" spans="1:12">
      <c r="A1964">
        <v>101963</v>
      </c>
      <c r="B1964">
        <v>41</v>
      </c>
      <c r="C1964" s="2">
        <v>101400</v>
      </c>
      <c r="D1964" t="s">
        <v>21</v>
      </c>
      <c r="E1964" s="2">
        <v>0</v>
      </c>
      <c r="F1964" s="2">
        <v>0</v>
      </c>
      <c r="G1964" t="s">
        <v>23</v>
      </c>
      <c r="H1964" t="s">
        <v>20</v>
      </c>
      <c r="I1964" t="s">
        <v>18</v>
      </c>
      <c r="J1964" s="3">
        <v>45676</v>
      </c>
      <c r="K1964" s="4">
        <f>ClientiBanca[[#This Row],[Prestito]]+ClientiBanca[[#This Row],[Mutuo]]</f>
        <v>0</v>
      </c>
      <c r="L1964" t="str">
        <f>IF(ClientiBanca[[#This Row],[Reddito annuo]]&gt;=70000,"si","no")</f>
        <v>si</v>
      </c>
    </row>
    <row r="1965" spans="1:12">
      <c r="A1965">
        <v>101964</v>
      </c>
      <c r="B1965">
        <v>58</v>
      </c>
      <c r="C1965" s="2">
        <v>106200</v>
      </c>
      <c r="D1965" t="s">
        <v>12</v>
      </c>
      <c r="E1965" s="2">
        <v>64700</v>
      </c>
      <c r="F1965" s="2">
        <v>0</v>
      </c>
      <c r="G1965" t="s">
        <v>26</v>
      </c>
      <c r="H1965" t="s">
        <v>20</v>
      </c>
      <c r="I1965" t="s">
        <v>18</v>
      </c>
      <c r="J1965" s="3">
        <v>46179</v>
      </c>
      <c r="K1965" s="4">
        <f>ClientiBanca[[#This Row],[Prestito]]+ClientiBanca[[#This Row],[Mutuo]]</f>
        <v>64700</v>
      </c>
      <c r="L1965" t="str">
        <f>IF(ClientiBanca[[#This Row],[Reddito annuo]]&gt;=70000,"si","no")</f>
        <v>si</v>
      </c>
    </row>
    <row r="1966" spans="1:12">
      <c r="A1966">
        <v>101965</v>
      </c>
      <c r="B1966">
        <v>23</v>
      </c>
      <c r="C1966" s="2">
        <v>71900</v>
      </c>
      <c r="D1966" t="s">
        <v>22</v>
      </c>
      <c r="E1966" s="2">
        <v>48100</v>
      </c>
      <c r="F1966" s="2">
        <v>0</v>
      </c>
      <c r="G1966" t="s">
        <v>27</v>
      </c>
      <c r="H1966" t="s">
        <v>20</v>
      </c>
      <c r="I1966" t="s">
        <v>18</v>
      </c>
      <c r="J1966" s="3">
        <v>45921</v>
      </c>
      <c r="K1966" s="4">
        <f>ClientiBanca[[#This Row],[Prestito]]+ClientiBanca[[#This Row],[Mutuo]]</f>
        <v>48100</v>
      </c>
      <c r="L1966" t="str">
        <f>IF(ClientiBanca[[#This Row],[Reddito annuo]]&gt;=70000,"si","no")</f>
        <v>si</v>
      </c>
    </row>
    <row r="1967" spans="1:12">
      <c r="A1967">
        <v>101966</v>
      </c>
      <c r="B1967">
        <v>38</v>
      </c>
      <c r="C1967" s="2">
        <v>62400</v>
      </c>
      <c r="D1967" t="s">
        <v>12</v>
      </c>
      <c r="E1967" s="2">
        <v>0</v>
      </c>
      <c r="F1967" s="2">
        <v>246000</v>
      </c>
      <c r="G1967" t="s">
        <v>24</v>
      </c>
      <c r="H1967" t="s">
        <v>20</v>
      </c>
      <c r="I1967" t="s">
        <v>18</v>
      </c>
      <c r="J1967" s="3">
        <v>45382</v>
      </c>
      <c r="K1967" s="4">
        <f>ClientiBanca[[#This Row],[Prestito]]+ClientiBanca[[#This Row],[Mutuo]]</f>
        <v>246000</v>
      </c>
      <c r="L1967" t="str">
        <f>IF(ClientiBanca[[#This Row],[Reddito annuo]]&gt;=70000,"si","no")</f>
        <v>no</v>
      </c>
    </row>
    <row r="1968" spans="1:12">
      <c r="A1968">
        <v>101967</v>
      </c>
      <c r="B1968">
        <v>37</v>
      </c>
      <c r="C1968" s="2">
        <v>45700</v>
      </c>
      <c r="D1968" t="s">
        <v>22</v>
      </c>
      <c r="E1968" s="2">
        <v>48700</v>
      </c>
      <c r="F1968" s="2">
        <v>0</v>
      </c>
      <c r="G1968" t="s">
        <v>13</v>
      </c>
      <c r="H1968" t="s">
        <v>20</v>
      </c>
      <c r="I1968" t="s">
        <v>18</v>
      </c>
      <c r="J1968" s="3">
        <v>45660</v>
      </c>
      <c r="K1968" s="4">
        <f>ClientiBanca[[#This Row],[Prestito]]+ClientiBanca[[#This Row],[Mutuo]]</f>
        <v>48700</v>
      </c>
      <c r="L1968" t="str">
        <f>IF(ClientiBanca[[#This Row],[Reddito annuo]]&gt;=70000,"si","no")</f>
        <v>no</v>
      </c>
    </row>
    <row r="1969" spans="1:12">
      <c r="A1969">
        <v>101968</v>
      </c>
      <c r="B1969">
        <v>56</v>
      </c>
      <c r="C1969" s="2">
        <v>67400</v>
      </c>
      <c r="D1969" t="s">
        <v>21</v>
      </c>
      <c r="E1969" s="2">
        <v>15300</v>
      </c>
      <c r="F1969" s="2">
        <v>0</v>
      </c>
      <c r="G1969" t="s">
        <v>27</v>
      </c>
      <c r="H1969" t="s">
        <v>20</v>
      </c>
      <c r="I1969" t="s">
        <v>18</v>
      </c>
      <c r="J1969" s="3">
        <v>45343</v>
      </c>
      <c r="K1969" s="4">
        <f>ClientiBanca[[#This Row],[Prestito]]+ClientiBanca[[#This Row],[Mutuo]]</f>
        <v>15300</v>
      </c>
      <c r="L1969" t="str">
        <f>IF(ClientiBanca[[#This Row],[Reddito annuo]]&gt;=70000,"si","no")</f>
        <v>no</v>
      </c>
    </row>
    <row r="1970" spans="1:12">
      <c r="A1970">
        <v>101969</v>
      </c>
      <c r="B1970">
        <v>37</v>
      </c>
      <c r="C1970" s="2">
        <v>105100</v>
      </c>
      <c r="D1970" t="s">
        <v>12</v>
      </c>
      <c r="E1970" s="2">
        <v>15600</v>
      </c>
      <c r="F1970" s="2">
        <v>0</v>
      </c>
      <c r="G1970" t="s">
        <v>28</v>
      </c>
      <c r="H1970" t="s">
        <v>20</v>
      </c>
      <c r="I1970" t="s">
        <v>18</v>
      </c>
      <c r="J1970" s="3">
        <v>46004</v>
      </c>
      <c r="K1970" s="4">
        <f>ClientiBanca[[#This Row],[Prestito]]+ClientiBanca[[#This Row],[Mutuo]]</f>
        <v>15600</v>
      </c>
      <c r="L1970" t="str">
        <f>IF(ClientiBanca[[#This Row],[Reddito annuo]]&gt;=70000,"si","no")</f>
        <v>si</v>
      </c>
    </row>
    <row r="1971" spans="1:12">
      <c r="A1971">
        <v>101970</v>
      </c>
      <c r="B1971">
        <v>26</v>
      </c>
      <c r="C1971" s="2">
        <v>43700</v>
      </c>
      <c r="D1971" t="s">
        <v>12</v>
      </c>
      <c r="E1971" s="2">
        <v>52400</v>
      </c>
      <c r="F1971" s="2">
        <v>0</v>
      </c>
      <c r="G1971" t="s">
        <v>13</v>
      </c>
      <c r="H1971" t="s">
        <v>17</v>
      </c>
      <c r="I1971" t="s">
        <v>18</v>
      </c>
      <c r="J1971" s="3">
        <v>45708</v>
      </c>
      <c r="K1971" s="4">
        <f>ClientiBanca[[#This Row],[Prestito]]+ClientiBanca[[#This Row],[Mutuo]]</f>
        <v>52400</v>
      </c>
      <c r="L1971" t="str">
        <f>IF(ClientiBanca[[#This Row],[Reddito annuo]]&gt;=70000,"si","no")</f>
        <v>no</v>
      </c>
    </row>
    <row r="1972" spans="1:12">
      <c r="A1972">
        <v>101971</v>
      </c>
      <c r="B1972">
        <v>36</v>
      </c>
      <c r="C1972" s="2">
        <v>52800</v>
      </c>
      <c r="D1972" t="s">
        <v>21</v>
      </c>
      <c r="E1972" s="2">
        <v>0</v>
      </c>
      <c r="F1972" s="2">
        <v>260000</v>
      </c>
      <c r="G1972" t="s">
        <v>23</v>
      </c>
      <c r="H1972" t="s">
        <v>14</v>
      </c>
      <c r="I1972" t="s">
        <v>18</v>
      </c>
      <c r="J1972" s="3">
        <v>45742</v>
      </c>
      <c r="K1972" s="4">
        <f>ClientiBanca[[#This Row],[Prestito]]+ClientiBanca[[#This Row],[Mutuo]]</f>
        <v>260000</v>
      </c>
      <c r="L1972" t="str">
        <f>IF(ClientiBanca[[#This Row],[Reddito annuo]]&gt;=70000,"si","no")</f>
        <v>no</v>
      </c>
    </row>
    <row r="1973" spans="1:12">
      <c r="A1973">
        <v>101972</v>
      </c>
      <c r="B1973">
        <v>49</v>
      </c>
      <c r="C1973" s="2">
        <v>57000</v>
      </c>
      <c r="D1973" t="s">
        <v>21</v>
      </c>
      <c r="E1973" s="2">
        <v>40400</v>
      </c>
      <c r="F1973" s="2">
        <v>275000</v>
      </c>
      <c r="G1973" t="s">
        <v>27</v>
      </c>
      <c r="H1973" t="s">
        <v>17</v>
      </c>
      <c r="I1973" t="s">
        <v>18</v>
      </c>
      <c r="J1973" s="3">
        <v>45383</v>
      </c>
      <c r="K1973" s="4">
        <f>ClientiBanca[[#This Row],[Prestito]]+ClientiBanca[[#This Row],[Mutuo]]</f>
        <v>315400</v>
      </c>
      <c r="L1973" t="str">
        <f>IF(ClientiBanca[[#This Row],[Reddito annuo]]&gt;=70000,"si","no")</f>
        <v>no</v>
      </c>
    </row>
    <row r="1974" spans="1:12">
      <c r="A1974">
        <v>101973</v>
      </c>
      <c r="B1974">
        <v>46</v>
      </c>
      <c r="C1974" s="2">
        <v>74100</v>
      </c>
      <c r="D1974" t="s">
        <v>12</v>
      </c>
      <c r="E1974" s="2">
        <v>0</v>
      </c>
      <c r="F1974" s="2">
        <v>169000</v>
      </c>
      <c r="G1974" t="s">
        <v>27</v>
      </c>
      <c r="H1974" t="s">
        <v>14</v>
      </c>
      <c r="I1974" t="s">
        <v>18</v>
      </c>
      <c r="J1974" s="3">
        <v>45454</v>
      </c>
      <c r="K1974" s="4">
        <f>ClientiBanca[[#This Row],[Prestito]]+ClientiBanca[[#This Row],[Mutuo]]</f>
        <v>169000</v>
      </c>
      <c r="L1974" t="str">
        <f>IF(ClientiBanca[[#This Row],[Reddito annuo]]&gt;=70000,"si","no")</f>
        <v>si</v>
      </c>
    </row>
    <row r="1975" spans="1:12">
      <c r="A1975">
        <v>101974</v>
      </c>
      <c r="B1975">
        <v>57</v>
      </c>
      <c r="C1975" s="2">
        <v>80300</v>
      </c>
      <c r="D1975" t="s">
        <v>12</v>
      </c>
      <c r="E1975" s="2">
        <v>53100</v>
      </c>
      <c r="F1975" s="2">
        <v>0</v>
      </c>
      <c r="G1975" t="s">
        <v>26</v>
      </c>
      <c r="H1975" t="s">
        <v>20</v>
      </c>
      <c r="I1975" t="s">
        <v>18</v>
      </c>
      <c r="J1975" s="3">
        <v>45458</v>
      </c>
      <c r="K1975" s="4">
        <f>ClientiBanca[[#This Row],[Prestito]]+ClientiBanca[[#This Row],[Mutuo]]</f>
        <v>53100</v>
      </c>
      <c r="L1975" t="str">
        <f>IF(ClientiBanca[[#This Row],[Reddito annuo]]&gt;=70000,"si","no")</f>
        <v>si</v>
      </c>
    </row>
    <row r="1976" spans="1:12">
      <c r="A1976">
        <v>101975</v>
      </c>
      <c r="B1976">
        <v>29</v>
      </c>
      <c r="C1976" s="2">
        <v>64700</v>
      </c>
      <c r="D1976" t="s">
        <v>12</v>
      </c>
      <c r="E1976" s="2">
        <v>14900</v>
      </c>
      <c r="F1976" s="2">
        <v>0</v>
      </c>
      <c r="G1976" t="s">
        <v>27</v>
      </c>
      <c r="H1976" t="s">
        <v>17</v>
      </c>
      <c r="I1976" t="s">
        <v>18</v>
      </c>
      <c r="J1976" s="3">
        <v>45669</v>
      </c>
      <c r="K1976" s="4">
        <f>ClientiBanca[[#This Row],[Prestito]]+ClientiBanca[[#This Row],[Mutuo]]</f>
        <v>14900</v>
      </c>
      <c r="L1976" t="str">
        <f>IF(ClientiBanca[[#This Row],[Reddito annuo]]&gt;=70000,"si","no")</f>
        <v>no</v>
      </c>
    </row>
    <row r="1977" spans="1:12">
      <c r="A1977">
        <v>101976</v>
      </c>
      <c r="B1977">
        <v>73</v>
      </c>
      <c r="C1977" s="2">
        <v>54200</v>
      </c>
      <c r="D1977" t="s">
        <v>22</v>
      </c>
      <c r="E1977" s="2">
        <v>67800</v>
      </c>
      <c r="F1977" s="2">
        <v>0</v>
      </c>
      <c r="G1977" t="s">
        <v>27</v>
      </c>
      <c r="H1977" t="s">
        <v>17</v>
      </c>
      <c r="I1977" t="s">
        <v>18</v>
      </c>
      <c r="J1977" s="3">
        <v>46244</v>
      </c>
      <c r="K1977" s="4">
        <f>ClientiBanca[[#This Row],[Prestito]]+ClientiBanca[[#This Row],[Mutuo]]</f>
        <v>67800</v>
      </c>
      <c r="L1977" t="str">
        <f>IF(ClientiBanca[[#This Row],[Reddito annuo]]&gt;=70000,"si","no")</f>
        <v>no</v>
      </c>
    </row>
    <row r="1978" spans="1:12">
      <c r="A1978">
        <v>101977</v>
      </c>
      <c r="B1978">
        <v>29</v>
      </c>
      <c r="C1978" s="2">
        <v>33000</v>
      </c>
      <c r="D1978" t="s">
        <v>12</v>
      </c>
      <c r="E1978" s="2">
        <v>26400</v>
      </c>
      <c r="F1978" s="2">
        <v>0</v>
      </c>
      <c r="G1978" t="s">
        <v>26</v>
      </c>
      <c r="H1978" t="s">
        <v>14</v>
      </c>
      <c r="I1978" t="s">
        <v>18</v>
      </c>
      <c r="J1978" s="3">
        <v>45599</v>
      </c>
      <c r="K1978" s="4">
        <f>ClientiBanca[[#This Row],[Prestito]]+ClientiBanca[[#This Row],[Mutuo]]</f>
        <v>26400</v>
      </c>
      <c r="L1978" t="str">
        <f>IF(ClientiBanca[[#This Row],[Reddito annuo]]&gt;=70000,"si","no")</f>
        <v>no</v>
      </c>
    </row>
    <row r="1979" spans="1:12">
      <c r="A1979">
        <v>101978</v>
      </c>
      <c r="B1979">
        <v>61</v>
      </c>
      <c r="C1979" s="2">
        <v>27900</v>
      </c>
      <c r="D1979" t="s">
        <v>22</v>
      </c>
      <c r="E1979" s="2">
        <v>18600</v>
      </c>
      <c r="F1979" s="2">
        <v>0</v>
      </c>
      <c r="G1979" t="s">
        <v>23</v>
      </c>
      <c r="H1979" t="s">
        <v>14</v>
      </c>
      <c r="I1979" t="s">
        <v>18</v>
      </c>
      <c r="J1979" s="3">
        <v>45644</v>
      </c>
      <c r="K1979" s="4">
        <f>ClientiBanca[[#This Row],[Prestito]]+ClientiBanca[[#This Row],[Mutuo]]</f>
        <v>18600</v>
      </c>
      <c r="L1979" t="str">
        <f>IF(ClientiBanca[[#This Row],[Reddito annuo]]&gt;=70000,"si","no")</f>
        <v>no</v>
      </c>
    </row>
    <row r="1980" spans="1:12">
      <c r="A1980">
        <v>101979</v>
      </c>
      <c r="B1980">
        <v>20</v>
      </c>
      <c r="C1980" s="2">
        <v>47100</v>
      </c>
      <c r="D1980" t="s">
        <v>12</v>
      </c>
      <c r="E1980" s="2">
        <v>18400</v>
      </c>
      <c r="F1980" s="2">
        <v>0</v>
      </c>
      <c r="G1980" t="s">
        <v>16</v>
      </c>
      <c r="H1980" t="s">
        <v>20</v>
      </c>
      <c r="I1980" t="s">
        <v>18</v>
      </c>
      <c r="J1980" s="3">
        <v>45412</v>
      </c>
      <c r="K1980" s="4">
        <f>ClientiBanca[[#This Row],[Prestito]]+ClientiBanca[[#This Row],[Mutuo]]</f>
        <v>18400</v>
      </c>
      <c r="L1980" t="str">
        <f>IF(ClientiBanca[[#This Row],[Reddito annuo]]&gt;=70000,"si","no")</f>
        <v>no</v>
      </c>
    </row>
    <row r="1981" spans="1:12">
      <c r="A1981">
        <v>101980</v>
      </c>
      <c r="B1981">
        <v>25</v>
      </c>
      <c r="C1981" s="2">
        <v>46700</v>
      </c>
      <c r="D1981" t="s">
        <v>21</v>
      </c>
      <c r="E1981" s="2">
        <v>28900</v>
      </c>
      <c r="F1981" s="2">
        <v>296000</v>
      </c>
      <c r="G1981" t="s">
        <v>19</v>
      </c>
      <c r="H1981" t="s">
        <v>25</v>
      </c>
      <c r="I1981" t="s">
        <v>18</v>
      </c>
      <c r="J1981" s="3">
        <v>45620</v>
      </c>
      <c r="K1981" s="4">
        <f>ClientiBanca[[#This Row],[Prestito]]+ClientiBanca[[#This Row],[Mutuo]]</f>
        <v>324900</v>
      </c>
      <c r="L1981" t="str">
        <f>IF(ClientiBanca[[#This Row],[Reddito annuo]]&gt;=70000,"si","no")</f>
        <v>no</v>
      </c>
    </row>
    <row r="1982" spans="1:12">
      <c r="A1982">
        <v>101981</v>
      </c>
      <c r="B1982">
        <v>37</v>
      </c>
      <c r="C1982" s="2">
        <v>73300</v>
      </c>
      <c r="D1982" t="s">
        <v>21</v>
      </c>
      <c r="E1982" s="2">
        <v>34500</v>
      </c>
      <c r="F1982" s="2">
        <v>0</v>
      </c>
      <c r="G1982" t="s">
        <v>27</v>
      </c>
      <c r="H1982" t="s">
        <v>17</v>
      </c>
      <c r="I1982" t="s">
        <v>18</v>
      </c>
      <c r="J1982" s="3">
        <v>45900</v>
      </c>
      <c r="K1982" s="4">
        <f>ClientiBanca[[#This Row],[Prestito]]+ClientiBanca[[#This Row],[Mutuo]]</f>
        <v>34500</v>
      </c>
      <c r="L1982" t="str">
        <f>IF(ClientiBanca[[#This Row],[Reddito annuo]]&gt;=70000,"si","no")</f>
        <v>si</v>
      </c>
    </row>
    <row r="1983" spans="1:12">
      <c r="A1983">
        <v>101982</v>
      </c>
      <c r="B1983">
        <v>63</v>
      </c>
      <c r="C1983" s="2">
        <v>68600</v>
      </c>
      <c r="D1983" t="s">
        <v>12</v>
      </c>
      <c r="E1983" s="2">
        <v>0</v>
      </c>
      <c r="F1983" s="2">
        <v>158000</v>
      </c>
      <c r="G1983" t="s">
        <v>26</v>
      </c>
      <c r="H1983" t="s">
        <v>14</v>
      </c>
      <c r="I1983" t="s">
        <v>18</v>
      </c>
      <c r="J1983" s="3">
        <v>46020</v>
      </c>
      <c r="K1983" s="4">
        <f>ClientiBanca[[#This Row],[Prestito]]+ClientiBanca[[#This Row],[Mutuo]]</f>
        <v>158000</v>
      </c>
      <c r="L1983" t="str">
        <f>IF(ClientiBanca[[#This Row],[Reddito annuo]]&gt;=70000,"si","no")</f>
        <v>no</v>
      </c>
    </row>
    <row r="1984" spans="1:12">
      <c r="A1984">
        <v>101983</v>
      </c>
      <c r="B1984">
        <v>25</v>
      </c>
      <c r="C1984" s="2">
        <v>71900</v>
      </c>
      <c r="D1984" t="s">
        <v>12</v>
      </c>
      <c r="E1984" s="2">
        <v>19700</v>
      </c>
      <c r="F1984" s="2">
        <v>0</v>
      </c>
      <c r="G1984" t="s">
        <v>23</v>
      </c>
      <c r="H1984" t="s">
        <v>14</v>
      </c>
      <c r="I1984" t="s">
        <v>18</v>
      </c>
      <c r="J1984" s="3">
        <v>45580</v>
      </c>
      <c r="K1984" s="4">
        <f>ClientiBanca[[#This Row],[Prestito]]+ClientiBanca[[#This Row],[Mutuo]]</f>
        <v>19700</v>
      </c>
      <c r="L1984" t="str">
        <f>IF(ClientiBanca[[#This Row],[Reddito annuo]]&gt;=70000,"si","no")</f>
        <v>si</v>
      </c>
    </row>
    <row r="1985" spans="1:12">
      <c r="A1985">
        <v>101984</v>
      </c>
      <c r="B1985">
        <v>49</v>
      </c>
      <c r="C1985" s="2">
        <v>114000</v>
      </c>
      <c r="D1985" t="s">
        <v>21</v>
      </c>
      <c r="E1985" s="2">
        <v>11000</v>
      </c>
      <c r="F1985" s="2">
        <v>0</v>
      </c>
      <c r="G1985" t="s">
        <v>23</v>
      </c>
      <c r="H1985" t="s">
        <v>20</v>
      </c>
      <c r="I1985" t="s">
        <v>18</v>
      </c>
      <c r="J1985" s="3">
        <v>46264</v>
      </c>
      <c r="K1985" s="4">
        <f>ClientiBanca[[#This Row],[Prestito]]+ClientiBanca[[#This Row],[Mutuo]]</f>
        <v>11000</v>
      </c>
      <c r="L1985" t="str">
        <f>IF(ClientiBanca[[#This Row],[Reddito annuo]]&gt;=70000,"si","no")</f>
        <v>si</v>
      </c>
    </row>
    <row r="1986" spans="1:12">
      <c r="A1986">
        <v>101985</v>
      </c>
      <c r="B1986">
        <v>72</v>
      </c>
      <c r="C1986" s="2">
        <v>27700</v>
      </c>
      <c r="D1986" t="s">
        <v>12</v>
      </c>
      <c r="E1986" s="2">
        <v>34600</v>
      </c>
      <c r="F1986" s="2">
        <v>0</v>
      </c>
      <c r="G1986" t="s">
        <v>28</v>
      </c>
      <c r="H1986" t="s">
        <v>17</v>
      </c>
      <c r="I1986" t="s">
        <v>18</v>
      </c>
      <c r="J1986" s="3">
        <v>46028</v>
      </c>
      <c r="K1986" s="4">
        <f>ClientiBanca[[#This Row],[Prestito]]+ClientiBanca[[#This Row],[Mutuo]]</f>
        <v>34600</v>
      </c>
      <c r="L1986" t="str">
        <f>IF(ClientiBanca[[#This Row],[Reddito annuo]]&gt;=70000,"si","no")</f>
        <v>no</v>
      </c>
    </row>
    <row r="1987" spans="1:12">
      <c r="A1987">
        <v>101986</v>
      </c>
      <c r="B1987">
        <v>37</v>
      </c>
      <c r="C1987" s="2">
        <v>51200</v>
      </c>
      <c r="D1987" t="s">
        <v>21</v>
      </c>
      <c r="E1987" s="2">
        <v>0</v>
      </c>
      <c r="F1987" s="2">
        <v>0</v>
      </c>
      <c r="G1987" t="s">
        <v>26</v>
      </c>
      <c r="H1987" t="s">
        <v>17</v>
      </c>
      <c r="I1987" t="s">
        <v>18</v>
      </c>
      <c r="J1987" s="3">
        <v>46107</v>
      </c>
      <c r="K1987" s="4">
        <f>ClientiBanca[[#This Row],[Prestito]]+ClientiBanca[[#This Row],[Mutuo]]</f>
        <v>0</v>
      </c>
      <c r="L1987" t="str">
        <f>IF(ClientiBanca[[#This Row],[Reddito annuo]]&gt;=70000,"si","no")</f>
        <v>no</v>
      </c>
    </row>
    <row r="1988" spans="1:12">
      <c r="A1988">
        <v>101987</v>
      </c>
      <c r="B1988">
        <v>49</v>
      </c>
      <c r="C1988" s="2">
        <v>53200</v>
      </c>
      <c r="D1988" t="s">
        <v>12</v>
      </c>
      <c r="E1988" s="2">
        <v>0</v>
      </c>
      <c r="F1988" s="2">
        <v>0</v>
      </c>
      <c r="G1988" t="s">
        <v>19</v>
      </c>
      <c r="H1988" t="s">
        <v>25</v>
      </c>
      <c r="I1988" t="s">
        <v>18</v>
      </c>
      <c r="J1988" s="3">
        <v>45661</v>
      </c>
      <c r="K1988" s="4">
        <f>ClientiBanca[[#This Row],[Prestito]]+ClientiBanca[[#This Row],[Mutuo]]</f>
        <v>0</v>
      </c>
      <c r="L1988" t="str">
        <f>IF(ClientiBanca[[#This Row],[Reddito annuo]]&gt;=70000,"si","no")</f>
        <v>no</v>
      </c>
    </row>
    <row r="1989" spans="1:12">
      <c r="A1989">
        <v>101988</v>
      </c>
      <c r="B1989">
        <v>35</v>
      </c>
      <c r="C1989" s="2">
        <v>55500</v>
      </c>
      <c r="D1989" t="s">
        <v>12</v>
      </c>
      <c r="E1989" s="2">
        <v>0</v>
      </c>
      <c r="F1989" s="2">
        <v>185000</v>
      </c>
      <c r="G1989" t="s">
        <v>16</v>
      </c>
      <c r="H1989" t="s">
        <v>25</v>
      </c>
      <c r="I1989" t="s">
        <v>18</v>
      </c>
      <c r="J1989" s="3">
        <v>45357</v>
      </c>
      <c r="K1989" s="4">
        <f>ClientiBanca[[#This Row],[Prestito]]+ClientiBanca[[#This Row],[Mutuo]]</f>
        <v>185000</v>
      </c>
      <c r="L1989" t="str">
        <f>IF(ClientiBanca[[#This Row],[Reddito annuo]]&gt;=70000,"si","no")</f>
        <v>no</v>
      </c>
    </row>
    <row r="1990" spans="1:12">
      <c r="A1990">
        <v>101989</v>
      </c>
      <c r="B1990">
        <v>47</v>
      </c>
      <c r="C1990" s="2">
        <v>41700</v>
      </c>
      <c r="D1990" t="s">
        <v>21</v>
      </c>
      <c r="E1990" s="2">
        <v>25500</v>
      </c>
      <c r="F1990" s="2">
        <v>0</v>
      </c>
      <c r="G1990" t="s">
        <v>27</v>
      </c>
      <c r="H1990" t="s">
        <v>14</v>
      </c>
      <c r="I1990" t="s">
        <v>18</v>
      </c>
      <c r="J1990" s="3">
        <v>46251</v>
      </c>
      <c r="K1990" s="4">
        <f>ClientiBanca[[#This Row],[Prestito]]+ClientiBanca[[#This Row],[Mutuo]]</f>
        <v>25500</v>
      </c>
      <c r="L1990" t="str">
        <f>IF(ClientiBanca[[#This Row],[Reddito annuo]]&gt;=70000,"si","no")</f>
        <v>no</v>
      </c>
    </row>
    <row r="1991" spans="1:12">
      <c r="A1991">
        <v>101990</v>
      </c>
      <c r="B1991">
        <v>59</v>
      </c>
      <c r="C1991" s="2">
        <v>101400</v>
      </c>
      <c r="D1991" t="s">
        <v>21</v>
      </c>
      <c r="E1991" s="2">
        <v>25400</v>
      </c>
      <c r="F1991" s="2">
        <v>0</v>
      </c>
      <c r="G1991" t="s">
        <v>24</v>
      </c>
      <c r="H1991" t="s">
        <v>20</v>
      </c>
      <c r="I1991" t="s">
        <v>18</v>
      </c>
      <c r="J1991" s="3">
        <v>45881</v>
      </c>
      <c r="K1991" s="4">
        <f>ClientiBanca[[#This Row],[Prestito]]+ClientiBanca[[#This Row],[Mutuo]]</f>
        <v>25400</v>
      </c>
      <c r="L1991" t="str">
        <f>IF(ClientiBanca[[#This Row],[Reddito annuo]]&gt;=70000,"si","no")</f>
        <v>si</v>
      </c>
    </row>
    <row r="1992" spans="1:12">
      <c r="A1992">
        <v>101991</v>
      </c>
      <c r="B1992">
        <v>44</v>
      </c>
      <c r="C1992" s="2">
        <v>52900</v>
      </c>
      <c r="D1992" t="s">
        <v>22</v>
      </c>
      <c r="E1992" s="2">
        <v>59500</v>
      </c>
      <c r="F1992" s="2">
        <v>198000</v>
      </c>
      <c r="G1992" t="s">
        <v>26</v>
      </c>
      <c r="H1992" t="s">
        <v>20</v>
      </c>
      <c r="I1992" t="s">
        <v>18</v>
      </c>
      <c r="J1992" s="3">
        <v>46026</v>
      </c>
      <c r="K1992" s="4">
        <f>ClientiBanca[[#This Row],[Prestito]]+ClientiBanca[[#This Row],[Mutuo]]</f>
        <v>257500</v>
      </c>
      <c r="L1992" t="str">
        <f>IF(ClientiBanca[[#This Row],[Reddito annuo]]&gt;=70000,"si","no")</f>
        <v>no</v>
      </c>
    </row>
    <row r="1993" spans="1:12">
      <c r="A1993">
        <v>101992</v>
      </c>
      <c r="B1993">
        <v>57</v>
      </c>
      <c r="C1993" s="2">
        <v>118800</v>
      </c>
      <c r="D1993" t="s">
        <v>21</v>
      </c>
      <c r="E1993" s="2">
        <v>69400</v>
      </c>
      <c r="F1993" s="2">
        <v>0</v>
      </c>
      <c r="G1993" t="s">
        <v>26</v>
      </c>
      <c r="H1993" t="s">
        <v>17</v>
      </c>
      <c r="I1993" t="s">
        <v>18</v>
      </c>
      <c r="J1993" s="3">
        <v>45545</v>
      </c>
      <c r="K1993" s="4">
        <f>ClientiBanca[[#This Row],[Prestito]]+ClientiBanca[[#This Row],[Mutuo]]</f>
        <v>69400</v>
      </c>
      <c r="L1993" t="str">
        <f>IF(ClientiBanca[[#This Row],[Reddito annuo]]&gt;=70000,"si","no")</f>
        <v>si</v>
      </c>
    </row>
    <row r="1994" spans="1:12">
      <c r="A1994">
        <v>101993</v>
      </c>
      <c r="B1994">
        <v>70</v>
      </c>
      <c r="C1994" s="2">
        <v>98200</v>
      </c>
      <c r="D1994" t="s">
        <v>22</v>
      </c>
      <c r="E1994" s="2">
        <v>0</v>
      </c>
      <c r="F1994" s="2">
        <v>0</v>
      </c>
      <c r="G1994" t="s">
        <v>19</v>
      </c>
      <c r="H1994" t="s">
        <v>14</v>
      </c>
      <c r="I1994" t="s">
        <v>18</v>
      </c>
      <c r="J1994" s="3">
        <v>45510</v>
      </c>
      <c r="K1994" s="4">
        <f>ClientiBanca[[#This Row],[Prestito]]+ClientiBanca[[#This Row],[Mutuo]]</f>
        <v>0</v>
      </c>
      <c r="L1994" t="str">
        <f>IF(ClientiBanca[[#This Row],[Reddito annuo]]&gt;=70000,"si","no")</f>
        <v>si</v>
      </c>
    </row>
    <row r="1995" spans="1:12">
      <c r="A1995">
        <v>101994</v>
      </c>
      <c r="B1995">
        <v>65</v>
      </c>
      <c r="C1995" s="2">
        <v>86700</v>
      </c>
      <c r="D1995" t="s">
        <v>21</v>
      </c>
      <c r="E1995" s="2">
        <v>43400</v>
      </c>
      <c r="F1995" s="2">
        <v>0</v>
      </c>
      <c r="G1995" t="s">
        <v>13</v>
      </c>
      <c r="H1995" t="s">
        <v>25</v>
      </c>
      <c r="I1995" t="s">
        <v>18</v>
      </c>
      <c r="J1995" s="3">
        <v>45310</v>
      </c>
      <c r="K1995" s="4">
        <f>ClientiBanca[[#This Row],[Prestito]]+ClientiBanca[[#This Row],[Mutuo]]</f>
        <v>43400</v>
      </c>
      <c r="L1995" t="str">
        <f>IF(ClientiBanca[[#This Row],[Reddito annuo]]&gt;=70000,"si","no")</f>
        <v>si</v>
      </c>
    </row>
    <row r="1996" spans="1:12">
      <c r="A1996">
        <v>101995</v>
      </c>
      <c r="B1996">
        <v>21</v>
      </c>
      <c r="C1996" s="2">
        <v>62200</v>
      </c>
      <c r="D1996" t="s">
        <v>12</v>
      </c>
      <c r="E1996" s="2">
        <v>70500</v>
      </c>
      <c r="F1996" s="2">
        <v>0</v>
      </c>
      <c r="G1996" t="s">
        <v>24</v>
      </c>
      <c r="H1996" t="s">
        <v>20</v>
      </c>
      <c r="I1996" t="s">
        <v>18</v>
      </c>
      <c r="J1996" s="3">
        <v>45669</v>
      </c>
      <c r="K1996" s="4">
        <f>ClientiBanca[[#This Row],[Prestito]]+ClientiBanca[[#This Row],[Mutuo]]</f>
        <v>70500</v>
      </c>
      <c r="L1996" t="str">
        <f>IF(ClientiBanca[[#This Row],[Reddito annuo]]&gt;=70000,"si","no")</f>
        <v>no</v>
      </c>
    </row>
    <row r="1997" spans="1:12">
      <c r="A1997">
        <v>101996</v>
      </c>
      <c r="B1997">
        <v>66</v>
      </c>
      <c r="C1997" s="2">
        <v>63300</v>
      </c>
      <c r="D1997" t="s">
        <v>21</v>
      </c>
      <c r="E1997" s="2">
        <v>0</v>
      </c>
      <c r="F1997" s="2">
        <v>0</v>
      </c>
      <c r="G1997" t="s">
        <v>24</v>
      </c>
      <c r="H1997" t="s">
        <v>20</v>
      </c>
      <c r="I1997" t="s">
        <v>18</v>
      </c>
      <c r="J1997" s="3">
        <v>46127</v>
      </c>
      <c r="K1997" s="4">
        <f>ClientiBanca[[#This Row],[Prestito]]+ClientiBanca[[#This Row],[Mutuo]]</f>
        <v>0</v>
      </c>
      <c r="L1997" t="str">
        <f>IF(ClientiBanca[[#This Row],[Reddito annuo]]&gt;=70000,"si","no")</f>
        <v>no</v>
      </c>
    </row>
    <row r="1998" spans="1:12">
      <c r="A1998">
        <v>101997</v>
      </c>
      <c r="B1998">
        <v>62</v>
      </c>
      <c r="C1998" s="2">
        <v>45700</v>
      </c>
      <c r="D1998" t="s">
        <v>22</v>
      </c>
      <c r="E1998" s="2">
        <v>57100</v>
      </c>
      <c r="F1998" s="2">
        <v>0</v>
      </c>
      <c r="G1998" t="s">
        <v>26</v>
      </c>
      <c r="H1998" t="s">
        <v>20</v>
      </c>
      <c r="I1998" t="s">
        <v>18</v>
      </c>
      <c r="J1998" s="3">
        <v>46203</v>
      </c>
      <c r="K1998" s="4">
        <f>ClientiBanca[[#This Row],[Prestito]]+ClientiBanca[[#This Row],[Mutuo]]</f>
        <v>57100</v>
      </c>
      <c r="L1998" t="str">
        <f>IF(ClientiBanca[[#This Row],[Reddito annuo]]&gt;=70000,"si","no")</f>
        <v>no</v>
      </c>
    </row>
    <row r="1999" spans="1:12">
      <c r="A1999">
        <v>101998</v>
      </c>
      <c r="B1999">
        <v>63</v>
      </c>
      <c r="C1999" s="2">
        <v>59700</v>
      </c>
      <c r="D1999" t="s">
        <v>21</v>
      </c>
      <c r="E1999" s="2">
        <v>74600</v>
      </c>
      <c r="F1999" s="2">
        <v>0</v>
      </c>
      <c r="G1999" t="s">
        <v>27</v>
      </c>
      <c r="H1999" t="s">
        <v>17</v>
      </c>
      <c r="I1999" t="s">
        <v>18</v>
      </c>
      <c r="J1999" s="3">
        <v>45641</v>
      </c>
      <c r="K1999" s="4">
        <f>ClientiBanca[[#This Row],[Prestito]]+ClientiBanca[[#This Row],[Mutuo]]</f>
        <v>74600</v>
      </c>
      <c r="L1999" t="str">
        <f>IF(ClientiBanca[[#This Row],[Reddito annuo]]&gt;=70000,"si","no")</f>
        <v>no</v>
      </c>
    </row>
    <row r="2000" spans="1:12">
      <c r="A2000">
        <v>101999</v>
      </c>
      <c r="B2000">
        <v>67</v>
      </c>
      <c r="C2000" s="2">
        <v>87900</v>
      </c>
      <c r="D2000" t="s">
        <v>21</v>
      </c>
      <c r="E2000" s="2">
        <v>31100</v>
      </c>
      <c r="F2000" s="2">
        <v>0</v>
      </c>
      <c r="G2000" t="s">
        <v>16</v>
      </c>
      <c r="H2000" t="s">
        <v>17</v>
      </c>
      <c r="I2000" t="s">
        <v>18</v>
      </c>
      <c r="J2000" s="3">
        <v>45491</v>
      </c>
      <c r="K2000" s="4">
        <f>ClientiBanca[[#This Row],[Prestito]]+ClientiBanca[[#This Row],[Mutuo]]</f>
        <v>31100</v>
      </c>
      <c r="L2000" t="str">
        <f>IF(ClientiBanca[[#This Row],[Reddito annuo]]&gt;=70000,"si","no")</f>
        <v>si</v>
      </c>
    </row>
    <row r="2001" spans="1:12">
      <c r="A2001">
        <v>102000</v>
      </c>
      <c r="B2001">
        <v>49</v>
      </c>
      <c r="C2001" s="2">
        <v>21000</v>
      </c>
      <c r="D2001" t="s">
        <v>21</v>
      </c>
      <c r="E2001" s="2">
        <v>26200</v>
      </c>
      <c r="F2001" s="2">
        <v>0</v>
      </c>
      <c r="G2001" t="s">
        <v>19</v>
      </c>
      <c r="H2001" t="s">
        <v>14</v>
      </c>
      <c r="I2001" t="s">
        <v>18</v>
      </c>
      <c r="J2001" s="3">
        <v>46246</v>
      </c>
      <c r="K2001" s="4">
        <f>ClientiBanca[[#This Row],[Prestito]]+ClientiBanca[[#This Row],[Mutuo]]</f>
        <v>26200</v>
      </c>
      <c r="L2001" t="str">
        <f>IF(ClientiBanca[[#This Row],[Reddito annuo]]&gt;=70000,"si","no")</f>
        <v>no</v>
      </c>
    </row>
    <row r="2002" spans="1:12">
      <c r="A2002">
        <v>102001</v>
      </c>
      <c r="B2002">
        <v>54</v>
      </c>
      <c r="C2002" s="2">
        <v>31000</v>
      </c>
      <c r="D2002" t="s">
        <v>22</v>
      </c>
      <c r="E2002" s="2">
        <v>38800</v>
      </c>
      <c r="F2002" s="2">
        <v>0</v>
      </c>
      <c r="G2002" t="s">
        <v>27</v>
      </c>
      <c r="H2002" t="s">
        <v>20</v>
      </c>
      <c r="I2002" t="s">
        <v>18</v>
      </c>
      <c r="J2002" s="3">
        <v>45787</v>
      </c>
      <c r="K2002" s="4">
        <f>ClientiBanca[[#This Row],[Prestito]]+ClientiBanca[[#This Row],[Mutuo]]</f>
        <v>38800</v>
      </c>
      <c r="L2002" t="str">
        <f>IF(ClientiBanca[[#This Row],[Reddito annuo]]&gt;=70000,"si","no")</f>
        <v>no</v>
      </c>
    </row>
    <row r="2003" spans="1:12">
      <c r="A2003">
        <v>102002</v>
      </c>
      <c r="B2003">
        <v>74</v>
      </c>
      <c r="C2003" s="2">
        <v>74100</v>
      </c>
      <c r="D2003" t="s">
        <v>12</v>
      </c>
      <c r="E2003" s="2">
        <v>18200</v>
      </c>
      <c r="F2003" s="2">
        <v>0</v>
      </c>
      <c r="G2003" t="s">
        <v>23</v>
      </c>
      <c r="H2003" t="s">
        <v>20</v>
      </c>
      <c r="I2003" t="s">
        <v>18</v>
      </c>
      <c r="J2003" s="3">
        <v>45600</v>
      </c>
      <c r="K2003" s="4">
        <f>ClientiBanca[[#This Row],[Prestito]]+ClientiBanca[[#This Row],[Mutuo]]</f>
        <v>18200</v>
      </c>
      <c r="L2003" t="str">
        <f>IF(ClientiBanca[[#This Row],[Reddito annuo]]&gt;=70000,"si","no")</f>
        <v>si</v>
      </c>
    </row>
    <row r="2004" spans="1:12">
      <c r="A2004">
        <v>102003</v>
      </c>
      <c r="B2004">
        <v>34</v>
      </c>
      <c r="C2004" s="2">
        <v>112100</v>
      </c>
      <c r="D2004" t="s">
        <v>12</v>
      </c>
      <c r="E2004" s="2">
        <v>67300</v>
      </c>
      <c r="F2004" s="2">
        <v>0</v>
      </c>
      <c r="G2004" t="s">
        <v>13</v>
      </c>
      <c r="H2004" t="s">
        <v>20</v>
      </c>
      <c r="I2004" t="s">
        <v>18</v>
      </c>
      <c r="J2004" s="3">
        <v>45327</v>
      </c>
      <c r="K2004" s="4">
        <f>ClientiBanca[[#This Row],[Prestito]]+ClientiBanca[[#This Row],[Mutuo]]</f>
        <v>67300</v>
      </c>
      <c r="L2004" t="str">
        <f>IF(ClientiBanca[[#This Row],[Reddito annuo]]&gt;=70000,"si","no")</f>
        <v>si</v>
      </c>
    </row>
    <row r="2005" spans="1:12">
      <c r="A2005">
        <v>102004</v>
      </c>
      <c r="B2005">
        <v>32</v>
      </c>
      <c r="C2005" s="2">
        <v>36100</v>
      </c>
      <c r="D2005" t="s">
        <v>21</v>
      </c>
      <c r="E2005" s="2">
        <v>45100</v>
      </c>
      <c r="F2005" s="2">
        <v>0</v>
      </c>
      <c r="G2005" t="s">
        <v>16</v>
      </c>
      <c r="H2005" t="s">
        <v>17</v>
      </c>
      <c r="I2005" t="s">
        <v>18</v>
      </c>
      <c r="J2005" s="3">
        <v>45907</v>
      </c>
      <c r="K2005" s="4">
        <f>ClientiBanca[[#This Row],[Prestito]]+ClientiBanca[[#This Row],[Mutuo]]</f>
        <v>45100</v>
      </c>
      <c r="L2005" t="str">
        <f>IF(ClientiBanca[[#This Row],[Reddito annuo]]&gt;=70000,"si","no")</f>
        <v>no</v>
      </c>
    </row>
    <row r="2006" spans="1:12">
      <c r="A2006">
        <v>102005</v>
      </c>
      <c r="B2006">
        <v>61</v>
      </c>
      <c r="C2006" s="2">
        <v>40400</v>
      </c>
      <c r="D2006" t="s">
        <v>12</v>
      </c>
      <c r="E2006" s="2">
        <v>0</v>
      </c>
      <c r="F2006" s="2">
        <v>0</v>
      </c>
      <c r="G2006" t="s">
        <v>19</v>
      </c>
      <c r="H2006" t="s">
        <v>20</v>
      </c>
      <c r="I2006" t="s">
        <v>18</v>
      </c>
      <c r="J2006" s="3">
        <v>45674</v>
      </c>
      <c r="K2006" s="4">
        <f>ClientiBanca[[#This Row],[Prestito]]+ClientiBanca[[#This Row],[Mutuo]]</f>
        <v>0</v>
      </c>
      <c r="L2006" t="str">
        <f>IF(ClientiBanca[[#This Row],[Reddito annuo]]&gt;=70000,"si","no")</f>
        <v>no</v>
      </c>
    </row>
    <row r="2007" spans="1:12">
      <c r="A2007">
        <v>102006</v>
      </c>
      <c r="B2007">
        <v>59</v>
      </c>
      <c r="C2007" s="2">
        <v>50100</v>
      </c>
      <c r="D2007" t="s">
        <v>22</v>
      </c>
      <c r="E2007" s="2">
        <v>19400</v>
      </c>
      <c r="F2007" s="2">
        <v>0</v>
      </c>
      <c r="G2007" t="s">
        <v>24</v>
      </c>
      <c r="H2007" t="s">
        <v>20</v>
      </c>
      <c r="I2007" t="s">
        <v>18</v>
      </c>
      <c r="J2007" s="3">
        <v>46126</v>
      </c>
      <c r="K2007" s="4">
        <f>ClientiBanca[[#This Row],[Prestito]]+ClientiBanca[[#This Row],[Mutuo]]</f>
        <v>19400</v>
      </c>
      <c r="L2007" t="str">
        <f>IF(ClientiBanca[[#This Row],[Reddito annuo]]&gt;=70000,"si","no")</f>
        <v>no</v>
      </c>
    </row>
    <row r="2008" spans="1:12">
      <c r="A2008">
        <v>102007</v>
      </c>
      <c r="B2008">
        <v>48</v>
      </c>
      <c r="C2008" s="2">
        <v>42700</v>
      </c>
      <c r="D2008" t="s">
        <v>12</v>
      </c>
      <c r="E2008" s="2">
        <v>0</v>
      </c>
      <c r="F2008" s="2">
        <v>0</v>
      </c>
      <c r="G2008" t="s">
        <v>24</v>
      </c>
      <c r="H2008" t="s">
        <v>20</v>
      </c>
      <c r="I2008" t="s">
        <v>18</v>
      </c>
      <c r="J2008" s="3">
        <v>45664</v>
      </c>
      <c r="K2008" s="4">
        <f>ClientiBanca[[#This Row],[Prestito]]+ClientiBanca[[#This Row],[Mutuo]]</f>
        <v>0</v>
      </c>
      <c r="L2008" t="str">
        <f>IF(ClientiBanca[[#This Row],[Reddito annuo]]&gt;=70000,"si","no")</f>
        <v>no</v>
      </c>
    </row>
    <row r="2009" spans="1:12">
      <c r="A2009">
        <v>102008</v>
      </c>
      <c r="B2009">
        <v>74</v>
      </c>
      <c r="C2009" s="2">
        <v>58000</v>
      </c>
      <c r="D2009" t="s">
        <v>12</v>
      </c>
      <c r="E2009" s="2">
        <v>0</v>
      </c>
      <c r="F2009" s="2">
        <v>0</v>
      </c>
      <c r="G2009" t="s">
        <v>19</v>
      </c>
      <c r="H2009" t="s">
        <v>20</v>
      </c>
      <c r="I2009" t="s">
        <v>18</v>
      </c>
      <c r="J2009" s="3">
        <v>45524</v>
      </c>
      <c r="K2009" s="4">
        <f>ClientiBanca[[#This Row],[Prestito]]+ClientiBanca[[#This Row],[Mutuo]]</f>
        <v>0</v>
      </c>
      <c r="L2009" t="str">
        <f>IF(ClientiBanca[[#This Row],[Reddito annuo]]&gt;=70000,"si","no")</f>
        <v>no</v>
      </c>
    </row>
    <row r="2010" spans="1:12">
      <c r="A2010">
        <v>102009</v>
      </c>
      <c r="B2010">
        <v>47</v>
      </c>
      <c r="C2010" s="2">
        <v>54800</v>
      </c>
      <c r="D2010" t="s">
        <v>12</v>
      </c>
      <c r="E2010" s="2">
        <v>0</v>
      </c>
      <c r="F2010" s="2">
        <v>0</v>
      </c>
      <c r="G2010" t="s">
        <v>13</v>
      </c>
      <c r="H2010" t="s">
        <v>14</v>
      </c>
      <c r="I2010" t="s">
        <v>18</v>
      </c>
      <c r="J2010" s="3">
        <v>45856</v>
      </c>
      <c r="K2010" s="4">
        <f>ClientiBanca[[#This Row],[Prestito]]+ClientiBanca[[#This Row],[Mutuo]]</f>
        <v>0</v>
      </c>
      <c r="L2010" t="str">
        <f>IF(ClientiBanca[[#This Row],[Reddito annuo]]&gt;=70000,"si","no")</f>
        <v>no</v>
      </c>
    </row>
    <row r="2011" spans="1:12">
      <c r="A2011">
        <v>102010</v>
      </c>
      <c r="B2011">
        <v>49</v>
      </c>
      <c r="C2011" s="2">
        <v>29100</v>
      </c>
      <c r="D2011" t="s">
        <v>21</v>
      </c>
      <c r="E2011" s="2">
        <v>36400</v>
      </c>
      <c r="F2011" s="2">
        <v>209000</v>
      </c>
      <c r="G2011" t="s">
        <v>24</v>
      </c>
      <c r="H2011" t="s">
        <v>14</v>
      </c>
      <c r="I2011" t="s">
        <v>18</v>
      </c>
      <c r="J2011" s="3">
        <v>45331</v>
      </c>
      <c r="K2011" s="4">
        <f>ClientiBanca[[#This Row],[Prestito]]+ClientiBanca[[#This Row],[Mutuo]]</f>
        <v>245400</v>
      </c>
      <c r="L2011" t="str">
        <f>IF(ClientiBanca[[#This Row],[Reddito annuo]]&gt;=70000,"si","no")</f>
        <v>no</v>
      </c>
    </row>
    <row r="2012" spans="1:12">
      <c r="A2012">
        <v>102011</v>
      </c>
      <c r="B2012">
        <v>26</v>
      </c>
      <c r="C2012" s="2">
        <v>24200</v>
      </c>
      <c r="D2012" t="s">
        <v>21</v>
      </c>
      <c r="E2012" s="2">
        <v>26000</v>
      </c>
      <c r="F2012" s="2">
        <v>0</v>
      </c>
      <c r="G2012" t="s">
        <v>23</v>
      </c>
      <c r="H2012" t="s">
        <v>25</v>
      </c>
      <c r="I2012" t="s">
        <v>18</v>
      </c>
      <c r="J2012" s="3">
        <v>45865</v>
      </c>
      <c r="K2012" s="4">
        <f>ClientiBanca[[#This Row],[Prestito]]+ClientiBanca[[#This Row],[Mutuo]]</f>
        <v>26000</v>
      </c>
      <c r="L2012" t="str">
        <f>IF(ClientiBanca[[#This Row],[Reddito annuo]]&gt;=70000,"si","no")</f>
        <v>no</v>
      </c>
    </row>
    <row r="2013" spans="1:12">
      <c r="A2013">
        <v>102012</v>
      </c>
      <c r="B2013">
        <v>60</v>
      </c>
      <c r="C2013" s="2">
        <v>110600</v>
      </c>
      <c r="D2013" t="s">
        <v>12</v>
      </c>
      <c r="E2013" s="2">
        <v>0</v>
      </c>
      <c r="F2013" s="2">
        <v>0</v>
      </c>
      <c r="G2013" t="s">
        <v>16</v>
      </c>
      <c r="H2013" t="s">
        <v>14</v>
      </c>
      <c r="I2013" t="s">
        <v>18</v>
      </c>
      <c r="J2013" s="3">
        <v>46072</v>
      </c>
      <c r="K2013" s="4">
        <f>ClientiBanca[[#This Row],[Prestito]]+ClientiBanca[[#This Row],[Mutuo]]</f>
        <v>0</v>
      </c>
      <c r="L2013" t="str">
        <f>IF(ClientiBanca[[#This Row],[Reddito annuo]]&gt;=70000,"si","no")</f>
        <v>si</v>
      </c>
    </row>
    <row r="2014" spans="1:12">
      <c r="A2014">
        <v>102013</v>
      </c>
      <c r="B2014">
        <v>36</v>
      </c>
      <c r="C2014" s="2">
        <v>62200</v>
      </c>
      <c r="D2014" t="s">
        <v>21</v>
      </c>
      <c r="E2014" s="2">
        <v>18800</v>
      </c>
      <c r="F2014" s="2">
        <v>0</v>
      </c>
      <c r="G2014" t="s">
        <v>26</v>
      </c>
      <c r="H2014" t="s">
        <v>20</v>
      </c>
      <c r="I2014" t="s">
        <v>18</v>
      </c>
      <c r="J2014" s="3">
        <v>45513</v>
      </c>
      <c r="K2014" s="4">
        <f>ClientiBanca[[#This Row],[Prestito]]+ClientiBanca[[#This Row],[Mutuo]]</f>
        <v>18800</v>
      </c>
      <c r="L2014" t="str">
        <f>IF(ClientiBanca[[#This Row],[Reddito annuo]]&gt;=70000,"si","no")</f>
        <v>no</v>
      </c>
    </row>
    <row r="2015" spans="1:12">
      <c r="A2015">
        <v>102014</v>
      </c>
      <c r="B2015">
        <v>64</v>
      </c>
      <c r="C2015" s="2">
        <v>116900</v>
      </c>
      <c r="D2015" t="s">
        <v>21</v>
      </c>
      <c r="E2015" s="2">
        <v>47300</v>
      </c>
      <c r="F2015" s="2">
        <v>125000</v>
      </c>
      <c r="G2015" t="s">
        <v>26</v>
      </c>
      <c r="H2015" t="s">
        <v>20</v>
      </c>
      <c r="I2015" t="s">
        <v>18</v>
      </c>
      <c r="J2015" s="3">
        <v>45865</v>
      </c>
      <c r="K2015" s="4">
        <f>ClientiBanca[[#This Row],[Prestito]]+ClientiBanca[[#This Row],[Mutuo]]</f>
        <v>172300</v>
      </c>
      <c r="L2015" t="str">
        <f>IF(ClientiBanca[[#This Row],[Reddito annuo]]&gt;=70000,"si","no")</f>
        <v>si</v>
      </c>
    </row>
    <row r="2016" spans="1:12">
      <c r="A2016">
        <v>102015</v>
      </c>
      <c r="B2016">
        <v>62</v>
      </c>
      <c r="C2016" s="2">
        <v>92600</v>
      </c>
      <c r="D2016" t="s">
        <v>12</v>
      </c>
      <c r="E2016" s="2">
        <v>43900</v>
      </c>
      <c r="F2016" s="2">
        <v>0</v>
      </c>
      <c r="G2016" t="s">
        <v>24</v>
      </c>
      <c r="H2016" t="s">
        <v>20</v>
      </c>
      <c r="I2016" t="s">
        <v>18</v>
      </c>
      <c r="J2016" s="3">
        <v>45706</v>
      </c>
      <c r="K2016" s="4">
        <f>ClientiBanca[[#This Row],[Prestito]]+ClientiBanca[[#This Row],[Mutuo]]</f>
        <v>43900</v>
      </c>
      <c r="L2016" t="str">
        <f>IF(ClientiBanca[[#This Row],[Reddito annuo]]&gt;=70000,"si","no")</f>
        <v>si</v>
      </c>
    </row>
    <row r="2017" spans="1:12">
      <c r="A2017">
        <v>102016</v>
      </c>
      <c r="B2017">
        <v>23</v>
      </c>
      <c r="C2017" s="2">
        <v>51600</v>
      </c>
      <c r="D2017" t="s">
        <v>22</v>
      </c>
      <c r="E2017" s="2">
        <v>64500</v>
      </c>
      <c r="F2017" s="2">
        <v>244000</v>
      </c>
      <c r="G2017" t="s">
        <v>16</v>
      </c>
      <c r="H2017" t="s">
        <v>20</v>
      </c>
      <c r="I2017" t="s">
        <v>18</v>
      </c>
      <c r="J2017" s="3">
        <v>46101</v>
      </c>
      <c r="K2017" s="4">
        <f>ClientiBanca[[#This Row],[Prestito]]+ClientiBanca[[#This Row],[Mutuo]]</f>
        <v>308500</v>
      </c>
      <c r="L2017" t="str">
        <f>IF(ClientiBanca[[#This Row],[Reddito annuo]]&gt;=70000,"si","no")</f>
        <v>no</v>
      </c>
    </row>
    <row r="2018" spans="1:12">
      <c r="A2018">
        <v>102017</v>
      </c>
      <c r="B2018">
        <v>66</v>
      </c>
      <c r="C2018" s="2">
        <v>58300</v>
      </c>
      <c r="D2018" t="s">
        <v>12</v>
      </c>
      <c r="E2018" s="2">
        <v>42800</v>
      </c>
      <c r="F2018" s="2">
        <v>0</v>
      </c>
      <c r="G2018" t="s">
        <v>26</v>
      </c>
      <c r="H2018" t="s">
        <v>17</v>
      </c>
      <c r="I2018" t="s">
        <v>18</v>
      </c>
      <c r="J2018" s="3">
        <v>45574</v>
      </c>
      <c r="K2018" s="4">
        <f>ClientiBanca[[#This Row],[Prestito]]+ClientiBanca[[#This Row],[Mutuo]]</f>
        <v>42800</v>
      </c>
      <c r="L2018" t="str">
        <f>IF(ClientiBanca[[#This Row],[Reddito annuo]]&gt;=70000,"si","no")</f>
        <v>no</v>
      </c>
    </row>
    <row r="2019" spans="1:12">
      <c r="A2019">
        <v>102018</v>
      </c>
      <c r="B2019">
        <v>26</v>
      </c>
      <c r="C2019" s="2">
        <v>88800</v>
      </c>
      <c r="D2019" t="s">
        <v>21</v>
      </c>
      <c r="E2019" s="2">
        <v>20100</v>
      </c>
      <c r="F2019" s="2">
        <v>0</v>
      </c>
      <c r="G2019" t="s">
        <v>26</v>
      </c>
      <c r="H2019" t="s">
        <v>17</v>
      </c>
      <c r="I2019" t="s">
        <v>18</v>
      </c>
      <c r="J2019" s="3">
        <v>45623</v>
      </c>
      <c r="K2019" s="4">
        <f>ClientiBanca[[#This Row],[Prestito]]+ClientiBanca[[#This Row],[Mutuo]]</f>
        <v>20100</v>
      </c>
      <c r="L2019" t="str">
        <f>IF(ClientiBanca[[#This Row],[Reddito annuo]]&gt;=70000,"si","no")</f>
        <v>si</v>
      </c>
    </row>
    <row r="2020" spans="1:12">
      <c r="A2020">
        <v>102019</v>
      </c>
      <c r="B2020">
        <v>29</v>
      </c>
      <c r="C2020" s="2">
        <v>24000</v>
      </c>
      <c r="D2020" t="s">
        <v>12</v>
      </c>
      <c r="E2020" s="2">
        <v>27600</v>
      </c>
      <c r="F2020" s="2">
        <v>0</v>
      </c>
      <c r="G2020" t="s">
        <v>27</v>
      </c>
      <c r="H2020" t="s">
        <v>17</v>
      </c>
      <c r="I2020" t="s">
        <v>18</v>
      </c>
      <c r="J2020" s="3">
        <v>45700</v>
      </c>
      <c r="K2020" s="4">
        <f>ClientiBanca[[#This Row],[Prestito]]+ClientiBanca[[#This Row],[Mutuo]]</f>
        <v>27600</v>
      </c>
      <c r="L2020" t="str">
        <f>IF(ClientiBanca[[#This Row],[Reddito annuo]]&gt;=70000,"si","no")</f>
        <v>no</v>
      </c>
    </row>
    <row r="2021" spans="1:12">
      <c r="A2021">
        <v>102020</v>
      </c>
      <c r="B2021">
        <v>34</v>
      </c>
      <c r="C2021" s="2">
        <v>65000</v>
      </c>
      <c r="D2021" t="s">
        <v>12</v>
      </c>
      <c r="E2021" s="2">
        <v>27600</v>
      </c>
      <c r="F2021" s="2">
        <v>0</v>
      </c>
      <c r="G2021" t="s">
        <v>26</v>
      </c>
      <c r="H2021" t="s">
        <v>14</v>
      </c>
      <c r="I2021" t="s">
        <v>15</v>
      </c>
      <c r="J2021" s="3">
        <v>45618</v>
      </c>
      <c r="K2021" s="4">
        <f>ClientiBanca[[#This Row],[Prestito]]+ClientiBanca[[#This Row],[Mutuo]]</f>
        <v>27600</v>
      </c>
      <c r="L2021" t="str">
        <f>IF(ClientiBanca[[#This Row],[Reddito annuo]]&gt;=70000,"si","no")</f>
        <v>no</v>
      </c>
    </row>
    <row r="2022" spans="1:12">
      <c r="A2022">
        <v>102021</v>
      </c>
      <c r="B2022">
        <v>36</v>
      </c>
      <c r="C2022" s="2">
        <v>64800</v>
      </c>
      <c r="D2022" t="s">
        <v>12</v>
      </c>
      <c r="E2022" s="2">
        <v>0</v>
      </c>
      <c r="F2022" s="2">
        <v>0</v>
      </c>
      <c r="G2022" t="s">
        <v>19</v>
      </c>
      <c r="H2022" t="s">
        <v>20</v>
      </c>
      <c r="I2022" t="s">
        <v>18</v>
      </c>
      <c r="J2022" s="3">
        <v>46029</v>
      </c>
      <c r="K2022" s="4">
        <f>ClientiBanca[[#This Row],[Prestito]]+ClientiBanca[[#This Row],[Mutuo]]</f>
        <v>0</v>
      </c>
      <c r="L2022" t="str">
        <f>IF(ClientiBanca[[#This Row],[Reddito annuo]]&gt;=70000,"si","no")</f>
        <v>no</v>
      </c>
    </row>
    <row r="2023" spans="1:12">
      <c r="A2023">
        <v>102022</v>
      </c>
      <c r="B2023">
        <v>37</v>
      </c>
      <c r="C2023" s="2">
        <v>31900</v>
      </c>
      <c r="D2023" t="s">
        <v>12</v>
      </c>
      <c r="E2023" s="2">
        <v>0</v>
      </c>
      <c r="F2023" s="2">
        <v>0</v>
      </c>
      <c r="G2023" t="s">
        <v>16</v>
      </c>
      <c r="H2023" t="s">
        <v>17</v>
      </c>
      <c r="I2023" t="s">
        <v>18</v>
      </c>
      <c r="J2023" s="3">
        <v>45875</v>
      </c>
      <c r="K2023" s="4">
        <f>ClientiBanca[[#This Row],[Prestito]]+ClientiBanca[[#This Row],[Mutuo]]</f>
        <v>0</v>
      </c>
      <c r="L2023" t="str">
        <f>IF(ClientiBanca[[#This Row],[Reddito annuo]]&gt;=70000,"si","no")</f>
        <v>no</v>
      </c>
    </row>
    <row r="2024" spans="1:12">
      <c r="A2024">
        <v>102023</v>
      </c>
      <c r="B2024">
        <v>62</v>
      </c>
      <c r="C2024" s="2">
        <v>33700</v>
      </c>
      <c r="D2024" t="s">
        <v>12</v>
      </c>
      <c r="E2024" s="2">
        <v>19300</v>
      </c>
      <c r="F2024" s="2">
        <v>0</v>
      </c>
      <c r="G2024" t="s">
        <v>28</v>
      </c>
      <c r="H2024" t="s">
        <v>17</v>
      </c>
      <c r="I2024" t="s">
        <v>18</v>
      </c>
      <c r="J2024" s="3">
        <v>45780</v>
      </c>
      <c r="K2024" s="4">
        <f>ClientiBanca[[#This Row],[Prestito]]+ClientiBanca[[#This Row],[Mutuo]]</f>
        <v>19300</v>
      </c>
      <c r="L2024" t="str">
        <f>IF(ClientiBanca[[#This Row],[Reddito annuo]]&gt;=70000,"si","no")</f>
        <v>no</v>
      </c>
    </row>
    <row r="2025" spans="1:12">
      <c r="A2025">
        <v>102024</v>
      </c>
      <c r="B2025">
        <v>71</v>
      </c>
      <c r="C2025" s="2">
        <v>19200</v>
      </c>
      <c r="D2025" t="s">
        <v>21</v>
      </c>
      <c r="E2025" s="2">
        <v>24000</v>
      </c>
      <c r="F2025" s="2">
        <v>0</v>
      </c>
      <c r="G2025" t="s">
        <v>27</v>
      </c>
      <c r="H2025" t="s">
        <v>20</v>
      </c>
      <c r="I2025" t="s">
        <v>18</v>
      </c>
      <c r="J2025" s="3">
        <v>45800</v>
      </c>
      <c r="K2025" s="4">
        <f>ClientiBanca[[#This Row],[Prestito]]+ClientiBanca[[#This Row],[Mutuo]]</f>
        <v>24000</v>
      </c>
      <c r="L2025" t="str">
        <f>IF(ClientiBanca[[#This Row],[Reddito annuo]]&gt;=70000,"si","no")</f>
        <v>no</v>
      </c>
    </row>
    <row r="2026" spans="1:12">
      <c r="A2026">
        <v>102025</v>
      </c>
      <c r="B2026">
        <v>26</v>
      </c>
      <c r="C2026" s="2">
        <v>37100</v>
      </c>
      <c r="D2026" t="s">
        <v>12</v>
      </c>
      <c r="E2026" s="2">
        <v>12200</v>
      </c>
      <c r="F2026" s="2">
        <v>0</v>
      </c>
      <c r="G2026" t="s">
        <v>23</v>
      </c>
      <c r="H2026" t="s">
        <v>14</v>
      </c>
      <c r="I2026" t="s">
        <v>18</v>
      </c>
      <c r="J2026" s="3">
        <v>46261</v>
      </c>
      <c r="K2026" s="4">
        <f>ClientiBanca[[#This Row],[Prestito]]+ClientiBanca[[#This Row],[Mutuo]]</f>
        <v>12200</v>
      </c>
      <c r="L2026" t="str">
        <f>IF(ClientiBanca[[#This Row],[Reddito annuo]]&gt;=70000,"si","no")</f>
        <v>no</v>
      </c>
    </row>
    <row r="2027" spans="1:12">
      <c r="A2027">
        <v>102026</v>
      </c>
      <c r="B2027">
        <v>59</v>
      </c>
      <c r="C2027" s="2">
        <v>53300</v>
      </c>
      <c r="D2027" t="s">
        <v>12</v>
      </c>
      <c r="E2027" s="2">
        <v>28700</v>
      </c>
      <c r="F2027" s="2">
        <v>0</v>
      </c>
      <c r="G2027" t="s">
        <v>28</v>
      </c>
      <c r="H2027" t="s">
        <v>20</v>
      </c>
      <c r="I2027" t="s">
        <v>18</v>
      </c>
      <c r="J2027" s="3">
        <v>45794</v>
      </c>
      <c r="K2027" s="4">
        <f>ClientiBanca[[#This Row],[Prestito]]+ClientiBanca[[#This Row],[Mutuo]]</f>
        <v>28700</v>
      </c>
      <c r="L2027" t="str">
        <f>IF(ClientiBanca[[#This Row],[Reddito annuo]]&gt;=70000,"si","no")</f>
        <v>no</v>
      </c>
    </row>
    <row r="2028" spans="1:12">
      <c r="A2028">
        <v>102027</v>
      </c>
      <c r="B2028">
        <v>50</v>
      </c>
      <c r="C2028" s="2">
        <v>43000</v>
      </c>
      <c r="D2028" t="s">
        <v>12</v>
      </c>
      <c r="E2028" s="2">
        <v>0</v>
      </c>
      <c r="F2028" s="2">
        <v>0</v>
      </c>
      <c r="G2028" t="s">
        <v>28</v>
      </c>
      <c r="H2028" t="s">
        <v>14</v>
      </c>
      <c r="I2028" t="s">
        <v>18</v>
      </c>
      <c r="J2028" s="3">
        <v>45983</v>
      </c>
      <c r="K2028" s="4">
        <f>ClientiBanca[[#This Row],[Prestito]]+ClientiBanca[[#This Row],[Mutuo]]</f>
        <v>0</v>
      </c>
      <c r="L2028" t="str">
        <f>IF(ClientiBanca[[#This Row],[Reddito annuo]]&gt;=70000,"si","no")</f>
        <v>no</v>
      </c>
    </row>
    <row r="2029" spans="1:12">
      <c r="A2029">
        <v>102028</v>
      </c>
      <c r="B2029">
        <v>68</v>
      </c>
      <c r="C2029" s="2">
        <v>26700</v>
      </c>
      <c r="D2029" t="s">
        <v>22</v>
      </c>
      <c r="E2029" s="2">
        <v>33400</v>
      </c>
      <c r="F2029" s="2">
        <v>0</v>
      </c>
      <c r="G2029" t="s">
        <v>28</v>
      </c>
      <c r="H2029" t="s">
        <v>14</v>
      </c>
      <c r="I2029" t="s">
        <v>18</v>
      </c>
      <c r="J2029" s="3">
        <v>45534</v>
      </c>
      <c r="K2029" s="4">
        <f>ClientiBanca[[#This Row],[Prestito]]+ClientiBanca[[#This Row],[Mutuo]]</f>
        <v>33400</v>
      </c>
      <c r="L2029" t="str">
        <f>IF(ClientiBanca[[#This Row],[Reddito annuo]]&gt;=70000,"si","no")</f>
        <v>no</v>
      </c>
    </row>
    <row r="2030" spans="1:12">
      <c r="A2030">
        <v>102029</v>
      </c>
      <c r="B2030">
        <v>73</v>
      </c>
      <c r="C2030" s="2">
        <v>70200</v>
      </c>
      <c r="D2030" t="s">
        <v>21</v>
      </c>
      <c r="E2030" s="2">
        <v>37900</v>
      </c>
      <c r="F2030" s="2">
        <v>0</v>
      </c>
      <c r="G2030" t="s">
        <v>26</v>
      </c>
      <c r="H2030" t="s">
        <v>20</v>
      </c>
      <c r="I2030" t="s">
        <v>18</v>
      </c>
      <c r="J2030" s="3">
        <v>45937</v>
      </c>
      <c r="K2030" s="4">
        <f>ClientiBanca[[#This Row],[Prestito]]+ClientiBanca[[#This Row],[Mutuo]]</f>
        <v>37900</v>
      </c>
      <c r="L2030" t="str">
        <f>IF(ClientiBanca[[#This Row],[Reddito annuo]]&gt;=70000,"si","no")</f>
        <v>si</v>
      </c>
    </row>
    <row r="2031" spans="1:12">
      <c r="A2031">
        <v>102030</v>
      </c>
      <c r="B2031">
        <v>69</v>
      </c>
      <c r="C2031" s="2">
        <v>52000</v>
      </c>
      <c r="D2031" t="s">
        <v>21</v>
      </c>
      <c r="E2031" s="2">
        <v>34400</v>
      </c>
      <c r="F2031" s="2">
        <v>0</v>
      </c>
      <c r="G2031" t="s">
        <v>19</v>
      </c>
      <c r="H2031" t="s">
        <v>20</v>
      </c>
      <c r="I2031" t="s">
        <v>18</v>
      </c>
      <c r="J2031" s="3">
        <v>45338</v>
      </c>
      <c r="K2031" s="4">
        <f>ClientiBanca[[#This Row],[Prestito]]+ClientiBanca[[#This Row],[Mutuo]]</f>
        <v>34400</v>
      </c>
      <c r="L2031" t="str">
        <f>IF(ClientiBanca[[#This Row],[Reddito annuo]]&gt;=70000,"si","no")</f>
        <v>no</v>
      </c>
    </row>
    <row r="2032" spans="1:12">
      <c r="A2032">
        <v>102031</v>
      </c>
      <c r="B2032">
        <v>30</v>
      </c>
      <c r="C2032" s="2">
        <v>36000</v>
      </c>
      <c r="D2032" t="s">
        <v>21</v>
      </c>
      <c r="E2032" s="2">
        <v>0</v>
      </c>
      <c r="F2032" s="2">
        <v>0</v>
      </c>
      <c r="G2032" t="s">
        <v>28</v>
      </c>
      <c r="H2032" t="s">
        <v>14</v>
      </c>
      <c r="I2032" t="s">
        <v>18</v>
      </c>
      <c r="J2032" s="3">
        <v>45570</v>
      </c>
      <c r="K2032" s="4">
        <f>ClientiBanca[[#This Row],[Prestito]]+ClientiBanca[[#This Row],[Mutuo]]</f>
        <v>0</v>
      </c>
      <c r="L2032" t="str">
        <f>IF(ClientiBanca[[#This Row],[Reddito annuo]]&gt;=70000,"si","no")</f>
        <v>no</v>
      </c>
    </row>
    <row r="2033" spans="1:12">
      <c r="A2033">
        <v>102032</v>
      </c>
      <c r="B2033">
        <v>38</v>
      </c>
      <c r="C2033" s="2">
        <v>64400</v>
      </c>
      <c r="D2033" t="s">
        <v>21</v>
      </c>
      <c r="E2033" s="2">
        <v>0</v>
      </c>
      <c r="F2033" s="2">
        <v>0</v>
      </c>
      <c r="G2033" t="s">
        <v>27</v>
      </c>
      <c r="H2033" t="s">
        <v>20</v>
      </c>
      <c r="I2033" t="s">
        <v>18</v>
      </c>
      <c r="J2033" s="3">
        <v>45722</v>
      </c>
      <c r="K2033" s="4">
        <f>ClientiBanca[[#This Row],[Prestito]]+ClientiBanca[[#This Row],[Mutuo]]</f>
        <v>0</v>
      </c>
      <c r="L2033" t="str">
        <f>IF(ClientiBanca[[#This Row],[Reddito annuo]]&gt;=70000,"si","no")</f>
        <v>no</v>
      </c>
    </row>
    <row r="2034" spans="1:12">
      <c r="A2034">
        <v>102033</v>
      </c>
      <c r="B2034">
        <v>55</v>
      </c>
      <c r="C2034" s="2">
        <v>57300</v>
      </c>
      <c r="D2034" t="s">
        <v>21</v>
      </c>
      <c r="E2034" s="2">
        <v>51200</v>
      </c>
      <c r="F2034" s="2">
        <v>0</v>
      </c>
      <c r="G2034" t="s">
        <v>26</v>
      </c>
      <c r="H2034" t="s">
        <v>17</v>
      </c>
      <c r="I2034" t="s">
        <v>18</v>
      </c>
      <c r="J2034" s="3">
        <v>46237</v>
      </c>
      <c r="K2034" s="4">
        <f>ClientiBanca[[#This Row],[Prestito]]+ClientiBanca[[#This Row],[Mutuo]]</f>
        <v>51200</v>
      </c>
      <c r="L2034" t="str">
        <f>IF(ClientiBanca[[#This Row],[Reddito annuo]]&gt;=70000,"si","no")</f>
        <v>no</v>
      </c>
    </row>
    <row r="2035" spans="1:12">
      <c r="A2035">
        <v>102034</v>
      </c>
      <c r="B2035">
        <v>39</v>
      </c>
      <c r="C2035" s="2">
        <v>96300</v>
      </c>
      <c r="D2035" t="s">
        <v>21</v>
      </c>
      <c r="E2035" s="2">
        <v>0</v>
      </c>
      <c r="F2035" s="2">
        <v>0</v>
      </c>
      <c r="G2035" t="s">
        <v>19</v>
      </c>
      <c r="H2035" t="s">
        <v>20</v>
      </c>
      <c r="I2035" t="s">
        <v>18</v>
      </c>
      <c r="J2035" s="3">
        <v>45326</v>
      </c>
      <c r="K2035" s="4">
        <f>ClientiBanca[[#This Row],[Prestito]]+ClientiBanca[[#This Row],[Mutuo]]</f>
        <v>0</v>
      </c>
      <c r="L2035" t="str">
        <f>IF(ClientiBanca[[#This Row],[Reddito annuo]]&gt;=70000,"si","no")</f>
        <v>si</v>
      </c>
    </row>
    <row r="2036" spans="1:12">
      <c r="A2036">
        <v>102035</v>
      </c>
      <c r="B2036">
        <v>36</v>
      </c>
      <c r="C2036" s="2">
        <v>92600</v>
      </c>
      <c r="D2036" t="s">
        <v>21</v>
      </c>
      <c r="E2036" s="2">
        <v>26000</v>
      </c>
      <c r="F2036" s="2">
        <v>0</v>
      </c>
      <c r="G2036" t="s">
        <v>28</v>
      </c>
      <c r="H2036" t="s">
        <v>20</v>
      </c>
      <c r="I2036" t="s">
        <v>18</v>
      </c>
      <c r="J2036" s="3">
        <v>45687</v>
      </c>
      <c r="K2036" s="4">
        <f>ClientiBanca[[#This Row],[Prestito]]+ClientiBanca[[#This Row],[Mutuo]]</f>
        <v>26000</v>
      </c>
      <c r="L2036" t="str">
        <f>IF(ClientiBanca[[#This Row],[Reddito annuo]]&gt;=70000,"si","no")</f>
        <v>si</v>
      </c>
    </row>
    <row r="2037" spans="1:12">
      <c r="A2037">
        <v>102036</v>
      </c>
      <c r="B2037">
        <v>37</v>
      </c>
      <c r="C2037" s="2">
        <v>64500</v>
      </c>
      <c r="D2037" t="s">
        <v>12</v>
      </c>
      <c r="E2037" s="2">
        <v>0</v>
      </c>
      <c r="F2037" s="2">
        <v>0</v>
      </c>
      <c r="G2037" t="s">
        <v>13</v>
      </c>
      <c r="H2037" t="s">
        <v>14</v>
      </c>
      <c r="I2037" t="s">
        <v>18</v>
      </c>
      <c r="J2037" s="3">
        <v>45871</v>
      </c>
      <c r="K2037" s="4">
        <f>ClientiBanca[[#This Row],[Prestito]]+ClientiBanca[[#This Row],[Mutuo]]</f>
        <v>0</v>
      </c>
      <c r="L2037" t="str">
        <f>IF(ClientiBanca[[#This Row],[Reddito annuo]]&gt;=70000,"si","no")</f>
        <v>no</v>
      </c>
    </row>
    <row r="2038" spans="1:12">
      <c r="A2038">
        <v>102037</v>
      </c>
      <c r="B2038">
        <v>61</v>
      </c>
      <c r="C2038" s="2">
        <v>50500</v>
      </c>
      <c r="D2038" t="s">
        <v>12</v>
      </c>
      <c r="E2038" s="2">
        <v>24400</v>
      </c>
      <c r="F2038" s="2">
        <v>182000</v>
      </c>
      <c r="G2038" t="s">
        <v>28</v>
      </c>
      <c r="H2038" t="s">
        <v>17</v>
      </c>
      <c r="I2038" t="s">
        <v>18</v>
      </c>
      <c r="J2038" s="3">
        <v>45650</v>
      </c>
      <c r="K2038" s="4">
        <f>ClientiBanca[[#This Row],[Prestito]]+ClientiBanca[[#This Row],[Mutuo]]</f>
        <v>206400</v>
      </c>
      <c r="L2038" t="str">
        <f>IF(ClientiBanca[[#This Row],[Reddito annuo]]&gt;=70000,"si","no")</f>
        <v>no</v>
      </c>
    </row>
    <row r="2039" spans="1:12">
      <c r="A2039">
        <v>102038</v>
      </c>
      <c r="B2039">
        <v>27</v>
      </c>
      <c r="C2039" s="2">
        <v>38800</v>
      </c>
      <c r="D2039" t="s">
        <v>21</v>
      </c>
      <c r="E2039" s="2">
        <v>19100</v>
      </c>
      <c r="F2039" s="2">
        <v>0</v>
      </c>
      <c r="G2039" t="s">
        <v>13</v>
      </c>
      <c r="H2039" t="s">
        <v>14</v>
      </c>
      <c r="I2039" t="s">
        <v>18</v>
      </c>
      <c r="J2039" s="3">
        <v>46230</v>
      </c>
      <c r="K2039" s="4">
        <f>ClientiBanca[[#This Row],[Prestito]]+ClientiBanca[[#This Row],[Mutuo]]</f>
        <v>19100</v>
      </c>
      <c r="L2039" t="str">
        <f>IF(ClientiBanca[[#This Row],[Reddito annuo]]&gt;=70000,"si","no")</f>
        <v>no</v>
      </c>
    </row>
    <row r="2040" spans="1:12">
      <c r="A2040">
        <v>102039</v>
      </c>
      <c r="B2040">
        <v>53</v>
      </c>
      <c r="C2040" s="2">
        <v>68900</v>
      </c>
      <c r="D2040" t="s">
        <v>12</v>
      </c>
      <c r="E2040" s="2">
        <v>25100</v>
      </c>
      <c r="F2040" s="2">
        <v>0</v>
      </c>
      <c r="G2040" t="s">
        <v>26</v>
      </c>
      <c r="H2040" t="s">
        <v>17</v>
      </c>
      <c r="I2040" t="s">
        <v>18</v>
      </c>
      <c r="J2040" s="3">
        <v>45597</v>
      </c>
      <c r="K2040" s="4">
        <f>ClientiBanca[[#This Row],[Prestito]]+ClientiBanca[[#This Row],[Mutuo]]</f>
        <v>25100</v>
      </c>
      <c r="L2040" t="str">
        <f>IF(ClientiBanca[[#This Row],[Reddito annuo]]&gt;=70000,"si","no")</f>
        <v>no</v>
      </c>
    </row>
    <row r="2041" spans="1:12">
      <c r="A2041">
        <v>102040</v>
      </c>
      <c r="B2041">
        <v>41</v>
      </c>
      <c r="C2041" s="2">
        <v>80700</v>
      </c>
      <c r="D2041" t="s">
        <v>22</v>
      </c>
      <c r="E2041" s="2">
        <v>0</v>
      </c>
      <c r="F2041" s="2">
        <v>0</v>
      </c>
      <c r="G2041" t="s">
        <v>23</v>
      </c>
      <c r="H2041" t="s">
        <v>20</v>
      </c>
      <c r="I2041" t="s">
        <v>18</v>
      </c>
      <c r="J2041" s="3">
        <v>45555</v>
      </c>
      <c r="K2041" s="4">
        <f>ClientiBanca[[#This Row],[Prestito]]+ClientiBanca[[#This Row],[Mutuo]]</f>
        <v>0</v>
      </c>
      <c r="L2041" t="str">
        <f>IF(ClientiBanca[[#This Row],[Reddito annuo]]&gt;=70000,"si","no")</f>
        <v>si</v>
      </c>
    </row>
    <row r="2042" spans="1:12">
      <c r="A2042">
        <v>102041</v>
      </c>
      <c r="B2042">
        <v>70</v>
      </c>
      <c r="C2042" s="2">
        <v>32000</v>
      </c>
      <c r="D2042" t="s">
        <v>22</v>
      </c>
      <c r="E2042" s="2">
        <v>28100</v>
      </c>
      <c r="F2042" s="2">
        <v>0</v>
      </c>
      <c r="G2042" t="s">
        <v>23</v>
      </c>
      <c r="H2042" t="s">
        <v>14</v>
      </c>
      <c r="I2042" t="s">
        <v>18</v>
      </c>
      <c r="J2042" s="3">
        <v>46014</v>
      </c>
      <c r="K2042" s="4">
        <f>ClientiBanca[[#This Row],[Prestito]]+ClientiBanca[[#This Row],[Mutuo]]</f>
        <v>28100</v>
      </c>
      <c r="L2042" t="str">
        <f>IF(ClientiBanca[[#This Row],[Reddito annuo]]&gt;=70000,"si","no")</f>
        <v>no</v>
      </c>
    </row>
    <row r="2043" spans="1:12">
      <c r="A2043">
        <v>102042</v>
      </c>
      <c r="B2043">
        <v>74</v>
      </c>
      <c r="C2043" s="2">
        <v>44500</v>
      </c>
      <c r="D2043" t="s">
        <v>12</v>
      </c>
      <c r="E2043" s="2">
        <v>38100</v>
      </c>
      <c r="F2043" s="2">
        <v>0</v>
      </c>
      <c r="G2043" t="s">
        <v>16</v>
      </c>
      <c r="H2043" t="s">
        <v>17</v>
      </c>
      <c r="I2043" t="s">
        <v>18</v>
      </c>
      <c r="J2043" s="3">
        <v>45984</v>
      </c>
      <c r="K2043" s="4">
        <f>ClientiBanca[[#This Row],[Prestito]]+ClientiBanca[[#This Row],[Mutuo]]</f>
        <v>38100</v>
      </c>
      <c r="L2043" t="str">
        <f>IF(ClientiBanca[[#This Row],[Reddito annuo]]&gt;=70000,"si","no")</f>
        <v>no</v>
      </c>
    </row>
    <row r="2044" spans="1:12">
      <c r="A2044">
        <v>102043</v>
      </c>
      <c r="B2044">
        <v>73</v>
      </c>
      <c r="C2044" s="2">
        <v>71900</v>
      </c>
      <c r="D2044" t="s">
        <v>12</v>
      </c>
      <c r="E2044" s="2">
        <v>10200</v>
      </c>
      <c r="F2044" s="2">
        <v>0</v>
      </c>
      <c r="G2044" t="s">
        <v>16</v>
      </c>
      <c r="H2044" t="s">
        <v>20</v>
      </c>
      <c r="I2044" t="s">
        <v>18</v>
      </c>
      <c r="J2044" s="3">
        <v>46032</v>
      </c>
      <c r="K2044" s="4">
        <f>ClientiBanca[[#This Row],[Prestito]]+ClientiBanca[[#This Row],[Mutuo]]</f>
        <v>10200</v>
      </c>
      <c r="L2044" t="str">
        <f>IF(ClientiBanca[[#This Row],[Reddito annuo]]&gt;=70000,"si","no")</f>
        <v>si</v>
      </c>
    </row>
    <row r="2045" spans="1:12">
      <c r="A2045">
        <v>102044</v>
      </c>
      <c r="B2045">
        <v>33</v>
      </c>
      <c r="C2045" s="2">
        <v>119300</v>
      </c>
      <c r="D2045" t="s">
        <v>12</v>
      </c>
      <c r="E2045" s="2">
        <v>51900</v>
      </c>
      <c r="F2045" s="2">
        <v>0</v>
      </c>
      <c r="G2045" t="s">
        <v>26</v>
      </c>
      <c r="H2045" t="s">
        <v>20</v>
      </c>
      <c r="I2045" t="s">
        <v>18</v>
      </c>
      <c r="J2045" s="3">
        <v>45300</v>
      </c>
      <c r="K2045" s="4">
        <f>ClientiBanca[[#This Row],[Prestito]]+ClientiBanca[[#This Row],[Mutuo]]</f>
        <v>51900</v>
      </c>
      <c r="L2045" t="str">
        <f>IF(ClientiBanca[[#This Row],[Reddito annuo]]&gt;=70000,"si","no")</f>
        <v>si</v>
      </c>
    </row>
    <row r="2046" spans="1:12">
      <c r="A2046">
        <v>102045</v>
      </c>
      <c r="B2046">
        <v>68</v>
      </c>
      <c r="C2046" s="2">
        <v>65000</v>
      </c>
      <c r="D2046" t="s">
        <v>21</v>
      </c>
      <c r="E2046" s="2">
        <v>14700</v>
      </c>
      <c r="F2046" s="2">
        <v>0</v>
      </c>
      <c r="G2046" t="s">
        <v>27</v>
      </c>
      <c r="H2046" t="s">
        <v>17</v>
      </c>
      <c r="I2046" t="s">
        <v>18</v>
      </c>
      <c r="J2046" s="3">
        <v>46164</v>
      </c>
      <c r="K2046" s="4">
        <f>ClientiBanca[[#This Row],[Prestito]]+ClientiBanca[[#This Row],[Mutuo]]</f>
        <v>14700</v>
      </c>
      <c r="L2046" t="str">
        <f>IF(ClientiBanca[[#This Row],[Reddito annuo]]&gt;=70000,"si","no")</f>
        <v>no</v>
      </c>
    </row>
    <row r="2047" spans="1:12">
      <c r="A2047">
        <v>102046</v>
      </c>
      <c r="B2047">
        <v>53</v>
      </c>
      <c r="C2047" s="2">
        <v>49800</v>
      </c>
      <c r="D2047" t="s">
        <v>21</v>
      </c>
      <c r="E2047" s="2">
        <v>29000</v>
      </c>
      <c r="F2047" s="2">
        <v>0</v>
      </c>
      <c r="G2047" t="s">
        <v>24</v>
      </c>
      <c r="H2047" t="s">
        <v>14</v>
      </c>
      <c r="I2047" t="s">
        <v>18</v>
      </c>
      <c r="J2047" s="3">
        <v>45542</v>
      </c>
      <c r="K2047" s="4">
        <f>ClientiBanca[[#This Row],[Prestito]]+ClientiBanca[[#This Row],[Mutuo]]</f>
        <v>29000</v>
      </c>
      <c r="L2047" t="str">
        <f>IF(ClientiBanca[[#This Row],[Reddito annuo]]&gt;=70000,"si","no")</f>
        <v>no</v>
      </c>
    </row>
    <row r="2048" spans="1:12">
      <c r="A2048">
        <v>102047</v>
      </c>
      <c r="B2048">
        <v>20</v>
      </c>
      <c r="C2048" s="2">
        <v>28700</v>
      </c>
      <c r="D2048" t="s">
        <v>21</v>
      </c>
      <c r="E2048" s="2">
        <v>23600</v>
      </c>
      <c r="F2048" s="2">
        <v>0</v>
      </c>
      <c r="G2048" t="s">
        <v>24</v>
      </c>
      <c r="H2048" t="s">
        <v>14</v>
      </c>
      <c r="I2048" t="s">
        <v>18</v>
      </c>
      <c r="J2048" s="3">
        <v>45347</v>
      </c>
      <c r="K2048" s="4">
        <f>ClientiBanca[[#This Row],[Prestito]]+ClientiBanca[[#This Row],[Mutuo]]</f>
        <v>23600</v>
      </c>
      <c r="L2048" t="str">
        <f>IF(ClientiBanca[[#This Row],[Reddito annuo]]&gt;=70000,"si","no")</f>
        <v>no</v>
      </c>
    </row>
    <row r="2049" spans="1:12">
      <c r="A2049">
        <v>102048</v>
      </c>
      <c r="B2049">
        <v>72</v>
      </c>
      <c r="C2049" s="2">
        <v>26600</v>
      </c>
      <c r="D2049" t="s">
        <v>22</v>
      </c>
      <c r="E2049" s="2">
        <v>0</v>
      </c>
      <c r="F2049" s="2">
        <v>279000</v>
      </c>
      <c r="G2049" t="s">
        <v>23</v>
      </c>
      <c r="H2049" t="s">
        <v>14</v>
      </c>
      <c r="I2049" t="s">
        <v>18</v>
      </c>
      <c r="J2049" s="3">
        <v>45764</v>
      </c>
      <c r="K2049" s="4">
        <f>ClientiBanca[[#This Row],[Prestito]]+ClientiBanca[[#This Row],[Mutuo]]</f>
        <v>279000</v>
      </c>
      <c r="L2049" t="str">
        <f>IF(ClientiBanca[[#This Row],[Reddito annuo]]&gt;=70000,"si","no")</f>
        <v>no</v>
      </c>
    </row>
    <row r="2050" spans="1:12">
      <c r="A2050">
        <v>102049</v>
      </c>
      <c r="B2050">
        <v>41</v>
      </c>
      <c r="C2050" s="2">
        <v>92700</v>
      </c>
      <c r="D2050" t="s">
        <v>22</v>
      </c>
      <c r="E2050" s="2">
        <v>39300</v>
      </c>
      <c r="F2050" s="2">
        <v>226000</v>
      </c>
      <c r="G2050" t="s">
        <v>28</v>
      </c>
      <c r="H2050" t="s">
        <v>25</v>
      </c>
      <c r="I2050" t="s">
        <v>18</v>
      </c>
      <c r="J2050" s="3">
        <v>45732</v>
      </c>
      <c r="K2050" s="4">
        <f>ClientiBanca[[#This Row],[Prestito]]+ClientiBanca[[#This Row],[Mutuo]]</f>
        <v>265300</v>
      </c>
      <c r="L2050" t="str">
        <f>IF(ClientiBanca[[#This Row],[Reddito annuo]]&gt;=70000,"si","no")</f>
        <v>si</v>
      </c>
    </row>
    <row r="2051" spans="1:12">
      <c r="A2051">
        <v>102050</v>
      </c>
      <c r="B2051">
        <v>71</v>
      </c>
      <c r="C2051" s="2">
        <v>32600</v>
      </c>
      <c r="D2051" t="s">
        <v>12</v>
      </c>
      <c r="E2051" s="2">
        <v>11800</v>
      </c>
      <c r="F2051" s="2">
        <v>0</v>
      </c>
      <c r="G2051" t="s">
        <v>26</v>
      </c>
      <c r="H2051" t="s">
        <v>17</v>
      </c>
      <c r="I2051" t="s">
        <v>18</v>
      </c>
      <c r="J2051" s="3">
        <v>45698</v>
      </c>
      <c r="K2051" s="4">
        <f>ClientiBanca[[#This Row],[Prestito]]+ClientiBanca[[#This Row],[Mutuo]]</f>
        <v>11800</v>
      </c>
      <c r="L2051" t="str">
        <f>IF(ClientiBanca[[#This Row],[Reddito annuo]]&gt;=70000,"si","no")</f>
        <v>no</v>
      </c>
    </row>
    <row r="2052" spans="1:12">
      <c r="A2052">
        <v>102051</v>
      </c>
      <c r="B2052">
        <v>44</v>
      </c>
      <c r="C2052" s="2">
        <v>42400</v>
      </c>
      <c r="D2052" t="s">
        <v>21</v>
      </c>
      <c r="E2052" s="2">
        <v>0</v>
      </c>
      <c r="F2052" s="2">
        <v>0</v>
      </c>
      <c r="G2052" t="s">
        <v>27</v>
      </c>
      <c r="H2052" t="s">
        <v>25</v>
      </c>
      <c r="I2052" t="s">
        <v>18</v>
      </c>
      <c r="J2052" s="3">
        <v>45595</v>
      </c>
      <c r="K2052" s="4">
        <f>ClientiBanca[[#This Row],[Prestito]]+ClientiBanca[[#This Row],[Mutuo]]</f>
        <v>0</v>
      </c>
      <c r="L2052" t="str">
        <f>IF(ClientiBanca[[#This Row],[Reddito annuo]]&gt;=70000,"si","no")</f>
        <v>no</v>
      </c>
    </row>
    <row r="2053" spans="1:12">
      <c r="A2053">
        <v>102052</v>
      </c>
      <c r="B2053">
        <v>31</v>
      </c>
      <c r="C2053" s="2">
        <v>40600</v>
      </c>
      <c r="D2053" t="s">
        <v>21</v>
      </c>
      <c r="E2053" s="2">
        <v>0</v>
      </c>
      <c r="F2053" s="2">
        <v>0</v>
      </c>
      <c r="G2053" t="s">
        <v>27</v>
      </c>
      <c r="H2053" t="s">
        <v>14</v>
      </c>
      <c r="I2053" t="s">
        <v>18</v>
      </c>
      <c r="J2053" s="3">
        <v>45491</v>
      </c>
      <c r="K2053" s="4">
        <f>ClientiBanca[[#This Row],[Prestito]]+ClientiBanca[[#This Row],[Mutuo]]</f>
        <v>0</v>
      </c>
      <c r="L2053" t="str">
        <f>IF(ClientiBanca[[#This Row],[Reddito annuo]]&gt;=70000,"si","no")</f>
        <v>no</v>
      </c>
    </row>
    <row r="2054" spans="1:12">
      <c r="A2054">
        <v>102053</v>
      </c>
      <c r="B2054">
        <v>39</v>
      </c>
      <c r="C2054" s="2">
        <v>56900</v>
      </c>
      <c r="D2054" t="s">
        <v>21</v>
      </c>
      <c r="E2054" s="2">
        <v>43300</v>
      </c>
      <c r="F2054" s="2">
        <v>156000</v>
      </c>
      <c r="G2054" t="s">
        <v>28</v>
      </c>
      <c r="H2054" t="s">
        <v>17</v>
      </c>
      <c r="I2054" t="s">
        <v>18</v>
      </c>
      <c r="J2054" s="3">
        <v>46051</v>
      </c>
      <c r="K2054" s="4">
        <f>ClientiBanca[[#This Row],[Prestito]]+ClientiBanca[[#This Row],[Mutuo]]</f>
        <v>199300</v>
      </c>
      <c r="L2054" t="str">
        <f>IF(ClientiBanca[[#This Row],[Reddito annuo]]&gt;=70000,"si","no")</f>
        <v>no</v>
      </c>
    </row>
    <row r="2055" spans="1:12">
      <c r="A2055">
        <v>102054</v>
      </c>
      <c r="B2055">
        <v>64</v>
      </c>
      <c r="C2055" s="2">
        <v>73400</v>
      </c>
      <c r="D2055" t="s">
        <v>12</v>
      </c>
      <c r="E2055" s="2">
        <v>0</v>
      </c>
      <c r="F2055" s="2">
        <v>0</v>
      </c>
      <c r="G2055" t="s">
        <v>27</v>
      </c>
      <c r="H2055" t="s">
        <v>20</v>
      </c>
      <c r="I2055" t="s">
        <v>18</v>
      </c>
      <c r="J2055" s="3">
        <v>46102</v>
      </c>
      <c r="K2055" s="4">
        <f>ClientiBanca[[#This Row],[Prestito]]+ClientiBanca[[#This Row],[Mutuo]]</f>
        <v>0</v>
      </c>
      <c r="L2055" t="str">
        <f>IF(ClientiBanca[[#This Row],[Reddito annuo]]&gt;=70000,"si","no")</f>
        <v>si</v>
      </c>
    </row>
    <row r="2056" spans="1:12">
      <c r="A2056">
        <v>102055</v>
      </c>
      <c r="B2056">
        <v>61</v>
      </c>
      <c r="C2056" s="2">
        <v>47800</v>
      </c>
      <c r="D2056" t="s">
        <v>12</v>
      </c>
      <c r="E2056" s="2">
        <v>59800</v>
      </c>
      <c r="F2056" s="2">
        <v>0</v>
      </c>
      <c r="G2056" t="s">
        <v>27</v>
      </c>
      <c r="H2056" t="s">
        <v>20</v>
      </c>
      <c r="I2056" t="s">
        <v>18</v>
      </c>
      <c r="J2056" s="3">
        <v>45383</v>
      </c>
      <c r="K2056" s="4">
        <f>ClientiBanca[[#This Row],[Prestito]]+ClientiBanca[[#This Row],[Mutuo]]</f>
        <v>59800</v>
      </c>
      <c r="L2056" t="str">
        <f>IF(ClientiBanca[[#This Row],[Reddito annuo]]&gt;=70000,"si","no")</f>
        <v>no</v>
      </c>
    </row>
    <row r="2057" spans="1:12">
      <c r="A2057">
        <v>102056</v>
      </c>
      <c r="B2057">
        <v>61</v>
      </c>
      <c r="C2057" s="2">
        <v>72300</v>
      </c>
      <c r="D2057" t="s">
        <v>21</v>
      </c>
      <c r="E2057" s="2">
        <v>0</v>
      </c>
      <c r="F2057" s="2">
        <v>162000</v>
      </c>
      <c r="G2057" t="s">
        <v>27</v>
      </c>
      <c r="H2057" t="s">
        <v>17</v>
      </c>
      <c r="I2057" t="s">
        <v>18</v>
      </c>
      <c r="J2057" s="3">
        <v>46153</v>
      </c>
      <c r="K2057" s="4">
        <f>ClientiBanca[[#This Row],[Prestito]]+ClientiBanca[[#This Row],[Mutuo]]</f>
        <v>162000</v>
      </c>
      <c r="L2057" t="str">
        <f>IF(ClientiBanca[[#This Row],[Reddito annuo]]&gt;=70000,"si","no")</f>
        <v>si</v>
      </c>
    </row>
    <row r="2058" spans="1:12">
      <c r="A2058">
        <v>102057</v>
      </c>
      <c r="B2058">
        <v>40</v>
      </c>
      <c r="C2058" s="2">
        <v>30500</v>
      </c>
      <c r="D2058" t="s">
        <v>21</v>
      </c>
      <c r="E2058" s="2">
        <v>0</v>
      </c>
      <c r="F2058" s="2">
        <v>0</v>
      </c>
      <c r="G2058" t="s">
        <v>27</v>
      </c>
      <c r="H2058" t="s">
        <v>17</v>
      </c>
      <c r="I2058" t="s">
        <v>18</v>
      </c>
      <c r="J2058" s="3">
        <v>46126</v>
      </c>
      <c r="K2058" s="4">
        <f>ClientiBanca[[#This Row],[Prestito]]+ClientiBanca[[#This Row],[Mutuo]]</f>
        <v>0</v>
      </c>
      <c r="L2058" t="str">
        <f>IF(ClientiBanca[[#This Row],[Reddito annuo]]&gt;=70000,"si","no")</f>
        <v>no</v>
      </c>
    </row>
    <row r="2059" spans="1:12">
      <c r="A2059">
        <v>102058</v>
      </c>
      <c r="B2059">
        <v>55</v>
      </c>
      <c r="C2059" s="2">
        <v>68000</v>
      </c>
      <c r="D2059" t="s">
        <v>21</v>
      </c>
      <c r="E2059" s="2">
        <v>18000</v>
      </c>
      <c r="F2059" s="2">
        <v>0</v>
      </c>
      <c r="G2059" t="s">
        <v>24</v>
      </c>
      <c r="H2059" t="s">
        <v>20</v>
      </c>
      <c r="I2059" t="s">
        <v>18</v>
      </c>
      <c r="J2059" s="3">
        <v>45448</v>
      </c>
      <c r="K2059" s="4">
        <f>ClientiBanca[[#This Row],[Prestito]]+ClientiBanca[[#This Row],[Mutuo]]</f>
        <v>18000</v>
      </c>
      <c r="L2059" t="str">
        <f>IF(ClientiBanca[[#This Row],[Reddito annuo]]&gt;=70000,"si","no")</f>
        <v>no</v>
      </c>
    </row>
    <row r="2060" spans="1:12">
      <c r="A2060">
        <v>102059</v>
      </c>
      <c r="B2060">
        <v>59</v>
      </c>
      <c r="C2060" s="2">
        <v>84900</v>
      </c>
      <c r="D2060" t="s">
        <v>21</v>
      </c>
      <c r="E2060" s="2">
        <v>24900</v>
      </c>
      <c r="F2060" s="2">
        <v>0</v>
      </c>
      <c r="G2060" t="s">
        <v>13</v>
      </c>
      <c r="H2060" t="s">
        <v>20</v>
      </c>
      <c r="I2060" t="s">
        <v>18</v>
      </c>
      <c r="J2060" s="3">
        <v>45527</v>
      </c>
      <c r="K2060" s="4">
        <f>ClientiBanca[[#This Row],[Prestito]]+ClientiBanca[[#This Row],[Mutuo]]</f>
        <v>24900</v>
      </c>
      <c r="L2060" t="str">
        <f>IF(ClientiBanca[[#This Row],[Reddito annuo]]&gt;=70000,"si","no")</f>
        <v>si</v>
      </c>
    </row>
    <row r="2061" spans="1:12">
      <c r="A2061">
        <v>102060</v>
      </c>
      <c r="B2061">
        <v>21</v>
      </c>
      <c r="C2061" s="2">
        <v>42300</v>
      </c>
      <c r="D2061" t="s">
        <v>21</v>
      </c>
      <c r="E2061" s="2">
        <v>11800</v>
      </c>
      <c r="F2061" s="2">
        <v>0</v>
      </c>
      <c r="G2061" t="s">
        <v>16</v>
      </c>
      <c r="H2061" t="s">
        <v>14</v>
      </c>
      <c r="I2061" t="s">
        <v>18</v>
      </c>
      <c r="J2061" s="3">
        <v>46127</v>
      </c>
      <c r="K2061" s="4">
        <f>ClientiBanca[[#This Row],[Prestito]]+ClientiBanca[[#This Row],[Mutuo]]</f>
        <v>11800</v>
      </c>
      <c r="L2061" t="str">
        <f>IF(ClientiBanca[[#This Row],[Reddito annuo]]&gt;=70000,"si","no")</f>
        <v>no</v>
      </c>
    </row>
    <row r="2062" spans="1:12">
      <c r="A2062">
        <v>102061</v>
      </c>
      <c r="B2062">
        <v>20</v>
      </c>
      <c r="C2062" s="2">
        <v>55500</v>
      </c>
      <c r="D2062" t="s">
        <v>21</v>
      </c>
      <c r="E2062" s="2">
        <v>0</v>
      </c>
      <c r="F2062" s="2">
        <v>0</v>
      </c>
      <c r="G2062" t="s">
        <v>19</v>
      </c>
      <c r="H2062" t="s">
        <v>14</v>
      </c>
      <c r="I2062" t="s">
        <v>18</v>
      </c>
      <c r="J2062" s="3">
        <v>45614</v>
      </c>
      <c r="K2062" s="4">
        <f>ClientiBanca[[#This Row],[Prestito]]+ClientiBanca[[#This Row],[Mutuo]]</f>
        <v>0</v>
      </c>
      <c r="L2062" t="str">
        <f>IF(ClientiBanca[[#This Row],[Reddito annuo]]&gt;=70000,"si","no")</f>
        <v>no</v>
      </c>
    </row>
    <row r="2063" spans="1:12">
      <c r="A2063">
        <v>102062</v>
      </c>
      <c r="B2063">
        <v>35</v>
      </c>
      <c r="C2063" s="2">
        <v>98400</v>
      </c>
      <c r="D2063" t="s">
        <v>21</v>
      </c>
      <c r="E2063" s="2">
        <v>26800</v>
      </c>
      <c r="F2063" s="2">
        <v>347000</v>
      </c>
      <c r="G2063" t="s">
        <v>24</v>
      </c>
      <c r="H2063" t="s">
        <v>14</v>
      </c>
      <c r="I2063" t="s">
        <v>18</v>
      </c>
      <c r="J2063" s="3">
        <v>45861</v>
      </c>
      <c r="K2063" s="4">
        <f>ClientiBanca[[#This Row],[Prestito]]+ClientiBanca[[#This Row],[Mutuo]]</f>
        <v>373800</v>
      </c>
      <c r="L2063" t="str">
        <f>IF(ClientiBanca[[#This Row],[Reddito annuo]]&gt;=70000,"si","no")</f>
        <v>si</v>
      </c>
    </row>
    <row r="2064" spans="1:12">
      <c r="A2064">
        <v>102063</v>
      </c>
      <c r="B2064">
        <v>69</v>
      </c>
      <c r="C2064" s="2">
        <v>44500</v>
      </c>
      <c r="D2064" t="s">
        <v>21</v>
      </c>
      <c r="E2064" s="2">
        <v>19600</v>
      </c>
      <c r="F2064" s="2">
        <v>0</v>
      </c>
      <c r="G2064" t="s">
        <v>24</v>
      </c>
      <c r="H2064" t="s">
        <v>20</v>
      </c>
      <c r="I2064" t="s">
        <v>18</v>
      </c>
      <c r="J2064" s="3">
        <v>45761</v>
      </c>
      <c r="K2064" s="4">
        <f>ClientiBanca[[#This Row],[Prestito]]+ClientiBanca[[#This Row],[Mutuo]]</f>
        <v>19600</v>
      </c>
      <c r="L2064" t="str">
        <f>IF(ClientiBanca[[#This Row],[Reddito annuo]]&gt;=70000,"si","no")</f>
        <v>no</v>
      </c>
    </row>
    <row r="2065" spans="1:12">
      <c r="A2065">
        <v>102064</v>
      </c>
      <c r="B2065">
        <v>24</v>
      </c>
      <c r="C2065" s="2">
        <v>107000</v>
      </c>
      <c r="D2065" t="s">
        <v>12</v>
      </c>
      <c r="E2065" s="2">
        <v>0</v>
      </c>
      <c r="F2065" s="2">
        <v>0</v>
      </c>
      <c r="G2065" t="s">
        <v>27</v>
      </c>
      <c r="H2065" t="s">
        <v>20</v>
      </c>
      <c r="I2065" t="s">
        <v>18</v>
      </c>
      <c r="J2065" s="3">
        <v>46026</v>
      </c>
      <c r="K2065" s="4">
        <f>ClientiBanca[[#This Row],[Prestito]]+ClientiBanca[[#This Row],[Mutuo]]</f>
        <v>0</v>
      </c>
      <c r="L2065" t="str">
        <f>IF(ClientiBanca[[#This Row],[Reddito annuo]]&gt;=70000,"si","no")</f>
        <v>si</v>
      </c>
    </row>
    <row r="2066" spans="1:12">
      <c r="A2066">
        <v>102065</v>
      </c>
      <c r="B2066">
        <v>30</v>
      </c>
      <c r="C2066" s="2">
        <v>109600</v>
      </c>
      <c r="D2066" t="s">
        <v>12</v>
      </c>
      <c r="E2066" s="2">
        <v>10600</v>
      </c>
      <c r="F2066" s="2">
        <v>0</v>
      </c>
      <c r="G2066" t="s">
        <v>28</v>
      </c>
      <c r="H2066" t="s">
        <v>17</v>
      </c>
      <c r="I2066" t="s">
        <v>18</v>
      </c>
      <c r="J2066" s="3">
        <v>46230</v>
      </c>
      <c r="K2066" s="4">
        <f>ClientiBanca[[#This Row],[Prestito]]+ClientiBanca[[#This Row],[Mutuo]]</f>
        <v>10600</v>
      </c>
      <c r="L2066" t="str">
        <f>IF(ClientiBanca[[#This Row],[Reddito annuo]]&gt;=70000,"si","no")</f>
        <v>si</v>
      </c>
    </row>
    <row r="2067" spans="1:12">
      <c r="A2067">
        <v>102066</v>
      </c>
      <c r="B2067">
        <v>73</v>
      </c>
      <c r="C2067" s="2">
        <v>44500</v>
      </c>
      <c r="D2067" t="s">
        <v>22</v>
      </c>
      <c r="E2067" s="2">
        <v>52300</v>
      </c>
      <c r="F2067" s="2">
        <v>334000</v>
      </c>
      <c r="G2067" t="s">
        <v>28</v>
      </c>
      <c r="H2067" t="s">
        <v>17</v>
      </c>
      <c r="I2067" t="s">
        <v>18</v>
      </c>
      <c r="J2067" s="3">
        <v>45400</v>
      </c>
      <c r="K2067" s="4">
        <f>ClientiBanca[[#This Row],[Prestito]]+ClientiBanca[[#This Row],[Mutuo]]</f>
        <v>386300</v>
      </c>
      <c r="L2067" t="str">
        <f>IF(ClientiBanca[[#This Row],[Reddito annuo]]&gt;=70000,"si","no")</f>
        <v>no</v>
      </c>
    </row>
    <row r="2068" spans="1:12">
      <c r="A2068">
        <v>102067</v>
      </c>
      <c r="B2068">
        <v>59</v>
      </c>
      <c r="C2068" s="2">
        <v>84100</v>
      </c>
      <c r="D2068" t="s">
        <v>12</v>
      </c>
      <c r="E2068" s="2">
        <v>0</v>
      </c>
      <c r="F2068" s="2">
        <v>0</v>
      </c>
      <c r="G2068" t="s">
        <v>27</v>
      </c>
      <c r="H2068" t="s">
        <v>20</v>
      </c>
      <c r="I2068" t="s">
        <v>18</v>
      </c>
      <c r="J2068" s="3">
        <v>45947</v>
      </c>
      <c r="K2068" s="4">
        <f>ClientiBanca[[#This Row],[Prestito]]+ClientiBanca[[#This Row],[Mutuo]]</f>
        <v>0</v>
      </c>
      <c r="L2068" t="str">
        <f>IF(ClientiBanca[[#This Row],[Reddito annuo]]&gt;=70000,"si","no")</f>
        <v>si</v>
      </c>
    </row>
    <row r="2069" spans="1:12">
      <c r="A2069">
        <v>102068</v>
      </c>
      <c r="B2069">
        <v>54</v>
      </c>
      <c r="C2069" s="2">
        <v>42700</v>
      </c>
      <c r="D2069" t="s">
        <v>22</v>
      </c>
      <c r="E2069" s="2">
        <v>53400</v>
      </c>
      <c r="F2069" s="2">
        <v>0</v>
      </c>
      <c r="G2069" t="s">
        <v>24</v>
      </c>
      <c r="H2069" t="s">
        <v>17</v>
      </c>
      <c r="I2069" t="s">
        <v>18</v>
      </c>
      <c r="J2069" s="3">
        <v>45357</v>
      </c>
      <c r="K2069" s="4">
        <f>ClientiBanca[[#This Row],[Prestito]]+ClientiBanca[[#This Row],[Mutuo]]</f>
        <v>53400</v>
      </c>
      <c r="L2069" t="str">
        <f>IF(ClientiBanca[[#This Row],[Reddito annuo]]&gt;=70000,"si","no")</f>
        <v>no</v>
      </c>
    </row>
    <row r="2070" spans="1:12">
      <c r="A2070">
        <v>102069</v>
      </c>
      <c r="B2070">
        <v>31</v>
      </c>
      <c r="C2070" s="2">
        <v>38400</v>
      </c>
      <c r="D2070" t="s">
        <v>12</v>
      </c>
      <c r="E2070" s="2">
        <v>0</v>
      </c>
      <c r="F2070" s="2">
        <v>0</v>
      </c>
      <c r="G2070" t="s">
        <v>19</v>
      </c>
      <c r="H2070" t="s">
        <v>17</v>
      </c>
      <c r="I2070" t="s">
        <v>18</v>
      </c>
      <c r="J2070" s="3">
        <v>46068</v>
      </c>
      <c r="K2070" s="4">
        <f>ClientiBanca[[#This Row],[Prestito]]+ClientiBanca[[#This Row],[Mutuo]]</f>
        <v>0</v>
      </c>
      <c r="L2070" t="str">
        <f>IF(ClientiBanca[[#This Row],[Reddito annuo]]&gt;=70000,"si","no")</f>
        <v>no</v>
      </c>
    </row>
    <row r="2071" spans="1:12">
      <c r="A2071">
        <v>102070</v>
      </c>
      <c r="B2071">
        <v>54</v>
      </c>
      <c r="C2071" s="2">
        <v>45900</v>
      </c>
      <c r="D2071" t="s">
        <v>21</v>
      </c>
      <c r="E2071" s="2">
        <v>49400</v>
      </c>
      <c r="F2071" s="2">
        <v>0</v>
      </c>
      <c r="G2071" t="s">
        <v>28</v>
      </c>
      <c r="H2071" t="s">
        <v>20</v>
      </c>
      <c r="I2071" t="s">
        <v>18</v>
      </c>
      <c r="J2071" s="3">
        <v>45879</v>
      </c>
      <c r="K2071" s="4">
        <f>ClientiBanca[[#This Row],[Prestito]]+ClientiBanca[[#This Row],[Mutuo]]</f>
        <v>49400</v>
      </c>
      <c r="L2071" t="str">
        <f>IF(ClientiBanca[[#This Row],[Reddito annuo]]&gt;=70000,"si","no")</f>
        <v>no</v>
      </c>
    </row>
    <row r="2072" spans="1:12">
      <c r="A2072">
        <v>102071</v>
      </c>
      <c r="B2072">
        <v>69</v>
      </c>
      <c r="C2072" s="2">
        <v>105800</v>
      </c>
      <c r="D2072" t="s">
        <v>12</v>
      </c>
      <c r="E2072" s="2">
        <v>12900</v>
      </c>
      <c r="F2072" s="2">
        <v>0</v>
      </c>
      <c r="G2072" t="s">
        <v>13</v>
      </c>
      <c r="H2072" t="s">
        <v>17</v>
      </c>
      <c r="I2072" t="s">
        <v>18</v>
      </c>
      <c r="J2072" s="3">
        <v>45334</v>
      </c>
      <c r="K2072" s="4">
        <f>ClientiBanca[[#This Row],[Prestito]]+ClientiBanca[[#This Row],[Mutuo]]</f>
        <v>12900</v>
      </c>
      <c r="L2072" t="str">
        <f>IF(ClientiBanca[[#This Row],[Reddito annuo]]&gt;=70000,"si","no")</f>
        <v>si</v>
      </c>
    </row>
    <row r="2073" spans="1:12">
      <c r="A2073">
        <v>102072</v>
      </c>
      <c r="B2073">
        <v>35</v>
      </c>
      <c r="C2073" s="2">
        <v>75300</v>
      </c>
      <c r="D2073" t="s">
        <v>22</v>
      </c>
      <c r="E2073" s="2">
        <v>55100</v>
      </c>
      <c r="F2073" s="2">
        <v>0</v>
      </c>
      <c r="G2073" t="s">
        <v>27</v>
      </c>
      <c r="H2073" t="s">
        <v>17</v>
      </c>
      <c r="I2073" t="s">
        <v>18</v>
      </c>
      <c r="J2073" s="3">
        <v>46212</v>
      </c>
      <c r="K2073" s="4">
        <f>ClientiBanca[[#This Row],[Prestito]]+ClientiBanca[[#This Row],[Mutuo]]</f>
        <v>55100</v>
      </c>
      <c r="L2073" t="str">
        <f>IF(ClientiBanca[[#This Row],[Reddito annuo]]&gt;=70000,"si","no")</f>
        <v>si</v>
      </c>
    </row>
    <row r="2074" spans="1:12">
      <c r="A2074">
        <v>102073</v>
      </c>
      <c r="B2074">
        <v>24</v>
      </c>
      <c r="C2074" s="2">
        <v>56700</v>
      </c>
      <c r="D2074" t="s">
        <v>21</v>
      </c>
      <c r="E2074" s="2">
        <v>0</v>
      </c>
      <c r="F2074" s="2">
        <v>0</v>
      </c>
      <c r="G2074" t="s">
        <v>27</v>
      </c>
      <c r="H2074" t="s">
        <v>14</v>
      </c>
      <c r="I2074" t="s">
        <v>18</v>
      </c>
      <c r="J2074" s="3">
        <v>46246</v>
      </c>
      <c r="K2074" s="4">
        <f>ClientiBanca[[#This Row],[Prestito]]+ClientiBanca[[#This Row],[Mutuo]]</f>
        <v>0</v>
      </c>
      <c r="L2074" t="str">
        <f>IF(ClientiBanca[[#This Row],[Reddito annuo]]&gt;=70000,"si","no")</f>
        <v>no</v>
      </c>
    </row>
    <row r="2075" spans="1:12">
      <c r="A2075">
        <v>102074</v>
      </c>
      <c r="B2075">
        <v>34</v>
      </c>
      <c r="C2075" s="2">
        <v>67100</v>
      </c>
      <c r="D2075" t="s">
        <v>21</v>
      </c>
      <c r="E2075" s="2">
        <v>40900</v>
      </c>
      <c r="F2075" s="2">
        <v>179000</v>
      </c>
      <c r="G2075" t="s">
        <v>19</v>
      </c>
      <c r="H2075" t="s">
        <v>14</v>
      </c>
      <c r="I2075" t="s">
        <v>18</v>
      </c>
      <c r="J2075" s="3">
        <v>45404</v>
      </c>
      <c r="K2075" s="4">
        <f>ClientiBanca[[#This Row],[Prestito]]+ClientiBanca[[#This Row],[Mutuo]]</f>
        <v>219900</v>
      </c>
      <c r="L2075" t="str">
        <f>IF(ClientiBanca[[#This Row],[Reddito annuo]]&gt;=70000,"si","no")</f>
        <v>no</v>
      </c>
    </row>
    <row r="2076" spans="1:12">
      <c r="A2076">
        <v>102075</v>
      </c>
      <c r="B2076">
        <v>51</v>
      </c>
      <c r="C2076" s="2">
        <v>34600</v>
      </c>
      <c r="D2076" t="s">
        <v>21</v>
      </c>
      <c r="E2076" s="2">
        <v>0</v>
      </c>
      <c r="F2076" s="2">
        <v>0</v>
      </c>
      <c r="G2076" t="s">
        <v>26</v>
      </c>
      <c r="H2076" t="s">
        <v>17</v>
      </c>
      <c r="I2076" t="s">
        <v>18</v>
      </c>
      <c r="J2076" s="3">
        <v>45862</v>
      </c>
      <c r="K2076" s="4">
        <f>ClientiBanca[[#This Row],[Prestito]]+ClientiBanca[[#This Row],[Mutuo]]</f>
        <v>0</v>
      </c>
      <c r="L2076" t="str">
        <f>IF(ClientiBanca[[#This Row],[Reddito annuo]]&gt;=70000,"si","no")</f>
        <v>no</v>
      </c>
    </row>
    <row r="2077" spans="1:12">
      <c r="A2077">
        <v>102076</v>
      </c>
      <c r="B2077">
        <v>49</v>
      </c>
      <c r="C2077" s="2">
        <v>40100</v>
      </c>
      <c r="D2077" t="s">
        <v>21</v>
      </c>
      <c r="E2077" s="2">
        <v>0</v>
      </c>
      <c r="F2077" s="2">
        <v>127000</v>
      </c>
      <c r="G2077" t="s">
        <v>24</v>
      </c>
      <c r="H2077" t="s">
        <v>17</v>
      </c>
      <c r="I2077" t="s">
        <v>18</v>
      </c>
      <c r="J2077" s="3">
        <v>45620</v>
      </c>
      <c r="K2077" s="4">
        <f>ClientiBanca[[#This Row],[Prestito]]+ClientiBanca[[#This Row],[Mutuo]]</f>
        <v>127000</v>
      </c>
      <c r="L2077" t="str">
        <f>IF(ClientiBanca[[#This Row],[Reddito annuo]]&gt;=70000,"si","no")</f>
        <v>no</v>
      </c>
    </row>
    <row r="2078" spans="1:12">
      <c r="A2078">
        <v>102077</v>
      </c>
      <c r="B2078">
        <v>63</v>
      </c>
      <c r="C2078" s="2">
        <v>86800</v>
      </c>
      <c r="D2078" t="s">
        <v>12</v>
      </c>
      <c r="E2078" s="2">
        <v>59200</v>
      </c>
      <c r="F2078" s="2">
        <v>148000</v>
      </c>
      <c r="G2078" t="s">
        <v>27</v>
      </c>
      <c r="H2078" t="s">
        <v>17</v>
      </c>
      <c r="I2078" t="s">
        <v>18</v>
      </c>
      <c r="J2078" s="3">
        <v>45499</v>
      </c>
      <c r="K2078" s="4">
        <f>ClientiBanca[[#This Row],[Prestito]]+ClientiBanca[[#This Row],[Mutuo]]</f>
        <v>207200</v>
      </c>
      <c r="L2078" t="str">
        <f>IF(ClientiBanca[[#This Row],[Reddito annuo]]&gt;=70000,"si","no")</f>
        <v>si</v>
      </c>
    </row>
    <row r="2079" spans="1:12">
      <c r="A2079">
        <v>102078</v>
      </c>
      <c r="B2079">
        <v>38</v>
      </c>
      <c r="C2079" s="2">
        <v>46600</v>
      </c>
      <c r="D2079" t="s">
        <v>21</v>
      </c>
      <c r="E2079" s="2">
        <v>0</v>
      </c>
      <c r="F2079" s="2">
        <v>208000</v>
      </c>
      <c r="G2079" t="s">
        <v>28</v>
      </c>
      <c r="H2079" t="s">
        <v>17</v>
      </c>
      <c r="I2079" t="s">
        <v>18</v>
      </c>
      <c r="J2079" s="3">
        <v>45886</v>
      </c>
      <c r="K2079" s="4">
        <f>ClientiBanca[[#This Row],[Prestito]]+ClientiBanca[[#This Row],[Mutuo]]</f>
        <v>208000</v>
      </c>
      <c r="L2079" t="str">
        <f>IF(ClientiBanca[[#This Row],[Reddito annuo]]&gt;=70000,"si","no")</f>
        <v>no</v>
      </c>
    </row>
    <row r="2080" spans="1:12">
      <c r="A2080">
        <v>102079</v>
      </c>
      <c r="B2080">
        <v>41</v>
      </c>
      <c r="C2080" s="2">
        <v>23600</v>
      </c>
      <c r="D2080" t="s">
        <v>21</v>
      </c>
      <c r="E2080" s="2">
        <v>0</v>
      </c>
      <c r="F2080" s="2">
        <v>183000</v>
      </c>
      <c r="G2080" t="s">
        <v>16</v>
      </c>
      <c r="H2080" t="s">
        <v>14</v>
      </c>
      <c r="I2080" t="s">
        <v>18</v>
      </c>
      <c r="J2080" s="3">
        <v>45992</v>
      </c>
      <c r="K2080" s="4">
        <f>ClientiBanca[[#This Row],[Prestito]]+ClientiBanca[[#This Row],[Mutuo]]</f>
        <v>183000</v>
      </c>
      <c r="L2080" t="str">
        <f>IF(ClientiBanca[[#This Row],[Reddito annuo]]&gt;=70000,"si","no")</f>
        <v>no</v>
      </c>
    </row>
    <row r="2081" spans="1:12">
      <c r="A2081">
        <v>102080</v>
      </c>
      <c r="B2081">
        <v>42</v>
      </c>
      <c r="C2081" s="2">
        <v>31900</v>
      </c>
      <c r="D2081" t="s">
        <v>12</v>
      </c>
      <c r="E2081" s="2">
        <v>39900</v>
      </c>
      <c r="F2081" s="2">
        <v>0</v>
      </c>
      <c r="G2081" t="s">
        <v>26</v>
      </c>
      <c r="H2081" t="s">
        <v>14</v>
      </c>
      <c r="I2081" t="s">
        <v>18</v>
      </c>
      <c r="J2081" s="3">
        <v>45698</v>
      </c>
      <c r="K2081" s="4">
        <f>ClientiBanca[[#This Row],[Prestito]]+ClientiBanca[[#This Row],[Mutuo]]</f>
        <v>39900</v>
      </c>
      <c r="L2081" t="str">
        <f>IF(ClientiBanca[[#This Row],[Reddito annuo]]&gt;=70000,"si","no")</f>
        <v>no</v>
      </c>
    </row>
    <row r="2082" spans="1:12">
      <c r="A2082">
        <v>102081</v>
      </c>
      <c r="B2082">
        <v>47</v>
      </c>
      <c r="C2082" s="2">
        <v>70000</v>
      </c>
      <c r="D2082" t="s">
        <v>21</v>
      </c>
      <c r="E2082" s="2">
        <v>0</v>
      </c>
      <c r="F2082" s="2">
        <v>0</v>
      </c>
      <c r="G2082" t="s">
        <v>19</v>
      </c>
      <c r="H2082" t="s">
        <v>17</v>
      </c>
      <c r="I2082" t="s">
        <v>18</v>
      </c>
      <c r="J2082" s="3">
        <v>45566</v>
      </c>
      <c r="K2082" s="4">
        <f>ClientiBanca[[#This Row],[Prestito]]+ClientiBanca[[#This Row],[Mutuo]]</f>
        <v>0</v>
      </c>
      <c r="L2082" t="str">
        <f>IF(ClientiBanca[[#This Row],[Reddito annuo]]&gt;=70000,"si","no")</f>
        <v>si</v>
      </c>
    </row>
    <row r="2083" spans="1:12">
      <c r="A2083">
        <v>102082</v>
      </c>
      <c r="B2083">
        <v>31</v>
      </c>
      <c r="C2083" s="2">
        <v>56500</v>
      </c>
      <c r="D2083" t="s">
        <v>21</v>
      </c>
      <c r="E2083" s="2">
        <v>17500</v>
      </c>
      <c r="F2083" s="2">
        <v>0</v>
      </c>
      <c r="G2083" t="s">
        <v>24</v>
      </c>
      <c r="H2083" t="s">
        <v>20</v>
      </c>
      <c r="I2083" t="s">
        <v>18</v>
      </c>
      <c r="J2083" s="3">
        <v>45700</v>
      </c>
      <c r="K2083" s="4">
        <f>ClientiBanca[[#This Row],[Prestito]]+ClientiBanca[[#This Row],[Mutuo]]</f>
        <v>17500</v>
      </c>
      <c r="L2083" t="str">
        <f>IF(ClientiBanca[[#This Row],[Reddito annuo]]&gt;=70000,"si","no")</f>
        <v>no</v>
      </c>
    </row>
    <row r="2084" spans="1:12">
      <c r="A2084">
        <v>102083</v>
      </c>
      <c r="B2084">
        <v>42</v>
      </c>
      <c r="C2084" s="2">
        <v>62900</v>
      </c>
      <c r="D2084" t="s">
        <v>21</v>
      </c>
      <c r="E2084" s="2">
        <v>8300</v>
      </c>
      <c r="F2084" s="2">
        <v>0</v>
      </c>
      <c r="G2084" t="s">
        <v>24</v>
      </c>
      <c r="H2084" t="s">
        <v>20</v>
      </c>
      <c r="I2084" t="s">
        <v>18</v>
      </c>
      <c r="J2084" s="3">
        <v>45365</v>
      </c>
      <c r="K2084" s="4">
        <f>ClientiBanca[[#This Row],[Prestito]]+ClientiBanca[[#This Row],[Mutuo]]</f>
        <v>8300</v>
      </c>
      <c r="L2084" t="str">
        <f>IF(ClientiBanca[[#This Row],[Reddito annuo]]&gt;=70000,"si","no")</f>
        <v>no</v>
      </c>
    </row>
    <row r="2085" spans="1:12">
      <c r="A2085">
        <v>102084</v>
      </c>
      <c r="B2085">
        <v>40</v>
      </c>
      <c r="C2085" s="2">
        <v>102600</v>
      </c>
      <c r="D2085" t="s">
        <v>22</v>
      </c>
      <c r="E2085" s="2">
        <v>0</v>
      </c>
      <c r="F2085" s="2">
        <v>137000</v>
      </c>
      <c r="G2085" t="s">
        <v>19</v>
      </c>
      <c r="H2085" t="s">
        <v>20</v>
      </c>
      <c r="I2085" t="s">
        <v>18</v>
      </c>
      <c r="J2085" s="3">
        <v>45972</v>
      </c>
      <c r="K2085" s="4">
        <f>ClientiBanca[[#This Row],[Prestito]]+ClientiBanca[[#This Row],[Mutuo]]</f>
        <v>137000</v>
      </c>
      <c r="L2085" t="str">
        <f>IF(ClientiBanca[[#This Row],[Reddito annuo]]&gt;=70000,"si","no")</f>
        <v>si</v>
      </c>
    </row>
    <row r="2086" spans="1:12">
      <c r="A2086">
        <v>102085</v>
      </c>
      <c r="B2086">
        <v>64</v>
      </c>
      <c r="C2086" s="2">
        <v>65800</v>
      </c>
      <c r="D2086" t="s">
        <v>21</v>
      </c>
      <c r="E2086" s="2">
        <v>44200</v>
      </c>
      <c r="F2086" s="2">
        <v>0</v>
      </c>
      <c r="G2086" t="s">
        <v>16</v>
      </c>
      <c r="H2086" t="s">
        <v>20</v>
      </c>
      <c r="I2086" t="s">
        <v>18</v>
      </c>
      <c r="J2086" s="3">
        <v>45595</v>
      </c>
      <c r="K2086" s="4">
        <f>ClientiBanca[[#This Row],[Prestito]]+ClientiBanca[[#This Row],[Mutuo]]</f>
        <v>44200</v>
      </c>
      <c r="L2086" t="str">
        <f>IF(ClientiBanca[[#This Row],[Reddito annuo]]&gt;=70000,"si","no")</f>
        <v>no</v>
      </c>
    </row>
    <row r="2087" spans="1:12">
      <c r="A2087">
        <v>102086</v>
      </c>
      <c r="B2087">
        <v>62</v>
      </c>
      <c r="C2087" s="2">
        <v>81800</v>
      </c>
      <c r="D2087" t="s">
        <v>21</v>
      </c>
      <c r="E2087" s="2">
        <v>12300</v>
      </c>
      <c r="F2087" s="2">
        <v>0</v>
      </c>
      <c r="G2087" t="s">
        <v>27</v>
      </c>
      <c r="H2087" t="s">
        <v>17</v>
      </c>
      <c r="I2087" t="s">
        <v>18</v>
      </c>
      <c r="J2087" s="3">
        <v>45391</v>
      </c>
      <c r="K2087" s="4">
        <f>ClientiBanca[[#This Row],[Prestito]]+ClientiBanca[[#This Row],[Mutuo]]</f>
        <v>12300</v>
      </c>
      <c r="L2087" t="str">
        <f>IF(ClientiBanca[[#This Row],[Reddito annuo]]&gt;=70000,"si","no")</f>
        <v>si</v>
      </c>
    </row>
    <row r="2088" spans="1:12">
      <c r="A2088">
        <v>102087</v>
      </c>
      <c r="B2088">
        <v>32</v>
      </c>
      <c r="C2088" s="2">
        <v>41500</v>
      </c>
      <c r="D2088" t="s">
        <v>21</v>
      </c>
      <c r="E2088" s="2">
        <v>51000</v>
      </c>
      <c r="F2088" s="2">
        <v>164000</v>
      </c>
      <c r="G2088" t="s">
        <v>23</v>
      </c>
      <c r="H2088" t="s">
        <v>14</v>
      </c>
      <c r="I2088" t="s">
        <v>18</v>
      </c>
      <c r="J2088" s="3">
        <v>46130</v>
      </c>
      <c r="K2088" s="4">
        <f>ClientiBanca[[#This Row],[Prestito]]+ClientiBanca[[#This Row],[Mutuo]]</f>
        <v>215000</v>
      </c>
      <c r="L2088" t="str">
        <f>IF(ClientiBanca[[#This Row],[Reddito annuo]]&gt;=70000,"si","no")</f>
        <v>no</v>
      </c>
    </row>
    <row r="2089" spans="1:12">
      <c r="A2089">
        <v>102088</v>
      </c>
      <c r="B2089">
        <v>61</v>
      </c>
      <c r="C2089" s="2">
        <v>33000</v>
      </c>
      <c r="D2089" t="s">
        <v>22</v>
      </c>
      <c r="E2089" s="2">
        <v>41200</v>
      </c>
      <c r="F2089" s="2">
        <v>0</v>
      </c>
      <c r="G2089" t="s">
        <v>19</v>
      </c>
      <c r="H2089" t="s">
        <v>14</v>
      </c>
      <c r="I2089" t="s">
        <v>18</v>
      </c>
      <c r="J2089" s="3">
        <v>46225</v>
      </c>
      <c r="K2089" s="4">
        <f>ClientiBanca[[#This Row],[Prestito]]+ClientiBanca[[#This Row],[Mutuo]]</f>
        <v>41200</v>
      </c>
      <c r="L2089" t="str">
        <f>IF(ClientiBanca[[#This Row],[Reddito annuo]]&gt;=70000,"si","no")</f>
        <v>no</v>
      </c>
    </row>
    <row r="2090" spans="1:12">
      <c r="A2090">
        <v>102089</v>
      </c>
      <c r="B2090">
        <v>27</v>
      </c>
      <c r="C2090" s="2">
        <v>76700</v>
      </c>
      <c r="D2090" t="s">
        <v>12</v>
      </c>
      <c r="E2090" s="2">
        <v>0</v>
      </c>
      <c r="F2090" s="2">
        <v>0</v>
      </c>
      <c r="G2090" t="s">
        <v>28</v>
      </c>
      <c r="H2090" t="s">
        <v>25</v>
      </c>
      <c r="I2090" t="s">
        <v>18</v>
      </c>
      <c r="J2090" s="3">
        <v>45597</v>
      </c>
      <c r="K2090" s="4">
        <f>ClientiBanca[[#This Row],[Prestito]]+ClientiBanca[[#This Row],[Mutuo]]</f>
        <v>0</v>
      </c>
      <c r="L2090" t="str">
        <f>IF(ClientiBanca[[#This Row],[Reddito annuo]]&gt;=70000,"si","no")</f>
        <v>si</v>
      </c>
    </row>
    <row r="2091" spans="1:12">
      <c r="A2091">
        <v>102090</v>
      </c>
      <c r="B2091">
        <v>20</v>
      </c>
      <c r="C2091" s="2">
        <v>34700</v>
      </c>
      <c r="D2091" t="s">
        <v>12</v>
      </c>
      <c r="E2091" s="2">
        <v>21600</v>
      </c>
      <c r="F2091" s="2">
        <v>0</v>
      </c>
      <c r="G2091" t="s">
        <v>16</v>
      </c>
      <c r="H2091" t="s">
        <v>17</v>
      </c>
      <c r="I2091" t="s">
        <v>18</v>
      </c>
      <c r="J2091" s="3">
        <v>45428</v>
      </c>
      <c r="K2091" s="4">
        <f>ClientiBanca[[#This Row],[Prestito]]+ClientiBanca[[#This Row],[Mutuo]]</f>
        <v>21600</v>
      </c>
      <c r="L2091" t="str">
        <f>IF(ClientiBanca[[#This Row],[Reddito annuo]]&gt;=70000,"si","no")</f>
        <v>no</v>
      </c>
    </row>
    <row r="2092" spans="1:12">
      <c r="A2092">
        <v>102091</v>
      </c>
      <c r="B2092">
        <v>73</v>
      </c>
      <c r="C2092" s="2">
        <v>89900</v>
      </c>
      <c r="D2092" t="s">
        <v>21</v>
      </c>
      <c r="E2092" s="2">
        <v>0</v>
      </c>
      <c r="F2092" s="2">
        <v>340000</v>
      </c>
      <c r="G2092" t="s">
        <v>28</v>
      </c>
      <c r="H2092" t="s">
        <v>20</v>
      </c>
      <c r="I2092" t="s">
        <v>18</v>
      </c>
      <c r="J2092" s="3">
        <v>45829</v>
      </c>
      <c r="K2092" s="4">
        <f>ClientiBanca[[#This Row],[Prestito]]+ClientiBanca[[#This Row],[Mutuo]]</f>
        <v>340000</v>
      </c>
      <c r="L2092" t="str">
        <f>IF(ClientiBanca[[#This Row],[Reddito annuo]]&gt;=70000,"si","no")</f>
        <v>si</v>
      </c>
    </row>
    <row r="2093" spans="1:12">
      <c r="A2093">
        <v>102092</v>
      </c>
      <c r="B2093">
        <v>50</v>
      </c>
      <c r="C2093" s="2">
        <v>43700</v>
      </c>
      <c r="D2093" t="s">
        <v>21</v>
      </c>
      <c r="E2093" s="2">
        <v>49200</v>
      </c>
      <c r="F2093" s="2">
        <v>0</v>
      </c>
      <c r="G2093" t="s">
        <v>16</v>
      </c>
      <c r="H2093" t="s">
        <v>17</v>
      </c>
      <c r="I2093" t="s">
        <v>18</v>
      </c>
      <c r="J2093" s="3">
        <v>46058</v>
      </c>
      <c r="K2093" s="4">
        <f>ClientiBanca[[#This Row],[Prestito]]+ClientiBanca[[#This Row],[Mutuo]]</f>
        <v>49200</v>
      </c>
      <c r="L2093" t="str">
        <f>IF(ClientiBanca[[#This Row],[Reddito annuo]]&gt;=70000,"si","no")</f>
        <v>no</v>
      </c>
    </row>
    <row r="2094" spans="1:12">
      <c r="A2094">
        <v>102093</v>
      </c>
      <c r="B2094">
        <v>39</v>
      </c>
      <c r="C2094" s="2">
        <v>82900</v>
      </c>
      <c r="D2094" t="s">
        <v>21</v>
      </c>
      <c r="E2094" s="2">
        <v>15500</v>
      </c>
      <c r="F2094" s="2">
        <v>0</v>
      </c>
      <c r="G2094" t="s">
        <v>24</v>
      </c>
      <c r="H2094" t="s">
        <v>20</v>
      </c>
      <c r="I2094" t="s">
        <v>18</v>
      </c>
      <c r="J2094" s="3">
        <v>46244</v>
      </c>
      <c r="K2094" s="4">
        <f>ClientiBanca[[#This Row],[Prestito]]+ClientiBanca[[#This Row],[Mutuo]]</f>
        <v>15500</v>
      </c>
      <c r="L2094" t="str">
        <f>IF(ClientiBanca[[#This Row],[Reddito annuo]]&gt;=70000,"si","no")</f>
        <v>si</v>
      </c>
    </row>
    <row r="2095" spans="1:12">
      <c r="A2095">
        <v>102094</v>
      </c>
      <c r="B2095">
        <v>47</v>
      </c>
      <c r="C2095" s="2">
        <v>86600</v>
      </c>
      <c r="D2095" t="s">
        <v>21</v>
      </c>
      <c r="E2095" s="2">
        <v>6900</v>
      </c>
      <c r="F2095" s="2">
        <v>0</v>
      </c>
      <c r="G2095" t="s">
        <v>27</v>
      </c>
      <c r="H2095" t="s">
        <v>20</v>
      </c>
      <c r="I2095" t="s">
        <v>18</v>
      </c>
      <c r="J2095" s="3">
        <v>45836</v>
      </c>
      <c r="K2095" s="4">
        <f>ClientiBanca[[#This Row],[Prestito]]+ClientiBanca[[#This Row],[Mutuo]]</f>
        <v>6900</v>
      </c>
      <c r="L2095" t="str">
        <f>IF(ClientiBanca[[#This Row],[Reddito annuo]]&gt;=70000,"si","no")</f>
        <v>si</v>
      </c>
    </row>
    <row r="2096" spans="1:12">
      <c r="A2096">
        <v>102095</v>
      </c>
      <c r="B2096">
        <v>33</v>
      </c>
      <c r="C2096" s="2">
        <v>85100</v>
      </c>
      <c r="D2096" t="s">
        <v>21</v>
      </c>
      <c r="E2096" s="2">
        <v>0</v>
      </c>
      <c r="F2096" s="2">
        <v>0</v>
      </c>
      <c r="G2096" t="s">
        <v>13</v>
      </c>
      <c r="H2096" t="s">
        <v>20</v>
      </c>
      <c r="I2096" t="s">
        <v>18</v>
      </c>
      <c r="J2096" s="3">
        <v>46175</v>
      </c>
      <c r="K2096" s="4">
        <f>ClientiBanca[[#This Row],[Prestito]]+ClientiBanca[[#This Row],[Mutuo]]</f>
        <v>0</v>
      </c>
      <c r="L2096" t="str">
        <f>IF(ClientiBanca[[#This Row],[Reddito annuo]]&gt;=70000,"si","no")</f>
        <v>si</v>
      </c>
    </row>
    <row r="2097" spans="1:12">
      <c r="A2097">
        <v>102096</v>
      </c>
      <c r="B2097">
        <v>59</v>
      </c>
      <c r="C2097" s="2">
        <v>56100</v>
      </c>
      <c r="D2097" t="s">
        <v>22</v>
      </c>
      <c r="E2097" s="2">
        <v>40300</v>
      </c>
      <c r="F2097" s="2">
        <v>0</v>
      </c>
      <c r="G2097" t="s">
        <v>26</v>
      </c>
      <c r="H2097" t="s">
        <v>17</v>
      </c>
      <c r="I2097" t="s">
        <v>18</v>
      </c>
      <c r="J2097" s="3">
        <v>45959</v>
      </c>
      <c r="K2097" s="4">
        <f>ClientiBanca[[#This Row],[Prestito]]+ClientiBanca[[#This Row],[Mutuo]]</f>
        <v>40300</v>
      </c>
      <c r="L2097" t="str">
        <f>IF(ClientiBanca[[#This Row],[Reddito annuo]]&gt;=70000,"si","no")</f>
        <v>no</v>
      </c>
    </row>
    <row r="2098" spans="1:12">
      <c r="A2098">
        <v>102097</v>
      </c>
      <c r="B2098">
        <v>30</v>
      </c>
      <c r="C2098" s="2">
        <v>60800</v>
      </c>
      <c r="D2098" t="s">
        <v>21</v>
      </c>
      <c r="E2098" s="2">
        <v>0</v>
      </c>
      <c r="F2098" s="2">
        <v>153000</v>
      </c>
      <c r="G2098" t="s">
        <v>16</v>
      </c>
      <c r="H2098" t="s">
        <v>17</v>
      </c>
      <c r="I2098" t="s">
        <v>18</v>
      </c>
      <c r="J2098" s="3">
        <v>45313</v>
      </c>
      <c r="K2098" s="4">
        <f>ClientiBanca[[#This Row],[Prestito]]+ClientiBanca[[#This Row],[Mutuo]]</f>
        <v>153000</v>
      </c>
      <c r="L2098" t="str">
        <f>IF(ClientiBanca[[#This Row],[Reddito annuo]]&gt;=70000,"si","no")</f>
        <v>no</v>
      </c>
    </row>
    <row r="2099" spans="1:12">
      <c r="A2099">
        <v>102098</v>
      </c>
      <c r="B2099">
        <v>67</v>
      </c>
      <c r="C2099" s="2">
        <v>74600</v>
      </c>
      <c r="D2099" t="s">
        <v>21</v>
      </c>
      <c r="E2099" s="2">
        <v>4800</v>
      </c>
      <c r="F2099" s="2">
        <v>0</v>
      </c>
      <c r="G2099" t="s">
        <v>24</v>
      </c>
      <c r="H2099" t="s">
        <v>17</v>
      </c>
      <c r="I2099" t="s">
        <v>18</v>
      </c>
      <c r="J2099" s="3">
        <v>45697</v>
      </c>
      <c r="K2099" s="4">
        <f>ClientiBanca[[#This Row],[Prestito]]+ClientiBanca[[#This Row],[Mutuo]]</f>
        <v>4800</v>
      </c>
      <c r="L2099" t="str">
        <f>IF(ClientiBanca[[#This Row],[Reddito annuo]]&gt;=70000,"si","no")</f>
        <v>si</v>
      </c>
    </row>
    <row r="2100" spans="1:12">
      <c r="A2100">
        <v>102099</v>
      </c>
      <c r="B2100">
        <v>32</v>
      </c>
      <c r="C2100" s="2">
        <v>94600</v>
      </c>
      <c r="D2100" t="s">
        <v>21</v>
      </c>
      <c r="E2100" s="2">
        <v>24700</v>
      </c>
      <c r="F2100" s="2">
        <v>158000</v>
      </c>
      <c r="G2100" t="s">
        <v>23</v>
      </c>
      <c r="H2100" t="s">
        <v>17</v>
      </c>
      <c r="I2100" t="s">
        <v>15</v>
      </c>
      <c r="J2100" s="3">
        <v>45655</v>
      </c>
      <c r="K2100" s="4">
        <f>ClientiBanca[[#This Row],[Prestito]]+ClientiBanca[[#This Row],[Mutuo]]</f>
        <v>182700</v>
      </c>
      <c r="L2100" t="str">
        <f>IF(ClientiBanca[[#This Row],[Reddito annuo]]&gt;=70000,"si","no")</f>
        <v>si</v>
      </c>
    </row>
    <row r="2101" spans="1:12">
      <c r="A2101">
        <v>102100</v>
      </c>
      <c r="B2101">
        <v>55</v>
      </c>
      <c r="C2101" s="2">
        <v>74600</v>
      </c>
      <c r="D2101" t="s">
        <v>22</v>
      </c>
      <c r="E2101" s="2">
        <v>0</v>
      </c>
      <c r="F2101" s="2">
        <v>0</v>
      </c>
      <c r="G2101" t="s">
        <v>27</v>
      </c>
      <c r="H2101" t="s">
        <v>20</v>
      </c>
      <c r="I2101" t="s">
        <v>18</v>
      </c>
      <c r="J2101" s="3">
        <v>45699</v>
      </c>
      <c r="K2101" s="4">
        <f>ClientiBanca[[#This Row],[Prestito]]+ClientiBanca[[#This Row],[Mutuo]]</f>
        <v>0</v>
      </c>
      <c r="L2101" t="str">
        <f>IF(ClientiBanca[[#This Row],[Reddito annuo]]&gt;=70000,"si","no")</f>
        <v>si</v>
      </c>
    </row>
    <row r="2102" spans="1:12">
      <c r="A2102">
        <v>102101</v>
      </c>
      <c r="B2102">
        <v>54</v>
      </c>
      <c r="C2102" s="2">
        <v>75400</v>
      </c>
      <c r="D2102" t="s">
        <v>21</v>
      </c>
      <c r="E2102" s="2">
        <v>30200</v>
      </c>
      <c r="F2102" s="2">
        <v>155000</v>
      </c>
      <c r="G2102" t="s">
        <v>23</v>
      </c>
      <c r="H2102" t="s">
        <v>14</v>
      </c>
      <c r="I2102" t="s">
        <v>18</v>
      </c>
      <c r="J2102" s="3">
        <v>46206</v>
      </c>
      <c r="K2102" s="4">
        <f>ClientiBanca[[#This Row],[Prestito]]+ClientiBanca[[#This Row],[Mutuo]]</f>
        <v>185200</v>
      </c>
      <c r="L2102" t="str">
        <f>IF(ClientiBanca[[#This Row],[Reddito annuo]]&gt;=70000,"si","no")</f>
        <v>si</v>
      </c>
    </row>
    <row r="2103" spans="1:12">
      <c r="A2103">
        <v>102102</v>
      </c>
      <c r="B2103">
        <v>44</v>
      </c>
      <c r="C2103" s="2">
        <v>73200</v>
      </c>
      <c r="D2103" t="s">
        <v>22</v>
      </c>
      <c r="E2103" s="2">
        <v>55700</v>
      </c>
      <c r="F2103" s="2">
        <v>0</v>
      </c>
      <c r="G2103" t="s">
        <v>13</v>
      </c>
      <c r="H2103" t="s">
        <v>17</v>
      </c>
      <c r="I2103" t="s">
        <v>18</v>
      </c>
      <c r="J2103" s="3">
        <v>46196</v>
      </c>
      <c r="K2103" s="4">
        <f>ClientiBanca[[#This Row],[Prestito]]+ClientiBanca[[#This Row],[Mutuo]]</f>
        <v>55700</v>
      </c>
      <c r="L2103" t="str">
        <f>IF(ClientiBanca[[#This Row],[Reddito annuo]]&gt;=70000,"si","no")</f>
        <v>si</v>
      </c>
    </row>
    <row r="2104" spans="1:12">
      <c r="A2104">
        <v>102103</v>
      </c>
      <c r="B2104">
        <v>60</v>
      </c>
      <c r="C2104" s="2">
        <v>111000</v>
      </c>
      <c r="D2104" t="s">
        <v>22</v>
      </c>
      <c r="E2104" s="2">
        <v>0</v>
      </c>
      <c r="F2104" s="2">
        <v>0</v>
      </c>
      <c r="G2104" t="s">
        <v>24</v>
      </c>
      <c r="H2104" t="s">
        <v>20</v>
      </c>
      <c r="I2104" t="s">
        <v>18</v>
      </c>
      <c r="J2104" s="3">
        <v>45399</v>
      </c>
      <c r="K2104" s="4">
        <f>ClientiBanca[[#This Row],[Prestito]]+ClientiBanca[[#This Row],[Mutuo]]</f>
        <v>0</v>
      </c>
      <c r="L2104" t="str">
        <f>IF(ClientiBanca[[#This Row],[Reddito annuo]]&gt;=70000,"si","no")</f>
        <v>si</v>
      </c>
    </row>
    <row r="2105" spans="1:12">
      <c r="A2105">
        <v>102104</v>
      </c>
      <c r="B2105">
        <v>35</v>
      </c>
      <c r="C2105" s="2">
        <v>55300</v>
      </c>
      <c r="D2105" t="s">
        <v>21</v>
      </c>
      <c r="E2105" s="2">
        <v>0</v>
      </c>
      <c r="F2105" s="2">
        <v>114000</v>
      </c>
      <c r="G2105" t="s">
        <v>24</v>
      </c>
      <c r="H2105" t="s">
        <v>17</v>
      </c>
      <c r="I2105" t="s">
        <v>18</v>
      </c>
      <c r="J2105" s="3">
        <v>46102</v>
      </c>
      <c r="K2105" s="4">
        <f>ClientiBanca[[#This Row],[Prestito]]+ClientiBanca[[#This Row],[Mutuo]]</f>
        <v>114000</v>
      </c>
      <c r="L2105" t="str">
        <f>IF(ClientiBanca[[#This Row],[Reddito annuo]]&gt;=70000,"si","no")</f>
        <v>no</v>
      </c>
    </row>
    <row r="2106" spans="1:12">
      <c r="A2106">
        <v>102105</v>
      </c>
      <c r="B2106">
        <v>30</v>
      </c>
      <c r="C2106" s="2">
        <v>41300</v>
      </c>
      <c r="D2106" t="s">
        <v>21</v>
      </c>
      <c r="E2106" s="2">
        <v>13800</v>
      </c>
      <c r="F2106" s="2">
        <v>0</v>
      </c>
      <c r="G2106" t="s">
        <v>23</v>
      </c>
      <c r="H2106" t="s">
        <v>17</v>
      </c>
      <c r="I2106" t="s">
        <v>18</v>
      </c>
      <c r="J2106" s="3">
        <v>46046</v>
      </c>
      <c r="K2106" s="4">
        <f>ClientiBanca[[#This Row],[Prestito]]+ClientiBanca[[#This Row],[Mutuo]]</f>
        <v>13800</v>
      </c>
      <c r="L2106" t="str">
        <f>IF(ClientiBanca[[#This Row],[Reddito annuo]]&gt;=70000,"si","no")</f>
        <v>no</v>
      </c>
    </row>
    <row r="2107" spans="1:12">
      <c r="A2107">
        <v>102106</v>
      </c>
      <c r="B2107">
        <v>58</v>
      </c>
      <c r="C2107" s="2">
        <v>78300</v>
      </c>
      <c r="D2107" t="s">
        <v>21</v>
      </c>
      <c r="E2107" s="2">
        <v>47000</v>
      </c>
      <c r="F2107" s="2">
        <v>0</v>
      </c>
      <c r="G2107" t="s">
        <v>27</v>
      </c>
      <c r="H2107" t="s">
        <v>20</v>
      </c>
      <c r="I2107" t="s">
        <v>18</v>
      </c>
      <c r="J2107" s="3">
        <v>45796</v>
      </c>
      <c r="K2107" s="4">
        <f>ClientiBanca[[#This Row],[Prestito]]+ClientiBanca[[#This Row],[Mutuo]]</f>
        <v>47000</v>
      </c>
      <c r="L2107" t="str">
        <f>IF(ClientiBanca[[#This Row],[Reddito annuo]]&gt;=70000,"si","no")</f>
        <v>si</v>
      </c>
    </row>
    <row r="2108" spans="1:12">
      <c r="A2108">
        <v>102107</v>
      </c>
      <c r="B2108">
        <v>44</v>
      </c>
      <c r="C2108" s="2">
        <v>34000</v>
      </c>
      <c r="D2108" t="s">
        <v>21</v>
      </c>
      <c r="E2108" s="2">
        <v>0</v>
      </c>
      <c r="F2108" s="2">
        <v>0</v>
      </c>
      <c r="G2108" t="s">
        <v>24</v>
      </c>
      <c r="H2108" t="s">
        <v>20</v>
      </c>
      <c r="I2108" t="s">
        <v>18</v>
      </c>
      <c r="J2108" s="3">
        <v>46212</v>
      </c>
      <c r="K2108" s="4">
        <f>ClientiBanca[[#This Row],[Prestito]]+ClientiBanca[[#This Row],[Mutuo]]</f>
        <v>0</v>
      </c>
      <c r="L2108" t="str">
        <f>IF(ClientiBanca[[#This Row],[Reddito annuo]]&gt;=70000,"si","no")</f>
        <v>no</v>
      </c>
    </row>
    <row r="2109" spans="1:12">
      <c r="A2109">
        <v>102108</v>
      </c>
      <c r="B2109">
        <v>54</v>
      </c>
      <c r="C2109" s="2">
        <v>61400</v>
      </c>
      <c r="D2109" t="s">
        <v>22</v>
      </c>
      <c r="E2109" s="2">
        <v>0</v>
      </c>
      <c r="F2109" s="2">
        <v>115000</v>
      </c>
      <c r="G2109" t="s">
        <v>24</v>
      </c>
      <c r="H2109" t="s">
        <v>17</v>
      </c>
      <c r="I2109" t="s">
        <v>18</v>
      </c>
      <c r="J2109" s="3">
        <v>45747</v>
      </c>
      <c r="K2109" s="4">
        <f>ClientiBanca[[#This Row],[Prestito]]+ClientiBanca[[#This Row],[Mutuo]]</f>
        <v>115000</v>
      </c>
      <c r="L2109" t="str">
        <f>IF(ClientiBanca[[#This Row],[Reddito annuo]]&gt;=70000,"si","no")</f>
        <v>no</v>
      </c>
    </row>
    <row r="2110" spans="1:12">
      <c r="A2110">
        <v>102109</v>
      </c>
      <c r="B2110">
        <v>46</v>
      </c>
      <c r="C2110" s="2">
        <v>35700</v>
      </c>
      <c r="D2110" t="s">
        <v>22</v>
      </c>
      <c r="E2110" s="2">
        <v>25900</v>
      </c>
      <c r="F2110" s="2">
        <v>0</v>
      </c>
      <c r="G2110" t="s">
        <v>23</v>
      </c>
      <c r="H2110" t="s">
        <v>14</v>
      </c>
      <c r="I2110" t="s">
        <v>18</v>
      </c>
      <c r="J2110" s="3">
        <v>45968</v>
      </c>
      <c r="K2110" s="4">
        <f>ClientiBanca[[#This Row],[Prestito]]+ClientiBanca[[#This Row],[Mutuo]]</f>
        <v>25900</v>
      </c>
      <c r="L2110" t="str">
        <f>IF(ClientiBanca[[#This Row],[Reddito annuo]]&gt;=70000,"si","no")</f>
        <v>no</v>
      </c>
    </row>
    <row r="2111" spans="1:12">
      <c r="A2111">
        <v>102110</v>
      </c>
      <c r="B2111">
        <v>51</v>
      </c>
      <c r="C2111" s="2">
        <v>39900</v>
      </c>
      <c r="D2111" t="s">
        <v>12</v>
      </c>
      <c r="E2111" s="2">
        <v>0</v>
      </c>
      <c r="F2111" s="2">
        <v>0</v>
      </c>
      <c r="G2111" t="s">
        <v>24</v>
      </c>
      <c r="H2111" t="s">
        <v>14</v>
      </c>
      <c r="I2111" t="s">
        <v>18</v>
      </c>
      <c r="J2111" s="3">
        <v>45677</v>
      </c>
      <c r="K2111" s="4">
        <f>ClientiBanca[[#This Row],[Prestito]]+ClientiBanca[[#This Row],[Mutuo]]</f>
        <v>0</v>
      </c>
      <c r="L2111" t="str">
        <f>IF(ClientiBanca[[#This Row],[Reddito annuo]]&gt;=70000,"si","no")</f>
        <v>no</v>
      </c>
    </row>
    <row r="2112" spans="1:12">
      <c r="A2112">
        <v>102111</v>
      </c>
      <c r="B2112">
        <v>43</v>
      </c>
      <c r="C2112" s="2">
        <v>75300</v>
      </c>
      <c r="D2112" t="s">
        <v>22</v>
      </c>
      <c r="E2112" s="2">
        <v>51300</v>
      </c>
      <c r="F2112" s="2">
        <v>0</v>
      </c>
      <c r="G2112" t="s">
        <v>19</v>
      </c>
      <c r="H2112" t="s">
        <v>17</v>
      </c>
      <c r="I2112" t="s">
        <v>18</v>
      </c>
      <c r="J2112" s="3">
        <v>45623</v>
      </c>
      <c r="K2112" s="4">
        <f>ClientiBanca[[#This Row],[Prestito]]+ClientiBanca[[#This Row],[Mutuo]]</f>
        <v>51300</v>
      </c>
      <c r="L2112" t="str">
        <f>IF(ClientiBanca[[#This Row],[Reddito annuo]]&gt;=70000,"si","no")</f>
        <v>si</v>
      </c>
    </row>
    <row r="2113" spans="1:12">
      <c r="A2113">
        <v>102112</v>
      </c>
      <c r="B2113">
        <v>48</v>
      </c>
      <c r="C2113" s="2">
        <v>41400</v>
      </c>
      <c r="D2113" t="s">
        <v>12</v>
      </c>
      <c r="E2113" s="2">
        <v>51800</v>
      </c>
      <c r="F2113" s="2">
        <v>174000</v>
      </c>
      <c r="G2113" t="s">
        <v>26</v>
      </c>
      <c r="H2113" t="s">
        <v>14</v>
      </c>
      <c r="I2113" t="s">
        <v>18</v>
      </c>
      <c r="J2113" s="3">
        <v>45301</v>
      </c>
      <c r="K2113" s="4">
        <f>ClientiBanca[[#This Row],[Prestito]]+ClientiBanca[[#This Row],[Mutuo]]</f>
        <v>225800</v>
      </c>
      <c r="L2113" t="str">
        <f>IF(ClientiBanca[[#This Row],[Reddito annuo]]&gt;=70000,"si","no")</f>
        <v>no</v>
      </c>
    </row>
    <row r="2114" spans="1:12">
      <c r="A2114">
        <v>102113</v>
      </c>
      <c r="B2114">
        <v>68</v>
      </c>
      <c r="C2114" s="2">
        <v>56000</v>
      </c>
      <c r="D2114" t="s">
        <v>21</v>
      </c>
      <c r="E2114" s="2">
        <v>60400</v>
      </c>
      <c r="F2114" s="2">
        <v>163000</v>
      </c>
      <c r="G2114" t="s">
        <v>28</v>
      </c>
      <c r="H2114" t="s">
        <v>20</v>
      </c>
      <c r="I2114" t="s">
        <v>18</v>
      </c>
      <c r="J2114" s="3">
        <v>45725</v>
      </c>
      <c r="K2114" s="4">
        <f>ClientiBanca[[#This Row],[Prestito]]+ClientiBanca[[#This Row],[Mutuo]]</f>
        <v>223400</v>
      </c>
      <c r="L2114" t="str">
        <f>IF(ClientiBanca[[#This Row],[Reddito annuo]]&gt;=70000,"si","no")</f>
        <v>no</v>
      </c>
    </row>
    <row r="2115" spans="1:12">
      <c r="A2115">
        <v>102114</v>
      </c>
      <c r="B2115">
        <v>57</v>
      </c>
      <c r="C2115" s="2">
        <v>119300</v>
      </c>
      <c r="D2115" t="s">
        <v>21</v>
      </c>
      <c r="E2115" s="2">
        <v>0</v>
      </c>
      <c r="F2115" s="2">
        <v>0</v>
      </c>
      <c r="G2115" t="s">
        <v>16</v>
      </c>
      <c r="H2115" t="s">
        <v>20</v>
      </c>
      <c r="I2115" t="s">
        <v>18</v>
      </c>
      <c r="J2115" s="3">
        <v>45867</v>
      </c>
      <c r="K2115" s="4">
        <f>ClientiBanca[[#This Row],[Prestito]]+ClientiBanca[[#This Row],[Mutuo]]</f>
        <v>0</v>
      </c>
      <c r="L2115" t="str">
        <f>IF(ClientiBanca[[#This Row],[Reddito annuo]]&gt;=70000,"si","no")</f>
        <v>si</v>
      </c>
    </row>
    <row r="2116" spans="1:12">
      <c r="A2116">
        <v>102115</v>
      </c>
      <c r="B2116">
        <v>20</v>
      </c>
      <c r="C2116" s="2">
        <v>63600</v>
      </c>
      <c r="D2116" t="s">
        <v>12</v>
      </c>
      <c r="E2116" s="2">
        <v>45000</v>
      </c>
      <c r="F2116" s="2">
        <v>0</v>
      </c>
      <c r="G2116" t="s">
        <v>19</v>
      </c>
      <c r="H2116" t="s">
        <v>17</v>
      </c>
      <c r="I2116" t="s">
        <v>18</v>
      </c>
      <c r="J2116" s="3">
        <v>45583</v>
      </c>
      <c r="K2116" s="4">
        <f>ClientiBanca[[#This Row],[Prestito]]+ClientiBanca[[#This Row],[Mutuo]]</f>
        <v>45000</v>
      </c>
      <c r="L2116" t="str">
        <f>IF(ClientiBanca[[#This Row],[Reddito annuo]]&gt;=70000,"si","no")</f>
        <v>no</v>
      </c>
    </row>
    <row r="2117" spans="1:12">
      <c r="A2117">
        <v>102116</v>
      </c>
      <c r="B2117">
        <v>45</v>
      </c>
      <c r="C2117" s="2">
        <v>45500</v>
      </c>
      <c r="D2117" t="s">
        <v>22</v>
      </c>
      <c r="E2117" s="2">
        <v>40200</v>
      </c>
      <c r="F2117" s="2">
        <v>0</v>
      </c>
      <c r="G2117" t="s">
        <v>26</v>
      </c>
      <c r="H2117" t="s">
        <v>20</v>
      </c>
      <c r="I2117" t="s">
        <v>18</v>
      </c>
      <c r="J2117" s="3">
        <v>45587</v>
      </c>
      <c r="K2117" s="4">
        <f>ClientiBanca[[#This Row],[Prestito]]+ClientiBanca[[#This Row],[Mutuo]]</f>
        <v>40200</v>
      </c>
      <c r="L2117" t="str">
        <f>IF(ClientiBanca[[#This Row],[Reddito annuo]]&gt;=70000,"si","no")</f>
        <v>no</v>
      </c>
    </row>
    <row r="2118" spans="1:12">
      <c r="A2118">
        <v>102117</v>
      </c>
      <c r="B2118">
        <v>73</v>
      </c>
      <c r="C2118" s="2">
        <v>56900</v>
      </c>
      <c r="D2118" t="s">
        <v>22</v>
      </c>
      <c r="E2118" s="2">
        <v>28300</v>
      </c>
      <c r="F2118" s="2">
        <v>0</v>
      </c>
      <c r="G2118" t="s">
        <v>13</v>
      </c>
      <c r="H2118" t="s">
        <v>25</v>
      </c>
      <c r="I2118" t="s">
        <v>18</v>
      </c>
      <c r="J2118" s="3">
        <v>45890</v>
      </c>
      <c r="K2118" s="4">
        <f>ClientiBanca[[#This Row],[Prestito]]+ClientiBanca[[#This Row],[Mutuo]]</f>
        <v>28300</v>
      </c>
      <c r="L2118" t="str">
        <f>IF(ClientiBanca[[#This Row],[Reddito annuo]]&gt;=70000,"si","no")</f>
        <v>no</v>
      </c>
    </row>
    <row r="2119" spans="1:12">
      <c r="A2119">
        <v>102118</v>
      </c>
      <c r="B2119">
        <v>54</v>
      </c>
      <c r="C2119" s="2">
        <v>26700</v>
      </c>
      <c r="D2119" t="s">
        <v>21</v>
      </c>
      <c r="E2119" s="2">
        <v>33400</v>
      </c>
      <c r="F2119" s="2">
        <v>0</v>
      </c>
      <c r="G2119" t="s">
        <v>16</v>
      </c>
      <c r="H2119" t="s">
        <v>25</v>
      </c>
      <c r="I2119" t="s">
        <v>18</v>
      </c>
      <c r="J2119" s="3">
        <v>45467</v>
      </c>
      <c r="K2119" s="4">
        <f>ClientiBanca[[#This Row],[Prestito]]+ClientiBanca[[#This Row],[Mutuo]]</f>
        <v>33400</v>
      </c>
      <c r="L2119" t="str">
        <f>IF(ClientiBanca[[#This Row],[Reddito annuo]]&gt;=70000,"si","no")</f>
        <v>no</v>
      </c>
    </row>
    <row r="2120" spans="1:12">
      <c r="A2120">
        <v>102119</v>
      </c>
      <c r="B2120">
        <v>27</v>
      </c>
      <c r="C2120" s="2">
        <v>89800</v>
      </c>
      <c r="D2120" t="s">
        <v>22</v>
      </c>
      <c r="E2120" s="2">
        <v>16000</v>
      </c>
      <c r="F2120" s="2">
        <v>0</v>
      </c>
      <c r="G2120" t="s">
        <v>16</v>
      </c>
      <c r="H2120" t="s">
        <v>20</v>
      </c>
      <c r="I2120" t="s">
        <v>18</v>
      </c>
      <c r="J2120" s="3">
        <v>46215</v>
      </c>
      <c r="K2120" s="4">
        <f>ClientiBanca[[#This Row],[Prestito]]+ClientiBanca[[#This Row],[Mutuo]]</f>
        <v>16000</v>
      </c>
      <c r="L2120" t="str">
        <f>IF(ClientiBanca[[#This Row],[Reddito annuo]]&gt;=70000,"si","no")</f>
        <v>si</v>
      </c>
    </row>
    <row r="2121" spans="1:12">
      <c r="A2121">
        <v>102120</v>
      </c>
      <c r="B2121">
        <v>23</v>
      </c>
      <c r="C2121" s="2">
        <v>25000</v>
      </c>
      <c r="D2121" t="s">
        <v>12</v>
      </c>
      <c r="E2121" s="2">
        <v>31200</v>
      </c>
      <c r="F2121" s="2">
        <v>0</v>
      </c>
      <c r="G2121" t="s">
        <v>13</v>
      </c>
      <c r="H2121" t="s">
        <v>14</v>
      </c>
      <c r="I2121" t="s">
        <v>15</v>
      </c>
      <c r="J2121" s="3">
        <v>46190</v>
      </c>
      <c r="K2121" s="4">
        <f>ClientiBanca[[#This Row],[Prestito]]+ClientiBanca[[#This Row],[Mutuo]]</f>
        <v>31200</v>
      </c>
      <c r="L2121" t="str">
        <f>IF(ClientiBanca[[#This Row],[Reddito annuo]]&gt;=70000,"si","no")</f>
        <v>no</v>
      </c>
    </row>
    <row r="2122" spans="1:12">
      <c r="A2122">
        <v>102121</v>
      </c>
      <c r="B2122">
        <v>54</v>
      </c>
      <c r="C2122" s="2">
        <v>65100</v>
      </c>
      <c r="D2122" t="s">
        <v>21</v>
      </c>
      <c r="E2122" s="2">
        <v>9600</v>
      </c>
      <c r="F2122" s="2">
        <v>0</v>
      </c>
      <c r="G2122" t="s">
        <v>23</v>
      </c>
      <c r="H2122" t="s">
        <v>17</v>
      </c>
      <c r="I2122" t="s">
        <v>18</v>
      </c>
      <c r="J2122" s="3">
        <v>45560</v>
      </c>
      <c r="K2122" s="4">
        <f>ClientiBanca[[#This Row],[Prestito]]+ClientiBanca[[#This Row],[Mutuo]]</f>
        <v>9600</v>
      </c>
      <c r="L2122" t="str">
        <f>IF(ClientiBanca[[#This Row],[Reddito annuo]]&gt;=70000,"si","no")</f>
        <v>no</v>
      </c>
    </row>
    <row r="2123" spans="1:12">
      <c r="A2123">
        <v>102122</v>
      </c>
      <c r="B2123">
        <v>73</v>
      </c>
      <c r="C2123" s="2">
        <v>92100</v>
      </c>
      <c r="D2123" t="s">
        <v>22</v>
      </c>
      <c r="E2123" s="2">
        <v>29200</v>
      </c>
      <c r="F2123" s="2">
        <v>0</v>
      </c>
      <c r="G2123" t="s">
        <v>27</v>
      </c>
      <c r="H2123" t="s">
        <v>20</v>
      </c>
      <c r="I2123" t="s">
        <v>18</v>
      </c>
      <c r="J2123" s="3">
        <v>46099</v>
      </c>
      <c r="K2123" s="4">
        <f>ClientiBanca[[#This Row],[Prestito]]+ClientiBanca[[#This Row],[Mutuo]]</f>
        <v>29200</v>
      </c>
      <c r="L2123" t="str">
        <f>IF(ClientiBanca[[#This Row],[Reddito annuo]]&gt;=70000,"si","no")</f>
        <v>si</v>
      </c>
    </row>
    <row r="2124" spans="1:12">
      <c r="A2124">
        <v>102123</v>
      </c>
      <c r="B2124">
        <v>43</v>
      </c>
      <c r="C2124" s="2">
        <v>101100</v>
      </c>
      <c r="D2124" t="s">
        <v>21</v>
      </c>
      <c r="E2124" s="2">
        <v>44900</v>
      </c>
      <c r="F2124" s="2">
        <v>0</v>
      </c>
      <c r="G2124" t="s">
        <v>16</v>
      </c>
      <c r="H2124" t="s">
        <v>20</v>
      </c>
      <c r="I2124" t="s">
        <v>18</v>
      </c>
      <c r="J2124" s="3">
        <v>46089</v>
      </c>
      <c r="K2124" s="4">
        <f>ClientiBanca[[#This Row],[Prestito]]+ClientiBanca[[#This Row],[Mutuo]]</f>
        <v>44900</v>
      </c>
      <c r="L2124" t="str">
        <f>IF(ClientiBanca[[#This Row],[Reddito annuo]]&gt;=70000,"si","no")</f>
        <v>si</v>
      </c>
    </row>
    <row r="2125" spans="1:12">
      <c r="A2125">
        <v>102124</v>
      </c>
      <c r="B2125">
        <v>58</v>
      </c>
      <c r="C2125" s="2">
        <v>50300</v>
      </c>
      <c r="D2125" t="s">
        <v>21</v>
      </c>
      <c r="E2125" s="2">
        <v>0</v>
      </c>
      <c r="F2125" s="2">
        <v>0</v>
      </c>
      <c r="G2125" t="s">
        <v>16</v>
      </c>
      <c r="H2125" t="s">
        <v>20</v>
      </c>
      <c r="I2125" t="s">
        <v>18</v>
      </c>
      <c r="J2125" s="3">
        <v>45863</v>
      </c>
      <c r="K2125" s="4">
        <f>ClientiBanca[[#This Row],[Prestito]]+ClientiBanca[[#This Row],[Mutuo]]</f>
        <v>0</v>
      </c>
      <c r="L2125" t="str">
        <f>IF(ClientiBanca[[#This Row],[Reddito annuo]]&gt;=70000,"si","no")</f>
        <v>no</v>
      </c>
    </row>
    <row r="2126" spans="1:12">
      <c r="A2126">
        <v>102125</v>
      </c>
      <c r="B2126">
        <v>36</v>
      </c>
      <c r="C2126" s="2">
        <v>82100</v>
      </c>
      <c r="D2126" t="s">
        <v>21</v>
      </c>
      <c r="E2126" s="2">
        <v>36100</v>
      </c>
      <c r="F2126" s="2">
        <v>0</v>
      </c>
      <c r="G2126" t="s">
        <v>26</v>
      </c>
      <c r="H2126" t="s">
        <v>20</v>
      </c>
      <c r="I2126" t="s">
        <v>18</v>
      </c>
      <c r="J2126" s="3">
        <v>45806</v>
      </c>
      <c r="K2126" s="4">
        <f>ClientiBanca[[#This Row],[Prestito]]+ClientiBanca[[#This Row],[Mutuo]]</f>
        <v>36100</v>
      </c>
      <c r="L2126" t="str">
        <f>IF(ClientiBanca[[#This Row],[Reddito annuo]]&gt;=70000,"si","no")</f>
        <v>si</v>
      </c>
    </row>
    <row r="2127" spans="1:12">
      <c r="A2127">
        <v>102126</v>
      </c>
      <c r="B2127">
        <v>68</v>
      </c>
      <c r="C2127" s="2">
        <v>58400</v>
      </c>
      <c r="D2127" t="s">
        <v>12</v>
      </c>
      <c r="E2127" s="2">
        <v>14900</v>
      </c>
      <c r="F2127" s="2">
        <v>0</v>
      </c>
      <c r="G2127" t="s">
        <v>16</v>
      </c>
      <c r="H2127" t="s">
        <v>14</v>
      </c>
      <c r="I2127" t="s">
        <v>18</v>
      </c>
      <c r="J2127" s="3">
        <v>45323</v>
      </c>
      <c r="K2127" s="4">
        <f>ClientiBanca[[#This Row],[Prestito]]+ClientiBanca[[#This Row],[Mutuo]]</f>
        <v>14900</v>
      </c>
      <c r="L2127" t="str">
        <f>IF(ClientiBanca[[#This Row],[Reddito annuo]]&gt;=70000,"si","no")</f>
        <v>no</v>
      </c>
    </row>
    <row r="2128" spans="1:12">
      <c r="A2128">
        <v>102127</v>
      </c>
      <c r="B2128">
        <v>27</v>
      </c>
      <c r="C2128" s="2">
        <v>69700</v>
      </c>
      <c r="D2128" t="s">
        <v>21</v>
      </c>
      <c r="E2128" s="2">
        <v>45500</v>
      </c>
      <c r="F2128" s="2">
        <v>164000</v>
      </c>
      <c r="G2128" t="s">
        <v>26</v>
      </c>
      <c r="H2128" t="s">
        <v>17</v>
      </c>
      <c r="I2128" t="s">
        <v>18</v>
      </c>
      <c r="J2128" s="3">
        <v>45426</v>
      </c>
      <c r="K2128" s="4">
        <f>ClientiBanca[[#This Row],[Prestito]]+ClientiBanca[[#This Row],[Mutuo]]</f>
        <v>209500</v>
      </c>
      <c r="L2128" t="str">
        <f>IF(ClientiBanca[[#This Row],[Reddito annuo]]&gt;=70000,"si","no")</f>
        <v>no</v>
      </c>
    </row>
    <row r="2129" spans="1:12">
      <c r="A2129">
        <v>102128</v>
      </c>
      <c r="B2129">
        <v>58</v>
      </c>
      <c r="C2129" s="2">
        <v>66800</v>
      </c>
      <c r="D2129" t="s">
        <v>21</v>
      </c>
      <c r="E2129" s="2">
        <v>43900</v>
      </c>
      <c r="F2129" s="2">
        <v>0</v>
      </c>
      <c r="G2129" t="s">
        <v>16</v>
      </c>
      <c r="H2129" t="s">
        <v>14</v>
      </c>
      <c r="I2129" t="s">
        <v>18</v>
      </c>
      <c r="J2129" s="3">
        <v>45600</v>
      </c>
      <c r="K2129" s="4">
        <f>ClientiBanca[[#This Row],[Prestito]]+ClientiBanca[[#This Row],[Mutuo]]</f>
        <v>43900</v>
      </c>
      <c r="L2129" t="str">
        <f>IF(ClientiBanca[[#This Row],[Reddito annuo]]&gt;=70000,"si","no")</f>
        <v>no</v>
      </c>
    </row>
    <row r="2130" spans="1:12">
      <c r="A2130">
        <v>102129</v>
      </c>
      <c r="B2130">
        <v>22</v>
      </c>
      <c r="C2130" s="2">
        <v>51700</v>
      </c>
      <c r="D2130" t="s">
        <v>12</v>
      </c>
      <c r="E2130" s="2">
        <v>24500</v>
      </c>
      <c r="F2130" s="2">
        <v>0</v>
      </c>
      <c r="G2130" t="s">
        <v>16</v>
      </c>
      <c r="H2130" t="s">
        <v>14</v>
      </c>
      <c r="I2130" t="s">
        <v>18</v>
      </c>
      <c r="J2130" s="3">
        <v>46246</v>
      </c>
      <c r="K2130" s="4">
        <f>ClientiBanca[[#This Row],[Prestito]]+ClientiBanca[[#This Row],[Mutuo]]</f>
        <v>24500</v>
      </c>
      <c r="L2130" t="str">
        <f>IF(ClientiBanca[[#This Row],[Reddito annuo]]&gt;=70000,"si","no")</f>
        <v>no</v>
      </c>
    </row>
    <row r="2131" spans="1:12">
      <c r="A2131">
        <v>102130</v>
      </c>
      <c r="B2131">
        <v>47</v>
      </c>
      <c r="C2131" s="2">
        <v>82200</v>
      </c>
      <c r="D2131" t="s">
        <v>21</v>
      </c>
      <c r="E2131" s="2">
        <v>0</v>
      </c>
      <c r="F2131" s="2">
        <v>78000</v>
      </c>
      <c r="G2131" t="s">
        <v>23</v>
      </c>
      <c r="H2131" t="s">
        <v>20</v>
      </c>
      <c r="I2131" t="s">
        <v>18</v>
      </c>
      <c r="J2131" s="3">
        <v>45942</v>
      </c>
      <c r="K2131" s="4">
        <f>ClientiBanca[[#This Row],[Prestito]]+ClientiBanca[[#This Row],[Mutuo]]</f>
        <v>78000</v>
      </c>
      <c r="L2131" t="str">
        <f>IF(ClientiBanca[[#This Row],[Reddito annuo]]&gt;=70000,"si","no")</f>
        <v>si</v>
      </c>
    </row>
    <row r="2132" spans="1:12">
      <c r="A2132">
        <v>102131</v>
      </c>
      <c r="B2132">
        <v>61</v>
      </c>
      <c r="C2132" s="2">
        <v>72100</v>
      </c>
      <c r="D2132" t="s">
        <v>21</v>
      </c>
      <c r="E2132" s="2">
        <v>33700</v>
      </c>
      <c r="F2132" s="2">
        <v>0</v>
      </c>
      <c r="G2132" t="s">
        <v>16</v>
      </c>
      <c r="H2132" t="s">
        <v>17</v>
      </c>
      <c r="I2132" t="s">
        <v>18</v>
      </c>
      <c r="J2132" s="3">
        <v>46096</v>
      </c>
      <c r="K2132" s="4">
        <f>ClientiBanca[[#This Row],[Prestito]]+ClientiBanca[[#This Row],[Mutuo]]</f>
        <v>33700</v>
      </c>
      <c r="L2132" t="str">
        <f>IF(ClientiBanca[[#This Row],[Reddito annuo]]&gt;=70000,"si","no")</f>
        <v>si</v>
      </c>
    </row>
    <row r="2133" spans="1:12">
      <c r="A2133">
        <v>102132</v>
      </c>
      <c r="B2133">
        <v>40</v>
      </c>
      <c r="C2133" s="2">
        <v>51300</v>
      </c>
      <c r="D2133" t="s">
        <v>21</v>
      </c>
      <c r="E2133" s="2">
        <v>17500</v>
      </c>
      <c r="F2133" s="2">
        <v>0</v>
      </c>
      <c r="G2133" t="s">
        <v>23</v>
      </c>
      <c r="H2133" t="s">
        <v>17</v>
      </c>
      <c r="I2133" t="s">
        <v>18</v>
      </c>
      <c r="J2133" s="3">
        <v>45792</v>
      </c>
      <c r="K2133" s="4">
        <f>ClientiBanca[[#This Row],[Prestito]]+ClientiBanca[[#This Row],[Mutuo]]</f>
        <v>17500</v>
      </c>
      <c r="L2133" t="str">
        <f>IF(ClientiBanca[[#This Row],[Reddito annuo]]&gt;=70000,"si","no")</f>
        <v>no</v>
      </c>
    </row>
    <row r="2134" spans="1:12">
      <c r="A2134">
        <v>102133</v>
      </c>
      <c r="B2134">
        <v>73</v>
      </c>
      <c r="C2134" s="2">
        <v>32800</v>
      </c>
      <c r="D2134" t="s">
        <v>21</v>
      </c>
      <c r="E2134" s="2">
        <v>25700</v>
      </c>
      <c r="F2134" s="2">
        <v>256000</v>
      </c>
      <c r="G2134" t="s">
        <v>27</v>
      </c>
      <c r="H2134" t="s">
        <v>20</v>
      </c>
      <c r="I2134" t="s">
        <v>18</v>
      </c>
      <c r="J2134" s="3">
        <v>45422</v>
      </c>
      <c r="K2134" s="4">
        <f>ClientiBanca[[#This Row],[Prestito]]+ClientiBanca[[#This Row],[Mutuo]]</f>
        <v>281700</v>
      </c>
      <c r="L2134" t="str">
        <f>IF(ClientiBanca[[#This Row],[Reddito annuo]]&gt;=70000,"si","no")</f>
        <v>no</v>
      </c>
    </row>
    <row r="2135" spans="1:12">
      <c r="A2135">
        <v>102134</v>
      </c>
      <c r="B2135">
        <v>62</v>
      </c>
      <c r="C2135" s="2">
        <v>40300</v>
      </c>
      <c r="D2135" t="s">
        <v>21</v>
      </c>
      <c r="E2135" s="2">
        <v>0</v>
      </c>
      <c r="F2135" s="2">
        <v>0</v>
      </c>
      <c r="G2135" t="s">
        <v>28</v>
      </c>
      <c r="H2135" t="s">
        <v>17</v>
      </c>
      <c r="I2135" t="s">
        <v>18</v>
      </c>
      <c r="J2135" s="3">
        <v>46089</v>
      </c>
      <c r="K2135" s="4">
        <f>ClientiBanca[[#This Row],[Prestito]]+ClientiBanca[[#This Row],[Mutuo]]</f>
        <v>0</v>
      </c>
      <c r="L2135" t="str">
        <f>IF(ClientiBanca[[#This Row],[Reddito annuo]]&gt;=70000,"si","no")</f>
        <v>no</v>
      </c>
    </row>
    <row r="2136" spans="1:12">
      <c r="A2136">
        <v>102135</v>
      </c>
      <c r="B2136">
        <v>60</v>
      </c>
      <c r="C2136" s="2">
        <v>37600</v>
      </c>
      <c r="D2136" t="s">
        <v>22</v>
      </c>
      <c r="E2136" s="2">
        <v>29700</v>
      </c>
      <c r="F2136" s="2">
        <v>0</v>
      </c>
      <c r="G2136" t="s">
        <v>23</v>
      </c>
      <c r="H2136" t="s">
        <v>14</v>
      </c>
      <c r="I2136" t="s">
        <v>18</v>
      </c>
      <c r="J2136" s="3">
        <v>46021</v>
      </c>
      <c r="K2136" s="4">
        <f>ClientiBanca[[#This Row],[Prestito]]+ClientiBanca[[#This Row],[Mutuo]]</f>
        <v>29700</v>
      </c>
      <c r="L2136" t="str">
        <f>IF(ClientiBanca[[#This Row],[Reddito annuo]]&gt;=70000,"si","no")</f>
        <v>no</v>
      </c>
    </row>
    <row r="2137" spans="1:12">
      <c r="A2137">
        <v>102136</v>
      </c>
      <c r="B2137">
        <v>63</v>
      </c>
      <c r="C2137" s="2">
        <v>48200</v>
      </c>
      <c r="D2137" t="s">
        <v>21</v>
      </c>
      <c r="E2137" s="2">
        <v>44200</v>
      </c>
      <c r="F2137" s="2">
        <v>301000</v>
      </c>
      <c r="G2137" t="s">
        <v>24</v>
      </c>
      <c r="H2137" t="s">
        <v>17</v>
      </c>
      <c r="I2137" t="s">
        <v>18</v>
      </c>
      <c r="J2137" s="3">
        <v>45707</v>
      </c>
      <c r="K2137" s="4">
        <f>ClientiBanca[[#This Row],[Prestito]]+ClientiBanca[[#This Row],[Mutuo]]</f>
        <v>345200</v>
      </c>
      <c r="L2137" t="str">
        <f>IF(ClientiBanca[[#This Row],[Reddito annuo]]&gt;=70000,"si","no")</f>
        <v>no</v>
      </c>
    </row>
    <row r="2138" spans="1:12">
      <c r="A2138">
        <v>102137</v>
      </c>
      <c r="B2138">
        <v>27</v>
      </c>
      <c r="C2138" s="2">
        <v>115100</v>
      </c>
      <c r="D2138" t="s">
        <v>21</v>
      </c>
      <c r="E2138" s="2">
        <v>12900</v>
      </c>
      <c r="F2138" s="2">
        <v>176000</v>
      </c>
      <c r="G2138" t="s">
        <v>27</v>
      </c>
      <c r="H2138" t="s">
        <v>17</v>
      </c>
      <c r="I2138" t="s">
        <v>18</v>
      </c>
      <c r="J2138" s="3">
        <v>45663</v>
      </c>
      <c r="K2138" s="4">
        <f>ClientiBanca[[#This Row],[Prestito]]+ClientiBanca[[#This Row],[Mutuo]]</f>
        <v>188900</v>
      </c>
      <c r="L2138" t="str">
        <f>IF(ClientiBanca[[#This Row],[Reddito annuo]]&gt;=70000,"si","no")</f>
        <v>si</v>
      </c>
    </row>
    <row r="2139" spans="1:12">
      <c r="A2139">
        <v>102138</v>
      </c>
      <c r="B2139">
        <v>39</v>
      </c>
      <c r="C2139" s="2">
        <v>67200</v>
      </c>
      <c r="D2139" t="s">
        <v>21</v>
      </c>
      <c r="E2139" s="2">
        <v>22000</v>
      </c>
      <c r="F2139" s="2">
        <v>181000</v>
      </c>
      <c r="G2139" t="s">
        <v>23</v>
      </c>
      <c r="H2139" t="s">
        <v>17</v>
      </c>
      <c r="I2139" t="s">
        <v>18</v>
      </c>
      <c r="J2139" s="3">
        <v>45740</v>
      </c>
      <c r="K2139" s="4">
        <f>ClientiBanca[[#This Row],[Prestito]]+ClientiBanca[[#This Row],[Mutuo]]</f>
        <v>203000</v>
      </c>
      <c r="L2139" t="str">
        <f>IF(ClientiBanca[[#This Row],[Reddito annuo]]&gt;=70000,"si","no")</f>
        <v>no</v>
      </c>
    </row>
    <row r="2140" spans="1:12">
      <c r="A2140">
        <v>102139</v>
      </c>
      <c r="B2140">
        <v>75</v>
      </c>
      <c r="C2140" s="2">
        <v>61900</v>
      </c>
      <c r="D2140" t="s">
        <v>12</v>
      </c>
      <c r="E2140" s="2">
        <v>0</v>
      </c>
      <c r="F2140" s="2">
        <v>282000</v>
      </c>
      <c r="G2140" t="s">
        <v>28</v>
      </c>
      <c r="H2140" t="s">
        <v>20</v>
      </c>
      <c r="I2140" t="s">
        <v>18</v>
      </c>
      <c r="J2140" s="3">
        <v>45886</v>
      </c>
      <c r="K2140" s="4">
        <f>ClientiBanca[[#This Row],[Prestito]]+ClientiBanca[[#This Row],[Mutuo]]</f>
        <v>282000</v>
      </c>
      <c r="L2140" t="str">
        <f>IF(ClientiBanca[[#This Row],[Reddito annuo]]&gt;=70000,"si","no")</f>
        <v>no</v>
      </c>
    </row>
    <row r="2141" spans="1:12">
      <c r="A2141">
        <v>102140</v>
      </c>
      <c r="B2141">
        <v>39</v>
      </c>
      <c r="C2141" s="2">
        <v>75800</v>
      </c>
      <c r="D2141" t="s">
        <v>22</v>
      </c>
      <c r="E2141" s="2">
        <v>21500</v>
      </c>
      <c r="F2141" s="2">
        <v>0</v>
      </c>
      <c r="G2141" t="s">
        <v>23</v>
      </c>
      <c r="H2141" t="s">
        <v>20</v>
      </c>
      <c r="I2141" t="s">
        <v>18</v>
      </c>
      <c r="J2141" s="3">
        <v>45814</v>
      </c>
      <c r="K2141" s="4">
        <f>ClientiBanca[[#This Row],[Prestito]]+ClientiBanca[[#This Row],[Mutuo]]</f>
        <v>21500</v>
      </c>
      <c r="L2141" t="str">
        <f>IF(ClientiBanca[[#This Row],[Reddito annuo]]&gt;=70000,"si","no")</f>
        <v>si</v>
      </c>
    </row>
    <row r="2142" spans="1:12">
      <c r="A2142">
        <v>102141</v>
      </c>
      <c r="B2142">
        <v>54</v>
      </c>
      <c r="C2142" s="2">
        <v>27000</v>
      </c>
      <c r="D2142" t="s">
        <v>21</v>
      </c>
      <c r="E2142" s="2">
        <v>29400</v>
      </c>
      <c r="F2142" s="2">
        <v>0</v>
      </c>
      <c r="G2142" t="s">
        <v>13</v>
      </c>
      <c r="H2142" t="s">
        <v>14</v>
      </c>
      <c r="I2142" t="s">
        <v>18</v>
      </c>
      <c r="J2142" s="3">
        <v>45951</v>
      </c>
      <c r="K2142" s="4">
        <f>ClientiBanca[[#This Row],[Prestito]]+ClientiBanca[[#This Row],[Mutuo]]</f>
        <v>29400</v>
      </c>
      <c r="L2142" t="str">
        <f>IF(ClientiBanca[[#This Row],[Reddito annuo]]&gt;=70000,"si","no")</f>
        <v>no</v>
      </c>
    </row>
    <row r="2143" spans="1:12">
      <c r="A2143">
        <v>102142</v>
      </c>
      <c r="B2143">
        <v>53</v>
      </c>
      <c r="C2143" s="2">
        <v>101600</v>
      </c>
      <c r="D2143" t="s">
        <v>22</v>
      </c>
      <c r="E2143" s="2">
        <v>9300</v>
      </c>
      <c r="F2143" s="2">
        <v>0</v>
      </c>
      <c r="G2143" t="s">
        <v>24</v>
      </c>
      <c r="H2143" t="s">
        <v>17</v>
      </c>
      <c r="I2143" t="s">
        <v>18</v>
      </c>
      <c r="J2143" s="3">
        <v>45653</v>
      </c>
      <c r="K2143" s="4">
        <f>ClientiBanca[[#This Row],[Prestito]]+ClientiBanca[[#This Row],[Mutuo]]</f>
        <v>9300</v>
      </c>
      <c r="L2143" t="str">
        <f>IF(ClientiBanca[[#This Row],[Reddito annuo]]&gt;=70000,"si","no")</f>
        <v>si</v>
      </c>
    </row>
    <row r="2144" spans="1:12">
      <c r="A2144">
        <v>102143</v>
      </c>
      <c r="B2144">
        <v>70</v>
      </c>
      <c r="C2144" s="2">
        <v>39600</v>
      </c>
      <c r="D2144" t="s">
        <v>12</v>
      </c>
      <c r="E2144" s="2">
        <v>22700</v>
      </c>
      <c r="F2144" s="2">
        <v>0</v>
      </c>
      <c r="G2144" t="s">
        <v>24</v>
      </c>
      <c r="H2144" t="s">
        <v>17</v>
      </c>
      <c r="I2144" t="s">
        <v>18</v>
      </c>
      <c r="J2144" s="3">
        <v>45477</v>
      </c>
      <c r="K2144" s="4">
        <f>ClientiBanca[[#This Row],[Prestito]]+ClientiBanca[[#This Row],[Mutuo]]</f>
        <v>22700</v>
      </c>
      <c r="L2144" t="str">
        <f>IF(ClientiBanca[[#This Row],[Reddito annuo]]&gt;=70000,"si","no")</f>
        <v>no</v>
      </c>
    </row>
    <row r="2145" spans="1:12">
      <c r="A2145">
        <v>102144</v>
      </c>
      <c r="B2145">
        <v>27</v>
      </c>
      <c r="C2145" s="2">
        <v>56100</v>
      </c>
      <c r="D2145" t="s">
        <v>21</v>
      </c>
      <c r="E2145" s="2">
        <v>43600</v>
      </c>
      <c r="F2145" s="2">
        <v>0</v>
      </c>
      <c r="G2145" t="s">
        <v>23</v>
      </c>
      <c r="H2145" t="s">
        <v>17</v>
      </c>
      <c r="I2145" t="s">
        <v>18</v>
      </c>
      <c r="J2145" s="3">
        <v>45816</v>
      </c>
      <c r="K2145" s="4">
        <f>ClientiBanca[[#This Row],[Prestito]]+ClientiBanca[[#This Row],[Mutuo]]</f>
        <v>43600</v>
      </c>
      <c r="L2145" t="str">
        <f>IF(ClientiBanca[[#This Row],[Reddito annuo]]&gt;=70000,"si","no")</f>
        <v>no</v>
      </c>
    </row>
    <row r="2146" spans="1:12">
      <c r="A2146">
        <v>102145</v>
      </c>
      <c r="B2146">
        <v>23</v>
      </c>
      <c r="C2146" s="2">
        <v>34500</v>
      </c>
      <c r="D2146" t="s">
        <v>12</v>
      </c>
      <c r="E2146" s="2">
        <v>29600</v>
      </c>
      <c r="F2146" s="2">
        <v>0</v>
      </c>
      <c r="G2146" t="s">
        <v>26</v>
      </c>
      <c r="H2146" t="s">
        <v>17</v>
      </c>
      <c r="I2146" t="s">
        <v>18</v>
      </c>
      <c r="J2146" s="3">
        <v>45381</v>
      </c>
      <c r="K2146" s="4">
        <f>ClientiBanca[[#This Row],[Prestito]]+ClientiBanca[[#This Row],[Mutuo]]</f>
        <v>29600</v>
      </c>
      <c r="L2146" t="str">
        <f>IF(ClientiBanca[[#This Row],[Reddito annuo]]&gt;=70000,"si","no")</f>
        <v>no</v>
      </c>
    </row>
    <row r="2147" spans="1:12">
      <c r="A2147">
        <v>102146</v>
      </c>
      <c r="B2147">
        <v>67</v>
      </c>
      <c r="C2147" s="2">
        <v>58400</v>
      </c>
      <c r="D2147" t="s">
        <v>12</v>
      </c>
      <c r="E2147" s="2">
        <v>0</v>
      </c>
      <c r="F2147" s="2">
        <v>0</v>
      </c>
      <c r="G2147" t="s">
        <v>16</v>
      </c>
      <c r="H2147" t="s">
        <v>17</v>
      </c>
      <c r="I2147" t="s">
        <v>18</v>
      </c>
      <c r="J2147" s="3">
        <v>45358</v>
      </c>
      <c r="K2147" s="4">
        <f>ClientiBanca[[#This Row],[Prestito]]+ClientiBanca[[#This Row],[Mutuo]]</f>
        <v>0</v>
      </c>
      <c r="L2147" t="str">
        <f>IF(ClientiBanca[[#This Row],[Reddito annuo]]&gt;=70000,"si","no")</f>
        <v>no</v>
      </c>
    </row>
    <row r="2148" spans="1:12">
      <c r="A2148">
        <v>102147</v>
      </c>
      <c r="B2148">
        <v>39</v>
      </c>
      <c r="C2148" s="2">
        <v>42600</v>
      </c>
      <c r="D2148" t="s">
        <v>12</v>
      </c>
      <c r="E2148" s="2">
        <v>39900</v>
      </c>
      <c r="F2148" s="2">
        <v>0</v>
      </c>
      <c r="G2148" t="s">
        <v>16</v>
      </c>
      <c r="H2148" t="s">
        <v>14</v>
      </c>
      <c r="I2148" t="s">
        <v>18</v>
      </c>
      <c r="J2148" s="3">
        <v>46219</v>
      </c>
      <c r="K2148" s="4">
        <f>ClientiBanca[[#This Row],[Prestito]]+ClientiBanca[[#This Row],[Mutuo]]</f>
        <v>39900</v>
      </c>
      <c r="L2148" t="str">
        <f>IF(ClientiBanca[[#This Row],[Reddito annuo]]&gt;=70000,"si","no")</f>
        <v>no</v>
      </c>
    </row>
    <row r="2149" spans="1:12">
      <c r="A2149">
        <v>102148</v>
      </c>
      <c r="B2149">
        <v>41</v>
      </c>
      <c r="C2149" s="2">
        <v>29900</v>
      </c>
      <c r="D2149" t="s">
        <v>12</v>
      </c>
      <c r="E2149" s="2">
        <v>8400</v>
      </c>
      <c r="F2149" s="2">
        <v>104000</v>
      </c>
      <c r="G2149" t="s">
        <v>19</v>
      </c>
      <c r="H2149" t="s">
        <v>17</v>
      </c>
      <c r="I2149" t="s">
        <v>18</v>
      </c>
      <c r="J2149" s="3">
        <v>45836</v>
      </c>
      <c r="K2149" s="4">
        <f>ClientiBanca[[#This Row],[Prestito]]+ClientiBanca[[#This Row],[Mutuo]]</f>
        <v>112400</v>
      </c>
      <c r="L2149" t="str">
        <f>IF(ClientiBanca[[#This Row],[Reddito annuo]]&gt;=70000,"si","no")</f>
        <v>no</v>
      </c>
    </row>
    <row r="2150" spans="1:12">
      <c r="A2150">
        <v>102149</v>
      </c>
      <c r="B2150">
        <v>34</v>
      </c>
      <c r="C2150" s="2">
        <v>89400</v>
      </c>
      <c r="D2150" t="s">
        <v>12</v>
      </c>
      <c r="E2150" s="2">
        <v>13600</v>
      </c>
      <c r="F2150" s="2">
        <v>229000</v>
      </c>
      <c r="G2150" t="s">
        <v>26</v>
      </c>
      <c r="H2150" t="s">
        <v>14</v>
      </c>
      <c r="I2150" t="s">
        <v>18</v>
      </c>
      <c r="J2150" s="3">
        <v>45593</v>
      </c>
      <c r="K2150" s="4">
        <f>ClientiBanca[[#This Row],[Prestito]]+ClientiBanca[[#This Row],[Mutuo]]</f>
        <v>242600</v>
      </c>
      <c r="L2150" t="str">
        <f>IF(ClientiBanca[[#This Row],[Reddito annuo]]&gt;=70000,"si","no")</f>
        <v>si</v>
      </c>
    </row>
    <row r="2151" spans="1:12">
      <c r="A2151">
        <v>102150</v>
      </c>
      <c r="B2151">
        <v>44</v>
      </c>
      <c r="C2151" s="2">
        <v>45600</v>
      </c>
      <c r="D2151" t="s">
        <v>22</v>
      </c>
      <c r="E2151" s="2">
        <v>0</v>
      </c>
      <c r="F2151" s="2">
        <v>0</v>
      </c>
      <c r="G2151" t="s">
        <v>28</v>
      </c>
      <c r="H2151" t="s">
        <v>17</v>
      </c>
      <c r="I2151" t="s">
        <v>18</v>
      </c>
      <c r="J2151" s="3">
        <v>45740</v>
      </c>
      <c r="K2151" s="4">
        <f>ClientiBanca[[#This Row],[Prestito]]+ClientiBanca[[#This Row],[Mutuo]]</f>
        <v>0</v>
      </c>
      <c r="L2151" t="str">
        <f>IF(ClientiBanca[[#This Row],[Reddito annuo]]&gt;=70000,"si","no")</f>
        <v>no</v>
      </c>
    </row>
    <row r="2152" spans="1:12">
      <c r="A2152">
        <v>102151</v>
      </c>
      <c r="B2152">
        <v>30</v>
      </c>
      <c r="C2152" s="2">
        <v>64200</v>
      </c>
      <c r="D2152" t="s">
        <v>22</v>
      </c>
      <c r="E2152" s="2">
        <v>0</v>
      </c>
      <c r="F2152" s="2">
        <v>0</v>
      </c>
      <c r="G2152" t="s">
        <v>19</v>
      </c>
      <c r="H2152" t="s">
        <v>17</v>
      </c>
      <c r="I2152" t="s">
        <v>18</v>
      </c>
      <c r="J2152" s="3">
        <v>45876</v>
      </c>
      <c r="K2152" s="4">
        <f>ClientiBanca[[#This Row],[Prestito]]+ClientiBanca[[#This Row],[Mutuo]]</f>
        <v>0</v>
      </c>
      <c r="L2152" t="str">
        <f>IF(ClientiBanca[[#This Row],[Reddito annuo]]&gt;=70000,"si","no")</f>
        <v>no</v>
      </c>
    </row>
    <row r="2153" spans="1:12">
      <c r="A2153">
        <v>102152</v>
      </c>
      <c r="B2153">
        <v>42</v>
      </c>
      <c r="C2153" s="2">
        <v>80800</v>
      </c>
      <c r="D2153" t="s">
        <v>21</v>
      </c>
      <c r="E2153" s="2">
        <v>14500</v>
      </c>
      <c r="F2153" s="2">
        <v>0</v>
      </c>
      <c r="G2153" t="s">
        <v>24</v>
      </c>
      <c r="H2153" t="s">
        <v>20</v>
      </c>
      <c r="I2153" t="s">
        <v>18</v>
      </c>
      <c r="J2153" s="3">
        <v>45889</v>
      </c>
      <c r="K2153" s="4">
        <f>ClientiBanca[[#This Row],[Prestito]]+ClientiBanca[[#This Row],[Mutuo]]</f>
        <v>14500</v>
      </c>
      <c r="L2153" t="str">
        <f>IF(ClientiBanca[[#This Row],[Reddito annuo]]&gt;=70000,"si","no")</f>
        <v>si</v>
      </c>
    </row>
    <row r="2154" spans="1:12">
      <c r="A2154">
        <v>102153</v>
      </c>
      <c r="B2154">
        <v>49</v>
      </c>
      <c r="C2154" s="2">
        <v>78500</v>
      </c>
      <c r="D2154" t="s">
        <v>12</v>
      </c>
      <c r="E2154" s="2">
        <v>0</v>
      </c>
      <c r="F2154" s="2">
        <v>0</v>
      </c>
      <c r="G2154" t="s">
        <v>13</v>
      </c>
      <c r="H2154" t="s">
        <v>14</v>
      </c>
      <c r="I2154" t="s">
        <v>18</v>
      </c>
      <c r="J2154" s="3">
        <v>45598</v>
      </c>
      <c r="K2154" s="4">
        <f>ClientiBanca[[#This Row],[Prestito]]+ClientiBanca[[#This Row],[Mutuo]]</f>
        <v>0</v>
      </c>
      <c r="L2154" t="str">
        <f>IF(ClientiBanca[[#This Row],[Reddito annuo]]&gt;=70000,"si","no")</f>
        <v>si</v>
      </c>
    </row>
    <row r="2155" spans="1:12">
      <c r="A2155">
        <v>102154</v>
      </c>
      <c r="B2155">
        <v>53</v>
      </c>
      <c r="C2155" s="2">
        <v>62700</v>
      </c>
      <c r="D2155" t="s">
        <v>12</v>
      </c>
      <c r="E2155" s="2">
        <v>0</v>
      </c>
      <c r="F2155" s="2">
        <v>0</v>
      </c>
      <c r="G2155" t="s">
        <v>13</v>
      </c>
      <c r="H2155" t="s">
        <v>17</v>
      </c>
      <c r="I2155" t="s">
        <v>18</v>
      </c>
      <c r="J2155" s="3">
        <v>46240</v>
      </c>
      <c r="K2155" s="4">
        <f>ClientiBanca[[#This Row],[Prestito]]+ClientiBanca[[#This Row],[Mutuo]]</f>
        <v>0</v>
      </c>
      <c r="L2155" t="str">
        <f>IF(ClientiBanca[[#This Row],[Reddito annuo]]&gt;=70000,"si","no")</f>
        <v>no</v>
      </c>
    </row>
    <row r="2156" spans="1:12">
      <c r="A2156">
        <v>102155</v>
      </c>
      <c r="B2156">
        <v>41</v>
      </c>
      <c r="C2156" s="2">
        <v>80400</v>
      </c>
      <c r="D2156" t="s">
        <v>12</v>
      </c>
      <c r="E2156" s="2">
        <v>0</v>
      </c>
      <c r="F2156" s="2">
        <v>174000</v>
      </c>
      <c r="G2156" t="s">
        <v>13</v>
      </c>
      <c r="H2156" t="s">
        <v>17</v>
      </c>
      <c r="I2156" t="s">
        <v>18</v>
      </c>
      <c r="J2156" s="3">
        <v>46105</v>
      </c>
      <c r="K2156" s="4">
        <f>ClientiBanca[[#This Row],[Prestito]]+ClientiBanca[[#This Row],[Mutuo]]</f>
        <v>174000</v>
      </c>
      <c r="L2156" t="str">
        <f>IF(ClientiBanca[[#This Row],[Reddito annuo]]&gt;=70000,"si","no")</f>
        <v>si</v>
      </c>
    </row>
    <row r="2157" spans="1:12">
      <c r="A2157">
        <v>102156</v>
      </c>
      <c r="B2157">
        <v>33</v>
      </c>
      <c r="C2157" s="2">
        <v>54700</v>
      </c>
      <c r="D2157" t="s">
        <v>12</v>
      </c>
      <c r="E2157" s="2">
        <v>68400</v>
      </c>
      <c r="F2157" s="2">
        <v>0</v>
      </c>
      <c r="G2157" t="s">
        <v>13</v>
      </c>
      <c r="H2157" t="s">
        <v>20</v>
      </c>
      <c r="I2157" t="s">
        <v>18</v>
      </c>
      <c r="J2157" s="3">
        <v>45945</v>
      </c>
      <c r="K2157" s="4">
        <f>ClientiBanca[[#This Row],[Prestito]]+ClientiBanca[[#This Row],[Mutuo]]</f>
        <v>68400</v>
      </c>
      <c r="L2157" t="str">
        <f>IF(ClientiBanca[[#This Row],[Reddito annuo]]&gt;=70000,"si","no")</f>
        <v>no</v>
      </c>
    </row>
    <row r="2158" spans="1:12">
      <c r="A2158">
        <v>102157</v>
      </c>
      <c r="B2158">
        <v>21</v>
      </c>
      <c r="C2158" s="2">
        <v>41800</v>
      </c>
      <c r="D2158" t="s">
        <v>12</v>
      </c>
      <c r="E2158" s="2">
        <v>0</v>
      </c>
      <c r="F2158" s="2">
        <v>0</v>
      </c>
      <c r="G2158" t="s">
        <v>13</v>
      </c>
      <c r="H2158" t="s">
        <v>14</v>
      </c>
      <c r="I2158" t="s">
        <v>18</v>
      </c>
      <c r="J2158" s="3">
        <v>45883</v>
      </c>
      <c r="K2158" s="4">
        <f>ClientiBanca[[#This Row],[Prestito]]+ClientiBanca[[#This Row],[Mutuo]]</f>
        <v>0</v>
      </c>
      <c r="L2158" t="str">
        <f>IF(ClientiBanca[[#This Row],[Reddito annuo]]&gt;=70000,"si","no")</f>
        <v>no</v>
      </c>
    </row>
    <row r="2159" spans="1:12">
      <c r="A2159">
        <v>102158</v>
      </c>
      <c r="B2159">
        <v>35</v>
      </c>
      <c r="C2159" s="2">
        <v>68000</v>
      </c>
      <c r="D2159" t="s">
        <v>22</v>
      </c>
      <c r="E2159" s="2">
        <v>0</v>
      </c>
      <c r="F2159" s="2">
        <v>350000</v>
      </c>
      <c r="G2159" t="s">
        <v>19</v>
      </c>
      <c r="H2159" t="s">
        <v>17</v>
      </c>
      <c r="I2159" t="s">
        <v>18</v>
      </c>
      <c r="J2159" s="3">
        <v>46200</v>
      </c>
      <c r="K2159" s="4">
        <f>ClientiBanca[[#This Row],[Prestito]]+ClientiBanca[[#This Row],[Mutuo]]</f>
        <v>350000</v>
      </c>
      <c r="L2159" t="str">
        <f>IF(ClientiBanca[[#This Row],[Reddito annuo]]&gt;=70000,"si","no")</f>
        <v>no</v>
      </c>
    </row>
    <row r="2160" spans="1:12">
      <c r="A2160">
        <v>102159</v>
      </c>
      <c r="B2160">
        <v>72</v>
      </c>
      <c r="C2160" s="2">
        <v>25800</v>
      </c>
      <c r="D2160" t="s">
        <v>12</v>
      </c>
      <c r="E2160" s="2">
        <v>32200</v>
      </c>
      <c r="F2160" s="2">
        <v>0</v>
      </c>
      <c r="G2160" t="s">
        <v>24</v>
      </c>
      <c r="H2160" t="s">
        <v>14</v>
      </c>
      <c r="I2160" t="s">
        <v>18</v>
      </c>
      <c r="J2160" s="3">
        <v>45882</v>
      </c>
      <c r="K2160" s="4">
        <f>ClientiBanca[[#This Row],[Prestito]]+ClientiBanca[[#This Row],[Mutuo]]</f>
        <v>32200</v>
      </c>
      <c r="L2160" t="str">
        <f>IF(ClientiBanca[[#This Row],[Reddito annuo]]&gt;=70000,"si","no")</f>
        <v>no</v>
      </c>
    </row>
    <row r="2161" spans="1:12">
      <c r="A2161">
        <v>102160</v>
      </c>
      <c r="B2161">
        <v>23</v>
      </c>
      <c r="C2161" s="2">
        <v>51200</v>
      </c>
      <c r="D2161" t="s">
        <v>21</v>
      </c>
      <c r="E2161" s="2">
        <v>0</v>
      </c>
      <c r="F2161" s="2">
        <v>0</v>
      </c>
      <c r="G2161" t="s">
        <v>23</v>
      </c>
      <c r="H2161" t="s">
        <v>20</v>
      </c>
      <c r="I2161" t="s">
        <v>18</v>
      </c>
      <c r="J2161" s="3">
        <v>46100</v>
      </c>
      <c r="K2161" s="4">
        <f>ClientiBanca[[#This Row],[Prestito]]+ClientiBanca[[#This Row],[Mutuo]]</f>
        <v>0</v>
      </c>
      <c r="L2161" t="str">
        <f>IF(ClientiBanca[[#This Row],[Reddito annuo]]&gt;=70000,"si","no")</f>
        <v>no</v>
      </c>
    </row>
    <row r="2162" spans="1:12">
      <c r="A2162">
        <v>102161</v>
      </c>
      <c r="B2162">
        <v>43</v>
      </c>
      <c r="C2162" s="2">
        <v>33500</v>
      </c>
      <c r="D2162" t="s">
        <v>22</v>
      </c>
      <c r="E2162" s="2">
        <v>34000</v>
      </c>
      <c r="F2162" s="2">
        <v>0</v>
      </c>
      <c r="G2162" t="s">
        <v>28</v>
      </c>
      <c r="H2162" t="s">
        <v>25</v>
      </c>
      <c r="I2162" t="s">
        <v>15</v>
      </c>
      <c r="J2162" s="3">
        <v>46148</v>
      </c>
      <c r="K2162" s="4">
        <f>ClientiBanca[[#This Row],[Prestito]]+ClientiBanca[[#This Row],[Mutuo]]</f>
        <v>34000</v>
      </c>
      <c r="L2162" t="str">
        <f>IF(ClientiBanca[[#This Row],[Reddito annuo]]&gt;=70000,"si","no")</f>
        <v>no</v>
      </c>
    </row>
    <row r="2163" spans="1:12">
      <c r="A2163">
        <v>102162</v>
      </c>
      <c r="B2163">
        <v>62</v>
      </c>
      <c r="C2163" s="2">
        <v>48000</v>
      </c>
      <c r="D2163" t="s">
        <v>21</v>
      </c>
      <c r="E2163" s="2">
        <v>49900</v>
      </c>
      <c r="F2163" s="2">
        <v>225000</v>
      </c>
      <c r="G2163" t="s">
        <v>13</v>
      </c>
      <c r="H2163" t="s">
        <v>20</v>
      </c>
      <c r="I2163" t="s">
        <v>18</v>
      </c>
      <c r="J2163" s="3">
        <v>45837</v>
      </c>
      <c r="K2163" s="4">
        <f>ClientiBanca[[#This Row],[Prestito]]+ClientiBanca[[#This Row],[Mutuo]]</f>
        <v>274900</v>
      </c>
      <c r="L2163" t="str">
        <f>IF(ClientiBanca[[#This Row],[Reddito annuo]]&gt;=70000,"si","no")</f>
        <v>no</v>
      </c>
    </row>
    <row r="2164" spans="1:12">
      <c r="A2164">
        <v>102163</v>
      </c>
      <c r="B2164">
        <v>28</v>
      </c>
      <c r="C2164" s="2">
        <v>91900</v>
      </c>
      <c r="D2164" t="s">
        <v>22</v>
      </c>
      <c r="E2164" s="2">
        <v>42700</v>
      </c>
      <c r="F2164" s="2">
        <v>0</v>
      </c>
      <c r="G2164" t="s">
        <v>13</v>
      </c>
      <c r="H2164" t="s">
        <v>20</v>
      </c>
      <c r="I2164" t="s">
        <v>18</v>
      </c>
      <c r="J2164" s="3">
        <v>45879</v>
      </c>
      <c r="K2164" s="4">
        <f>ClientiBanca[[#This Row],[Prestito]]+ClientiBanca[[#This Row],[Mutuo]]</f>
        <v>42700</v>
      </c>
      <c r="L2164" t="str">
        <f>IF(ClientiBanca[[#This Row],[Reddito annuo]]&gt;=70000,"si","no")</f>
        <v>si</v>
      </c>
    </row>
    <row r="2165" spans="1:12">
      <c r="A2165">
        <v>102164</v>
      </c>
      <c r="B2165">
        <v>23</v>
      </c>
      <c r="C2165" s="2">
        <v>74700</v>
      </c>
      <c r="D2165" t="s">
        <v>21</v>
      </c>
      <c r="E2165" s="2">
        <v>13900</v>
      </c>
      <c r="F2165" s="2">
        <v>0</v>
      </c>
      <c r="G2165" t="s">
        <v>13</v>
      </c>
      <c r="H2165" t="s">
        <v>20</v>
      </c>
      <c r="I2165" t="s">
        <v>18</v>
      </c>
      <c r="J2165" s="3">
        <v>46192</v>
      </c>
      <c r="K2165" s="4">
        <f>ClientiBanca[[#This Row],[Prestito]]+ClientiBanca[[#This Row],[Mutuo]]</f>
        <v>13900</v>
      </c>
      <c r="L2165" t="str">
        <f>IF(ClientiBanca[[#This Row],[Reddito annuo]]&gt;=70000,"si","no")</f>
        <v>si</v>
      </c>
    </row>
    <row r="2166" spans="1:12">
      <c r="A2166">
        <v>102165</v>
      </c>
      <c r="B2166">
        <v>28</v>
      </c>
      <c r="C2166" s="2">
        <v>46900</v>
      </c>
      <c r="D2166" t="s">
        <v>12</v>
      </c>
      <c r="E2166" s="2">
        <v>11900</v>
      </c>
      <c r="F2166" s="2">
        <v>0</v>
      </c>
      <c r="G2166" t="s">
        <v>28</v>
      </c>
      <c r="H2166" t="s">
        <v>20</v>
      </c>
      <c r="I2166" t="s">
        <v>18</v>
      </c>
      <c r="J2166" s="3">
        <v>45435</v>
      </c>
      <c r="K2166" s="4">
        <f>ClientiBanca[[#This Row],[Prestito]]+ClientiBanca[[#This Row],[Mutuo]]</f>
        <v>11900</v>
      </c>
      <c r="L2166" t="str">
        <f>IF(ClientiBanca[[#This Row],[Reddito annuo]]&gt;=70000,"si","no")</f>
        <v>no</v>
      </c>
    </row>
    <row r="2167" spans="1:12">
      <c r="A2167">
        <v>102166</v>
      </c>
      <c r="B2167">
        <v>48</v>
      </c>
      <c r="C2167" s="2">
        <v>32600</v>
      </c>
      <c r="D2167" t="s">
        <v>12</v>
      </c>
      <c r="E2167" s="2">
        <v>39600</v>
      </c>
      <c r="F2167" s="2">
        <v>0</v>
      </c>
      <c r="G2167" t="s">
        <v>23</v>
      </c>
      <c r="H2167" t="s">
        <v>17</v>
      </c>
      <c r="I2167" t="s">
        <v>18</v>
      </c>
      <c r="J2167" s="3">
        <v>45353</v>
      </c>
      <c r="K2167" s="4">
        <f>ClientiBanca[[#This Row],[Prestito]]+ClientiBanca[[#This Row],[Mutuo]]</f>
        <v>39600</v>
      </c>
      <c r="L2167" t="str">
        <f>IF(ClientiBanca[[#This Row],[Reddito annuo]]&gt;=70000,"si","no")</f>
        <v>no</v>
      </c>
    </row>
    <row r="2168" spans="1:12">
      <c r="A2168">
        <v>102167</v>
      </c>
      <c r="B2168">
        <v>65</v>
      </c>
      <c r="C2168" s="2">
        <v>22400</v>
      </c>
      <c r="D2168" t="s">
        <v>21</v>
      </c>
      <c r="E2168" s="2">
        <v>28000</v>
      </c>
      <c r="F2168" s="2">
        <v>0</v>
      </c>
      <c r="G2168" t="s">
        <v>16</v>
      </c>
      <c r="H2168" t="s">
        <v>20</v>
      </c>
      <c r="I2168" t="s">
        <v>18</v>
      </c>
      <c r="J2168" s="3">
        <v>45590</v>
      </c>
      <c r="K2168" s="4">
        <f>ClientiBanca[[#This Row],[Prestito]]+ClientiBanca[[#This Row],[Mutuo]]</f>
        <v>28000</v>
      </c>
      <c r="L2168" t="str">
        <f>IF(ClientiBanca[[#This Row],[Reddito annuo]]&gt;=70000,"si","no")</f>
        <v>no</v>
      </c>
    </row>
    <row r="2169" spans="1:12">
      <c r="A2169">
        <v>102168</v>
      </c>
      <c r="B2169">
        <v>48</v>
      </c>
      <c r="C2169" s="2">
        <v>72600</v>
      </c>
      <c r="D2169" t="s">
        <v>21</v>
      </c>
      <c r="E2169" s="2">
        <v>27600</v>
      </c>
      <c r="F2169" s="2">
        <v>0</v>
      </c>
      <c r="G2169" t="s">
        <v>28</v>
      </c>
      <c r="H2169" t="s">
        <v>17</v>
      </c>
      <c r="I2169" t="s">
        <v>18</v>
      </c>
      <c r="J2169" s="3">
        <v>46100</v>
      </c>
      <c r="K2169" s="4">
        <f>ClientiBanca[[#This Row],[Prestito]]+ClientiBanca[[#This Row],[Mutuo]]</f>
        <v>27600</v>
      </c>
      <c r="L2169" t="str">
        <f>IF(ClientiBanca[[#This Row],[Reddito annuo]]&gt;=70000,"si","no")</f>
        <v>si</v>
      </c>
    </row>
    <row r="2170" spans="1:12">
      <c r="A2170">
        <v>102169</v>
      </c>
      <c r="B2170">
        <v>27</v>
      </c>
      <c r="C2170" s="2">
        <v>34500</v>
      </c>
      <c r="D2170" t="s">
        <v>21</v>
      </c>
      <c r="E2170" s="2">
        <v>43100</v>
      </c>
      <c r="F2170" s="2">
        <v>133000</v>
      </c>
      <c r="G2170" t="s">
        <v>23</v>
      </c>
      <c r="H2170" t="s">
        <v>17</v>
      </c>
      <c r="I2170" t="s">
        <v>18</v>
      </c>
      <c r="J2170" s="3">
        <v>45320</v>
      </c>
      <c r="K2170" s="4">
        <f>ClientiBanca[[#This Row],[Prestito]]+ClientiBanca[[#This Row],[Mutuo]]</f>
        <v>176100</v>
      </c>
      <c r="L2170" t="str">
        <f>IF(ClientiBanca[[#This Row],[Reddito annuo]]&gt;=70000,"si","no")</f>
        <v>no</v>
      </c>
    </row>
    <row r="2171" spans="1:12">
      <c r="A2171">
        <v>102170</v>
      </c>
      <c r="B2171">
        <v>74</v>
      </c>
      <c r="C2171" s="2">
        <v>38600</v>
      </c>
      <c r="D2171" t="s">
        <v>12</v>
      </c>
      <c r="E2171" s="2">
        <v>0</v>
      </c>
      <c r="F2171" s="2">
        <v>0</v>
      </c>
      <c r="G2171" t="s">
        <v>16</v>
      </c>
      <c r="H2171" t="s">
        <v>20</v>
      </c>
      <c r="I2171" t="s">
        <v>18</v>
      </c>
      <c r="J2171" s="3">
        <v>46228</v>
      </c>
      <c r="K2171" s="4">
        <f>ClientiBanca[[#This Row],[Prestito]]+ClientiBanca[[#This Row],[Mutuo]]</f>
        <v>0</v>
      </c>
      <c r="L2171" t="str">
        <f>IF(ClientiBanca[[#This Row],[Reddito annuo]]&gt;=70000,"si","no")</f>
        <v>no</v>
      </c>
    </row>
    <row r="2172" spans="1:12">
      <c r="A2172">
        <v>102171</v>
      </c>
      <c r="B2172">
        <v>35</v>
      </c>
      <c r="C2172" s="2">
        <v>46600</v>
      </c>
      <c r="D2172" t="s">
        <v>12</v>
      </c>
      <c r="E2172" s="2">
        <v>21300</v>
      </c>
      <c r="F2172" s="2">
        <v>257000</v>
      </c>
      <c r="G2172" t="s">
        <v>16</v>
      </c>
      <c r="H2172" t="s">
        <v>20</v>
      </c>
      <c r="I2172" t="s">
        <v>18</v>
      </c>
      <c r="J2172" s="3">
        <v>45930</v>
      </c>
      <c r="K2172" s="4">
        <f>ClientiBanca[[#This Row],[Prestito]]+ClientiBanca[[#This Row],[Mutuo]]</f>
        <v>278300</v>
      </c>
      <c r="L2172" t="str">
        <f>IF(ClientiBanca[[#This Row],[Reddito annuo]]&gt;=70000,"si","no")</f>
        <v>no</v>
      </c>
    </row>
    <row r="2173" spans="1:12">
      <c r="A2173">
        <v>102172</v>
      </c>
      <c r="B2173">
        <v>64</v>
      </c>
      <c r="C2173" s="2">
        <v>57200</v>
      </c>
      <c r="D2173" t="s">
        <v>22</v>
      </c>
      <c r="E2173" s="2">
        <v>19000</v>
      </c>
      <c r="F2173" s="2">
        <v>0</v>
      </c>
      <c r="G2173" t="s">
        <v>26</v>
      </c>
      <c r="H2173" t="s">
        <v>17</v>
      </c>
      <c r="I2173" t="s">
        <v>18</v>
      </c>
      <c r="J2173" s="3">
        <v>45674</v>
      </c>
      <c r="K2173" s="4">
        <f>ClientiBanca[[#This Row],[Prestito]]+ClientiBanca[[#This Row],[Mutuo]]</f>
        <v>19000</v>
      </c>
      <c r="L2173" t="str">
        <f>IF(ClientiBanca[[#This Row],[Reddito annuo]]&gt;=70000,"si","no")</f>
        <v>no</v>
      </c>
    </row>
    <row r="2174" spans="1:12">
      <c r="A2174">
        <v>102173</v>
      </c>
      <c r="B2174">
        <v>27</v>
      </c>
      <c r="C2174" s="2">
        <v>28000</v>
      </c>
      <c r="D2174" t="s">
        <v>12</v>
      </c>
      <c r="E2174" s="2">
        <v>15800</v>
      </c>
      <c r="F2174" s="2">
        <v>0</v>
      </c>
      <c r="G2174" t="s">
        <v>27</v>
      </c>
      <c r="H2174" t="s">
        <v>17</v>
      </c>
      <c r="I2174" t="s">
        <v>18</v>
      </c>
      <c r="J2174" s="3">
        <v>45505</v>
      </c>
      <c r="K2174" s="4">
        <f>ClientiBanca[[#This Row],[Prestito]]+ClientiBanca[[#This Row],[Mutuo]]</f>
        <v>15800</v>
      </c>
      <c r="L2174" t="str">
        <f>IF(ClientiBanca[[#This Row],[Reddito annuo]]&gt;=70000,"si","no")</f>
        <v>no</v>
      </c>
    </row>
    <row r="2175" spans="1:12">
      <c r="A2175">
        <v>102174</v>
      </c>
      <c r="B2175">
        <v>47</v>
      </c>
      <c r="C2175" s="2">
        <v>37000</v>
      </c>
      <c r="D2175" t="s">
        <v>22</v>
      </c>
      <c r="E2175" s="2">
        <v>0</v>
      </c>
      <c r="F2175" s="2">
        <v>0</v>
      </c>
      <c r="G2175" t="s">
        <v>26</v>
      </c>
      <c r="H2175" t="s">
        <v>14</v>
      </c>
      <c r="I2175" t="s">
        <v>18</v>
      </c>
      <c r="J2175" s="3">
        <v>45756</v>
      </c>
      <c r="K2175" s="4">
        <f>ClientiBanca[[#This Row],[Prestito]]+ClientiBanca[[#This Row],[Mutuo]]</f>
        <v>0</v>
      </c>
      <c r="L2175" t="str">
        <f>IF(ClientiBanca[[#This Row],[Reddito annuo]]&gt;=70000,"si","no")</f>
        <v>no</v>
      </c>
    </row>
    <row r="2176" spans="1:12">
      <c r="A2176">
        <v>102175</v>
      </c>
      <c r="B2176">
        <v>27</v>
      </c>
      <c r="C2176" s="2">
        <v>61900</v>
      </c>
      <c r="D2176" t="s">
        <v>12</v>
      </c>
      <c r="E2176" s="2">
        <v>53900</v>
      </c>
      <c r="F2176" s="2">
        <v>0</v>
      </c>
      <c r="G2176" t="s">
        <v>16</v>
      </c>
      <c r="H2176" t="s">
        <v>17</v>
      </c>
      <c r="I2176" t="s">
        <v>15</v>
      </c>
      <c r="J2176" s="3">
        <v>45799</v>
      </c>
      <c r="K2176" s="4">
        <f>ClientiBanca[[#This Row],[Prestito]]+ClientiBanca[[#This Row],[Mutuo]]</f>
        <v>53900</v>
      </c>
      <c r="L2176" t="str">
        <f>IF(ClientiBanca[[#This Row],[Reddito annuo]]&gt;=70000,"si","no")</f>
        <v>no</v>
      </c>
    </row>
    <row r="2177" spans="1:12">
      <c r="A2177">
        <v>102176</v>
      </c>
      <c r="B2177">
        <v>45</v>
      </c>
      <c r="C2177" s="2">
        <v>44600</v>
      </c>
      <c r="D2177" t="s">
        <v>12</v>
      </c>
      <c r="E2177" s="2">
        <v>0</v>
      </c>
      <c r="F2177" s="2">
        <v>0</v>
      </c>
      <c r="G2177" t="s">
        <v>27</v>
      </c>
      <c r="H2177" t="s">
        <v>14</v>
      </c>
      <c r="I2177" t="s">
        <v>18</v>
      </c>
      <c r="J2177" s="3">
        <v>45469</v>
      </c>
      <c r="K2177" s="4">
        <f>ClientiBanca[[#This Row],[Prestito]]+ClientiBanca[[#This Row],[Mutuo]]</f>
        <v>0</v>
      </c>
      <c r="L2177" t="str">
        <f>IF(ClientiBanca[[#This Row],[Reddito annuo]]&gt;=70000,"si","no")</f>
        <v>no</v>
      </c>
    </row>
    <row r="2178" spans="1:12">
      <c r="A2178">
        <v>102177</v>
      </c>
      <c r="B2178">
        <v>52</v>
      </c>
      <c r="C2178" s="2">
        <v>62400</v>
      </c>
      <c r="D2178" t="s">
        <v>22</v>
      </c>
      <c r="E2178" s="2">
        <v>0</v>
      </c>
      <c r="F2178" s="2">
        <v>0</v>
      </c>
      <c r="G2178" t="s">
        <v>26</v>
      </c>
      <c r="H2178" t="s">
        <v>14</v>
      </c>
      <c r="I2178" t="s">
        <v>18</v>
      </c>
      <c r="J2178" s="3">
        <v>46064</v>
      </c>
      <c r="K2178" s="4">
        <f>ClientiBanca[[#This Row],[Prestito]]+ClientiBanca[[#This Row],[Mutuo]]</f>
        <v>0</v>
      </c>
      <c r="L2178" t="str">
        <f>IF(ClientiBanca[[#This Row],[Reddito annuo]]&gt;=70000,"si","no")</f>
        <v>no</v>
      </c>
    </row>
    <row r="2179" spans="1:12">
      <c r="A2179">
        <v>102178</v>
      </c>
      <c r="B2179">
        <v>42</v>
      </c>
      <c r="C2179" s="2">
        <v>35300</v>
      </c>
      <c r="D2179" t="s">
        <v>12</v>
      </c>
      <c r="E2179" s="2">
        <v>0</v>
      </c>
      <c r="F2179" s="2">
        <v>0</v>
      </c>
      <c r="G2179" t="s">
        <v>28</v>
      </c>
      <c r="H2179" t="s">
        <v>20</v>
      </c>
      <c r="I2179" t="s">
        <v>18</v>
      </c>
      <c r="J2179" s="3">
        <v>45794</v>
      </c>
      <c r="K2179" s="4">
        <f>ClientiBanca[[#This Row],[Prestito]]+ClientiBanca[[#This Row],[Mutuo]]</f>
        <v>0</v>
      </c>
      <c r="L2179" t="str">
        <f>IF(ClientiBanca[[#This Row],[Reddito annuo]]&gt;=70000,"si","no")</f>
        <v>no</v>
      </c>
    </row>
    <row r="2180" spans="1:12">
      <c r="A2180">
        <v>102179</v>
      </c>
      <c r="B2180">
        <v>27</v>
      </c>
      <c r="C2180" s="2">
        <v>56600</v>
      </c>
      <c r="D2180" t="s">
        <v>22</v>
      </c>
      <c r="E2180" s="2">
        <v>70800</v>
      </c>
      <c r="F2180" s="2">
        <v>0</v>
      </c>
      <c r="G2180" t="s">
        <v>13</v>
      </c>
      <c r="H2180" t="s">
        <v>14</v>
      </c>
      <c r="I2180" t="s">
        <v>18</v>
      </c>
      <c r="J2180" s="3">
        <v>46151</v>
      </c>
      <c r="K2180" s="4">
        <f>ClientiBanca[[#This Row],[Prestito]]+ClientiBanca[[#This Row],[Mutuo]]</f>
        <v>70800</v>
      </c>
      <c r="L2180" t="str">
        <f>IF(ClientiBanca[[#This Row],[Reddito annuo]]&gt;=70000,"si","no")</f>
        <v>no</v>
      </c>
    </row>
    <row r="2181" spans="1:12">
      <c r="A2181">
        <v>102180</v>
      </c>
      <c r="B2181">
        <v>73</v>
      </c>
      <c r="C2181" s="2">
        <v>88000</v>
      </c>
      <c r="D2181" t="s">
        <v>12</v>
      </c>
      <c r="E2181" s="2">
        <v>0</v>
      </c>
      <c r="F2181" s="2">
        <v>170000</v>
      </c>
      <c r="G2181" t="s">
        <v>23</v>
      </c>
      <c r="H2181" t="s">
        <v>17</v>
      </c>
      <c r="I2181" t="s">
        <v>18</v>
      </c>
      <c r="J2181" s="3">
        <v>46070</v>
      </c>
      <c r="K2181" s="4">
        <f>ClientiBanca[[#This Row],[Prestito]]+ClientiBanca[[#This Row],[Mutuo]]</f>
        <v>170000</v>
      </c>
      <c r="L2181" t="str">
        <f>IF(ClientiBanca[[#This Row],[Reddito annuo]]&gt;=70000,"si","no")</f>
        <v>si</v>
      </c>
    </row>
    <row r="2182" spans="1:12">
      <c r="A2182">
        <v>102181</v>
      </c>
      <c r="B2182">
        <v>53</v>
      </c>
      <c r="C2182" s="2">
        <v>98800</v>
      </c>
      <c r="D2182" t="s">
        <v>12</v>
      </c>
      <c r="E2182" s="2">
        <v>32000</v>
      </c>
      <c r="F2182" s="2">
        <v>0</v>
      </c>
      <c r="G2182" t="s">
        <v>19</v>
      </c>
      <c r="H2182" t="s">
        <v>25</v>
      </c>
      <c r="I2182" t="s">
        <v>18</v>
      </c>
      <c r="J2182" s="3">
        <v>45531</v>
      </c>
      <c r="K2182" s="4">
        <f>ClientiBanca[[#This Row],[Prestito]]+ClientiBanca[[#This Row],[Mutuo]]</f>
        <v>32000</v>
      </c>
      <c r="L2182" t="str">
        <f>IF(ClientiBanca[[#This Row],[Reddito annuo]]&gt;=70000,"si","no")</f>
        <v>si</v>
      </c>
    </row>
    <row r="2183" spans="1:12">
      <c r="A2183">
        <v>102182</v>
      </c>
      <c r="B2183">
        <v>33</v>
      </c>
      <c r="C2183" s="2">
        <v>53400</v>
      </c>
      <c r="D2183" t="s">
        <v>12</v>
      </c>
      <c r="E2183" s="2">
        <v>57100</v>
      </c>
      <c r="F2183" s="2">
        <v>261000</v>
      </c>
      <c r="G2183" t="s">
        <v>27</v>
      </c>
      <c r="H2183" t="s">
        <v>17</v>
      </c>
      <c r="I2183" t="s">
        <v>18</v>
      </c>
      <c r="J2183" s="3">
        <v>45649</v>
      </c>
      <c r="K2183" s="4">
        <f>ClientiBanca[[#This Row],[Prestito]]+ClientiBanca[[#This Row],[Mutuo]]</f>
        <v>318100</v>
      </c>
      <c r="L2183" t="str">
        <f>IF(ClientiBanca[[#This Row],[Reddito annuo]]&gt;=70000,"si","no")</f>
        <v>no</v>
      </c>
    </row>
    <row r="2184" spans="1:12">
      <c r="A2184">
        <v>102183</v>
      </c>
      <c r="B2184">
        <v>32</v>
      </c>
      <c r="C2184" s="2">
        <v>60700</v>
      </c>
      <c r="D2184" t="s">
        <v>12</v>
      </c>
      <c r="E2184" s="2">
        <v>7700</v>
      </c>
      <c r="F2184" s="2">
        <v>0</v>
      </c>
      <c r="G2184" t="s">
        <v>16</v>
      </c>
      <c r="H2184" t="s">
        <v>20</v>
      </c>
      <c r="I2184" t="s">
        <v>18</v>
      </c>
      <c r="J2184" s="3">
        <v>45462</v>
      </c>
      <c r="K2184" s="4">
        <f>ClientiBanca[[#This Row],[Prestito]]+ClientiBanca[[#This Row],[Mutuo]]</f>
        <v>7700</v>
      </c>
      <c r="L2184" t="str">
        <f>IF(ClientiBanca[[#This Row],[Reddito annuo]]&gt;=70000,"si","no")</f>
        <v>no</v>
      </c>
    </row>
    <row r="2185" spans="1:12">
      <c r="A2185">
        <v>102184</v>
      </c>
      <c r="B2185">
        <v>22</v>
      </c>
      <c r="C2185" s="2">
        <v>102600</v>
      </c>
      <c r="D2185" t="s">
        <v>21</v>
      </c>
      <c r="E2185" s="2">
        <v>0</v>
      </c>
      <c r="F2185" s="2">
        <v>0</v>
      </c>
      <c r="G2185" t="s">
        <v>23</v>
      </c>
      <c r="H2185" t="s">
        <v>14</v>
      </c>
      <c r="I2185" t="s">
        <v>18</v>
      </c>
      <c r="J2185" s="3">
        <v>45917</v>
      </c>
      <c r="K2185" s="4">
        <f>ClientiBanca[[#This Row],[Prestito]]+ClientiBanca[[#This Row],[Mutuo]]</f>
        <v>0</v>
      </c>
      <c r="L2185" t="str">
        <f>IF(ClientiBanca[[#This Row],[Reddito annuo]]&gt;=70000,"si","no")</f>
        <v>si</v>
      </c>
    </row>
    <row r="2186" spans="1:12">
      <c r="A2186">
        <v>102185</v>
      </c>
      <c r="B2186">
        <v>22</v>
      </c>
      <c r="C2186" s="2">
        <v>77900</v>
      </c>
      <c r="D2186" t="s">
        <v>21</v>
      </c>
      <c r="E2186" s="2">
        <v>5200</v>
      </c>
      <c r="F2186" s="2">
        <v>0</v>
      </c>
      <c r="G2186" t="s">
        <v>13</v>
      </c>
      <c r="H2186" t="s">
        <v>20</v>
      </c>
      <c r="I2186" t="s">
        <v>18</v>
      </c>
      <c r="J2186" s="3">
        <v>45798</v>
      </c>
      <c r="K2186" s="4">
        <f>ClientiBanca[[#This Row],[Prestito]]+ClientiBanca[[#This Row],[Mutuo]]</f>
        <v>5200</v>
      </c>
      <c r="L2186" t="str">
        <f>IF(ClientiBanca[[#This Row],[Reddito annuo]]&gt;=70000,"si","no")</f>
        <v>si</v>
      </c>
    </row>
    <row r="2187" spans="1:12">
      <c r="A2187">
        <v>102186</v>
      </c>
      <c r="B2187">
        <v>64</v>
      </c>
      <c r="C2187" s="2">
        <v>66600</v>
      </c>
      <c r="D2187" t="s">
        <v>12</v>
      </c>
      <c r="E2187" s="2">
        <v>19500</v>
      </c>
      <c r="F2187" s="2">
        <v>0</v>
      </c>
      <c r="G2187" t="s">
        <v>23</v>
      </c>
      <c r="H2187" t="s">
        <v>14</v>
      </c>
      <c r="I2187" t="s">
        <v>18</v>
      </c>
      <c r="J2187" s="3">
        <v>45352</v>
      </c>
      <c r="K2187" s="4">
        <f>ClientiBanca[[#This Row],[Prestito]]+ClientiBanca[[#This Row],[Mutuo]]</f>
        <v>19500</v>
      </c>
      <c r="L2187" t="str">
        <f>IF(ClientiBanca[[#This Row],[Reddito annuo]]&gt;=70000,"si","no")</f>
        <v>no</v>
      </c>
    </row>
    <row r="2188" spans="1:12">
      <c r="A2188">
        <v>102187</v>
      </c>
      <c r="B2188">
        <v>59</v>
      </c>
      <c r="C2188" s="2">
        <v>58600</v>
      </c>
      <c r="D2188" t="s">
        <v>12</v>
      </c>
      <c r="E2188" s="2">
        <v>41900</v>
      </c>
      <c r="F2188" s="2">
        <v>270000</v>
      </c>
      <c r="G2188" t="s">
        <v>28</v>
      </c>
      <c r="H2188" t="s">
        <v>20</v>
      </c>
      <c r="I2188" t="s">
        <v>18</v>
      </c>
      <c r="J2188" s="3">
        <v>45863</v>
      </c>
      <c r="K2188" s="4">
        <f>ClientiBanca[[#This Row],[Prestito]]+ClientiBanca[[#This Row],[Mutuo]]</f>
        <v>311900</v>
      </c>
      <c r="L2188" t="str">
        <f>IF(ClientiBanca[[#This Row],[Reddito annuo]]&gt;=70000,"si","no")</f>
        <v>no</v>
      </c>
    </row>
    <row r="2189" spans="1:12">
      <c r="A2189">
        <v>102188</v>
      </c>
      <c r="B2189">
        <v>50</v>
      </c>
      <c r="C2189" s="2">
        <v>38100</v>
      </c>
      <c r="D2189" t="s">
        <v>21</v>
      </c>
      <c r="E2189" s="2">
        <v>47600</v>
      </c>
      <c r="F2189" s="2">
        <v>0</v>
      </c>
      <c r="G2189" t="s">
        <v>24</v>
      </c>
      <c r="H2189" t="s">
        <v>17</v>
      </c>
      <c r="I2189" t="s">
        <v>18</v>
      </c>
      <c r="J2189" s="3">
        <v>45799</v>
      </c>
      <c r="K2189" s="4">
        <f>ClientiBanca[[#This Row],[Prestito]]+ClientiBanca[[#This Row],[Mutuo]]</f>
        <v>47600</v>
      </c>
      <c r="L2189" t="str">
        <f>IF(ClientiBanca[[#This Row],[Reddito annuo]]&gt;=70000,"si","no")</f>
        <v>no</v>
      </c>
    </row>
    <row r="2190" spans="1:12">
      <c r="A2190">
        <v>102189</v>
      </c>
      <c r="B2190">
        <v>73</v>
      </c>
      <c r="C2190" s="2">
        <v>46900</v>
      </c>
      <c r="D2190" t="s">
        <v>21</v>
      </c>
      <c r="E2190" s="2">
        <v>21800</v>
      </c>
      <c r="F2190" s="2">
        <v>0</v>
      </c>
      <c r="G2190" t="s">
        <v>23</v>
      </c>
      <c r="H2190" t="s">
        <v>20</v>
      </c>
      <c r="I2190" t="s">
        <v>18</v>
      </c>
      <c r="J2190" s="3">
        <v>45838</v>
      </c>
      <c r="K2190" s="4">
        <f>ClientiBanca[[#This Row],[Prestito]]+ClientiBanca[[#This Row],[Mutuo]]</f>
        <v>21800</v>
      </c>
      <c r="L2190" t="str">
        <f>IF(ClientiBanca[[#This Row],[Reddito annuo]]&gt;=70000,"si","no")</f>
        <v>no</v>
      </c>
    </row>
    <row r="2191" spans="1:12">
      <c r="A2191">
        <v>102190</v>
      </c>
      <c r="B2191">
        <v>73</v>
      </c>
      <c r="C2191" s="2">
        <v>69000</v>
      </c>
      <c r="D2191" t="s">
        <v>21</v>
      </c>
      <c r="E2191" s="2">
        <v>35200</v>
      </c>
      <c r="F2191" s="2">
        <v>184000</v>
      </c>
      <c r="G2191" t="s">
        <v>27</v>
      </c>
      <c r="H2191" t="s">
        <v>17</v>
      </c>
      <c r="I2191" t="s">
        <v>18</v>
      </c>
      <c r="J2191" s="3">
        <v>45700</v>
      </c>
      <c r="K2191" s="4">
        <f>ClientiBanca[[#This Row],[Prestito]]+ClientiBanca[[#This Row],[Mutuo]]</f>
        <v>219200</v>
      </c>
      <c r="L2191" t="str">
        <f>IF(ClientiBanca[[#This Row],[Reddito annuo]]&gt;=70000,"si","no")</f>
        <v>no</v>
      </c>
    </row>
    <row r="2192" spans="1:12">
      <c r="A2192">
        <v>102191</v>
      </c>
      <c r="B2192">
        <v>48</v>
      </c>
      <c r="C2192" s="2">
        <v>75100</v>
      </c>
      <c r="D2192" t="s">
        <v>21</v>
      </c>
      <c r="E2192" s="2">
        <v>0</v>
      </c>
      <c r="F2192" s="2">
        <v>97000</v>
      </c>
      <c r="G2192" t="s">
        <v>19</v>
      </c>
      <c r="H2192" t="s">
        <v>17</v>
      </c>
      <c r="I2192" t="s">
        <v>18</v>
      </c>
      <c r="J2192" s="3">
        <v>45534</v>
      </c>
      <c r="K2192" s="4">
        <f>ClientiBanca[[#This Row],[Prestito]]+ClientiBanca[[#This Row],[Mutuo]]</f>
        <v>97000</v>
      </c>
      <c r="L2192" t="str">
        <f>IF(ClientiBanca[[#This Row],[Reddito annuo]]&gt;=70000,"si","no")</f>
        <v>si</v>
      </c>
    </row>
    <row r="2193" spans="1:12">
      <c r="A2193">
        <v>102192</v>
      </c>
      <c r="B2193">
        <v>45</v>
      </c>
      <c r="C2193" s="2">
        <v>97600</v>
      </c>
      <c r="D2193" t="s">
        <v>21</v>
      </c>
      <c r="E2193" s="2">
        <v>37900</v>
      </c>
      <c r="F2193" s="2">
        <v>359000</v>
      </c>
      <c r="G2193" t="s">
        <v>27</v>
      </c>
      <c r="H2193" t="s">
        <v>20</v>
      </c>
      <c r="I2193" t="s">
        <v>18</v>
      </c>
      <c r="J2193" s="3">
        <v>45911</v>
      </c>
      <c r="K2193" s="4">
        <f>ClientiBanca[[#This Row],[Prestito]]+ClientiBanca[[#This Row],[Mutuo]]</f>
        <v>396900</v>
      </c>
      <c r="L2193" t="str">
        <f>IF(ClientiBanca[[#This Row],[Reddito annuo]]&gt;=70000,"si","no")</f>
        <v>si</v>
      </c>
    </row>
    <row r="2194" spans="1:12">
      <c r="A2194">
        <v>102193</v>
      </c>
      <c r="B2194">
        <v>40</v>
      </c>
      <c r="C2194" s="2">
        <v>27000</v>
      </c>
      <c r="D2194" t="s">
        <v>21</v>
      </c>
      <c r="E2194" s="2">
        <v>25000</v>
      </c>
      <c r="F2194" s="2">
        <v>0</v>
      </c>
      <c r="G2194" t="s">
        <v>27</v>
      </c>
      <c r="H2194" t="s">
        <v>20</v>
      </c>
      <c r="I2194" t="s">
        <v>18</v>
      </c>
      <c r="J2194" s="3">
        <v>45922</v>
      </c>
      <c r="K2194" s="4">
        <f>ClientiBanca[[#This Row],[Prestito]]+ClientiBanca[[#This Row],[Mutuo]]</f>
        <v>25000</v>
      </c>
      <c r="L2194" t="str">
        <f>IF(ClientiBanca[[#This Row],[Reddito annuo]]&gt;=70000,"si","no")</f>
        <v>no</v>
      </c>
    </row>
    <row r="2195" spans="1:12">
      <c r="A2195">
        <v>102194</v>
      </c>
      <c r="B2195">
        <v>49</v>
      </c>
      <c r="C2195" s="2">
        <v>33500</v>
      </c>
      <c r="D2195" t="s">
        <v>12</v>
      </c>
      <c r="E2195" s="2">
        <v>31000</v>
      </c>
      <c r="F2195" s="2">
        <v>126000</v>
      </c>
      <c r="G2195" t="s">
        <v>16</v>
      </c>
      <c r="H2195" t="s">
        <v>14</v>
      </c>
      <c r="I2195" t="s">
        <v>18</v>
      </c>
      <c r="J2195" s="3">
        <v>45775</v>
      </c>
      <c r="K2195" s="4">
        <f>ClientiBanca[[#This Row],[Prestito]]+ClientiBanca[[#This Row],[Mutuo]]</f>
        <v>157000</v>
      </c>
      <c r="L2195" t="str">
        <f>IF(ClientiBanca[[#This Row],[Reddito annuo]]&gt;=70000,"si","no")</f>
        <v>no</v>
      </c>
    </row>
    <row r="2196" spans="1:12">
      <c r="A2196">
        <v>102195</v>
      </c>
      <c r="B2196">
        <v>24</v>
      </c>
      <c r="C2196" s="2">
        <v>71700</v>
      </c>
      <c r="D2196" t="s">
        <v>21</v>
      </c>
      <c r="E2196" s="2">
        <v>7900</v>
      </c>
      <c r="F2196" s="2">
        <v>0</v>
      </c>
      <c r="G2196" t="s">
        <v>19</v>
      </c>
      <c r="H2196" t="s">
        <v>14</v>
      </c>
      <c r="I2196" t="s">
        <v>18</v>
      </c>
      <c r="J2196" s="3">
        <v>45578</v>
      </c>
      <c r="K2196" s="4">
        <f>ClientiBanca[[#This Row],[Prestito]]+ClientiBanca[[#This Row],[Mutuo]]</f>
        <v>7900</v>
      </c>
      <c r="L2196" t="str">
        <f>IF(ClientiBanca[[#This Row],[Reddito annuo]]&gt;=70000,"si","no")</f>
        <v>si</v>
      </c>
    </row>
    <row r="2197" spans="1:12">
      <c r="A2197">
        <v>102196</v>
      </c>
      <c r="B2197">
        <v>67</v>
      </c>
      <c r="C2197" s="2">
        <v>53600</v>
      </c>
      <c r="D2197" t="s">
        <v>21</v>
      </c>
      <c r="E2197" s="2">
        <v>37800</v>
      </c>
      <c r="F2197" s="2">
        <v>0</v>
      </c>
      <c r="G2197" t="s">
        <v>13</v>
      </c>
      <c r="H2197" t="s">
        <v>17</v>
      </c>
      <c r="I2197" t="s">
        <v>15</v>
      </c>
      <c r="J2197" s="3">
        <v>45554</v>
      </c>
      <c r="K2197" s="4">
        <f>ClientiBanca[[#This Row],[Prestito]]+ClientiBanca[[#This Row],[Mutuo]]</f>
        <v>37800</v>
      </c>
      <c r="L2197" t="str">
        <f>IF(ClientiBanca[[#This Row],[Reddito annuo]]&gt;=70000,"si","no")</f>
        <v>no</v>
      </c>
    </row>
    <row r="2198" spans="1:12">
      <c r="A2198">
        <v>102197</v>
      </c>
      <c r="B2198">
        <v>39</v>
      </c>
      <c r="C2198" s="2">
        <v>43700</v>
      </c>
      <c r="D2198" t="s">
        <v>21</v>
      </c>
      <c r="E2198" s="2">
        <v>0</v>
      </c>
      <c r="F2198" s="2">
        <v>0</v>
      </c>
      <c r="G2198" t="s">
        <v>26</v>
      </c>
      <c r="H2198" t="s">
        <v>17</v>
      </c>
      <c r="I2198" t="s">
        <v>18</v>
      </c>
      <c r="J2198" s="3">
        <v>46097</v>
      </c>
      <c r="K2198" s="4">
        <f>ClientiBanca[[#This Row],[Prestito]]+ClientiBanca[[#This Row],[Mutuo]]</f>
        <v>0</v>
      </c>
      <c r="L2198" t="str">
        <f>IF(ClientiBanca[[#This Row],[Reddito annuo]]&gt;=70000,"si","no")</f>
        <v>no</v>
      </c>
    </row>
    <row r="2199" spans="1:12">
      <c r="A2199">
        <v>102198</v>
      </c>
      <c r="B2199">
        <v>28</v>
      </c>
      <c r="C2199" s="2">
        <v>40200</v>
      </c>
      <c r="D2199" t="s">
        <v>21</v>
      </c>
      <c r="E2199" s="2">
        <v>6700</v>
      </c>
      <c r="F2199" s="2">
        <v>0</v>
      </c>
      <c r="G2199" t="s">
        <v>23</v>
      </c>
      <c r="H2199" t="s">
        <v>25</v>
      </c>
      <c r="I2199" t="s">
        <v>18</v>
      </c>
      <c r="J2199" s="3">
        <v>45376</v>
      </c>
      <c r="K2199" s="4">
        <f>ClientiBanca[[#This Row],[Prestito]]+ClientiBanca[[#This Row],[Mutuo]]</f>
        <v>6700</v>
      </c>
      <c r="L2199" t="str">
        <f>IF(ClientiBanca[[#This Row],[Reddito annuo]]&gt;=70000,"si","no")</f>
        <v>no</v>
      </c>
    </row>
    <row r="2200" spans="1:12">
      <c r="A2200">
        <v>102199</v>
      </c>
      <c r="B2200">
        <v>29</v>
      </c>
      <c r="C2200" s="2">
        <v>108800</v>
      </c>
      <c r="D2200" t="s">
        <v>22</v>
      </c>
      <c r="E2200" s="2">
        <v>6900</v>
      </c>
      <c r="F2200" s="2">
        <v>268000</v>
      </c>
      <c r="G2200" t="s">
        <v>28</v>
      </c>
      <c r="H2200" t="s">
        <v>17</v>
      </c>
      <c r="I2200" t="s">
        <v>18</v>
      </c>
      <c r="J2200" s="3">
        <v>45476</v>
      </c>
      <c r="K2200" s="4">
        <f>ClientiBanca[[#This Row],[Prestito]]+ClientiBanca[[#This Row],[Mutuo]]</f>
        <v>274900</v>
      </c>
      <c r="L2200" t="str">
        <f>IF(ClientiBanca[[#This Row],[Reddito annuo]]&gt;=70000,"si","no")</f>
        <v>si</v>
      </c>
    </row>
    <row r="2201" spans="1:12">
      <c r="A2201">
        <v>102200</v>
      </c>
      <c r="B2201">
        <v>44</v>
      </c>
      <c r="C2201" s="2">
        <v>68600</v>
      </c>
      <c r="D2201" t="s">
        <v>21</v>
      </c>
      <c r="E2201" s="2">
        <v>42300</v>
      </c>
      <c r="F2201" s="2">
        <v>0</v>
      </c>
      <c r="G2201" t="s">
        <v>13</v>
      </c>
      <c r="H2201" t="s">
        <v>20</v>
      </c>
      <c r="I2201" t="s">
        <v>18</v>
      </c>
      <c r="J2201" s="3">
        <v>45710</v>
      </c>
      <c r="K2201" s="4">
        <f>ClientiBanca[[#This Row],[Prestito]]+ClientiBanca[[#This Row],[Mutuo]]</f>
        <v>42300</v>
      </c>
      <c r="L2201" t="str">
        <f>IF(ClientiBanca[[#This Row],[Reddito annuo]]&gt;=70000,"si","no")</f>
        <v>no</v>
      </c>
    </row>
    <row r="2202" spans="1:12">
      <c r="A2202">
        <v>102201</v>
      </c>
      <c r="B2202">
        <v>25</v>
      </c>
      <c r="C2202" s="2">
        <v>71400</v>
      </c>
      <c r="D2202" t="s">
        <v>12</v>
      </c>
      <c r="E2202" s="2">
        <v>37000</v>
      </c>
      <c r="F2202" s="2">
        <v>0</v>
      </c>
      <c r="G2202" t="s">
        <v>24</v>
      </c>
      <c r="H2202" t="s">
        <v>20</v>
      </c>
      <c r="I2202" t="s">
        <v>18</v>
      </c>
      <c r="J2202" s="3">
        <v>46000</v>
      </c>
      <c r="K2202" s="4">
        <f>ClientiBanca[[#This Row],[Prestito]]+ClientiBanca[[#This Row],[Mutuo]]</f>
        <v>37000</v>
      </c>
      <c r="L2202" t="str">
        <f>IF(ClientiBanca[[#This Row],[Reddito annuo]]&gt;=70000,"si","no")</f>
        <v>si</v>
      </c>
    </row>
    <row r="2203" spans="1:12">
      <c r="A2203">
        <v>102202</v>
      </c>
      <c r="B2203">
        <v>42</v>
      </c>
      <c r="C2203" s="2">
        <v>66000</v>
      </c>
      <c r="D2203" t="s">
        <v>21</v>
      </c>
      <c r="E2203" s="2">
        <v>15600</v>
      </c>
      <c r="F2203" s="2">
        <v>247000</v>
      </c>
      <c r="G2203" t="s">
        <v>19</v>
      </c>
      <c r="H2203" t="s">
        <v>25</v>
      </c>
      <c r="I2203" t="s">
        <v>18</v>
      </c>
      <c r="J2203" s="3">
        <v>46236</v>
      </c>
      <c r="K2203" s="4">
        <f>ClientiBanca[[#This Row],[Prestito]]+ClientiBanca[[#This Row],[Mutuo]]</f>
        <v>262600</v>
      </c>
      <c r="L2203" t="str">
        <f>IF(ClientiBanca[[#This Row],[Reddito annuo]]&gt;=70000,"si","no")</f>
        <v>no</v>
      </c>
    </row>
    <row r="2204" spans="1:12">
      <c r="A2204">
        <v>102203</v>
      </c>
      <c r="B2204">
        <v>73</v>
      </c>
      <c r="C2204" s="2">
        <v>33600</v>
      </c>
      <c r="D2204" t="s">
        <v>12</v>
      </c>
      <c r="E2204" s="2">
        <v>28600</v>
      </c>
      <c r="F2204" s="2">
        <v>0</v>
      </c>
      <c r="G2204" t="s">
        <v>26</v>
      </c>
      <c r="H2204" t="s">
        <v>14</v>
      </c>
      <c r="I2204" t="s">
        <v>18</v>
      </c>
      <c r="J2204" s="3">
        <v>46198</v>
      </c>
      <c r="K2204" s="4">
        <f>ClientiBanca[[#This Row],[Prestito]]+ClientiBanca[[#This Row],[Mutuo]]</f>
        <v>28600</v>
      </c>
      <c r="L2204" t="str">
        <f>IF(ClientiBanca[[#This Row],[Reddito annuo]]&gt;=70000,"si","no")</f>
        <v>no</v>
      </c>
    </row>
    <row r="2205" spans="1:12">
      <c r="A2205">
        <v>102204</v>
      </c>
      <c r="B2205">
        <v>46</v>
      </c>
      <c r="C2205" s="2">
        <v>44300</v>
      </c>
      <c r="D2205" t="s">
        <v>12</v>
      </c>
      <c r="E2205" s="2">
        <v>0</v>
      </c>
      <c r="F2205" s="2">
        <v>0</v>
      </c>
      <c r="G2205" t="s">
        <v>16</v>
      </c>
      <c r="H2205" t="s">
        <v>20</v>
      </c>
      <c r="I2205" t="s">
        <v>18</v>
      </c>
      <c r="J2205" s="3">
        <v>45766</v>
      </c>
      <c r="K2205" s="4">
        <f>ClientiBanca[[#This Row],[Prestito]]+ClientiBanca[[#This Row],[Mutuo]]</f>
        <v>0</v>
      </c>
      <c r="L2205" t="str">
        <f>IF(ClientiBanca[[#This Row],[Reddito annuo]]&gt;=70000,"si","no")</f>
        <v>no</v>
      </c>
    </row>
    <row r="2206" spans="1:12">
      <c r="A2206">
        <v>102205</v>
      </c>
      <c r="B2206">
        <v>44</v>
      </c>
      <c r="C2206" s="2">
        <v>127100</v>
      </c>
      <c r="D2206" t="s">
        <v>22</v>
      </c>
      <c r="E2206" s="2">
        <v>22000</v>
      </c>
      <c r="F2206" s="2">
        <v>0</v>
      </c>
      <c r="G2206" t="s">
        <v>27</v>
      </c>
      <c r="H2206" t="s">
        <v>17</v>
      </c>
      <c r="I2206" t="s">
        <v>18</v>
      </c>
      <c r="J2206" s="3">
        <v>46132</v>
      </c>
      <c r="K2206" s="4">
        <f>ClientiBanca[[#This Row],[Prestito]]+ClientiBanca[[#This Row],[Mutuo]]</f>
        <v>22000</v>
      </c>
      <c r="L2206" t="str">
        <f>IF(ClientiBanca[[#This Row],[Reddito annuo]]&gt;=70000,"si","no")</f>
        <v>si</v>
      </c>
    </row>
    <row r="2207" spans="1:12">
      <c r="A2207">
        <v>102206</v>
      </c>
      <c r="B2207">
        <v>62</v>
      </c>
      <c r="C2207" s="2">
        <v>64000</v>
      </c>
      <c r="D2207" t="s">
        <v>21</v>
      </c>
      <c r="E2207" s="2">
        <v>37900</v>
      </c>
      <c r="F2207" s="2">
        <v>0</v>
      </c>
      <c r="G2207" t="s">
        <v>24</v>
      </c>
      <c r="H2207" t="s">
        <v>20</v>
      </c>
      <c r="I2207" t="s">
        <v>18</v>
      </c>
      <c r="J2207" s="3">
        <v>45343</v>
      </c>
      <c r="K2207" s="4">
        <f>ClientiBanca[[#This Row],[Prestito]]+ClientiBanca[[#This Row],[Mutuo]]</f>
        <v>37900</v>
      </c>
      <c r="L2207" t="str">
        <f>IF(ClientiBanca[[#This Row],[Reddito annuo]]&gt;=70000,"si","no")</f>
        <v>no</v>
      </c>
    </row>
    <row r="2208" spans="1:12">
      <c r="A2208">
        <v>102207</v>
      </c>
      <c r="B2208">
        <v>45</v>
      </c>
      <c r="C2208" s="2">
        <v>65000</v>
      </c>
      <c r="D2208" t="s">
        <v>12</v>
      </c>
      <c r="E2208" s="2">
        <v>56600</v>
      </c>
      <c r="F2208" s="2">
        <v>0</v>
      </c>
      <c r="G2208" t="s">
        <v>23</v>
      </c>
      <c r="H2208" t="s">
        <v>17</v>
      </c>
      <c r="I2208" t="s">
        <v>18</v>
      </c>
      <c r="J2208" s="3">
        <v>45932</v>
      </c>
      <c r="K2208" s="4">
        <f>ClientiBanca[[#This Row],[Prestito]]+ClientiBanca[[#This Row],[Mutuo]]</f>
        <v>56600</v>
      </c>
      <c r="L2208" t="str">
        <f>IF(ClientiBanca[[#This Row],[Reddito annuo]]&gt;=70000,"si","no")</f>
        <v>no</v>
      </c>
    </row>
    <row r="2209" spans="1:12">
      <c r="A2209">
        <v>102208</v>
      </c>
      <c r="B2209">
        <v>28</v>
      </c>
      <c r="C2209" s="2">
        <v>89500</v>
      </c>
      <c r="D2209" t="s">
        <v>12</v>
      </c>
      <c r="E2209" s="2">
        <v>0</v>
      </c>
      <c r="F2209" s="2">
        <v>163000</v>
      </c>
      <c r="G2209" t="s">
        <v>16</v>
      </c>
      <c r="H2209" t="s">
        <v>20</v>
      </c>
      <c r="I2209" t="s">
        <v>18</v>
      </c>
      <c r="J2209" s="3">
        <v>46259</v>
      </c>
      <c r="K2209" s="4">
        <f>ClientiBanca[[#This Row],[Prestito]]+ClientiBanca[[#This Row],[Mutuo]]</f>
        <v>163000</v>
      </c>
      <c r="L2209" t="str">
        <f>IF(ClientiBanca[[#This Row],[Reddito annuo]]&gt;=70000,"si","no")</f>
        <v>si</v>
      </c>
    </row>
    <row r="2210" spans="1:12">
      <c r="A2210">
        <v>102209</v>
      </c>
      <c r="B2210">
        <v>22</v>
      </c>
      <c r="C2210" s="2">
        <v>60100</v>
      </c>
      <c r="D2210" t="s">
        <v>21</v>
      </c>
      <c r="E2210" s="2">
        <v>35300</v>
      </c>
      <c r="F2210" s="2">
        <v>0</v>
      </c>
      <c r="G2210" t="s">
        <v>16</v>
      </c>
      <c r="H2210" t="s">
        <v>20</v>
      </c>
      <c r="I2210" t="s">
        <v>18</v>
      </c>
      <c r="J2210" s="3">
        <v>45301</v>
      </c>
      <c r="K2210" s="4">
        <f>ClientiBanca[[#This Row],[Prestito]]+ClientiBanca[[#This Row],[Mutuo]]</f>
        <v>35300</v>
      </c>
      <c r="L2210" t="str">
        <f>IF(ClientiBanca[[#This Row],[Reddito annuo]]&gt;=70000,"si","no")</f>
        <v>no</v>
      </c>
    </row>
    <row r="2211" spans="1:12">
      <c r="A2211">
        <v>102210</v>
      </c>
      <c r="B2211">
        <v>30</v>
      </c>
      <c r="C2211" s="2">
        <v>31300</v>
      </c>
      <c r="D2211" t="s">
        <v>21</v>
      </c>
      <c r="E2211" s="2">
        <v>0</v>
      </c>
      <c r="F2211" s="2">
        <v>0</v>
      </c>
      <c r="G2211" t="s">
        <v>24</v>
      </c>
      <c r="H2211" t="s">
        <v>14</v>
      </c>
      <c r="I2211" t="s">
        <v>18</v>
      </c>
      <c r="J2211" s="3">
        <v>45659</v>
      </c>
      <c r="K2211" s="4">
        <f>ClientiBanca[[#This Row],[Prestito]]+ClientiBanca[[#This Row],[Mutuo]]</f>
        <v>0</v>
      </c>
      <c r="L2211" t="str">
        <f>IF(ClientiBanca[[#This Row],[Reddito annuo]]&gt;=70000,"si","no")</f>
        <v>no</v>
      </c>
    </row>
    <row r="2212" spans="1:12">
      <c r="A2212">
        <v>102211</v>
      </c>
      <c r="B2212">
        <v>41</v>
      </c>
      <c r="C2212" s="2">
        <v>20000</v>
      </c>
      <c r="D2212" t="s">
        <v>21</v>
      </c>
      <c r="E2212" s="2">
        <v>11300</v>
      </c>
      <c r="F2212" s="2">
        <v>212000</v>
      </c>
      <c r="G2212" t="s">
        <v>23</v>
      </c>
      <c r="H2212" t="s">
        <v>14</v>
      </c>
      <c r="I2212" t="s">
        <v>18</v>
      </c>
      <c r="J2212" s="3">
        <v>45704</v>
      </c>
      <c r="K2212" s="4">
        <f>ClientiBanca[[#This Row],[Prestito]]+ClientiBanca[[#This Row],[Mutuo]]</f>
        <v>223300</v>
      </c>
      <c r="L2212" t="str">
        <f>IF(ClientiBanca[[#This Row],[Reddito annuo]]&gt;=70000,"si","no")</f>
        <v>no</v>
      </c>
    </row>
    <row r="2213" spans="1:12">
      <c r="A2213">
        <v>102212</v>
      </c>
      <c r="B2213">
        <v>49</v>
      </c>
      <c r="C2213" s="2">
        <v>43400</v>
      </c>
      <c r="D2213" t="s">
        <v>21</v>
      </c>
      <c r="E2213" s="2">
        <v>34600</v>
      </c>
      <c r="F2213" s="2">
        <v>0</v>
      </c>
      <c r="G2213" t="s">
        <v>13</v>
      </c>
      <c r="H2213" t="s">
        <v>20</v>
      </c>
      <c r="I2213" t="s">
        <v>18</v>
      </c>
      <c r="J2213" s="3">
        <v>46109</v>
      </c>
      <c r="K2213" s="4">
        <f>ClientiBanca[[#This Row],[Prestito]]+ClientiBanca[[#This Row],[Mutuo]]</f>
        <v>34600</v>
      </c>
      <c r="L2213" t="str">
        <f>IF(ClientiBanca[[#This Row],[Reddito annuo]]&gt;=70000,"si","no")</f>
        <v>no</v>
      </c>
    </row>
    <row r="2214" spans="1:12">
      <c r="A2214">
        <v>102213</v>
      </c>
      <c r="B2214">
        <v>20</v>
      </c>
      <c r="C2214" s="2">
        <v>25900</v>
      </c>
      <c r="D2214" t="s">
        <v>22</v>
      </c>
      <c r="E2214" s="2">
        <v>0</v>
      </c>
      <c r="F2214" s="2">
        <v>0</v>
      </c>
      <c r="G2214" t="s">
        <v>24</v>
      </c>
      <c r="H2214" t="s">
        <v>14</v>
      </c>
      <c r="I2214" t="s">
        <v>18</v>
      </c>
      <c r="J2214" s="3">
        <v>45434</v>
      </c>
      <c r="K2214" s="4">
        <f>ClientiBanca[[#This Row],[Prestito]]+ClientiBanca[[#This Row],[Mutuo]]</f>
        <v>0</v>
      </c>
      <c r="L2214" t="str">
        <f>IF(ClientiBanca[[#This Row],[Reddito annuo]]&gt;=70000,"si","no")</f>
        <v>no</v>
      </c>
    </row>
    <row r="2215" spans="1:12">
      <c r="A2215">
        <v>102214</v>
      </c>
      <c r="B2215">
        <v>63</v>
      </c>
      <c r="C2215" s="2">
        <v>59400</v>
      </c>
      <c r="D2215" t="s">
        <v>22</v>
      </c>
      <c r="E2215" s="2">
        <v>0</v>
      </c>
      <c r="F2215" s="2">
        <v>0</v>
      </c>
      <c r="G2215" t="s">
        <v>28</v>
      </c>
      <c r="H2215" t="s">
        <v>14</v>
      </c>
      <c r="I2215" t="s">
        <v>18</v>
      </c>
      <c r="J2215" s="3">
        <v>45924</v>
      </c>
      <c r="K2215" s="4">
        <f>ClientiBanca[[#This Row],[Prestito]]+ClientiBanca[[#This Row],[Mutuo]]</f>
        <v>0</v>
      </c>
      <c r="L2215" t="str">
        <f>IF(ClientiBanca[[#This Row],[Reddito annuo]]&gt;=70000,"si","no")</f>
        <v>no</v>
      </c>
    </row>
    <row r="2216" spans="1:12">
      <c r="A2216">
        <v>102215</v>
      </c>
      <c r="B2216">
        <v>22</v>
      </c>
      <c r="C2216" s="2">
        <v>52300</v>
      </c>
      <c r="D2216" t="s">
        <v>12</v>
      </c>
      <c r="E2216" s="2">
        <v>0</v>
      </c>
      <c r="F2216" s="2">
        <v>0</v>
      </c>
      <c r="G2216" t="s">
        <v>13</v>
      </c>
      <c r="H2216" t="s">
        <v>25</v>
      </c>
      <c r="I2216" t="s">
        <v>18</v>
      </c>
      <c r="J2216" s="3">
        <v>46179</v>
      </c>
      <c r="K2216" s="4">
        <f>ClientiBanca[[#This Row],[Prestito]]+ClientiBanca[[#This Row],[Mutuo]]</f>
        <v>0</v>
      </c>
      <c r="L2216" t="str">
        <f>IF(ClientiBanca[[#This Row],[Reddito annuo]]&gt;=70000,"si","no")</f>
        <v>no</v>
      </c>
    </row>
    <row r="2217" spans="1:12">
      <c r="A2217">
        <v>102216</v>
      </c>
      <c r="B2217">
        <v>55</v>
      </c>
      <c r="C2217" s="2">
        <v>54700</v>
      </c>
      <c r="D2217" t="s">
        <v>22</v>
      </c>
      <c r="E2217" s="2">
        <v>9600</v>
      </c>
      <c r="F2217" s="2">
        <v>229000</v>
      </c>
      <c r="G2217" t="s">
        <v>26</v>
      </c>
      <c r="H2217" t="s">
        <v>17</v>
      </c>
      <c r="I2217" t="s">
        <v>18</v>
      </c>
      <c r="J2217" s="3">
        <v>45413</v>
      </c>
      <c r="K2217" s="4">
        <f>ClientiBanca[[#This Row],[Prestito]]+ClientiBanca[[#This Row],[Mutuo]]</f>
        <v>238600</v>
      </c>
      <c r="L2217" t="str">
        <f>IF(ClientiBanca[[#This Row],[Reddito annuo]]&gt;=70000,"si","no")</f>
        <v>no</v>
      </c>
    </row>
    <row r="2218" spans="1:12">
      <c r="A2218">
        <v>102217</v>
      </c>
      <c r="B2218">
        <v>26</v>
      </c>
      <c r="C2218" s="2">
        <v>77800</v>
      </c>
      <c r="D2218" t="s">
        <v>21</v>
      </c>
      <c r="E2218" s="2">
        <v>68900</v>
      </c>
      <c r="F2218" s="2">
        <v>0</v>
      </c>
      <c r="G2218" t="s">
        <v>13</v>
      </c>
      <c r="H2218" t="s">
        <v>20</v>
      </c>
      <c r="I2218" t="s">
        <v>18</v>
      </c>
      <c r="J2218" s="3">
        <v>45860</v>
      </c>
      <c r="K2218" s="4">
        <f>ClientiBanca[[#This Row],[Prestito]]+ClientiBanca[[#This Row],[Mutuo]]</f>
        <v>68900</v>
      </c>
      <c r="L2218" t="str">
        <f>IF(ClientiBanca[[#This Row],[Reddito annuo]]&gt;=70000,"si","no")</f>
        <v>si</v>
      </c>
    </row>
    <row r="2219" spans="1:12">
      <c r="A2219">
        <v>102218</v>
      </c>
      <c r="B2219">
        <v>61</v>
      </c>
      <c r="C2219" s="2">
        <v>51200</v>
      </c>
      <c r="D2219" t="s">
        <v>21</v>
      </c>
      <c r="E2219" s="2">
        <v>50900</v>
      </c>
      <c r="F2219" s="2">
        <v>0</v>
      </c>
      <c r="G2219" t="s">
        <v>26</v>
      </c>
      <c r="H2219" t="s">
        <v>20</v>
      </c>
      <c r="I2219" t="s">
        <v>15</v>
      </c>
      <c r="J2219" s="3">
        <v>45943</v>
      </c>
      <c r="K2219" s="4">
        <f>ClientiBanca[[#This Row],[Prestito]]+ClientiBanca[[#This Row],[Mutuo]]</f>
        <v>50900</v>
      </c>
      <c r="L2219" t="str">
        <f>IF(ClientiBanca[[#This Row],[Reddito annuo]]&gt;=70000,"si","no")</f>
        <v>no</v>
      </c>
    </row>
    <row r="2220" spans="1:12">
      <c r="A2220">
        <v>102219</v>
      </c>
      <c r="B2220">
        <v>36</v>
      </c>
      <c r="C2220" s="2">
        <v>86200</v>
      </c>
      <c r="D2220" t="s">
        <v>12</v>
      </c>
      <c r="E2220" s="2">
        <v>19000</v>
      </c>
      <c r="F2220" s="2">
        <v>0</v>
      </c>
      <c r="G2220" t="s">
        <v>26</v>
      </c>
      <c r="H2220" t="s">
        <v>20</v>
      </c>
      <c r="I2220" t="s">
        <v>18</v>
      </c>
      <c r="J2220" s="3">
        <v>45621</v>
      </c>
      <c r="K2220" s="4">
        <f>ClientiBanca[[#This Row],[Prestito]]+ClientiBanca[[#This Row],[Mutuo]]</f>
        <v>19000</v>
      </c>
      <c r="L2220" t="str">
        <f>IF(ClientiBanca[[#This Row],[Reddito annuo]]&gt;=70000,"si","no")</f>
        <v>si</v>
      </c>
    </row>
    <row r="2221" spans="1:12">
      <c r="A2221">
        <v>102220</v>
      </c>
      <c r="B2221">
        <v>44</v>
      </c>
      <c r="C2221" s="2">
        <v>106400</v>
      </c>
      <c r="D2221" t="s">
        <v>12</v>
      </c>
      <c r="E2221" s="2">
        <v>38500</v>
      </c>
      <c r="F2221" s="2">
        <v>0</v>
      </c>
      <c r="G2221" t="s">
        <v>16</v>
      </c>
      <c r="H2221" t="s">
        <v>20</v>
      </c>
      <c r="I2221" t="s">
        <v>18</v>
      </c>
      <c r="J2221" s="3">
        <v>45346</v>
      </c>
      <c r="K2221" s="4">
        <f>ClientiBanca[[#This Row],[Prestito]]+ClientiBanca[[#This Row],[Mutuo]]</f>
        <v>38500</v>
      </c>
      <c r="L2221" t="str">
        <f>IF(ClientiBanca[[#This Row],[Reddito annuo]]&gt;=70000,"si","no")</f>
        <v>si</v>
      </c>
    </row>
    <row r="2222" spans="1:12">
      <c r="A2222">
        <v>102221</v>
      </c>
      <c r="B2222">
        <v>26</v>
      </c>
      <c r="C2222" s="2">
        <v>30500</v>
      </c>
      <c r="D2222" t="s">
        <v>21</v>
      </c>
      <c r="E2222" s="2">
        <v>0</v>
      </c>
      <c r="F2222" s="2">
        <v>0</v>
      </c>
      <c r="G2222" t="s">
        <v>24</v>
      </c>
      <c r="H2222" t="s">
        <v>14</v>
      </c>
      <c r="I2222" t="s">
        <v>18</v>
      </c>
      <c r="J2222" s="3">
        <v>45844</v>
      </c>
      <c r="K2222" s="4">
        <f>ClientiBanca[[#This Row],[Prestito]]+ClientiBanca[[#This Row],[Mutuo]]</f>
        <v>0</v>
      </c>
      <c r="L2222" t="str">
        <f>IF(ClientiBanca[[#This Row],[Reddito annuo]]&gt;=70000,"si","no")</f>
        <v>no</v>
      </c>
    </row>
    <row r="2223" spans="1:12">
      <c r="A2223">
        <v>102222</v>
      </c>
      <c r="B2223">
        <v>25</v>
      </c>
      <c r="C2223" s="2">
        <v>74600</v>
      </c>
      <c r="D2223" t="s">
        <v>21</v>
      </c>
      <c r="E2223" s="2">
        <v>19800</v>
      </c>
      <c r="F2223" s="2">
        <v>0</v>
      </c>
      <c r="G2223" t="s">
        <v>26</v>
      </c>
      <c r="H2223" t="s">
        <v>25</v>
      </c>
      <c r="I2223" t="s">
        <v>15</v>
      </c>
      <c r="J2223" s="3">
        <v>46204</v>
      </c>
      <c r="K2223" s="4">
        <f>ClientiBanca[[#This Row],[Prestito]]+ClientiBanca[[#This Row],[Mutuo]]</f>
        <v>19800</v>
      </c>
      <c r="L2223" t="str">
        <f>IF(ClientiBanca[[#This Row],[Reddito annuo]]&gt;=70000,"si","no")</f>
        <v>si</v>
      </c>
    </row>
    <row r="2224" spans="1:12">
      <c r="A2224">
        <v>102223</v>
      </c>
      <c r="B2224">
        <v>45</v>
      </c>
      <c r="C2224" s="2">
        <v>37500</v>
      </c>
      <c r="D2224" t="s">
        <v>12</v>
      </c>
      <c r="E2224" s="2">
        <v>11900</v>
      </c>
      <c r="F2224" s="2">
        <v>0</v>
      </c>
      <c r="G2224" t="s">
        <v>19</v>
      </c>
      <c r="H2224" t="s">
        <v>25</v>
      </c>
      <c r="I2224" t="s">
        <v>18</v>
      </c>
      <c r="J2224" s="3">
        <v>46100</v>
      </c>
      <c r="K2224" s="4">
        <f>ClientiBanca[[#This Row],[Prestito]]+ClientiBanca[[#This Row],[Mutuo]]</f>
        <v>11900</v>
      </c>
      <c r="L2224" t="str">
        <f>IF(ClientiBanca[[#This Row],[Reddito annuo]]&gt;=70000,"si","no")</f>
        <v>no</v>
      </c>
    </row>
    <row r="2225" spans="1:12">
      <c r="A2225">
        <v>102224</v>
      </c>
      <c r="B2225">
        <v>42</v>
      </c>
      <c r="C2225" s="2">
        <v>70200</v>
      </c>
      <c r="D2225" t="s">
        <v>21</v>
      </c>
      <c r="E2225" s="2">
        <v>72400</v>
      </c>
      <c r="F2225" s="2">
        <v>400000</v>
      </c>
      <c r="G2225" t="s">
        <v>27</v>
      </c>
      <c r="H2225" t="s">
        <v>20</v>
      </c>
      <c r="I2225" t="s">
        <v>18</v>
      </c>
      <c r="J2225" s="3">
        <v>45926</v>
      </c>
      <c r="K2225" s="4">
        <f>ClientiBanca[[#This Row],[Prestito]]+ClientiBanca[[#This Row],[Mutuo]]</f>
        <v>472400</v>
      </c>
      <c r="L2225" t="str">
        <f>IF(ClientiBanca[[#This Row],[Reddito annuo]]&gt;=70000,"si","no")</f>
        <v>si</v>
      </c>
    </row>
    <row r="2226" spans="1:12">
      <c r="A2226">
        <v>102225</v>
      </c>
      <c r="B2226">
        <v>26</v>
      </c>
      <c r="C2226" s="2">
        <v>121400</v>
      </c>
      <c r="D2226" t="s">
        <v>12</v>
      </c>
      <c r="E2226" s="2">
        <v>46500</v>
      </c>
      <c r="F2226" s="2">
        <v>128000</v>
      </c>
      <c r="G2226" t="s">
        <v>16</v>
      </c>
      <c r="H2226" t="s">
        <v>14</v>
      </c>
      <c r="I2226" t="s">
        <v>18</v>
      </c>
      <c r="J2226" s="3">
        <v>46097</v>
      </c>
      <c r="K2226" s="4">
        <f>ClientiBanca[[#This Row],[Prestito]]+ClientiBanca[[#This Row],[Mutuo]]</f>
        <v>174500</v>
      </c>
      <c r="L2226" t="str">
        <f>IF(ClientiBanca[[#This Row],[Reddito annuo]]&gt;=70000,"si","no")</f>
        <v>si</v>
      </c>
    </row>
    <row r="2227" spans="1:12">
      <c r="A2227">
        <v>102226</v>
      </c>
      <c r="B2227">
        <v>60</v>
      </c>
      <c r="C2227" s="2">
        <v>114200</v>
      </c>
      <c r="D2227" t="s">
        <v>21</v>
      </c>
      <c r="E2227" s="2">
        <v>44000</v>
      </c>
      <c r="F2227" s="2">
        <v>0</v>
      </c>
      <c r="G2227" t="s">
        <v>13</v>
      </c>
      <c r="H2227" t="s">
        <v>14</v>
      </c>
      <c r="I2227" t="s">
        <v>15</v>
      </c>
      <c r="J2227" s="3">
        <v>45908</v>
      </c>
      <c r="K2227" s="4">
        <f>ClientiBanca[[#This Row],[Prestito]]+ClientiBanca[[#This Row],[Mutuo]]</f>
        <v>44000</v>
      </c>
      <c r="L2227" t="str">
        <f>IF(ClientiBanca[[#This Row],[Reddito annuo]]&gt;=70000,"si","no")</f>
        <v>si</v>
      </c>
    </row>
    <row r="2228" spans="1:12">
      <c r="A2228">
        <v>102227</v>
      </c>
      <c r="B2228">
        <v>31</v>
      </c>
      <c r="C2228" s="2">
        <v>42300</v>
      </c>
      <c r="D2228" t="s">
        <v>21</v>
      </c>
      <c r="E2228" s="2">
        <v>10700</v>
      </c>
      <c r="F2228" s="2">
        <v>158000</v>
      </c>
      <c r="G2228" t="s">
        <v>24</v>
      </c>
      <c r="H2228" t="s">
        <v>17</v>
      </c>
      <c r="I2228" t="s">
        <v>15</v>
      </c>
      <c r="J2228" s="3">
        <v>46032</v>
      </c>
      <c r="K2228" s="4">
        <f>ClientiBanca[[#This Row],[Prestito]]+ClientiBanca[[#This Row],[Mutuo]]</f>
        <v>168700</v>
      </c>
      <c r="L2228" t="str">
        <f>IF(ClientiBanca[[#This Row],[Reddito annuo]]&gt;=70000,"si","no")</f>
        <v>no</v>
      </c>
    </row>
    <row r="2229" spans="1:12">
      <c r="A2229">
        <v>102228</v>
      </c>
      <c r="B2229">
        <v>67</v>
      </c>
      <c r="C2229" s="2">
        <v>99800</v>
      </c>
      <c r="D2229" t="s">
        <v>21</v>
      </c>
      <c r="E2229" s="2">
        <v>0</v>
      </c>
      <c r="F2229" s="2">
        <v>0</v>
      </c>
      <c r="G2229" t="s">
        <v>16</v>
      </c>
      <c r="H2229" t="s">
        <v>20</v>
      </c>
      <c r="I2229" t="s">
        <v>18</v>
      </c>
      <c r="J2229" s="3">
        <v>45383</v>
      </c>
      <c r="K2229" s="4">
        <f>ClientiBanca[[#This Row],[Prestito]]+ClientiBanca[[#This Row],[Mutuo]]</f>
        <v>0</v>
      </c>
      <c r="L2229" t="str">
        <f>IF(ClientiBanca[[#This Row],[Reddito annuo]]&gt;=70000,"si","no")</f>
        <v>si</v>
      </c>
    </row>
    <row r="2230" spans="1:12">
      <c r="A2230">
        <v>102229</v>
      </c>
      <c r="B2230">
        <v>28</v>
      </c>
      <c r="C2230" s="2">
        <v>26900</v>
      </c>
      <c r="D2230" t="s">
        <v>22</v>
      </c>
      <c r="E2230" s="2">
        <v>0</v>
      </c>
      <c r="F2230" s="2">
        <v>0</v>
      </c>
      <c r="G2230" t="s">
        <v>27</v>
      </c>
      <c r="H2230" t="s">
        <v>17</v>
      </c>
      <c r="I2230" t="s">
        <v>18</v>
      </c>
      <c r="J2230" s="3">
        <v>45731</v>
      </c>
      <c r="K2230" s="4">
        <f>ClientiBanca[[#This Row],[Prestito]]+ClientiBanca[[#This Row],[Mutuo]]</f>
        <v>0</v>
      </c>
      <c r="L2230" t="str">
        <f>IF(ClientiBanca[[#This Row],[Reddito annuo]]&gt;=70000,"si","no")</f>
        <v>no</v>
      </c>
    </row>
    <row r="2231" spans="1:12">
      <c r="A2231">
        <v>102230</v>
      </c>
      <c r="B2231">
        <v>47</v>
      </c>
      <c r="C2231" s="2">
        <v>80500</v>
      </c>
      <c r="D2231" t="s">
        <v>21</v>
      </c>
      <c r="E2231" s="2">
        <v>0</v>
      </c>
      <c r="F2231" s="2">
        <v>0</v>
      </c>
      <c r="G2231" t="s">
        <v>26</v>
      </c>
      <c r="H2231" t="s">
        <v>20</v>
      </c>
      <c r="I2231" t="s">
        <v>18</v>
      </c>
      <c r="J2231" s="3">
        <v>46034</v>
      </c>
      <c r="K2231" s="4">
        <f>ClientiBanca[[#This Row],[Prestito]]+ClientiBanca[[#This Row],[Mutuo]]</f>
        <v>0</v>
      </c>
      <c r="L2231" t="str">
        <f>IF(ClientiBanca[[#This Row],[Reddito annuo]]&gt;=70000,"si","no")</f>
        <v>si</v>
      </c>
    </row>
    <row r="2232" spans="1:12">
      <c r="A2232">
        <v>102231</v>
      </c>
      <c r="B2232">
        <v>22</v>
      </c>
      <c r="C2232" s="2">
        <v>113000</v>
      </c>
      <c r="D2232" t="s">
        <v>21</v>
      </c>
      <c r="E2232" s="2">
        <v>16300</v>
      </c>
      <c r="F2232" s="2">
        <v>0</v>
      </c>
      <c r="G2232" t="s">
        <v>23</v>
      </c>
      <c r="H2232" t="s">
        <v>14</v>
      </c>
      <c r="I2232" t="s">
        <v>18</v>
      </c>
      <c r="J2232" s="3">
        <v>46137</v>
      </c>
      <c r="K2232" s="4">
        <f>ClientiBanca[[#This Row],[Prestito]]+ClientiBanca[[#This Row],[Mutuo]]</f>
        <v>16300</v>
      </c>
      <c r="L2232" t="str">
        <f>IF(ClientiBanca[[#This Row],[Reddito annuo]]&gt;=70000,"si","no")</f>
        <v>si</v>
      </c>
    </row>
    <row r="2233" spans="1:12">
      <c r="A2233">
        <v>102232</v>
      </c>
      <c r="B2233">
        <v>21</v>
      </c>
      <c r="C2233" s="2">
        <v>35000</v>
      </c>
      <c r="D2233" t="s">
        <v>21</v>
      </c>
      <c r="E2233" s="2">
        <v>26600</v>
      </c>
      <c r="F2233" s="2">
        <v>0</v>
      </c>
      <c r="G2233" t="s">
        <v>23</v>
      </c>
      <c r="H2233" t="s">
        <v>25</v>
      </c>
      <c r="I2233" t="s">
        <v>18</v>
      </c>
      <c r="J2233" s="3">
        <v>46157</v>
      </c>
      <c r="K2233" s="4">
        <f>ClientiBanca[[#This Row],[Prestito]]+ClientiBanca[[#This Row],[Mutuo]]</f>
        <v>26600</v>
      </c>
      <c r="L2233" t="str">
        <f>IF(ClientiBanca[[#This Row],[Reddito annuo]]&gt;=70000,"si","no")</f>
        <v>no</v>
      </c>
    </row>
    <row r="2234" spans="1:12">
      <c r="A2234">
        <v>102233</v>
      </c>
      <c r="B2234">
        <v>29</v>
      </c>
      <c r="C2234" s="2">
        <v>44600</v>
      </c>
      <c r="D2234" t="s">
        <v>21</v>
      </c>
      <c r="E2234" s="2">
        <v>0</v>
      </c>
      <c r="F2234" s="2">
        <v>411000</v>
      </c>
      <c r="G2234" t="s">
        <v>24</v>
      </c>
      <c r="H2234" t="s">
        <v>17</v>
      </c>
      <c r="I2234" t="s">
        <v>18</v>
      </c>
      <c r="J2234" s="3">
        <v>45617</v>
      </c>
      <c r="K2234" s="4">
        <f>ClientiBanca[[#This Row],[Prestito]]+ClientiBanca[[#This Row],[Mutuo]]</f>
        <v>411000</v>
      </c>
      <c r="L2234" t="str">
        <f>IF(ClientiBanca[[#This Row],[Reddito annuo]]&gt;=70000,"si","no")</f>
        <v>no</v>
      </c>
    </row>
    <row r="2235" spans="1:12">
      <c r="A2235">
        <v>102234</v>
      </c>
      <c r="B2235">
        <v>68</v>
      </c>
      <c r="C2235" s="2">
        <v>34500</v>
      </c>
      <c r="D2235" t="s">
        <v>12</v>
      </c>
      <c r="E2235" s="2">
        <v>0</v>
      </c>
      <c r="F2235" s="2">
        <v>0</v>
      </c>
      <c r="G2235" t="s">
        <v>24</v>
      </c>
      <c r="H2235" t="s">
        <v>17</v>
      </c>
      <c r="I2235" t="s">
        <v>18</v>
      </c>
      <c r="J2235" s="3">
        <v>45295</v>
      </c>
      <c r="K2235" s="4">
        <f>ClientiBanca[[#This Row],[Prestito]]+ClientiBanca[[#This Row],[Mutuo]]</f>
        <v>0</v>
      </c>
      <c r="L2235" t="str">
        <f>IF(ClientiBanca[[#This Row],[Reddito annuo]]&gt;=70000,"si","no")</f>
        <v>no</v>
      </c>
    </row>
    <row r="2236" spans="1:12">
      <c r="A2236">
        <v>102235</v>
      </c>
      <c r="B2236">
        <v>52</v>
      </c>
      <c r="C2236" s="2">
        <v>52600</v>
      </c>
      <c r="D2236" t="s">
        <v>21</v>
      </c>
      <c r="E2236" s="2">
        <v>0</v>
      </c>
      <c r="F2236" s="2">
        <v>0</v>
      </c>
      <c r="G2236" t="s">
        <v>16</v>
      </c>
      <c r="H2236" t="s">
        <v>25</v>
      </c>
      <c r="I2236" t="s">
        <v>18</v>
      </c>
      <c r="J2236" s="3">
        <v>46168</v>
      </c>
      <c r="K2236" s="4">
        <f>ClientiBanca[[#This Row],[Prestito]]+ClientiBanca[[#This Row],[Mutuo]]</f>
        <v>0</v>
      </c>
      <c r="L2236" t="str">
        <f>IF(ClientiBanca[[#This Row],[Reddito annuo]]&gt;=70000,"si","no")</f>
        <v>no</v>
      </c>
    </row>
    <row r="2237" spans="1:12">
      <c r="A2237">
        <v>102236</v>
      </c>
      <c r="B2237">
        <v>28</v>
      </c>
      <c r="C2237" s="2">
        <v>45500</v>
      </c>
      <c r="D2237" t="s">
        <v>21</v>
      </c>
      <c r="E2237" s="2">
        <v>0</v>
      </c>
      <c r="F2237" s="2">
        <v>0</v>
      </c>
      <c r="G2237" t="s">
        <v>16</v>
      </c>
      <c r="H2237" t="s">
        <v>14</v>
      </c>
      <c r="I2237" t="s">
        <v>18</v>
      </c>
      <c r="J2237" s="3">
        <v>45744</v>
      </c>
      <c r="K2237" s="4">
        <f>ClientiBanca[[#This Row],[Prestito]]+ClientiBanca[[#This Row],[Mutuo]]</f>
        <v>0</v>
      </c>
      <c r="L2237" t="str">
        <f>IF(ClientiBanca[[#This Row],[Reddito annuo]]&gt;=70000,"si","no")</f>
        <v>no</v>
      </c>
    </row>
    <row r="2238" spans="1:12">
      <c r="A2238">
        <v>102237</v>
      </c>
      <c r="B2238">
        <v>52</v>
      </c>
      <c r="C2238" s="2">
        <v>92400</v>
      </c>
      <c r="D2238" t="s">
        <v>21</v>
      </c>
      <c r="E2238" s="2">
        <v>32200</v>
      </c>
      <c r="F2238" s="2">
        <v>0</v>
      </c>
      <c r="G2238" t="s">
        <v>24</v>
      </c>
      <c r="H2238" t="s">
        <v>17</v>
      </c>
      <c r="I2238" t="s">
        <v>18</v>
      </c>
      <c r="J2238" s="3">
        <v>45662</v>
      </c>
      <c r="K2238" s="4">
        <f>ClientiBanca[[#This Row],[Prestito]]+ClientiBanca[[#This Row],[Mutuo]]</f>
        <v>32200</v>
      </c>
      <c r="L2238" t="str">
        <f>IF(ClientiBanca[[#This Row],[Reddito annuo]]&gt;=70000,"si","no")</f>
        <v>si</v>
      </c>
    </row>
    <row r="2239" spans="1:12">
      <c r="A2239">
        <v>102238</v>
      </c>
      <c r="B2239">
        <v>20</v>
      </c>
      <c r="C2239" s="2">
        <v>27900</v>
      </c>
      <c r="D2239" t="s">
        <v>22</v>
      </c>
      <c r="E2239" s="2">
        <v>34300</v>
      </c>
      <c r="F2239" s="2">
        <v>0</v>
      </c>
      <c r="G2239" t="s">
        <v>28</v>
      </c>
      <c r="H2239" t="s">
        <v>25</v>
      </c>
      <c r="I2239" t="s">
        <v>18</v>
      </c>
      <c r="J2239" s="3">
        <v>45420</v>
      </c>
      <c r="K2239" s="4">
        <f>ClientiBanca[[#This Row],[Prestito]]+ClientiBanca[[#This Row],[Mutuo]]</f>
        <v>34300</v>
      </c>
      <c r="L2239" t="str">
        <f>IF(ClientiBanca[[#This Row],[Reddito annuo]]&gt;=70000,"si","no")</f>
        <v>no</v>
      </c>
    </row>
    <row r="2240" spans="1:12">
      <c r="A2240">
        <v>102239</v>
      </c>
      <c r="B2240">
        <v>35</v>
      </c>
      <c r="C2240" s="2">
        <v>47700</v>
      </c>
      <c r="D2240" t="s">
        <v>21</v>
      </c>
      <c r="E2240" s="2">
        <v>10700</v>
      </c>
      <c r="F2240" s="2">
        <v>0</v>
      </c>
      <c r="G2240" t="s">
        <v>16</v>
      </c>
      <c r="H2240" t="s">
        <v>17</v>
      </c>
      <c r="I2240" t="s">
        <v>18</v>
      </c>
      <c r="J2240" s="3">
        <v>45446</v>
      </c>
      <c r="K2240" s="4">
        <f>ClientiBanca[[#This Row],[Prestito]]+ClientiBanca[[#This Row],[Mutuo]]</f>
        <v>10700</v>
      </c>
      <c r="L2240" t="str">
        <f>IF(ClientiBanca[[#This Row],[Reddito annuo]]&gt;=70000,"si","no")</f>
        <v>no</v>
      </c>
    </row>
    <row r="2241" spans="1:12">
      <c r="A2241">
        <v>102240</v>
      </c>
      <c r="B2241">
        <v>25</v>
      </c>
      <c r="C2241" s="2">
        <v>49100</v>
      </c>
      <c r="D2241" t="s">
        <v>12</v>
      </c>
      <c r="E2241" s="2">
        <v>0</v>
      </c>
      <c r="F2241" s="2">
        <v>0</v>
      </c>
      <c r="G2241" t="s">
        <v>19</v>
      </c>
      <c r="H2241" t="s">
        <v>20</v>
      </c>
      <c r="I2241" t="s">
        <v>18</v>
      </c>
      <c r="J2241" s="3">
        <v>45554</v>
      </c>
      <c r="K2241" s="4">
        <f>ClientiBanca[[#This Row],[Prestito]]+ClientiBanca[[#This Row],[Mutuo]]</f>
        <v>0</v>
      </c>
      <c r="L2241" t="str">
        <f>IF(ClientiBanca[[#This Row],[Reddito annuo]]&gt;=70000,"si","no")</f>
        <v>no</v>
      </c>
    </row>
    <row r="2242" spans="1:12">
      <c r="A2242">
        <v>102241</v>
      </c>
      <c r="B2242">
        <v>56</v>
      </c>
      <c r="C2242" s="2">
        <v>84000</v>
      </c>
      <c r="D2242" t="s">
        <v>21</v>
      </c>
      <c r="E2242" s="2">
        <v>45700</v>
      </c>
      <c r="F2242" s="2">
        <v>0</v>
      </c>
      <c r="G2242" t="s">
        <v>13</v>
      </c>
      <c r="H2242" t="s">
        <v>17</v>
      </c>
      <c r="I2242" t="s">
        <v>18</v>
      </c>
      <c r="J2242" s="3">
        <v>46019</v>
      </c>
      <c r="K2242" s="4">
        <f>ClientiBanca[[#This Row],[Prestito]]+ClientiBanca[[#This Row],[Mutuo]]</f>
        <v>45700</v>
      </c>
      <c r="L2242" t="str">
        <f>IF(ClientiBanca[[#This Row],[Reddito annuo]]&gt;=70000,"si","no")</f>
        <v>si</v>
      </c>
    </row>
    <row r="2243" spans="1:12">
      <c r="A2243">
        <v>102242</v>
      </c>
      <c r="B2243">
        <v>59</v>
      </c>
      <c r="C2243" s="2">
        <v>59300</v>
      </c>
      <c r="D2243" t="s">
        <v>21</v>
      </c>
      <c r="E2243" s="2">
        <v>35500</v>
      </c>
      <c r="F2243" s="2">
        <v>0</v>
      </c>
      <c r="G2243" t="s">
        <v>27</v>
      </c>
      <c r="H2243" t="s">
        <v>14</v>
      </c>
      <c r="I2243" t="s">
        <v>18</v>
      </c>
      <c r="J2243" s="3">
        <v>45606</v>
      </c>
      <c r="K2243" s="4">
        <f>ClientiBanca[[#This Row],[Prestito]]+ClientiBanca[[#This Row],[Mutuo]]</f>
        <v>35500</v>
      </c>
      <c r="L2243" t="str">
        <f>IF(ClientiBanca[[#This Row],[Reddito annuo]]&gt;=70000,"si","no")</f>
        <v>no</v>
      </c>
    </row>
    <row r="2244" spans="1:12">
      <c r="A2244">
        <v>102243</v>
      </c>
      <c r="B2244">
        <v>34</v>
      </c>
      <c r="C2244" s="2">
        <v>49200</v>
      </c>
      <c r="D2244" t="s">
        <v>12</v>
      </c>
      <c r="E2244" s="2">
        <v>61500</v>
      </c>
      <c r="F2244" s="2">
        <v>0</v>
      </c>
      <c r="G2244" t="s">
        <v>24</v>
      </c>
      <c r="H2244" t="s">
        <v>14</v>
      </c>
      <c r="I2244" t="s">
        <v>18</v>
      </c>
      <c r="J2244" s="3">
        <v>45575</v>
      </c>
      <c r="K2244" s="4">
        <f>ClientiBanca[[#This Row],[Prestito]]+ClientiBanca[[#This Row],[Mutuo]]</f>
        <v>61500</v>
      </c>
      <c r="L2244" t="str">
        <f>IF(ClientiBanca[[#This Row],[Reddito annuo]]&gt;=70000,"si","no")</f>
        <v>no</v>
      </c>
    </row>
    <row r="2245" spans="1:12">
      <c r="A2245">
        <v>102244</v>
      </c>
      <c r="B2245">
        <v>57</v>
      </c>
      <c r="C2245" s="2">
        <v>85800</v>
      </c>
      <c r="D2245" t="s">
        <v>12</v>
      </c>
      <c r="E2245" s="2">
        <v>0</v>
      </c>
      <c r="F2245" s="2">
        <v>0</v>
      </c>
      <c r="G2245" t="s">
        <v>27</v>
      </c>
      <c r="H2245" t="s">
        <v>20</v>
      </c>
      <c r="I2245" t="s">
        <v>18</v>
      </c>
      <c r="J2245" s="3">
        <v>45392</v>
      </c>
      <c r="K2245" s="4">
        <f>ClientiBanca[[#This Row],[Prestito]]+ClientiBanca[[#This Row],[Mutuo]]</f>
        <v>0</v>
      </c>
      <c r="L2245" t="str">
        <f>IF(ClientiBanca[[#This Row],[Reddito annuo]]&gt;=70000,"si","no")</f>
        <v>si</v>
      </c>
    </row>
    <row r="2246" spans="1:12">
      <c r="A2246">
        <v>102245</v>
      </c>
      <c r="B2246">
        <v>72</v>
      </c>
      <c r="C2246" s="2">
        <v>34500</v>
      </c>
      <c r="D2246" t="s">
        <v>21</v>
      </c>
      <c r="E2246" s="2">
        <v>43100</v>
      </c>
      <c r="F2246" s="2">
        <v>0</v>
      </c>
      <c r="G2246" t="s">
        <v>23</v>
      </c>
      <c r="H2246" t="s">
        <v>14</v>
      </c>
      <c r="I2246" t="s">
        <v>18</v>
      </c>
      <c r="J2246" s="3">
        <v>46113</v>
      </c>
      <c r="K2246" s="4">
        <f>ClientiBanca[[#This Row],[Prestito]]+ClientiBanca[[#This Row],[Mutuo]]</f>
        <v>43100</v>
      </c>
      <c r="L2246" t="str">
        <f>IF(ClientiBanca[[#This Row],[Reddito annuo]]&gt;=70000,"si","no")</f>
        <v>no</v>
      </c>
    </row>
    <row r="2247" spans="1:12">
      <c r="A2247">
        <v>102246</v>
      </c>
      <c r="B2247">
        <v>66</v>
      </c>
      <c r="C2247" s="2">
        <v>40400</v>
      </c>
      <c r="D2247" t="s">
        <v>22</v>
      </c>
      <c r="E2247" s="2">
        <v>28400</v>
      </c>
      <c r="F2247" s="2">
        <v>0</v>
      </c>
      <c r="G2247" t="s">
        <v>16</v>
      </c>
      <c r="H2247" t="s">
        <v>20</v>
      </c>
      <c r="I2247" t="s">
        <v>18</v>
      </c>
      <c r="J2247" s="3">
        <v>45800</v>
      </c>
      <c r="K2247" s="4">
        <f>ClientiBanca[[#This Row],[Prestito]]+ClientiBanca[[#This Row],[Mutuo]]</f>
        <v>28400</v>
      </c>
      <c r="L2247" t="str">
        <f>IF(ClientiBanca[[#This Row],[Reddito annuo]]&gt;=70000,"si","no")</f>
        <v>no</v>
      </c>
    </row>
    <row r="2248" spans="1:12">
      <c r="A2248">
        <v>102247</v>
      </c>
      <c r="B2248">
        <v>29</v>
      </c>
      <c r="C2248" s="2">
        <v>34400</v>
      </c>
      <c r="D2248" t="s">
        <v>12</v>
      </c>
      <c r="E2248" s="2">
        <v>0</v>
      </c>
      <c r="F2248" s="2">
        <v>0</v>
      </c>
      <c r="G2248" t="s">
        <v>27</v>
      </c>
      <c r="H2248" t="s">
        <v>17</v>
      </c>
      <c r="I2248" t="s">
        <v>18</v>
      </c>
      <c r="J2248" s="3">
        <v>45355</v>
      </c>
      <c r="K2248" s="4">
        <f>ClientiBanca[[#This Row],[Prestito]]+ClientiBanca[[#This Row],[Mutuo]]</f>
        <v>0</v>
      </c>
      <c r="L2248" t="str">
        <f>IF(ClientiBanca[[#This Row],[Reddito annuo]]&gt;=70000,"si","no")</f>
        <v>no</v>
      </c>
    </row>
    <row r="2249" spans="1:12">
      <c r="A2249">
        <v>102248</v>
      </c>
      <c r="B2249">
        <v>64</v>
      </c>
      <c r="C2249" s="2">
        <v>41300</v>
      </c>
      <c r="D2249" t="s">
        <v>12</v>
      </c>
      <c r="E2249" s="2">
        <v>39200</v>
      </c>
      <c r="F2249" s="2">
        <v>0</v>
      </c>
      <c r="G2249" t="s">
        <v>27</v>
      </c>
      <c r="H2249" t="s">
        <v>20</v>
      </c>
      <c r="I2249" t="s">
        <v>18</v>
      </c>
      <c r="J2249" s="3">
        <v>45325</v>
      </c>
      <c r="K2249" s="4">
        <f>ClientiBanca[[#This Row],[Prestito]]+ClientiBanca[[#This Row],[Mutuo]]</f>
        <v>39200</v>
      </c>
      <c r="L2249" t="str">
        <f>IF(ClientiBanca[[#This Row],[Reddito annuo]]&gt;=70000,"si","no")</f>
        <v>no</v>
      </c>
    </row>
    <row r="2250" spans="1:12">
      <c r="A2250">
        <v>102249</v>
      </c>
      <c r="B2250">
        <v>20</v>
      </c>
      <c r="C2250" s="2">
        <v>41800</v>
      </c>
      <c r="D2250" t="s">
        <v>22</v>
      </c>
      <c r="E2250" s="2">
        <v>14800</v>
      </c>
      <c r="F2250" s="2">
        <v>253000</v>
      </c>
      <c r="G2250" t="s">
        <v>13</v>
      </c>
      <c r="H2250" t="s">
        <v>14</v>
      </c>
      <c r="I2250" t="s">
        <v>18</v>
      </c>
      <c r="J2250" s="3">
        <v>45959</v>
      </c>
      <c r="K2250" s="4">
        <f>ClientiBanca[[#This Row],[Prestito]]+ClientiBanca[[#This Row],[Mutuo]]</f>
        <v>267800</v>
      </c>
      <c r="L2250" t="str">
        <f>IF(ClientiBanca[[#This Row],[Reddito annuo]]&gt;=70000,"si","no")</f>
        <v>no</v>
      </c>
    </row>
    <row r="2251" spans="1:12">
      <c r="A2251">
        <v>102250</v>
      </c>
      <c r="B2251">
        <v>55</v>
      </c>
      <c r="C2251" s="2">
        <v>54100</v>
      </c>
      <c r="D2251" t="s">
        <v>12</v>
      </c>
      <c r="E2251" s="2">
        <v>41600</v>
      </c>
      <c r="F2251" s="2">
        <v>0</v>
      </c>
      <c r="G2251" t="s">
        <v>24</v>
      </c>
      <c r="H2251" t="s">
        <v>14</v>
      </c>
      <c r="I2251" t="s">
        <v>18</v>
      </c>
      <c r="J2251" s="3">
        <v>45992</v>
      </c>
      <c r="K2251" s="4">
        <f>ClientiBanca[[#This Row],[Prestito]]+ClientiBanca[[#This Row],[Mutuo]]</f>
        <v>41600</v>
      </c>
      <c r="L2251" t="str">
        <f>IF(ClientiBanca[[#This Row],[Reddito annuo]]&gt;=70000,"si","no")</f>
        <v>no</v>
      </c>
    </row>
    <row r="2252" spans="1:12">
      <c r="A2252">
        <v>102251</v>
      </c>
      <c r="B2252">
        <v>65</v>
      </c>
      <c r="C2252" s="2">
        <v>68500</v>
      </c>
      <c r="D2252" t="s">
        <v>12</v>
      </c>
      <c r="E2252" s="2">
        <v>34100</v>
      </c>
      <c r="F2252" s="2">
        <v>242000</v>
      </c>
      <c r="G2252" t="s">
        <v>28</v>
      </c>
      <c r="H2252" t="s">
        <v>14</v>
      </c>
      <c r="I2252" t="s">
        <v>18</v>
      </c>
      <c r="J2252" s="3">
        <v>45665</v>
      </c>
      <c r="K2252" s="4">
        <f>ClientiBanca[[#This Row],[Prestito]]+ClientiBanca[[#This Row],[Mutuo]]</f>
        <v>276100</v>
      </c>
      <c r="L2252" t="str">
        <f>IF(ClientiBanca[[#This Row],[Reddito annuo]]&gt;=70000,"si","no")</f>
        <v>no</v>
      </c>
    </row>
    <row r="2253" spans="1:12">
      <c r="A2253">
        <v>102252</v>
      </c>
      <c r="B2253">
        <v>20</v>
      </c>
      <c r="C2253" s="2">
        <v>69500</v>
      </c>
      <c r="D2253" t="s">
        <v>21</v>
      </c>
      <c r="E2253" s="2">
        <v>0</v>
      </c>
      <c r="F2253" s="2">
        <v>0</v>
      </c>
      <c r="G2253" t="s">
        <v>19</v>
      </c>
      <c r="H2253" t="s">
        <v>17</v>
      </c>
      <c r="I2253" t="s">
        <v>18</v>
      </c>
      <c r="J2253" s="3">
        <v>46015</v>
      </c>
      <c r="K2253" s="4">
        <f>ClientiBanca[[#This Row],[Prestito]]+ClientiBanca[[#This Row],[Mutuo]]</f>
        <v>0</v>
      </c>
      <c r="L2253" t="str">
        <f>IF(ClientiBanca[[#This Row],[Reddito annuo]]&gt;=70000,"si","no")</f>
        <v>no</v>
      </c>
    </row>
    <row r="2254" spans="1:12">
      <c r="A2254">
        <v>102253</v>
      </c>
      <c r="B2254">
        <v>27</v>
      </c>
      <c r="C2254" s="2">
        <v>25800</v>
      </c>
      <c r="D2254" t="s">
        <v>22</v>
      </c>
      <c r="E2254" s="2">
        <v>32200</v>
      </c>
      <c r="F2254" s="2">
        <v>0</v>
      </c>
      <c r="G2254" t="s">
        <v>27</v>
      </c>
      <c r="H2254" t="s">
        <v>17</v>
      </c>
      <c r="I2254" t="s">
        <v>18</v>
      </c>
      <c r="J2254" s="3">
        <v>45905</v>
      </c>
      <c r="K2254" s="4">
        <f>ClientiBanca[[#This Row],[Prestito]]+ClientiBanca[[#This Row],[Mutuo]]</f>
        <v>32200</v>
      </c>
      <c r="L2254" t="str">
        <f>IF(ClientiBanca[[#This Row],[Reddito annuo]]&gt;=70000,"si","no")</f>
        <v>no</v>
      </c>
    </row>
    <row r="2255" spans="1:12">
      <c r="A2255">
        <v>102254</v>
      </c>
      <c r="B2255">
        <v>68</v>
      </c>
      <c r="C2255" s="2">
        <v>30300</v>
      </c>
      <c r="D2255" t="s">
        <v>21</v>
      </c>
      <c r="E2255" s="2">
        <v>29100</v>
      </c>
      <c r="F2255" s="2">
        <v>0</v>
      </c>
      <c r="G2255" t="s">
        <v>13</v>
      </c>
      <c r="H2255" t="s">
        <v>14</v>
      </c>
      <c r="I2255" t="s">
        <v>18</v>
      </c>
      <c r="J2255" s="3">
        <v>46146</v>
      </c>
      <c r="K2255" s="4">
        <f>ClientiBanca[[#This Row],[Prestito]]+ClientiBanca[[#This Row],[Mutuo]]</f>
        <v>29100</v>
      </c>
      <c r="L2255" t="str">
        <f>IF(ClientiBanca[[#This Row],[Reddito annuo]]&gt;=70000,"si","no")</f>
        <v>no</v>
      </c>
    </row>
    <row r="2256" spans="1:12">
      <c r="A2256">
        <v>102255</v>
      </c>
      <c r="B2256">
        <v>29</v>
      </c>
      <c r="C2256" s="2">
        <v>36700</v>
      </c>
      <c r="D2256" t="s">
        <v>21</v>
      </c>
      <c r="E2256" s="2">
        <v>45900</v>
      </c>
      <c r="F2256" s="2">
        <v>0</v>
      </c>
      <c r="G2256" t="s">
        <v>16</v>
      </c>
      <c r="H2256" t="s">
        <v>17</v>
      </c>
      <c r="I2256" t="s">
        <v>18</v>
      </c>
      <c r="J2256" s="3">
        <v>45415</v>
      </c>
      <c r="K2256" s="4">
        <f>ClientiBanca[[#This Row],[Prestito]]+ClientiBanca[[#This Row],[Mutuo]]</f>
        <v>45900</v>
      </c>
      <c r="L2256" t="str">
        <f>IF(ClientiBanca[[#This Row],[Reddito annuo]]&gt;=70000,"si","no")</f>
        <v>no</v>
      </c>
    </row>
    <row r="2257" spans="1:12">
      <c r="A2257">
        <v>102256</v>
      </c>
      <c r="B2257">
        <v>54</v>
      </c>
      <c r="C2257" s="2">
        <v>41100</v>
      </c>
      <c r="D2257" t="s">
        <v>21</v>
      </c>
      <c r="E2257" s="2">
        <v>30800</v>
      </c>
      <c r="F2257" s="2">
        <v>0</v>
      </c>
      <c r="G2257" t="s">
        <v>13</v>
      </c>
      <c r="H2257" t="s">
        <v>25</v>
      </c>
      <c r="I2257" t="s">
        <v>15</v>
      </c>
      <c r="J2257" s="3">
        <v>46109</v>
      </c>
      <c r="K2257" s="4">
        <f>ClientiBanca[[#This Row],[Prestito]]+ClientiBanca[[#This Row],[Mutuo]]</f>
        <v>30800</v>
      </c>
      <c r="L2257" t="str">
        <f>IF(ClientiBanca[[#This Row],[Reddito annuo]]&gt;=70000,"si","no")</f>
        <v>no</v>
      </c>
    </row>
    <row r="2258" spans="1:12">
      <c r="A2258">
        <v>102257</v>
      </c>
      <c r="B2258">
        <v>38</v>
      </c>
      <c r="C2258" s="2">
        <v>63200</v>
      </c>
      <c r="D2258" t="s">
        <v>12</v>
      </c>
      <c r="E2258" s="2">
        <v>26600</v>
      </c>
      <c r="F2258" s="2">
        <v>0</v>
      </c>
      <c r="G2258" t="s">
        <v>27</v>
      </c>
      <c r="H2258" t="s">
        <v>20</v>
      </c>
      <c r="I2258" t="s">
        <v>18</v>
      </c>
      <c r="J2258" s="3">
        <v>45977</v>
      </c>
      <c r="K2258" s="4">
        <f>ClientiBanca[[#This Row],[Prestito]]+ClientiBanca[[#This Row],[Mutuo]]</f>
        <v>26600</v>
      </c>
      <c r="L2258" t="str">
        <f>IF(ClientiBanca[[#This Row],[Reddito annuo]]&gt;=70000,"si","no")</f>
        <v>no</v>
      </c>
    </row>
    <row r="2259" spans="1:12">
      <c r="A2259">
        <v>102258</v>
      </c>
      <c r="B2259">
        <v>75</v>
      </c>
      <c r="C2259" s="2">
        <v>46500</v>
      </c>
      <c r="D2259" t="s">
        <v>12</v>
      </c>
      <c r="E2259" s="2">
        <v>58100</v>
      </c>
      <c r="F2259" s="2">
        <v>0</v>
      </c>
      <c r="G2259" t="s">
        <v>24</v>
      </c>
      <c r="H2259" t="s">
        <v>25</v>
      </c>
      <c r="I2259" t="s">
        <v>15</v>
      </c>
      <c r="J2259" s="3">
        <v>45891</v>
      </c>
      <c r="K2259" s="4">
        <f>ClientiBanca[[#This Row],[Prestito]]+ClientiBanca[[#This Row],[Mutuo]]</f>
        <v>58100</v>
      </c>
      <c r="L2259" t="str">
        <f>IF(ClientiBanca[[#This Row],[Reddito annuo]]&gt;=70000,"si","no")</f>
        <v>no</v>
      </c>
    </row>
    <row r="2260" spans="1:12">
      <c r="A2260">
        <v>102259</v>
      </c>
      <c r="B2260">
        <v>22</v>
      </c>
      <c r="C2260" s="2">
        <v>84400</v>
      </c>
      <c r="D2260" t="s">
        <v>21</v>
      </c>
      <c r="E2260" s="2">
        <v>27400</v>
      </c>
      <c r="F2260" s="2">
        <v>0</v>
      </c>
      <c r="G2260" t="s">
        <v>28</v>
      </c>
      <c r="H2260" t="s">
        <v>20</v>
      </c>
      <c r="I2260" t="s">
        <v>18</v>
      </c>
      <c r="J2260" s="3">
        <v>45312</v>
      </c>
      <c r="K2260" s="4">
        <f>ClientiBanca[[#This Row],[Prestito]]+ClientiBanca[[#This Row],[Mutuo]]</f>
        <v>27400</v>
      </c>
      <c r="L2260" t="str">
        <f>IF(ClientiBanca[[#This Row],[Reddito annuo]]&gt;=70000,"si","no")</f>
        <v>si</v>
      </c>
    </row>
    <row r="2261" spans="1:12">
      <c r="A2261">
        <v>102260</v>
      </c>
      <c r="B2261">
        <v>44</v>
      </c>
      <c r="C2261" s="2">
        <v>85700</v>
      </c>
      <c r="D2261" t="s">
        <v>12</v>
      </c>
      <c r="E2261" s="2">
        <v>30300</v>
      </c>
      <c r="F2261" s="2">
        <v>0</v>
      </c>
      <c r="G2261" t="s">
        <v>23</v>
      </c>
      <c r="H2261" t="s">
        <v>17</v>
      </c>
      <c r="I2261" t="s">
        <v>18</v>
      </c>
      <c r="J2261" s="3">
        <v>46245</v>
      </c>
      <c r="K2261" s="4">
        <f>ClientiBanca[[#This Row],[Prestito]]+ClientiBanca[[#This Row],[Mutuo]]</f>
        <v>30300</v>
      </c>
      <c r="L2261" t="str">
        <f>IF(ClientiBanca[[#This Row],[Reddito annuo]]&gt;=70000,"si","no")</f>
        <v>si</v>
      </c>
    </row>
    <row r="2262" spans="1:12">
      <c r="A2262">
        <v>102261</v>
      </c>
      <c r="B2262">
        <v>43</v>
      </c>
      <c r="C2262" s="2">
        <v>75400</v>
      </c>
      <c r="D2262" t="s">
        <v>22</v>
      </c>
      <c r="E2262" s="2">
        <v>0</v>
      </c>
      <c r="F2262" s="2">
        <v>107000</v>
      </c>
      <c r="G2262" t="s">
        <v>13</v>
      </c>
      <c r="H2262" t="s">
        <v>14</v>
      </c>
      <c r="I2262" t="s">
        <v>18</v>
      </c>
      <c r="J2262" s="3">
        <v>46208</v>
      </c>
      <c r="K2262" s="4">
        <f>ClientiBanca[[#This Row],[Prestito]]+ClientiBanca[[#This Row],[Mutuo]]</f>
        <v>107000</v>
      </c>
      <c r="L2262" t="str">
        <f>IF(ClientiBanca[[#This Row],[Reddito annuo]]&gt;=70000,"si","no")</f>
        <v>si</v>
      </c>
    </row>
    <row r="2263" spans="1:12">
      <c r="A2263">
        <v>102262</v>
      </c>
      <c r="B2263">
        <v>39</v>
      </c>
      <c r="C2263" s="2">
        <v>88300</v>
      </c>
      <c r="D2263" t="s">
        <v>21</v>
      </c>
      <c r="E2263" s="2">
        <v>68600</v>
      </c>
      <c r="F2263" s="2">
        <v>181000</v>
      </c>
      <c r="G2263" t="s">
        <v>26</v>
      </c>
      <c r="H2263" t="s">
        <v>14</v>
      </c>
      <c r="I2263" t="s">
        <v>18</v>
      </c>
      <c r="J2263" s="3">
        <v>46160</v>
      </c>
      <c r="K2263" s="4">
        <f>ClientiBanca[[#This Row],[Prestito]]+ClientiBanca[[#This Row],[Mutuo]]</f>
        <v>249600</v>
      </c>
      <c r="L2263" t="str">
        <f>IF(ClientiBanca[[#This Row],[Reddito annuo]]&gt;=70000,"si","no")</f>
        <v>si</v>
      </c>
    </row>
    <row r="2264" spans="1:12">
      <c r="A2264">
        <v>102263</v>
      </c>
      <c r="B2264">
        <v>33</v>
      </c>
      <c r="C2264" s="2">
        <v>75900</v>
      </c>
      <c r="D2264" t="s">
        <v>12</v>
      </c>
      <c r="E2264" s="2">
        <v>60800</v>
      </c>
      <c r="F2264" s="2">
        <v>0</v>
      </c>
      <c r="G2264" t="s">
        <v>26</v>
      </c>
      <c r="H2264" t="s">
        <v>17</v>
      </c>
      <c r="I2264" t="s">
        <v>18</v>
      </c>
      <c r="J2264" s="3">
        <v>45359</v>
      </c>
      <c r="K2264" s="4">
        <f>ClientiBanca[[#This Row],[Prestito]]+ClientiBanca[[#This Row],[Mutuo]]</f>
        <v>60800</v>
      </c>
      <c r="L2264" t="str">
        <f>IF(ClientiBanca[[#This Row],[Reddito annuo]]&gt;=70000,"si","no")</f>
        <v>si</v>
      </c>
    </row>
    <row r="2265" spans="1:12">
      <c r="A2265">
        <v>102264</v>
      </c>
      <c r="B2265">
        <v>34</v>
      </c>
      <c r="C2265" s="2">
        <v>26000</v>
      </c>
      <c r="D2265" t="s">
        <v>21</v>
      </c>
      <c r="E2265" s="2">
        <v>29600</v>
      </c>
      <c r="F2265" s="2">
        <v>0</v>
      </c>
      <c r="G2265" t="s">
        <v>13</v>
      </c>
      <c r="H2265" t="s">
        <v>14</v>
      </c>
      <c r="I2265" t="s">
        <v>18</v>
      </c>
      <c r="J2265" s="3">
        <v>45526</v>
      </c>
      <c r="K2265" s="4">
        <f>ClientiBanca[[#This Row],[Prestito]]+ClientiBanca[[#This Row],[Mutuo]]</f>
        <v>29600</v>
      </c>
      <c r="L2265" t="str">
        <f>IF(ClientiBanca[[#This Row],[Reddito annuo]]&gt;=70000,"si","no")</f>
        <v>no</v>
      </c>
    </row>
    <row r="2266" spans="1:12">
      <c r="A2266">
        <v>102265</v>
      </c>
      <c r="B2266">
        <v>22</v>
      </c>
      <c r="C2266" s="2">
        <v>37900</v>
      </c>
      <c r="D2266" t="s">
        <v>21</v>
      </c>
      <c r="E2266" s="2">
        <v>32400</v>
      </c>
      <c r="F2266" s="2">
        <v>0</v>
      </c>
      <c r="G2266" t="s">
        <v>16</v>
      </c>
      <c r="H2266" t="s">
        <v>14</v>
      </c>
      <c r="I2266" t="s">
        <v>18</v>
      </c>
      <c r="J2266" s="3">
        <v>46105</v>
      </c>
      <c r="K2266" s="4">
        <f>ClientiBanca[[#This Row],[Prestito]]+ClientiBanca[[#This Row],[Mutuo]]</f>
        <v>32400</v>
      </c>
      <c r="L2266" t="str">
        <f>IF(ClientiBanca[[#This Row],[Reddito annuo]]&gt;=70000,"si","no")</f>
        <v>no</v>
      </c>
    </row>
    <row r="2267" spans="1:12">
      <c r="A2267">
        <v>102266</v>
      </c>
      <c r="B2267">
        <v>35</v>
      </c>
      <c r="C2267" s="2">
        <v>42900</v>
      </c>
      <c r="D2267" t="s">
        <v>22</v>
      </c>
      <c r="E2267" s="2">
        <v>24800</v>
      </c>
      <c r="F2267" s="2">
        <v>0</v>
      </c>
      <c r="G2267" t="s">
        <v>13</v>
      </c>
      <c r="H2267" t="s">
        <v>20</v>
      </c>
      <c r="I2267" t="s">
        <v>18</v>
      </c>
      <c r="J2267" s="3">
        <v>46131</v>
      </c>
      <c r="K2267" s="4">
        <f>ClientiBanca[[#This Row],[Prestito]]+ClientiBanca[[#This Row],[Mutuo]]</f>
        <v>24800</v>
      </c>
      <c r="L2267" t="str">
        <f>IF(ClientiBanca[[#This Row],[Reddito annuo]]&gt;=70000,"si","no")</f>
        <v>no</v>
      </c>
    </row>
    <row r="2268" spans="1:12">
      <c r="A2268">
        <v>102267</v>
      </c>
      <c r="B2268">
        <v>27</v>
      </c>
      <c r="C2268" s="2">
        <v>95700</v>
      </c>
      <c r="D2268" t="s">
        <v>21</v>
      </c>
      <c r="E2268" s="2">
        <v>21500</v>
      </c>
      <c r="F2268" s="2">
        <v>0</v>
      </c>
      <c r="G2268" t="s">
        <v>28</v>
      </c>
      <c r="H2268" t="s">
        <v>17</v>
      </c>
      <c r="I2268" t="s">
        <v>18</v>
      </c>
      <c r="J2268" s="3">
        <v>46098</v>
      </c>
      <c r="K2268" s="4">
        <f>ClientiBanca[[#This Row],[Prestito]]+ClientiBanca[[#This Row],[Mutuo]]</f>
        <v>21500</v>
      </c>
      <c r="L2268" t="str">
        <f>IF(ClientiBanca[[#This Row],[Reddito annuo]]&gt;=70000,"si","no")</f>
        <v>si</v>
      </c>
    </row>
    <row r="2269" spans="1:12">
      <c r="A2269">
        <v>102268</v>
      </c>
      <c r="B2269">
        <v>47</v>
      </c>
      <c r="C2269" s="2">
        <v>92300</v>
      </c>
      <c r="D2269" t="s">
        <v>21</v>
      </c>
      <c r="E2269" s="2">
        <v>36700</v>
      </c>
      <c r="F2269" s="2">
        <v>0</v>
      </c>
      <c r="G2269" t="s">
        <v>13</v>
      </c>
      <c r="H2269" t="s">
        <v>20</v>
      </c>
      <c r="I2269" t="s">
        <v>18</v>
      </c>
      <c r="J2269" s="3">
        <v>46219</v>
      </c>
      <c r="K2269" s="4">
        <f>ClientiBanca[[#This Row],[Prestito]]+ClientiBanca[[#This Row],[Mutuo]]</f>
        <v>36700</v>
      </c>
      <c r="L2269" t="str">
        <f>IF(ClientiBanca[[#This Row],[Reddito annuo]]&gt;=70000,"si","no")</f>
        <v>si</v>
      </c>
    </row>
    <row r="2270" spans="1:12">
      <c r="A2270">
        <v>102269</v>
      </c>
      <c r="B2270">
        <v>48</v>
      </c>
      <c r="C2270" s="2">
        <v>99800</v>
      </c>
      <c r="D2270" t="s">
        <v>21</v>
      </c>
      <c r="E2270" s="2">
        <v>20300</v>
      </c>
      <c r="F2270" s="2">
        <v>0</v>
      </c>
      <c r="G2270" t="s">
        <v>28</v>
      </c>
      <c r="H2270" t="s">
        <v>17</v>
      </c>
      <c r="I2270" t="s">
        <v>18</v>
      </c>
      <c r="J2270" s="3">
        <v>45557</v>
      </c>
      <c r="K2270" s="4">
        <f>ClientiBanca[[#This Row],[Prestito]]+ClientiBanca[[#This Row],[Mutuo]]</f>
        <v>20300</v>
      </c>
      <c r="L2270" t="str">
        <f>IF(ClientiBanca[[#This Row],[Reddito annuo]]&gt;=70000,"si","no")</f>
        <v>si</v>
      </c>
    </row>
    <row r="2271" spans="1:12">
      <c r="A2271">
        <v>102270</v>
      </c>
      <c r="B2271">
        <v>29</v>
      </c>
      <c r="C2271" s="2">
        <v>51600</v>
      </c>
      <c r="D2271" t="s">
        <v>22</v>
      </c>
      <c r="E2271" s="2">
        <v>44400</v>
      </c>
      <c r="F2271" s="2">
        <v>0</v>
      </c>
      <c r="G2271" t="s">
        <v>24</v>
      </c>
      <c r="H2271" t="s">
        <v>20</v>
      </c>
      <c r="I2271" t="s">
        <v>18</v>
      </c>
      <c r="J2271" s="3">
        <v>45449</v>
      </c>
      <c r="K2271" s="4">
        <f>ClientiBanca[[#This Row],[Prestito]]+ClientiBanca[[#This Row],[Mutuo]]</f>
        <v>44400</v>
      </c>
      <c r="L2271" t="str">
        <f>IF(ClientiBanca[[#This Row],[Reddito annuo]]&gt;=70000,"si","no")</f>
        <v>no</v>
      </c>
    </row>
    <row r="2272" spans="1:12">
      <c r="A2272">
        <v>102271</v>
      </c>
      <c r="B2272">
        <v>38</v>
      </c>
      <c r="C2272" s="2">
        <v>84200</v>
      </c>
      <c r="D2272" t="s">
        <v>21</v>
      </c>
      <c r="E2272" s="2">
        <v>0</v>
      </c>
      <c r="F2272" s="2">
        <v>0</v>
      </c>
      <c r="G2272" t="s">
        <v>26</v>
      </c>
      <c r="H2272" t="s">
        <v>20</v>
      </c>
      <c r="I2272" t="s">
        <v>18</v>
      </c>
      <c r="J2272" s="3">
        <v>45765</v>
      </c>
      <c r="K2272" s="4">
        <f>ClientiBanca[[#This Row],[Prestito]]+ClientiBanca[[#This Row],[Mutuo]]</f>
        <v>0</v>
      </c>
      <c r="L2272" t="str">
        <f>IF(ClientiBanca[[#This Row],[Reddito annuo]]&gt;=70000,"si","no")</f>
        <v>si</v>
      </c>
    </row>
    <row r="2273" spans="1:12">
      <c r="A2273">
        <v>102272</v>
      </c>
      <c r="B2273">
        <v>49</v>
      </c>
      <c r="C2273" s="2">
        <v>37500</v>
      </c>
      <c r="D2273" t="s">
        <v>21</v>
      </c>
      <c r="E2273" s="2">
        <v>8200</v>
      </c>
      <c r="F2273" s="2">
        <v>0</v>
      </c>
      <c r="G2273" t="s">
        <v>28</v>
      </c>
      <c r="H2273" t="s">
        <v>20</v>
      </c>
      <c r="I2273" t="s">
        <v>18</v>
      </c>
      <c r="J2273" s="3">
        <v>45561</v>
      </c>
      <c r="K2273" s="4">
        <f>ClientiBanca[[#This Row],[Prestito]]+ClientiBanca[[#This Row],[Mutuo]]</f>
        <v>8200</v>
      </c>
      <c r="L2273" t="str">
        <f>IF(ClientiBanca[[#This Row],[Reddito annuo]]&gt;=70000,"si","no")</f>
        <v>no</v>
      </c>
    </row>
    <row r="2274" spans="1:12">
      <c r="A2274">
        <v>102273</v>
      </c>
      <c r="B2274">
        <v>68</v>
      </c>
      <c r="C2274" s="2">
        <v>71500</v>
      </c>
      <c r="D2274" t="s">
        <v>12</v>
      </c>
      <c r="E2274" s="2">
        <v>20100</v>
      </c>
      <c r="F2274" s="2">
        <v>0</v>
      </c>
      <c r="G2274" t="s">
        <v>27</v>
      </c>
      <c r="H2274" t="s">
        <v>20</v>
      </c>
      <c r="I2274" t="s">
        <v>18</v>
      </c>
      <c r="J2274" s="3">
        <v>45606</v>
      </c>
      <c r="K2274" s="4">
        <f>ClientiBanca[[#This Row],[Prestito]]+ClientiBanca[[#This Row],[Mutuo]]</f>
        <v>20100</v>
      </c>
      <c r="L2274" t="str">
        <f>IF(ClientiBanca[[#This Row],[Reddito annuo]]&gt;=70000,"si","no")</f>
        <v>si</v>
      </c>
    </row>
    <row r="2275" spans="1:12">
      <c r="A2275">
        <v>102274</v>
      </c>
      <c r="B2275">
        <v>34</v>
      </c>
      <c r="C2275" s="2">
        <v>61900</v>
      </c>
      <c r="D2275" t="s">
        <v>12</v>
      </c>
      <c r="E2275" s="2">
        <v>0</v>
      </c>
      <c r="F2275" s="2">
        <v>0</v>
      </c>
      <c r="G2275" t="s">
        <v>13</v>
      </c>
      <c r="H2275" t="s">
        <v>14</v>
      </c>
      <c r="I2275" t="s">
        <v>18</v>
      </c>
      <c r="J2275" s="3">
        <v>45807</v>
      </c>
      <c r="K2275" s="4">
        <f>ClientiBanca[[#This Row],[Prestito]]+ClientiBanca[[#This Row],[Mutuo]]</f>
        <v>0</v>
      </c>
      <c r="L2275" t="str">
        <f>IF(ClientiBanca[[#This Row],[Reddito annuo]]&gt;=70000,"si","no")</f>
        <v>no</v>
      </c>
    </row>
    <row r="2276" spans="1:12">
      <c r="A2276">
        <v>102275</v>
      </c>
      <c r="B2276">
        <v>74</v>
      </c>
      <c r="C2276" s="2">
        <v>48400</v>
      </c>
      <c r="D2276" t="s">
        <v>21</v>
      </c>
      <c r="E2276" s="2">
        <v>10400</v>
      </c>
      <c r="F2276" s="2">
        <v>0</v>
      </c>
      <c r="G2276" t="s">
        <v>19</v>
      </c>
      <c r="H2276" t="s">
        <v>20</v>
      </c>
      <c r="I2276" t="s">
        <v>18</v>
      </c>
      <c r="J2276" s="3">
        <v>45993</v>
      </c>
      <c r="K2276" s="4">
        <f>ClientiBanca[[#This Row],[Prestito]]+ClientiBanca[[#This Row],[Mutuo]]</f>
        <v>10400</v>
      </c>
      <c r="L2276" t="str">
        <f>IF(ClientiBanca[[#This Row],[Reddito annuo]]&gt;=70000,"si","no")</f>
        <v>no</v>
      </c>
    </row>
    <row r="2277" spans="1:12">
      <c r="A2277">
        <v>102276</v>
      </c>
      <c r="B2277">
        <v>53</v>
      </c>
      <c r="C2277" s="2">
        <v>53300</v>
      </c>
      <c r="D2277" t="s">
        <v>21</v>
      </c>
      <c r="E2277" s="2">
        <v>36900</v>
      </c>
      <c r="F2277" s="2">
        <v>0</v>
      </c>
      <c r="G2277" t="s">
        <v>27</v>
      </c>
      <c r="H2277" t="s">
        <v>17</v>
      </c>
      <c r="I2277" t="s">
        <v>18</v>
      </c>
      <c r="J2277" s="3">
        <v>45431</v>
      </c>
      <c r="K2277" s="4">
        <f>ClientiBanca[[#This Row],[Prestito]]+ClientiBanca[[#This Row],[Mutuo]]</f>
        <v>36900</v>
      </c>
      <c r="L2277" t="str">
        <f>IF(ClientiBanca[[#This Row],[Reddito annuo]]&gt;=70000,"si","no")</f>
        <v>no</v>
      </c>
    </row>
    <row r="2278" spans="1:12">
      <c r="A2278">
        <v>102277</v>
      </c>
      <c r="B2278">
        <v>20</v>
      </c>
      <c r="C2278" s="2">
        <v>56100</v>
      </c>
      <c r="D2278" t="s">
        <v>22</v>
      </c>
      <c r="E2278" s="2">
        <v>16200</v>
      </c>
      <c r="F2278" s="2">
        <v>0</v>
      </c>
      <c r="G2278" t="s">
        <v>23</v>
      </c>
      <c r="H2278" t="s">
        <v>25</v>
      </c>
      <c r="I2278" t="s">
        <v>15</v>
      </c>
      <c r="J2278" s="3">
        <v>45853</v>
      </c>
      <c r="K2278" s="4">
        <f>ClientiBanca[[#This Row],[Prestito]]+ClientiBanca[[#This Row],[Mutuo]]</f>
        <v>16200</v>
      </c>
      <c r="L2278" t="str">
        <f>IF(ClientiBanca[[#This Row],[Reddito annuo]]&gt;=70000,"si","no")</f>
        <v>no</v>
      </c>
    </row>
    <row r="2279" spans="1:12">
      <c r="A2279">
        <v>102278</v>
      </c>
      <c r="B2279">
        <v>45</v>
      </c>
      <c r="C2279" s="2">
        <v>58100</v>
      </c>
      <c r="D2279" t="s">
        <v>12</v>
      </c>
      <c r="E2279" s="2">
        <v>15300</v>
      </c>
      <c r="F2279" s="2">
        <v>0</v>
      </c>
      <c r="G2279" t="s">
        <v>16</v>
      </c>
      <c r="H2279" t="s">
        <v>14</v>
      </c>
      <c r="I2279" t="s">
        <v>18</v>
      </c>
      <c r="J2279" s="3">
        <v>45913</v>
      </c>
      <c r="K2279" s="4">
        <f>ClientiBanca[[#This Row],[Prestito]]+ClientiBanca[[#This Row],[Mutuo]]</f>
        <v>15300</v>
      </c>
      <c r="L2279" t="str">
        <f>IF(ClientiBanca[[#This Row],[Reddito annuo]]&gt;=70000,"si","no")</f>
        <v>no</v>
      </c>
    </row>
    <row r="2280" spans="1:12">
      <c r="A2280">
        <v>102279</v>
      </c>
      <c r="B2280">
        <v>23</v>
      </c>
      <c r="C2280" s="2">
        <v>53500</v>
      </c>
      <c r="D2280" t="s">
        <v>12</v>
      </c>
      <c r="E2280" s="2">
        <v>21700</v>
      </c>
      <c r="F2280" s="2">
        <v>0</v>
      </c>
      <c r="G2280" t="s">
        <v>16</v>
      </c>
      <c r="H2280" t="s">
        <v>17</v>
      </c>
      <c r="I2280" t="s">
        <v>18</v>
      </c>
      <c r="J2280" s="3">
        <v>45350</v>
      </c>
      <c r="K2280" s="4">
        <f>ClientiBanca[[#This Row],[Prestito]]+ClientiBanca[[#This Row],[Mutuo]]</f>
        <v>21700</v>
      </c>
      <c r="L2280" t="str">
        <f>IF(ClientiBanca[[#This Row],[Reddito annuo]]&gt;=70000,"si","no")</f>
        <v>no</v>
      </c>
    </row>
    <row r="2281" spans="1:12">
      <c r="A2281">
        <v>102280</v>
      </c>
      <c r="B2281">
        <v>64</v>
      </c>
      <c r="C2281" s="2">
        <v>49000</v>
      </c>
      <c r="D2281" t="s">
        <v>21</v>
      </c>
      <c r="E2281" s="2">
        <v>4900</v>
      </c>
      <c r="F2281" s="2">
        <v>0</v>
      </c>
      <c r="G2281" t="s">
        <v>24</v>
      </c>
      <c r="H2281" t="s">
        <v>17</v>
      </c>
      <c r="I2281" t="s">
        <v>18</v>
      </c>
      <c r="J2281" s="3">
        <v>46052</v>
      </c>
      <c r="K2281" s="4">
        <f>ClientiBanca[[#This Row],[Prestito]]+ClientiBanca[[#This Row],[Mutuo]]</f>
        <v>4900</v>
      </c>
      <c r="L2281" t="str">
        <f>IF(ClientiBanca[[#This Row],[Reddito annuo]]&gt;=70000,"si","no")</f>
        <v>no</v>
      </c>
    </row>
    <row r="2282" spans="1:12">
      <c r="A2282">
        <v>102281</v>
      </c>
      <c r="B2282">
        <v>25</v>
      </c>
      <c r="C2282" s="2">
        <v>109400</v>
      </c>
      <c r="D2282" t="s">
        <v>21</v>
      </c>
      <c r="E2282" s="2">
        <v>0</v>
      </c>
      <c r="F2282" s="2">
        <v>0</v>
      </c>
      <c r="G2282" t="s">
        <v>26</v>
      </c>
      <c r="H2282" t="s">
        <v>17</v>
      </c>
      <c r="I2282" t="s">
        <v>18</v>
      </c>
      <c r="J2282" s="3">
        <v>45613</v>
      </c>
      <c r="K2282" s="4">
        <f>ClientiBanca[[#This Row],[Prestito]]+ClientiBanca[[#This Row],[Mutuo]]</f>
        <v>0</v>
      </c>
      <c r="L2282" t="str">
        <f>IF(ClientiBanca[[#This Row],[Reddito annuo]]&gt;=70000,"si","no")</f>
        <v>si</v>
      </c>
    </row>
    <row r="2283" spans="1:12">
      <c r="A2283">
        <v>102282</v>
      </c>
      <c r="B2283">
        <v>32</v>
      </c>
      <c r="C2283" s="2">
        <v>74000</v>
      </c>
      <c r="D2283" t="s">
        <v>12</v>
      </c>
      <c r="E2283" s="2">
        <v>11000</v>
      </c>
      <c r="F2283" s="2">
        <v>0</v>
      </c>
      <c r="G2283" t="s">
        <v>28</v>
      </c>
      <c r="H2283" t="s">
        <v>17</v>
      </c>
      <c r="I2283" t="s">
        <v>18</v>
      </c>
      <c r="J2283" s="3">
        <v>45552</v>
      </c>
      <c r="K2283" s="4">
        <f>ClientiBanca[[#This Row],[Prestito]]+ClientiBanca[[#This Row],[Mutuo]]</f>
        <v>11000</v>
      </c>
      <c r="L2283" t="str">
        <f>IF(ClientiBanca[[#This Row],[Reddito annuo]]&gt;=70000,"si","no")</f>
        <v>si</v>
      </c>
    </row>
    <row r="2284" spans="1:12">
      <c r="A2284">
        <v>102283</v>
      </c>
      <c r="B2284">
        <v>30</v>
      </c>
      <c r="C2284" s="2">
        <v>55500</v>
      </c>
      <c r="D2284" t="s">
        <v>21</v>
      </c>
      <c r="E2284" s="2">
        <v>8200</v>
      </c>
      <c r="F2284" s="2">
        <v>0</v>
      </c>
      <c r="G2284" t="s">
        <v>26</v>
      </c>
      <c r="H2284" t="s">
        <v>20</v>
      </c>
      <c r="I2284" t="s">
        <v>18</v>
      </c>
      <c r="J2284" s="3">
        <v>45507</v>
      </c>
      <c r="K2284" s="4">
        <f>ClientiBanca[[#This Row],[Prestito]]+ClientiBanca[[#This Row],[Mutuo]]</f>
        <v>8200</v>
      </c>
      <c r="L2284" t="str">
        <f>IF(ClientiBanca[[#This Row],[Reddito annuo]]&gt;=70000,"si","no")</f>
        <v>no</v>
      </c>
    </row>
    <row r="2285" spans="1:12">
      <c r="A2285">
        <v>102284</v>
      </c>
      <c r="B2285">
        <v>75</v>
      </c>
      <c r="C2285" s="2">
        <v>53300</v>
      </c>
      <c r="D2285" t="s">
        <v>22</v>
      </c>
      <c r="E2285" s="2">
        <v>19100</v>
      </c>
      <c r="F2285" s="2">
        <v>143000</v>
      </c>
      <c r="G2285" t="s">
        <v>24</v>
      </c>
      <c r="H2285" t="s">
        <v>17</v>
      </c>
      <c r="I2285" t="s">
        <v>18</v>
      </c>
      <c r="J2285" s="3">
        <v>45368</v>
      </c>
      <c r="K2285" s="4">
        <f>ClientiBanca[[#This Row],[Prestito]]+ClientiBanca[[#This Row],[Mutuo]]</f>
        <v>162100</v>
      </c>
      <c r="L2285" t="str">
        <f>IF(ClientiBanca[[#This Row],[Reddito annuo]]&gt;=70000,"si","no")</f>
        <v>no</v>
      </c>
    </row>
    <row r="2286" spans="1:12">
      <c r="A2286">
        <v>102285</v>
      </c>
      <c r="B2286">
        <v>73</v>
      </c>
      <c r="C2286" s="2">
        <v>57400</v>
      </c>
      <c r="D2286" t="s">
        <v>21</v>
      </c>
      <c r="E2286" s="2">
        <v>0</v>
      </c>
      <c r="F2286" s="2">
        <v>0</v>
      </c>
      <c r="G2286" t="s">
        <v>13</v>
      </c>
      <c r="H2286" t="s">
        <v>25</v>
      </c>
      <c r="I2286" t="s">
        <v>18</v>
      </c>
      <c r="J2286" s="3">
        <v>45401</v>
      </c>
      <c r="K2286" s="4">
        <f>ClientiBanca[[#This Row],[Prestito]]+ClientiBanca[[#This Row],[Mutuo]]</f>
        <v>0</v>
      </c>
      <c r="L2286" t="str">
        <f>IF(ClientiBanca[[#This Row],[Reddito annuo]]&gt;=70000,"si","no")</f>
        <v>no</v>
      </c>
    </row>
    <row r="2287" spans="1:12">
      <c r="A2287">
        <v>102286</v>
      </c>
      <c r="B2287">
        <v>47</v>
      </c>
      <c r="C2287" s="2">
        <v>39000</v>
      </c>
      <c r="D2287" t="s">
        <v>12</v>
      </c>
      <c r="E2287" s="2">
        <v>48800</v>
      </c>
      <c r="F2287" s="2">
        <v>0</v>
      </c>
      <c r="G2287" t="s">
        <v>26</v>
      </c>
      <c r="H2287" t="s">
        <v>17</v>
      </c>
      <c r="I2287" t="s">
        <v>18</v>
      </c>
      <c r="J2287" s="3">
        <v>45882</v>
      </c>
      <c r="K2287" s="4">
        <f>ClientiBanca[[#This Row],[Prestito]]+ClientiBanca[[#This Row],[Mutuo]]</f>
        <v>48800</v>
      </c>
      <c r="L2287" t="str">
        <f>IF(ClientiBanca[[#This Row],[Reddito annuo]]&gt;=70000,"si","no")</f>
        <v>no</v>
      </c>
    </row>
    <row r="2288" spans="1:12">
      <c r="A2288">
        <v>102287</v>
      </c>
      <c r="B2288">
        <v>55</v>
      </c>
      <c r="C2288" s="2">
        <v>43000</v>
      </c>
      <c r="D2288" t="s">
        <v>21</v>
      </c>
      <c r="E2288" s="2">
        <v>0</v>
      </c>
      <c r="F2288" s="2">
        <v>0</v>
      </c>
      <c r="G2288" t="s">
        <v>27</v>
      </c>
      <c r="H2288" t="s">
        <v>17</v>
      </c>
      <c r="I2288" t="s">
        <v>18</v>
      </c>
      <c r="J2288" s="3">
        <v>46169</v>
      </c>
      <c r="K2288" s="4">
        <f>ClientiBanca[[#This Row],[Prestito]]+ClientiBanca[[#This Row],[Mutuo]]</f>
        <v>0</v>
      </c>
      <c r="L2288" t="str">
        <f>IF(ClientiBanca[[#This Row],[Reddito annuo]]&gt;=70000,"si","no")</f>
        <v>no</v>
      </c>
    </row>
    <row r="2289" spans="1:12">
      <c r="A2289">
        <v>102288</v>
      </c>
      <c r="B2289">
        <v>71</v>
      </c>
      <c r="C2289" s="2">
        <v>39900</v>
      </c>
      <c r="D2289" t="s">
        <v>21</v>
      </c>
      <c r="E2289" s="2">
        <v>29000</v>
      </c>
      <c r="F2289" s="2">
        <v>0</v>
      </c>
      <c r="G2289" t="s">
        <v>27</v>
      </c>
      <c r="H2289" t="s">
        <v>20</v>
      </c>
      <c r="I2289" t="s">
        <v>18</v>
      </c>
      <c r="J2289" s="3">
        <v>45564</v>
      </c>
      <c r="K2289" s="4">
        <f>ClientiBanca[[#This Row],[Prestito]]+ClientiBanca[[#This Row],[Mutuo]]</f>
        <v>29000</v>
      </c>
      <c r="L2289" t="str">
        <f>IF(ClientiBanca[[#This Row],[Reddito annuo]]&gt;=70000,"si","no")</f>
        <v>no</v>
      </c>
    </row>
    <row r="2290" spans="1:12">
      <c r="A2290">
        <v>102289</v>
      </c>
      <c r="B2290">
        <v>31</v>
      </c>
      <c r="C2290" s="2">
        <v>73700</v>
      </c>
      <c r="D2290" t="s">
        <v>21</v>
      </c>
      <c r="E2290" s="2">
        <v>0</v>
      </c>
      <c r="F2290" s="2">
        <v>218000</v>
      </c>
      <c r="G2290" t="s">
        <v>13</v>
      </c>
      <c r="H2290" t="s">
        <v>17</v>
      </c>
      <c r="I2290" t="s">
        <v>18</v>
      </c>
      <c r="J2290" s="3">
        <v>46196</v>
      </c>
      <c r="K2290" s="4">
        <f>ClientiBanca[[#This Row],[Prestito]]+ClientiBanca[[#This Row],[Mutuo]]</f>
        <v>218000</v>
      </c>
      <c r="L2290" t="str">
        <f>IF(ClientiBanca[[#This Row],[Reddito annuo]]&gt;=70000,"si","no")</f>
        <v>si</v>
      </c>
    </row>
    <row r="2291" spans="1:12">
      <c r="A2291">
        <v>102290</v>
      </c>
      <c r="B2291">
        <v>68</v>
      </c>
      <c r="C2291" s="2">
        <v>25200</v>
      </c>
      <c r="D2291" t="s">
        <v>21</v>
      </c>
      <c r="E2291" s="2">
        <v>0</v>
      </c>
      <c r="F2291" s="2">
        <v>0</v>
      </c>
      <c r="G2291" t="s">
        <v>23</v>
      </c>
      <c r="H2291" t="s">
        <v>17</v>
      </c>
      <c r="I2291" t="s">
        <v>18</v>
      </c>
      <c r="J2291" s="3">
        <v>46089</v>
      </c>
      <c r="K2291" s="4">
        <f>ClientiBanca[[#This Row],[Prestito]]+ClientiBanca[[#This Row],[Mutuo]]</f>
        <v>0</v>
      </c>
      <c r="L2291" t="str">
        <f>IF(ClientiBanca[[#This Row],[Reddito annuo]]&gt;=70000,"si","no")</f>
        <v>no</v>
      </c>
    </row>
    <row r="2292" spans="1:12">
      <c r="A2292">
        <v>102291</v>
      </c>
      <c r="B2292">
        <v>22</v>
      </c>
      <c r="C2292" s="2">
        <v>96800</v>
      </c>
      <c r="D2292" t="s">
        <v>12</v>
      </c>
      <c r="E2292" s="2">
        <v>0</v>
      </c>
      <c r="F2292" s="2">
        <v>0</v>
      </c>
      <c r="G2292" t="s">
        <v>23</v>
      </c>
      <c r="H2292" t="s">
        <v>20</v>
      </c>
      <c r="I2292" t="s">
        <v>18</v>
      </c>
      <c r="J2292" s="3">
        <v>45715</v>
      </c>
      <c r="K2292" s="4">
        <f>ClientiBanca[[#This Row],[Prestito]]+ClientiBanca[[#This Row],[Mutuo]]</f>
        <v>0</v>
      </c>
      <c r="L2292" t="str">
        <f>IF(ClientiBanca[[#This Row],[Reddito annuo]]&gt;=70000,"si","no")</f>
        <v>si</v>
      </c>
    </row>
    <row r="2293" spans="1:12">
      <c r="A2293">
        <v>102292</v>
      </c>
      <c r="B2293">
        <v>73</v>
      </c>
      <c r="C2293" s="2">
        <v>57000</v>
      </c>
      <c r="D2293" t="s">
        <v>21</v>
      </c>
      <c r="E2293" s="2">
        <v>38300</v>
      </c>
      <c r="F2293" s="2">
        <v>0</v>
      </c>
      <c r="G2293" t="s">
        <v>28</v>
      </c>
      <c r="H2293" t="s">
        <v>20</v>
      </c>
      <c r="I2293" t="s">
        <v>18</v>
      </c>
      <c r="J2293" s="3">
        <v>45746</v>
      </c>
      <c r="K2293" s="4">
        <f>ClientiBanca[[#This Row],[Prestito]]+ClientiBanca[[#This Row],[Mutuo]]</f>
        <v>38300</v>
      </c>
      <c r="L2293" t="str">
        <f>IF(ClientiBanca[[#This Row],[Reddito annuo]]&gt;=70000,"si","no")</f>
        <v>no</v>
      </c>
    </row>
    <row r="2294" spans="1:12">
      <c r="A2294">
        <v>102293</v>
      </c>
      <c r="B2294">
        <v>47</v>
      </c>
      <c r="C2294" s="2">
        <v>115600</v>
      </c>
      <c r="D2294" t="s">
        <v>22</v>
      </c>
      <c r="E2294" s="2">
        <v>19800</v>
      </c>
      <c r="F2294" s="2">
        <v>0</v>
      </c>
      <c r="G2294" t="s">
        <v>16</v>
      </c>
      <c r="H2294" t="s">
        <v>17</v>
      </c>
      <c r="I2294" t="s">
        <v>18</v>
      </c>
      <c r="J2294" s="3">
        <v>45354</v>
      </c>
      <c r="K2294" s="4">
        <f>ClientiBanca[[#This Row],[Prestito]]+ClientiBanca[[#This Row],[Mutuo]]</f>
        <v>19800</v>
      </c>
      <c r="L2294" t="str">
        <f>IF(ClientiBanca[[#This Row],[Reddito annuo]]&gt;=70000,"si","no")</f>
        <v>si</v>
      </c>
    </row>
    <row r="2295" spans="1:12">
      <c r="A2295">
        <v>102294</v>
      </c>
      <c r="B2295">
        <v>30</v>
      </c>
      <c r="C2295" s="2">
        <v>95700</v>
      </c>
      <c r="D2295" t="s">
        <v>12</v>
      </c>
      <c r="E2295" s="2">
        <v>80800</v>
      </c>
      <c r="F2295" s="2">
        <v>0</v>
      </c>
      <c r="G2295" t="s">
        <v>23</v>
      </c>
      <c r="H2295" t="s">
        <v>17</v>
      </c>
      <c r="I2295" t="s">
        <v>18</v>
      </c>
      <c r="J2295" s="3">
        <v>45765</v>
      </c>
      <c r="K2295" s="4">
        <f>ClientiBanca[[#This Row],[Prestito]]+ClientiBanca[[#This Row],[Mutuo]]</f>
        <v>80800</v>
      </c>
      <c r="L2295" t="str">
        <f>IF(ClientiBanca[[#This Row],[Reddito annuo]]&gt;=70000,"si","no")</f>
        <v>si</v>
      </c>
    </row>
    <row r="2296" spans="1:12">
      <c r="A2296">
        <v>102295</v>
      </c>
      <c r="B2296">
        <v>64</v>
      </c>
      <c r="C2296" s="2">
        <v>38600</v>
      </c>
      <c r="D2296" t="s">
        <v>12</v>
      </c>
      <c r="E2296" s="2">
        <v>48200</v>
      </c>
      <c r="F2296" s="2">
        <v>0</v>
      </c>
      <c r="G2296" t="s">
        <v>13</v>
      </c>
      <c r="H2296" t="s">
        <v>14</v>
      </c>
      <c r="I2296" t="s">
        <v>18</v>
      </c>
      <c r="J2296" s="3">
        <v>45959</v>
      </c>
      <c r="K2296" s="4">
        <f>ClientiBanca[[#This Row],[Prestito]]+ClientiBanca[[#This Row],[Mutuo]]</f>
        <v>48200</v>
      </c>
      <c r="L2296" t="str">
        <f>IF(ClientiBanca[[#This Row],[Reddito annuo]]&gt;=70000,"si","no")</f>
        <v>no</v>
      </c>
    </row>
    <row r="2297" spans="1:12">
      <c r="A2297">
        <v>102296</v>
      </c>
      <c r="B2297">
        <v>23</v>
      </c>
      <c r="C2297" s="2">
        <v>46800</v>
      </c>
      <c r="D2297" t="s">
        <v>12</v>
      </c>
      <c r="E2297" s="2">
        <v>0</v>
      </c>
      <c r="F2297" s="2">
        <v>296000</v>
      </c>
      <c r="G2297" t="s">
        <v>16</v>
      </c>
      <c r="H2297" t="s">
        <v>17</v>
      </c>
      <c r="I2297" t="s">
        <v>18</v>
      </c>
      <c r="J2297" s="3">
        <v>45953</v>
      </c>
      <c r="K2297" s="4">
        <f>ClientiBanca[[#This Row],[Prestito]]+ClientiBanca[[#This Row],[Mutuo]]</f>
        <v>296000</v>
      </c>
      <c r="L2297" t="str">
        <f>IF(ClientiBanca[[#This Row],[Reddito annuo]]&gt;=70000,"si","no")</f>
        <v>no</v>
      </c>
    </row>
    <row r="2298" spans="1:12">
      <c r="A2298">
        <v>102297</v>
      </c>
      <c r="B2298">
        <v>41</v>
      </c>
      <c r="C2298" s="2">
        <v>88400</v>
      </c>
      <c r="D2298" t="s">
        <v>21</v>
      </c>
      <c r="E2298" s="2">
        <v>42500</v>
      </c>
      <c r="F2298" s="2">
        <v>0</v>
      </c>
      <c r="G2298" t="s">
        <v>23</v>
      </c>
      <c r="H2298" t="s">
        <v>17</v>
      </c>
      <c r="I2298" t="s">
        <v>18</v>
      </c>
      <c r="J2298" s="3">
        <v>46058</v>
      </c>
      <c r="K2298" s="4">
        <f>ClientiBanca[[#This Row],[Prestito]]+ClientiBanca[[#This Row],[Mutuo]]</f>
        <v>42500</v>
      </c>
      <c r="L2298" t="str">
        <f>IF(ClientiBanca[[#This Row],[Reddito annuo]]&gt;=70000,"si","no")</f>
        <v>si</v>
      </c>
    </row>
    <row r="2299" spans="1:12">
      <c r="A2299">
        <v>102298</v>
      </c>
      <c r="B2299">
        <v>60</v>
      </c>
      <c r="C2299" s="2">
        <v>66200</v>
      </c>
      <c r="D2299" t="s">
        <v>21</v>
      </c>
      <c r="E2299" s="2">
        <v>0</v>
      </c>
      <c r="F2299" s="2">
        <v>0</v>
      </c>
      <c r="G2299" t="s">
        <v>16</v>
      </c>
      <c r="H2299" t="s">
        <v>17</v>
      </c>
      <c r="I2299" t="s">
        <v>18</v>
      </c>
      <c r="J2299" s="3">
        <v>45294</v>
      </c>
      <c r="K2299" s="4">
        <f>ClientiBanca[[#This Row],[Prestito]]+ClientiBanca[[#This Row],[Mutuo]]</f>
        <v>0</v>
      </c>
      <c r="L2299" t="str">
        <f>IF(ClientiBanca[[#This Row],[Reddito annuo]]&gt;=70000,"si","no")</f>
        <v>no</v>
      </c>
    </row>
    <row r="2300" spans="1:12">
      <c r="A2300">
        <v>102299</v>
      </c>
      <c r="B2300">
        <v>46</v>
      </c>
      <c r="C2300" s="2">
        <v>80200</v>
      </c>
      <c r="D2300" t="s">
        <v>22</v>
      </c>
      <c r="E2300" s="2">
        <v>0</v>
      </c>
      <c r="F2300" s="2">
        <v>0</v>
      </c>
      <c r="G2300" t="s">
        <v>27</v>
      </c>
      <c r="H2300" t="s">
        <v>20</v>
      </c>
      <c r="I2300" t="s">
        <v>18</v>
      </c>
      <c r="J2300" s="3">
        <v>45850</v>
      </c>
      <c r="K2300" s="4">
        <f>ClientiBanca[[#This Row],[Prestito]]+ClientiBanca[[#This Row],[Mutuo]]</f>
        <v>0</v>
      </c>
      <c r="L2300" t="str">
        <f>IF(ClientiBanca[[#This Row],[Reddito annuo]]&gt;=70000,"si","no")</f>
        <v>si</v>
      </c>
    </row>
    <row r="2301" spans="1:12">
      <c r="A2301">
        <v>102300</v>
      </c>
      <c r="B2301">
        <v>20</v>
      </c>
      <c r="C2301" s="2">
        <v>72500</v>
      </c>
      <c r="D2301" t="s">
        <v>22</v>
      </c>
      <c r="E2301" s="2">
        <v>58400</v>
      </c>
      <c r="F2301" s="2">
        <v>103000</v>
      </c>
      <c r="G2301" t="s">
        <v>24</v>
      </c>
      <c r="H2301" t="s">
        <v>14</v>
      </c>
      <c r="I2301" t="s">
        <v>18</v>
      </c>
      <c r="J2301" s="3">
        <v>46087</v>
      </c>
      <c r="K2301" s="4">
        <f>ClientiBanca[[#This Row],[Prestito]]+ClientiBanca[[#This Row],[Mutuo]]</f>
        <v>161400</v>
      </c>
      <c r="L2301" t="str">
        <f>IF(ClientiBanca[[#This Row],[Reddito annuo]]&gt;=70000,"si","no")</f>
        <v>si</v>
      </c>
    </row>
    <row r="2302" spans="1:12">
      <c r="A2302">
        <v>102301</v>
      </c>
      <c r="B2302">
        <v>72</v>
      </c>
      <c r="C2302" s="2">
        <v>106600</v>
      </c>
      <c r="D2302" t="s">
        <v>22</v>
      </c>
      <c r="E2302" s="2">
        <v>8800</v>
      </c>
      <c r="F2302" s="2">
        <v>0</v>
      </c>
      <c r="G2302" t="s">
        <v>27</v>
      </c>
      <c r="H2302" t="s">
        <v>17</v>
      </c>
      <c r="I2302" t="s">
        <v>18</v>
      </c>
      <c r="J2302" s="3">
        <v>45452</v>
      </c>
      <c r="K2302" s="4">
        <f>ClientiBanca[[#This Row],[Prestito]]+ClientiBanca[[#This Row],[Mutuo]]</f>
        <v>8800</v>
      </c>
      <c r="L2302" t="str">
        <f>IF(ClientiBanca[[#This Row],[Reddito annuo]]&gt;=70000,"si","no")</f>
        <v>si</v>
      </c>
    </row>
    <row r="2303" spans="1:12">
      <c r="A2303">
        <v>102302</v>
      </c>
      <c r="B2303">
        <v>42</v>
      </c>
      <c r="C2303" s="2">
        <v>109400</v>
      </c>
      <c r="D2303" t="s">
        <v>21</v>
      </c>
      <c r="E2303" s="2">
        <v>73600</v>
      </c>
      <c r="F2303" s="2">
        <v>112000</v>
      </c>
      <c r="G2303" t="s">
        <v>24</v>
      </c>
      <c r="H2303" t="s">
        <v>17</v>
      </c>
      <c r="I2303" t="s">
        <v>18</v>
      </c>
      <c r="J2303" s="3">
        <v>46116</v>
      </c>
      <c r="K2303" s="4">
        <f>ClientiBanca[[#This Row],[Prestito]]+ClientiBanca[[#This Row],[Mutuo]]</f>
        <v>185600</v>
      </c>
      <c r="L2303" t="str">
        <f>IF(ClientiBanca[[#This Row],[Reddito annuo]]&gt;=70000,"si","no")</f>
        <v>si</v>
      </c>
    </row>
    <row r="2304" spans="1:12">
      <c r="A2304">
        <v>102303</v>
      </c>
      <c r="B2304">
        <v>41</v>
      </c>
      <c r="C2304" s="2">
        <v>49600</v>
      </c>
      <c r="D2304" t="s">
        <v>22</v>
      </c>
      <c r="E2304" s="2">
        <v>62000</v>
      </c>
      <c r="F2304" s="2">
        <v>176000</v>
      </c>
      <c r="G2304" t="s">
        <v>19</v>
      </c>
      <c r="H2304" t="s">
        <v>14</v>
      </c>
      <c r="I2304" t="s">
        <v>18</v>
      </c>
      <c r="J2304" s="3">
        <v>45326</v>
      </c>
      <c r="K2304" s="4">
        <f>ClientiBanca[[#This Row],[Prestito]]+ClientiBanca[[#This Row],[Mutuo]]</f>
        <v>238000</v>
      </c>
      <c r="L2304" t="str">
        <f>IF(ClientiBanca[[#This Row],[Reddito annuo]]&gt;=70000,"si","no")</f>
        <v>no</v>
      </c>
    </row>
    <row r="2305" spans="1:12">
      <c r="A2305">
        <v>102304</v>
      </c>
      <c r="B2305">
        <v>34</v>
      </c>
      <c r="C2305" s="2">
        <v>92200</v>
      </c>
      <c r="D2305" t="s">
        <v>12</v>
      </c>
      <c r="E2305" s="2">
        <v>0</v>
      </c>
      <c r="F2305" s="2">
        <v>0</v>
      </c>
      <c r="G2305" t="s">
        <v>26</v>
      </c>
      <c r="H2305" t="s">
        <v>17</v>
      </c>
      <c r="I2305" t="s">
        <v>18</v>
      </c>
      <c r="J2305" s="3">
        <v>45505</v>
      </c>
      <c r="K2305" s="4">
        <f>ClientiBanca[[#This Row],[Prestito]]+ClientiBanca[[#This Row],[Mutuo]]</f>
        <v>0</v>
      </c>
      <c r="L2305" t="str">
        <f>IF(ClientiBanca[[#This Row],[Reddito annuo]]&gt;=70000,"si","no")</f>
        <v>si</v>
      </c>
    </row>
    <row r="2306" spans="1:12">
      <c r="A2306">
        <v>102305</v>
      </c>
      <c r="B2306">
        <v>59</v>
      </c>
      <c r="C2306" s="2">
        <v>40800</v>
      </c>
      <c r="D2306" t="s">
        <v>12</v>
      </c>
      <c r="E2306" s="2">
        <v>17100</v>
      </c>
      <c r="F2306" s="2">
        <v>0</v>
      </c>
      <c r="G2306" t="s">
        <v>16</v>
      </c>
      <c r="H2306" t="s">
        <v>25</v>
      </c>
      <c r="I2306" t="s">
        <v>18</v>
      </c>
      <c r="J2306" s="3">
        <v>45427</v>
      </c>
      <c r="K2306" s="4">
        <f>ClientiBanca[[#This Row],[Prestito]]+ClientiBanca[[#This Row],[Mutuo]]</f>
        <v>17100</v>
      </c>
      <c r="L2306" t="str">
        <f>IF(ClientiBanca[[#This Row],[Reddito annuo]]&gt;=70000,"si","no")</f>
        <v>no</v>
      </c>
    </row>
    <row r="2307" spans="1:12">
      <c r="A2307">
        <v>102306</v>
      </c>
      <c r="B2307">
        <v>20</v>
      </c>
      <c r="C2307" s="2">
        <v>86900</v>
      </c>
      <c r="D2307" t="s">
        <v>21</v>
      </c>
      <c r="E2307" s="2">
        <v>49400</v>
      </c>
      <c r="F2307" s="2">
        <v>0</v>
      </c>
      <c r="G2307" t="s">
        <v>23</v>
      </c>
      <c r="H2307" t="s">
        <v>20</v>
      </c>
      <c r="I2307" t="s">
        <v>18</v>
      </c>
      <c r="J2307" s="3">
        <v>46099</v>
      </c>
      <c r="K2307" s="4">
        <f>ClientiBanca[[#This Row],[Prestito]]+ClientiBanca[[#This Row],[Mutuo]]</f>
        <v>49400</v>
      </c>
      <c r="L2307" t="str">
        <f>IF(ClientiBanca[[#This Row],[Reddito annuo]]&gt;=70000,"si","no")</f>
        <v>si</v>
      </c>
    </row>
    <row r="2308" spans="1:12">
      <c r="A2308">
        <v>102307</v>
      </c>
      <c r="B2308">
        <v>37</v>
      </c>
      <c r="C2308" s="2">
        <v>80600</v>
      </c>
      <c r="D2308" t="s">
        <v>21</v>
      </c>
      <c r="E2308" s="2">
        <v>0</v>
      </c>
      <c r="F2308" s="2">
        <v>279000</v>
      </c>
      <c r="G2308" t="s">
        <v>16</v>
      </c>
      <c r="H2308" t="s">
        <v>20</v>
      </c>
      <c r="I2308" t="s">
        <v>18</v>
      </c>
      <c r="J2308" s="3">
        <v>46187</v>
      </c>
      <c r="K2308" s="4">
        <f>ClientiBanca[[#This Row],[Prestito]]+ClientiBanca[[#This Row],[Mutuo]]</f>
        <v>279000</v>
      </c>
      <c r="L2308" t="str">
        <f>IF(ClientiBanca[[#This Row],[Reddito annuo]]&gt;=70000,"si","no")</f>
        <v>si</v>
      </c>
    </row>
    <row r="2309" spans="1:12">
      <c r="A2309">
        <v>102308</v>
      </c>
      <c r="B2309">
        <v>59</v>
      </c>
      <c r="C2309" s="2">
        <v>67300</v>
      </c>
      <c r="D2309" t="s">
        <v>21</v>
      </c>
      <c r="E2309" s="2">
        <v>16200</v>
      </c>
      <c r="F2309" s="2">
        <v>0</v>
      </c>
      <c r="G2309" t="s">
        <v>16</v>
      </c>
      <c r="H2309" t="s">
        <v>20</v>
      </c>
      <c r="I2309" t="s">
        <v>18</v>
      </c>
      <c r="J2309" s="3">
        <v>45608</v>
      </c>
      <c r="K2309" s="4">
        <f>ClientiBanca[[#This Row],[Prestito]]+ClientiBanca[[#This Row],[Mutuo]]</f>
        <v>16200</v>
      </c>
      <c r="L2309" t="str">
        <f>IF(ClientiBanca[[#This Row],[Reddito annuo]]&gt;=70000,"si","no")</f>
        <v>no</v>
      </c>
    </row>
    <row r="2310" spans="1:12">
      <c r="A2310">
        <v>102309</v>
      </c>
      <c r="B2310">
        <v>57</v>
      </c>
      <c r="C2310" s="2">
        <v>51300</v>
      </c>
      <c r="D2310" t="s">
        <v>21</v>
      </c>
      <c r="E2310" s="2">
        <v>0</v>
      </c>
      <c r="F2310" s="2">
        <v>0</v>
      </c>
      <c r="G2310" t="s">
        <v>26</v>
      </c>
      <c r="H2310" t="s">
        <v>17</v>
      </c>
      <c r="I2310" t="s">
        <v>18</v>
      </c>
      <c r="J2310" s="3">
        <v>45871</v>
      </c>
      <c r="K2310" s="4">
        <f>ClientiBanca[[#This Row],[Prestito]]+ClientiBanca[[#This Row],[Mutuo]]</f>
        <v>0</v>
      </c>
      <c r="L2310" t="str">
        <f>IF(ClientiBanca[[#This Row],[Reddito annuo]]&gt;=70000,"si","no")</f>
        <v>no</v>
      </c>
    </row>
    <row r="2311" spans="1:12">
      <c r="A2311">
        <v>102310</v>
      </c>
      <c r="B2311">
        <v>33</v>
      </c>
      <c r="C2311" s="2">
        <v>98900</v>
      </c>
      <c r="D2311" t="s">
        <v>21</v>
      </c>
      <c r="E2311" s="2">
        <v>0</v>
      </c>
      <c r="F2311" s="2">
        <v>132000</v>
      </c>
      <c r="G2311" t="s">
        <v>16</v>
      </c>
      <c r="H2311" t="s">
        <v>20</v>
      </c>
      <c r="I2311" t="s">
        <v>18</v>
      </c>
      <c r="J2311" s="3">
        <v>46011</v>
      </c>
      <c r="K2311" s="4">
        <f>ClientiBanca[[#This Row],[Prestito]]+ClientiBanca[[#This Row],[Mutuo]]</f>
        <v>132000</v>
      </c>
      <c r="L2311" t="str">
        <f>IF(ClientiBanca[[#This Row],[Reddito annuo]]&gt;=70000,"si","no")</f>
        <v>si</v>
      </c>
    </row>
    <row r="2312" spans="1:12">
      <c r="A2312">
        <v>102311</v>
      </c>
      <c r="B2312">
        <v>34</v>
      </c>
      <c r="C2312" s="2">
        <v>34400</v>
      </c>
      <c r="D2312" t="s">
        <v>21</v>
      </c>
      <c r="E2312" s="2">
        <v>0</v>
      </c>
      <c r="F2312" s="2">
        <v>192000</v>
      </c>
      <c r="G2312" t="s">
        <v>26</v>
      </c>
      <c r="H2312" t="s">
        <v>17</v>
      </c>
      <c r="I2312" t="s">
        <v>18</v>
      </c>
      <c r="J2312" s="3">
        <v>45446</v>
      </c>
      <c r="K2312" s="4">
        <f>ClientiBanca[[#This Row],[Prestito]]+ClientiBanca[[#This Row],[Mutuo]]</f>
        <v>192000</v>
      </c>
      <c r="L2312" t="str">
        <f>IF(ClientiBanca[[#This Row],[Reddito annuo]]&gt;=70000,"si","no")</f>
        <v>no</v>
      </c>
    </row>
    <row r="2313" spans="1:12">
      <c r="A2313">
        <v>102312</v>
      </c>
      <c r="B2313">
        <v>62</v>
      </c>
      <c r="C2313" s="2">
        <v>91900</v>
      </c>
      <c r="D2313" t="s">
        <v>12</v>
      </c>
      <c r="E2313" s="2">
        <v>27500</v>
      </c>
      <c r="F2313" s="2">
        <v>0</v>
      </c>
      <c r="G2313" t="s">
        <v>24</v>
      </c>
      <c r="H2313" t="s">
        <v>17</v>
      </c>
      <c r="I2313" t="s">
        <v>18</v>
      </c>
      <c r="J2313" s="3">
        <v>45727</v>
      </c>
      <c r="K2313" s="4">
        <f>ClientiBanca[[#This Row],[Prestito]]+ClientiBanca[[#This Row],[Mutuo]]</f>
        <v>27500</v>
      </c>
      <c r="L2313" t="str">
        <f>IF(ClientiBanca[[#This Row],[Reddito annuo]]&gt;=70000,"si","no")</f>
        <v>si</v>
      </c>
    </row>
    <row r="2314" spans="1:12">
      <c r="A2314">
        <v>102313</v>
      </c>
      <c r="B2314">
        <v>27</v>
      </c>
      <c r="C2314" s="2">
        <v>56300</v>
      </c>
      <c r="D2314" t="s">
        <v>12</v>
      </c>
      <c r="E2314" s="2">
        <v>37900</v>
      </c>
      <c r="F2314" s="2">
        <v>268000</v>
      </c>
      <c r="G2314" t="s">
        <v>26</v>
      </c>
      <c r="H2314" t="s">
        <v>17</v>
      </c>
      <c r="I2314" t="s">
        <v>18</v>
      </c>
      <c r="J2314" s="3">
        <v>45354</v>
      </c>
      <c r="K2314" s="4">
        <f>ClientiBanca[[#This Row],[Prestito]]+ClientiBanca[[#This Row],[Mutuo]]</f>
        <v>305900</v>
      </c>
      <c r="L2314" t="str">
        <f>IF(ClientiBanca[[#This Row],[Reddito annuo]]&gt;=70000,"si","no")</f>
        <v>no</v>
      </c>
    </row>
    <row r="2315" spans="1:12">
      <c r="A2315">
        <v>102314</v>
      </c>
      <c r="B2315">
        <v>32</v>
      </c>
      <c r="C2315" s="2">
        <v>39100</v>
      </c>
      <c r="D2315" t="s">
        <v>21</v>
      </c>
      <c r="E2315" s="2">
        <v>20200</v>
      </c>
      <c r="F2315" s="2">
        <v>0</v>
      </c>
      <c r="G2315" t="s">
        <v>27</v>
      </c>
      <c r="H2315" t="s">
        <v>17</v>
      </c>
      <c r="I2315" t="s">
        <v>18</v>
      </c>
      <c r="J2315" s="3">
        <v>46029</v>
      </c>
      <c r="K2315" s="4">
        <f>ClientiBanca[[#This Row],[Prestito]]+ClientiBanca[[#This Row],[Mutuo]]</f>
        <v>20200</v>
      </c>
      <c r="L2315" t="str">
        <f>IF(ClientiBanca[[#This Row],[Reddito annuo]]&gt;=70000,"si","no")</f>
        <v>no</v>
      </c>
    </row>
    <row r="2316" spans="1:12">
      <c r="A2316">
        <v>102315</v>
      </c>
      <c r="B2316">
        <v>69</v>
      </c>
      <c r="C2316" s="2">
        <v>37400</v>
      </c>
      <c r="D2316" t="s">
        <v>12</v>
      </c>
      <c r="E2316" s="2">
        <v>20500</v>
      </c>
      <c r="F2316" s="2">
        <v>0</v>
      </c>
      <c r="G2316" t="s">
        <v>28</v>
      </c>
      <c r="H2316" t="s">
        <v>17</v>
      </c>
      <c r="I2316" t="s">
        <v>18</v>
      </c>
      <c r="J2316" s="3">
        <v>45945</v>
      </c>
      <c r="K2316" s="4">
        <f>ClientiBanca[[#This Row],[Prestito]]+ClientiBanca[[#This Row],[Mutuo]]</f>
        <v>20500</v>
      </c>
      <c r="L2316" t="str">
        <f>IF(ClientiBanca[[#This Row],[Reddito annuo]]&gt;=70000,"si","no")</f>
        <v>no</v>
      </c>
    </row>
    <row r="2317" spans="1:12">
      <c r="A2317">
        <v>102316</v>
      </c>
      <c r="B2317">
        <v>28</v>
      </c>
      <c r="C2317" s="2">
        <v>44700</v>
      </c>
      <c r="D2317" t="s">
        <v>12</v>
      </c>
      <c r="E2317" s="2">
        <v>45900</v>
      </c>
      <c r="F2317" s="2">
        <v>0</v>
      </c>
      <c r="G2317" t="s">
        <v>24</v>
      </c>
      <c r="H2317" t="s">
        <v>17</v>
      </c>
      <c r="I2317" t="s">
        <v>18</v>
      </c>
      <c r="J2317" s="3">
        <v>45850</v>
      </c>
      <c r="K2317" s="4">
        <f>ClientiBanca[[#This Row],[Prestito]]+ClientiBanca[[#This Row],[Mutuo]]</f>
        <v>45900</v>
      </c>
      <c r="L2317" t="str">
        <f>IF(ClientiBanca[[#This Row],[Reddito annuo]]&gt;=70000,"si","no")</f>
        <v>no</v>
      </c>
    </row>
    <row r="2318" spans="1:12">
      <c r="A2318">
        <v>102317</v>
      </c>
      <c r="B2318">
        <v>35</v>
      </c>
      <c r="C2318" s="2">
        <v>76400</v>
      </c>
      <c r="D2318" t="s">
        <v>21</v>
      </c>
      <c r="E2318" s="2">
        <v>0</v>
      </c>
      <c r="F2318" s="2">
        <v>0</v>
      </c>
      <c r="G2318" t="s">
        <v>13</v>
      </c>
      <c r="H2318" t="s">
        <v>17</v>
      </c>
      <c r="I2318" t="s">
        <v>18</v>
      </c>
      <c r="J2318" s="3">
        <v>46045</v>
      </c>
      <c r="K2318" s="4">
        <f>ClientiBanca[[#This Row],[Prestito]]+ClientiBanca[[#This Row],[Mutuo]]</f>
        <v>0</v>
      </c>
      <c r="L2318" t="str">
        <f>IF(ClientiBanca[[#This Row],[Reddito annuo]]&gt;=70000,"si","no")</f>
        <v>si</v>
      </c>
    </row>
    <row r="2319" spans="1:12">
      <c r="A2319">
        <v>102318</v>
      </c>
      <c r="B2319">
        <v>20</v>
      </c>
      <c r="C2319" s="2">
        <v>47100</v>
      </c>
      <c r="D2319" t="s">
        <v>12</v>
      </c>
      <c r="E2319" s="2">
        <v>30000</v>
      </c>
      <c r="F2319" s="2">
        <v>0</v>
      </c>
      <c r="G2319" t="s">
        <v>23</v>
      </c>
      <c r="H2319" t="s">
        <v>25</v>
      </c>
      <c r="I2319" t="s">
        <v>18</v>
      </c>
      <c r="J2319" s="3">
        <v>46067</v>
      </c>
      <c r="K2319" s="4">
        <f>ClientiBanca[[#This Row],[Prestito]]+ClientiBanca[[#This Row],[Mutuo]]</f>
        <v>30000</v>
      </c>
      <c r="L2319" t="str">
        <f>IF(ClientiBanca[[#This Row],[Reddito annuo]]&gt;=70000,"si","no")</f>
        <v>no</v>
      </c>
    </row>
    <row r="2320" spans="1:12">
      <c r="A2320">
        <v>102319</v>
      </c>
      <c r="B2320">
        <v>30</v>
      </c>
      <c r="C2320" s="2">
        <v>66300</v>
      </c>
      <c r="D2320" t="s">
        <v>22</v>
      </c>
      <c r="E2320" s="2">
        <v>13600</v>
      </c>
      <c r="F2320" s="2">
        <v>0</v>
      </c>
      <c r="G2320" t="s">
        <v>27</v>
      </c>
      <c r="H2320" t="s">
        <v>20</v>
      </c>
      <c r="I2320" t="s">
        <v>18</v>
      </c>
      <c r="J2320" s="3">
        <v>45847</v>
      </c>
      <c r="K2320" s="4">
        <f>ClientiBanca[[#This Row],[Prestito]]+ClientiBanca[[#This Row],[Mutuo]]</f>
        <v>13600</v>
      </c>
      <c r="L2320" t="str">
        <f>IF(ClientiBanca[[#This Row],[Reddito annuo]]&gt;=70000,"si","no")</f>
        <v>no</v>
      </c>
    </row>
    <row r="2321" spans="1:12">
      <c r="A2321">
        <v>102320</v>
      </c>
      <c r="B2321">
        <v>62</v>
      </c>
      <c r="C2321" s="2">
        <v>46300</v>
      </c>
      <c r="D2321" t="s">
        <v>21</v>
      </c>
      <c r="E2321" s="2">
        <v>34800</v>
      </c>
      <c r="F2321" s="2">
        <v>0</v>
      </c>
      <c r="G2321" t="s">
        <v>19</v>
      </c>
      <c r="H2321" t="s">
        <v>14</v>
      </c>
      <c r="I2321" t="s">
        <v>18</v>
      </c>
      <c r="J2321" s="3">
        <v>46141</v>
      </c>
      <c r="K2321" s="4">
        <f>ClientiBanca[[#This Row],[Prestito]]+ClientiBanca[[#This Row],[Mutuo]]</f>
        <v>34800</v>
      </c>
      <c r="L2321" t="str">
        <f>IF(ClientiBanca[[#This Row],[Reddito annuo]]&gt;=70000,"si","no")</f>
        <v>no</v>
      </c>
    </row>
    <row r="2322" spans="1:12">
      <c r="A2322">
        <v>102321</v>
      </c>
      <c r="B2322">
        <v>67</v>
      </c>
      <c r="C2322" s="2">
        <v>62800</v>
      </c>
      <c r="D2322" t="s">
        <v>22</v>
      </c>
      <c r="E2322" s="2">
        <v>30300</v>
      </c>
      <c r="F2322" s="2">
        <v>0</v>
      </c>
      <c r="G2322" t="s">
        <v>24</v>
      </c>
      <c r="H2322" t="s">
        <v>17</v>
      </c>
      <c r="I2322" t="s">
        <v>18</v>
      </c>
      <c r="J2322" s="3">
        <v>46049</v>
      </c>
      <c r="K2322" s="4">
        <f>ClientiBanca[[#This Row],[Prestito]]+ClientiBanca[[#This Row],[Mutuo]]</f>
        <v>30300</v>
      </c>
      <c r="L2322" t="str">
        <f>IF(ClientiBanca[[#This Row],[Reddito annuo]]&gt;=70000,"si","no")</f>
        <v>no</v>
      </c>
    </row>
    <row r="2323" spans="1:12">
      <c r="A2323">
        <v>102322</v>
      </c>
      <c r="B2323">
        <v>52</v>
      </c>
      <c r="C2323" s="2">
        <v>45000</v>
      </c>
      <c r="D2323" t="s">
        <v>21</v>
      </c>
      <c r="E2323" s="2">
        <v>52600</v>
      </c>
      <c r="F2323" s="2">
        <v>0</v>
      </c>
      <c r="G2323" t="s">
        <v>23</v>
      </c>
      <c r="H2323" t="s">
        <v>14</v>
      </c>
      <c r="I2323" t="s">
        <v>18</v>
      </c>
      <c r="J2323" s="3">
        <v>45618</v>
      </c>
      <c r="K2323" s="4">
        <f>ClientiBanca[[#This Row],[Prestito]]+ClientiBanca[[#This Row],[Mutuo]]</f>
        <v>52600</v>
      </c>
      <c r="L2323" t="str">
        <f>IF(ClientiBanca[[#This Row],[Reddito annuo]]&gt;=70000,"si","no")</f>
        <v>no</v>
      </c>
    </row>
    <row r="2324" spans="1:12">
      <c r="A2324">
        <v>102323</v>
      </c>
      <c r="B2324">
        <v>67</v>
      </c>
      <c r="C2324" s="2">
        <v>51400</v>
      </c>
      <c r="D2324" t="s">
        <v>12</v>
      </c>
      <c r="E2324" s="2">
        <v>36900</v>
      </c>
      <c r="F2324" s="2">
        <v>312000</v>
      </c>
      <c r="G2324" t="s">
        <v>27</v>
      </c>
      <c r="H2324" t="s">
        <v>14</v>
      </c>
      <c r="I2324" t="s">
        <v>18</v>
      </c>
      <c r="J2324" s="3">
        <v>45653</v>
      </c>
      <c r="K2324" s="4">
        <f>ClientiBanca[[#This Row],[Prestito]]+ClientiBanca[[#This Row],[Mutuo]]</f>
        <v>348900</v>
      </c>
      <c r="L2324" t="str">
        <f>IF(ClientiBanca[[#This Row],[Reddito annuo]]&gt;=70000,"si","no")</f>
        <v>no</v>
      </c>
    </row>
    <row r="2325" spans="1:12">
      <c r="A2325">
        <v>102324</v>
      </c>
      <c r="B2325">
        <v>66</v>
      </c>
      <c r="C2325" s="2">
        <v>85100</v>
      </c>
      <c r="D2325" t="s">
        <v>22</v>
      </c>
      <c r="E2325" s="2">
        <v>50800</v>
      </c>
      <c r="F2325" s="2">
        <v>0</v>
      </c>
      <c r="G2325" t="s">
        <v>28</v>
      </c>
      <c r="H2325" t="s">
        <v>20</v>
      </c>
      <c r="I2325" t="s">
        <v>18</v>
      </c>
      <c r="J2325" s="3">
        <v>45895</v>
      </c>
      <c r="K2325" s="4">
        <f>ClientiBanca[[#This Row],[Prestito]]+ClientiBanca[[#This Row],[Mutuo]]</f>
        <v>50800</v>
      </c>
      <c r="L2325" t="str">
        <f>IF(ClientiBanca[[#This Row],[Reddito annuo]]&gt;=70000,"si","no")</f>
        <v>si</v>
      </c>
    </row>
    <row r="2326" spans="1:12">
      <c r="A2326">
        <v>102325</v>
      </c>
      <c r="B2326">
        <v>68</v>
      </c>
      <c r="C2326" s="2">
        <v>44100</v>
      </c>
      <c r="D2326" t="s">
        <v>21</v>
      </c>
      <c r="E2326" s="2">
        <v>55100</v>
      </c>
      <c r="F2326" s="2">
        <v>0</v>
      </c>
      <c r="G2326" t="s">
        <v>24</v>
      </c>
      <c r="H2326" t="s">
        <v>17</v>
      </c>
      <c r="I2326" t="s">
        <v>18</v>
      </c>
      <c r="J2326" s="3">
        <v>45586</v>
      </c>
      <c r="K2326" s="4">
        <f>ClientiBanca[[#This Row],[Prestito]]+ClientiBanca[[#This Row],[Mutuo]]</f>
        <v>55100</v>
      </c>
      <c r="L2326" t="str">
        <f>IF(ClientiBanca[[#This Row],[Reddito annuo]]&gt;=70000,"si","no")</f>
        <v>no</v>
      </c>
    </row>
    <row r="2327" spans="1:12">
      <c r="A2327">
        <v>102326</v>
      </c>
      <c r="B2327">
        <v>56</v>
      </c>
      <c r="C2327" s="2">
        <v>65200</v>
      </c>
      <c r="D2327" t="s">
        <v>12</v>
      </c>
      <c r="E2327" s="2">
        <v>0</v>
      </c>
      <c r="F2327" s="2">
        <v>0</v>
      </c>
      <c r="G2327" t="s">
        <v>16</v>
      </c>
      <c r="H2327" t="s">
        <v>17</v>
      </c>
      <c r="I2327" t="s">
        <v>18</v>
      </c>
      <c r="J2327" s="3">
        <v>46143</v>
      </c>
      <c r="K2327" s="4">
        <f>ClientiBanca[[#This Row],[Prestito]]+ClientiBanca[[#This Row],[Mutuo]]</f>
        <v>0</v>
      </c>
      <c r="L2327" t="str">
        <f>IF(ClientiBanca[[#This Row],[Reddito annuo]]&gt;=70000,"si","no")</f>
        <v>no</v>
      </c>
    </row>
    <row r="2328" spans="1:12">
      <c r="A2328">
        <v>102327</v>
      </c>
      <c r="B2328">
        <v>64</v>
      </c>
      <c r="C2328" s="2">
        <v>55900</v>
      </c>
      <c r="D2328" t="s">
        <v>21</v>
      </c>
      <c r="E2328" s="2">
        <v>21600</v>
      </c>
      <c r="F2328" s="2">
        <v>0</v>
      </c>
      <c r="G2328" t="s">
        <v>19</v>
      </c>
      <c r="H2328" t="s">
        <v>14</v>
      </c>
      <c r="I2328" t="s">
        <v>15</v>
      </c>
      <c r="J2328" s="3">
        <v>45886</v>
      </c>
      <c r="K2328" s="4">
        <f>ClientiBanca[[#This Row],[Prestito]]+ClientiBanca[[#This Row],[Mutuo]]</f>
        <v>21600</v>
      </c>
      <c r="L2328" t="str">
        <f>IF(ClientiBanca[[#This Row],[Reddito annuo]]&gt;=70000,"si","no")</f>
        <v>no</v>
      </c>
    </row>
    <row r="2329" spans="1:12">
      <c r="A2329">
        <v>102328</v>
      </c>
      <c r="B2329">
        <v>43</v>
      </c>
      <c r="C2329" s="2">
        <v>55100</v>
      </c>
      <c r="D2329" t="s">
        <v>21</v>
      </c>
      <c r="E2329" s="2">
        <v>22700</v>
      </c>
      <c r="F2329" s="2">
        <v>260000</v>
      </c>
      <c r="G2329" t="s">
        <v>13</v>
      </c>
      <c r="H2329" t="s">
        <v>20</v>
      </c>
      <c r="I2329" t="s">
        <v>18</v>
      </c>
      <c r="J2329" s="3">
        <v>45880</v>
      </c>
      <c r="K2329" s="4">
        <f>ClientiBanca[[#This Row],[Prestito]]+ClientiBanca[[#This Row],[Mutuo]]</f>
        <v>282700</v>
      </c>
      <c r="L2329" t="str">
        <f>IF(ClientiBanca[[#This Row],[Reddito annuo]]&gt;=70000,"si","no")</f>
        <v>no</v>
      </c>
    </row>
    <row r="2330" spans="1:12">
      <c r="A2330">
        <v>102329</v>
      </c>
      <c r="B2330">
        <v>34</v>
      </c>
      <c r="C2330" s="2">
        <v>43800</v>
      </c>
      <c r="D2330" t="s">
        <v>12</v>
      </c>
      <c r="E2330" s="2">
        <v>17800</v>
      </c>
      <c r="F2330" s="2">
        <v>299000</v>
      </c>
      <c r="G2330" t="s">
        <v>13</v>
      </c>
      <c r="H2330" t="s">
        <v>20</v>
      </c>
      <c r="I2330" t="s">
        <v>18</v>
      </c>
      <c r="J2330" s="3">
        <v>45683</v>
      </c>
      <c r="K2330" s="4">
        <f>ClientiBanca[[#This Row],[Prestito]]+ClientiBanca[[#This Row],[Mutuo]]</f>
        <v>316800</v>
      </c>
      <c r="L2330" t="str">
        <f>IF(ClientiBanca[[#This Row],[Reddito annuo]]&gt;=70000,"si","no")</f>
        <v>no</v>
      </c>
    </row>
    <row r="2331" spans="1:12">
      <c r="A2331">
        <v>102330</v>
      </c>
      <c r="B2331">
        <v>74</v>
      </c>
      <c r="C2331" s="2">
        <v>21900</v>
      </c>
      <c r="D2331" t="s">
        <v>21</v>
      </c>
      <c r="E2331" s="2">
        <v>0</v>
      </c>
      <c r="F2331" s="2">
        <v>0</v>
      </c>
      <c r="G2331" t="s">
        <v>24</v>
      </c>
      <c r="H2331" t="s">
        <v>17</v>
      </c>
      <c r="I2331" t="s">
        <v>18</v>
      </c>
      <c r="J2331" s="3">
        <v>45966</v>
      </c>
      <c r="K2331" s="4">
        <f>ClientiBanca[[#This Row],[Prestito]]+ClientiBanca[[#This Row],[Mutuo]]</f>
        <v>0</v>
      </c>
      <c r="L2331" t="str">
        <f>IF(ClientiBanca[[#This Row],[Reddito annuo]]&gt;=70000,"si","no")</f>
        <v>no</v>
      </c>
    </row>
    <row r="2332" spans="1:12">
      <c r="A2332">
        <v>102331</v>
      </c>
      <c r="B2332">
        <v>22</v>
      </c>
      <c r="C2332" s="2">
        <v>48200</v>
      </c>
      <c r="D2332" t="s">
        <v>21</v>
      </c>
      <c r="E2332" s="2">
        <v>45300</v>
      </c>
      <c r="F2332" s="2">
        <v>0</v>
      </c>
      <c r="G2332" t="s">
        <v>27</v>
      </c>
      <c r="H2332" t="s">
        <v>17</v>
      </c>
      <c r="I2332" t="s">
        <v>18</v>
      </c>
      <c r="J2332" s="3">
        <v>45424</v>
      </c>
      <c r="K2332" s="4">
        <f>ClientiBanca[[#This Row],[Prestito]]+ClientiBanca[[#This Row],[Mutuo]]</f>
        <v>45300</v>
      </c>
      <c r="L2332" t="str">
        <f>IF(ClientiBanca[[#This Row],[Reddito annuo]]&gt;=70000,"si","no")</f>
        <v>no</v>
      </c>
    </row>
    <row r="2333" spans="1:12">
      <c r="A2333">
        <v>102332</v>
      </c>
      <c r="B2333">
        <v>45</v>
      </c>
      <c r="C2333" s="2">
        <v>45800</v>
      </c>
      <c r="D2333" t="s">
        <v>12</v>
      </c>
      <c r="E2333" s="2">
        <v>26000</v>
      </c>
      <c r="F2333" s="2">
        <v>174000</v>
      </c>
      <c r="G2333" t="s">
        <v>28</v>
      </c>
      <c r="H2333" t="s">
        <v>20</v>
      </c>
      <c r="I2333" t="s">
        <v>18</v>
      </c>
      <c r="J2333" s="3">
        <v>45384</v>
      </c>
      <c r="K2333" s="4">
        <f>ClientiBanca[[#This Row],[Prestito]]+ClientiBanca[[#This Row],[Mutuo]]</f>
        <v>200000</v>
      </c>
      <c r="L2333" t="str">
        <f>IF(ClientiBanca[[#This Row],[Reddito annuo]]&gt;=70000,"si","no")</f>
        <v>no</v>
      </c>
    </row>
    <row r="2334" spans="1:12">
      <c r="A2334">
        <v>102333</v>
      </c>
      <c r="B2334">
        <v>48</v>
      </c>
      <c r="C2334" s="2">
        <v>88600</v>
      </c>
      <c r="D2334" t="s">
        <v>12</v>
      </c>
      <c r="E2334" s="2">
        <v>0</v>
      </c>
      <c r="F2334" s="2">
        <v>0</v>
      </c>
      <c r="G2334" t="s">
        <v>23</v>
      </c>
      <c r="H2334" t="s">
        <v>25</v>
      </c>
      <c r="I2334" t="s">
        <v>18</v>
      </c>
      <c r="J2334" s="3">
        <v>46199</v>
      </c>
      <c r="K2334" s="4">
        <f>ClientiBanca[[#This Row],[Prestito]]+ClientiBanca[[#This Row],[Mutuo]]</f>
        <v>0</v>
      </c>
      <c r="L2334" t="str">
        <f>IF(ClientiBanca[[#This Row],[Reddito annuo]]&gt;=70000,"si","no")</f>
        <v>si</v>
      </c>
    </row>
    <row r="2335" spans="1:12">
      <c r="A2335">
        <v>102334</v>
      </c>
      <c r="B2335">
        <v>32</v>
      </c>
      <c r="C2335" s="2">
        <v>84100</v>
      </c>
      <c r="D2335" t="s">
        <v>21</v>
      </c>
      <c r="E2335" s="2">
        <v>53700</v>
      </c>
      <c r="F2335" s="2">
        <v>259000</v>
      </c>
      <c r="G2335" t="s">
        <v>16</v>
      </c>
      <c r="H2335" t="s">
        <v>20</v>
      </c>
      <c r="I2335" t="s">
        <v>18</v>
      </c>
      <c r="J2335" s="3">
        <v>46024</v>
      </c>
      <c r="K2335" s="4">
        <f>ClientiBanca[[#This Row],[Prestito]]+ClientiBanca[[#This Row],[Mutuo]]</f>
        <v>312700</v>
      </c>
      <c r="L2335" t="str">
        <f>IF(ClientiBanca[[#This Row],[Reddito annuo]]&gt;=70000,"si","no")</f>
        <v>si</v>
      </c>
    </row>
    <row r="2336" spans="1:12">
      <c r="A2336">
        <v>102335</v>
      </c>
      <c r="B2336">
        <v>26</v>
      </c>
      <c r="C2336" s="2">
        <v>52400</v>
      </c>
      <c r="D2336" t="s">
        <v>21</v>
      </c>
      <c r="E2336" s="2">
        <v>0</v>
      </c>
      <c r="F2336" s="2">
        <v>270000</v>
      </c>
      <c r="G2336" t="s">
        <v>28</v>
      </c>
      <c r="H2336" t="s">
        <v>20</v>
      </c>
      <c r="I2336" t="s">
        <v>18</v>
      </c>
      <c r="J2336" s="3">
        <v>45773</v>
      </c>
      <c r="K2336" s="4">
        <f>ClientiBanca[[#This Row],[Prestito]]+ClientiBanca[[#This Row],[Mutuo]]</f>
        <v>270000</v>
      </c>
      <c r="L2336" t="str">
        <f>IF(ClientiBanca[[#This Row],[Reddito annuo]]&gt;=70000,"si","no")</f>
        <v>no</v>
      </c>
    </row>
    <row r="2337" spans="1:12">
      <c r="A2337">
        <v>102336</v>
      </c>
      <c r="B2337">
        <v>62</v>
      </c>
      <c r="C2337" s="2">
        <v>97800</v>
      </c>
      <c r="D2337" t="s">
        <v>12</v>
      </c>
      <c r="E2337" s="2">
        <v>29400</v>
      </c>
      <c r="F2337" s="2">
        <v>0</v>
      </c>
      <c r="G2337" t="s">
        <v>27</v>
      </c>
      <c r="H2337" t="s">
        <v>20</v>
      </c>
      <c r="I2337" t="s">
        <v>18</v>
      </c>
      <c r="J2337" s="3">
        <v>46101</v>
      </c>
      <c r="K2337" s="4">
        <f>ClientiBanca[[#This Row],[Prestito]]+ClientiBanca[[#This Row],[Mutuo]]</f>
        <v>29400</v>
      </c>
      <c r="L2337" t="str">
        <f>IF(ClientiBanca[[#This Row],[Reddito annuo]]&gt;=70000,"si","no")</f>
        <v>si</v>
      </c>
    </row>
    <row r="2338" spans="1:12">
      <c r="A2338">
        <v>102337</v>
      </c>
      <c r="B2338">
        <v>36</v>
      </c>
      <c r="C2338" s="2">
        <v>67600</v>
      </c>
      <c r="D2338" t="s">
        <v>21</v>
      </c>
      <c r="E2338" s="2">
        <v>0</v>
      </c>
      <c r="F2338" s="2">
        <v>0</v>
      </c>
      <c r="G2338" t="s">
        <v>16</v>
      </c>
      <c r="H2338" t="s">
        <v>14</v>
      </c>
      <c r="I2338" t="s">
        <v>18</v>
      </c>
      <c r="J2338" s="3">
        <v>45776</v>
      </c>
      <c r="K2338" s="4">
        <f>ClientiBanca[[#This Row],[Prestito]]+ClientiBanca[[#This Row],[Mutuo]]</f>
        <v>0</v>
      </c>
      <c r="L2338" t="str">
        <f>IF(ClientiBanca[[#This Row],[Reddito annuo]]&gt;=70000,"si","no")</f>
        <v>no</v>
      </c>
    </row>
    <row r="2339" spans="1:12">
      <c r="A2339">
        <v>102338</v>
      </c>
      <c r="B2339">
        <v>40</v>
      </c>
      <c r="C2339" s="2">
        <v>92600</v>
      </c>
      <c r="D2339" t="s">
        <v>21</v>
      </c>
      <c r="E2339" s="2">
        <v>7300</v>
      </c>
      <c r="F2339" s="2">
        <v>302000</v>
      </c>
      <c r="G2339" t="s">
        <v>23</v>
      </c>
      <c r="H2339" t="s">
        <v>20</v>
      </c>
      <c r="I2339" t="s">
        <v>18</v>
      </c>
      <c r="J2339" s="3">
        <v>45334</v>
      </c>
      <c r="K2339" s="4">
        <f>ClientiBanca[[#This Row],[Prestito]]+ClientiBanca[[#This Row],[Mutuo]]</f>
        <v>309300</v>
      </c>
      <c r="L2339" t="str">
        <f>IF(ClientiBanca[[#This Row],[Reddito annuo]]&gt;=70000,"si","no")</f>
        <v>si</v>
      </c>
    </row>
    <row r="2340" spans="1:12">
      <c r="A2340">
        <v>102339</v>
      </c>
      <c r="B2340">
        <v>30</v>
      </c>
      <c r="C2340" s="2">
        <v>46200</v>
      </c>
      <c r="D2340" t="s">
        <v>21</v>
      </c>
      <c r="E2340" s="2">
        <v>51900</v>
      </c>
      <c r="F2340" s="2">
        <v>207000</v>
      </c>
      <c r="G2340" t="s">
        <v>23</v>
      </c>
      <c r="H2340" t="s">
        <v>20</v>
      </c>
      <c r="I2340" t="s">
        <v>18</v>
      </c>
      <c r="J2340" s="3">
        <v>45635</v>
      </c>
      <c r="K2340" s="4">
        <f>ClientiBanca[[#This Row],[Prestito]]+ClientiBanca[[#This Row],[Mutuo]]</f>
        <v>258900</v>
      </c>
      <c r="L2340" t="str">
        <f>IF(ClientiBanca[[#This Row],[Reddito annuo]]&gt;=70000,"si","no")</f>
        <v>no</v>
      </c>
    </row>
    <row r="2341" spans="1:12">
      <c r="A2341">
        <v>102340</v>
      </c>
      <c r="B2341">
        <v>70</v>
      </c>
      <c r="C2341" s="2">
        <v>41000</v>
      </c>
      <c r="D2341" t="s">
        <v>22</v>
      </c>
      <c r="E2341" s="2">
        <v>30900</v>
      </c>
      <c r="F2341" s="2">
        <v>0</v>
      </c>
      <c r="G2341" t="s">
        <v>27</v>
      </c>
      <c r="H2341" t="s">
        <v>17</v>
      </c>
      <c r="I2341" t="s">
        <v>18</v>
      </c>
      <c r="J2341" s="3">
        <v>46083</v>
      </c>
      <c r="K2341" s="4">
        <f>ClientiBanca[[#This Row],[Prestito]]+ClientiBanca[[#This Row],[Mutuo]]</f>
        <v>30900</v>
      </c>
      <c r="L2341" t="str">
        <f>IF(ClientiBanca[[#This Row],[Reddito annuo]]&gt;=70000,"si","no")</f>
        <v>no</v>
      </c>
    </row>
    <row r="2342" spans="1:12">
      <c r="A2342">
        <v>102341</v>
      </c>
      <c r="B2342">
        <v>54</v>
      </c>
      <c r="C2342" s="2">
        <v>51200</v>
      </c>
      <c r="D2342" t="s">
        <v>21</v>
      </c>
      <c r="E2342" s="2">
        <v>0</v>
      </c>
      <c r="F2342" s="2">
        <v>221000</v>
      </c>
      <c r="G2342" t="s">
        <v>27</v>
      </c>
      <c r="H2342" t="s">
        <v>20</v>
      </c>
      <c r="I2342" t="s">
        <v>18</v>
      </c>
      <c r="J2342" s="3">
        <v>45770</v>
      </c>
      <c r="K2342" s="4">
        <f>ClientiBanca[[#This Row],[Prestito]]+ClientiBanca[[#This Row],[Mutuo]]</f>
        <v>221000</v>
      </c>
      <c r="L2342" t="str">
        <f>IF(ClientiBanca[[#This Row],[Reddito annuo]]&gt;=70000,"si","no")</f>
        <v>no</v>
      </c>
    </row>
    <row r="2343" spans="1:12">
      <c r="A2343">
        <v>102342</v>
      </c>
      <c r="B2343">
        <v>31</v>
      </c>
      <c r="C2343" s="2">
        <v>41100</v>
      </c>
      <c r="D2343" t="s">
        <v>21</v>
      </c>
      <c r="E2343" s="2">
        <v>11400</v>
      </c>
      <c r="F2343" s="2">
        <v>358000</v>
      </c>
      <c r="G2343" t="s">
        <v>19</v>
      </c>
      <c r="H2343" t="s">
        <v>17</v>
      </c>
      <c r="I2343" t="s">
        <v>18</v>
      </c>
      <c r="J2343" s="3">
        <v>45932</v>
      </c>
      <c r="K2343" s="4">
        <f>ClientiBanca[[#This Row],[Prestito]]+ClientiBanca[[#This Row],[Mutuo]]</f>
        <v>369400</v>
      </c>
      <c r="L2343" t="str">
        <f>IF(ClientiBanca[[#This Row],[Reddito annuo]]&gt;=70000,"si","no")</f>
        <v>no</v>
      </c>
    </row>
    <row r="2344" spans="1:12">
      <c r="A2344">
        <v>102343</v>
      </c>
      <c r="B2344">
        <v>40</v>
      </c>
      <c r="C2344" s="2">
        <v>58500</v>
      </c>
      <c r="D2344" t="s">
        <v>22</v>
      </c>
      <c r="E2344" s="2">
        <v>27900</v>
      </c>
      <c r="F2344" s="2">
        <v>173000</v>
      </c>
      <c r="G2344" t="s">
        <v>27</v>
      </c>
      <c r="H2344" t="s">
        <v>14</v>
      </c>
      <c r="I2344" t="s">
        <v>15</v>
      </c>
      <c r="J2344" s="3">
        <v>46091</v>
      </c>
      <c r="K2344" s="4">
        <f>ClientiBanca[[#This Row],[Prestito]]+ClientiBanca[[#This Row],[Mutuo]]</f>
        <v>200900</v>
      </c>
      <c r="L2344" t="str">
        <f>IF(ClientiBanca[[#This Row],[Reddito annuo]]&gt;=70000,"si","no")</f>
        <v>no</v>
      </c>
    </row>
    <row r="2345" spans="1:12">
      <c r="A2345">
        <v>102344</v>
      </c>
      <c r="B2345">
        <v>34</v>
      </c>
      <c r="C2345" s="2">
        <v>58200</v>
      </c>
      <c r="D2345" t="s">
        <v>21</v>
      </c>
      <c r="E2345" s="2">
        <v>10400</v>
      </c>
      <c r="F2345" s="2">
        <v>0</v>
      </c>
      <c r="G2345" t="s">
        <v>16</v>
      </c>
      <c r="H2345" t="s">
        <v>14</v>
      </c>
      <c r="I2345" t="s">
        <v>18</v>
      </c>
      <c r="J2345" s="3">
        <v>45758</v>
      </c>
      <c r="K2345" s="4">
        <f>ClientiBanca[[#This Row],[Prestito]]+ClientiBanca[[#This Row],[Mutuo]]</f>
        <v>10400</v>
      </c>
      <c r="L2345" t="str">
        <f>IF(ClientiBanca[[#This Row],[Reddito annuo]]&gt;=70000,"si","no")</f>
        <v>no</v>
      </c>
    </row>
    <row r="2346" spans="1:12">
      <c r="A2346">
        <v>102345</v>
      </c>
      <c r="B2346">
        <v>52</v>
      </c>
      <c r="C2346" s="2">
        <v>109200</v>
      </c>
      <c r="D2346" t="s">
        <v>12</v>
      </c>
      <c r="E2346" s="2">
        <v>31300</v>
      </c>
      <c r="F2346" s="2">
        <v>0</v>
      </c>
      <c r="G2346" t="s">
        <v>16</v>
      </c>
      <c r="H2346" t="s">
        <v>20</v>
      </c>
      <c r="I2346" t="s">
        <v>18</v>
      </c>
      <c r="J2346" s="3">
        <v>46155</v>
      </c>
      <c r="K2346" s="4">
        <f>ClientiBanca[[#This Row],[Prestito]]+ClientiBanca[[#This Row],[Mutuo]]</f>
        <v>31300</v>
      </c>
      <c r="L2346" t="str">
        <f>IF(ClientiBanca[[#This Row],[Reddito annuo]]&gt;=70000,"si","no")</f>
        <v>si</v>
      </c>
    </row>
    <row r="2347" spans="1:12">
      <c r="A2347">
        <v>102346</v>
      </c>
      <c r="B2347">
        <v>61</v>
      </c>
      <c r="C2347" s="2">
        <v>110900</v>
      </c>
      <c r="D2347" t="s">
        <v>21</v>
      </c>
      <c r="E2347" s="2">
        <v>64300</v>
      </c>
      <c r="F2347" s="2">
        <v>0</v>
      </c>
      <c r="G2347" t="s">
        <v>24</v>
      </c>
      <c r="H2347" t="s">
        <v>17</v>
      </c>
      <c r="I2347" t="s">
        <v>18</v>
      </c>
      <c r="J2347" s="3">
        <v>45531</v>
      </c>
      <c r="K2347" s="4">
        <f>ClientiBanca[[#This Row],[Prestito]]+ClientiBanca[[#This Row],[Mutuo]]</f>
        <v>64300</v>
      </c>
      <c r="L2347" t="str">
        <f>IF(ClientiBanca[[#This Row],[Reddito annuo]]&gt;=70000,"si","no")</f>
        <v>si</v>
      </c>
    </row>
    <row r="2348" spans="1:12">
      <c r="A2348">
        <v>102347</v>
      </c>
      <c r="B2348">
        <v>45</v>
      </c>
      <c r="C2348" s="2">
        <v>63700</v>
      </c>
      <c r="D2348" t="s">
        <v>12</v>
      </c>
      <c r="E2348" s="2">
        <v>0</v>
      </c>
      <c r="F2348" s="2">
        <v>245000</v>
      </c>
      <c r="G2348" t="s">
        <v>13</v>
      </c>
      <c r="H2348" t="s">
        <v>17</v>
      </c>
      <c r="I2348" t="s">
        <v>18</v>
      </c>
      <c r="J2348" s="3">
        <v>46128</v>
      </c>
      <c r="K2348" s="4">
        <f>ClientiBanca[[#This Row],[Prestito]]+ClientiBanca[[#This Row],[Mutuo]]</f>
        <v>245000</v>
      </c>
      <c r="L2348" t="str">
        <f>IF(ClientiBanca[[#This Row],[Reddito annuo]]&gt;=70000,"si","no")</f>
        <v>no</v>
      </c>
    </row>
    <row r="2349" spans="1:12">
      <c r="A2349">
        <v>102348</v>
      </c>
      <c r="B2349">
        <v>53</v>
      </c>
      <c r="C2349" s="2">
        <v>80000</v>
      </c>
      <c r="D2349" t="s">
        <v>12</v>
      </c>
      <c r="E2349" s="2">
        <v>0</v>
      </c>
      <c r="F2349" s="2">
        <v>203000</v>
      </c>
      <c r="G2349" t="s">
        <v>24</v>
      </c>
      <c r="H2349" t="s">
        <v>17</v>
      </c>
      <c r="I2349" t="s">
        <v>18</v>
      </c>
      <c r="J2349" s="3">
        <v>45404</v>
      </c>
      <c r="K2349" s="4">
        <f>ClientiBanca[[#This Row],[Prestito]]+ClientiBanca[[#This Row],[Mutuo]]</f>
        <v>203000</v>
      </c>
      <c r="L2349" t="str">
        <f>IF(ClientiBanca[[#This Row],[Reddito annuo]]&gt;=70000,"si","no")</f>
        <v>si</v>
      </c>
    </row>
    <row r="2350" spans="1:12">
      <c r="A2350">
        <v>102349</v>
      </c>
      <c r="B2350">
        <v>20</v>
      </c>
      <c r="C2350" s="2">
        <v>83100</v>
      </c>
      <c r="D2350" t="s">
        <v>21</v>
      </c>
      <c r="E2350" s="2">
        <v>31200</v>
      </c>
      <c r="F2350" s="2">
        <v>0</v>
      </c>
      <c r="G2350" t="s">
        <v>16</v>
      </c>
      <c r="H2350" t="s">
        <v>20</v>
      </c>
      <c r="I2350" t="s">
        <v>18</v>
      </c>
      <c r="J2350" s="3">
        <v>45664</v>
      </c>
      <c r="K2350" s="4">
        <f>ClientiBanca[[#This Row],[Prestito]]+ClientiBanca[[#This Row],[Mutuo]]</f>
        <v>31200</v>
      </c>
      <c r="L2350" t="str">
        <f>IF(ClientiBanca[[#This Row],[Reddito annuo]]&gt;=70000,"si","no")</f>
        <v>si</v>
      </c>
    </row>
    <row r="2351" spans="1:12">
      <c r="A2351">
        <v>102350</v>
      </c>
      <c r="B2351">
        <v>46</v>
      </c>
      <c r="C2351" s="2">
        <v>80600</v>
      </c>
      <c r="D2351" t="s">
        <v>21</v>
      </c>
      <c r="E2351" s="2">
        <v>9200</v>
      </c>
      <c r="F2351" s="2">
        <v>0</v>
      </c>
      <c r="G2351" t="s">
        <v>28</v>
      </c>
      <c r="H2351" t="s">
        <v>20</v>
      </c>
      <c r="I2351" t="s">
        <v>18</v>
      </c>
      <c r="J2351" s="3">
        <v>45813</v>
      </c>
      <c r="K2351" s="4">
        <f>ClientiBanca[[#This Row],[Prestito]]+ClientiBanca[[#This Row],[Mutuo]]</f>
        <v>9200</v>
      </c>
      <c r="L2351" t="str">
        <f>IF(ClientiBanca[[#This Row],[Reddito annuo]]&gt;=70000,"si","no")</f>
        <v>si</v>
      </c>
    </row>
    <row r="2352" spans="1:12">
      <c r="A2352">
        <v>102351</v>
      </c>
      <c r="B2352">
        <v>35</v>
      </c>
      <c r="C2352" s="2">
        <v>41800</v>
      </c>
      <c r="D2352" t="s">
        <v>21</v>
      </c>
      <c r="E2352" s="2">
        <v>44000</v>
      </c>
      <c r="F2352" s="2">
        <v>189000</v>
      </c>
      <c r="G2352" t="s">
        <v>13</v>
      </c>
      <c r="H2352" t="s">
        <v>14</v>
      </c>
      <c r="I2352" t="s">
        <v>18</v>
      </c>
      <c r="J2352" s="3">
        <v>46044</v>
      </c>
      <c r="K2352" s="4">
        <f>ClientiBanca[[#This Row],[Prestito]]+ClientiBanca[[#This Row],[Mutuo]]</f>
        <v>233000</v>
      </c>
      <c r="L2352" t="str">
        <f>IF(ClientiBanca[[#This Row],[Reddito annuo]]&gt;=70000,"si","no")</f>
        <v>no</v>
      </c>
    </row>
    <row r="2353" spans="1:12">
      <c r="A2353">
        <v>102352</v>
      </c>
      <c r="B2353">
        <v>31</v>
      </c>
      <c r="C2353" s="2">
        <v>54400</v>
      </c>
      <c r="D2353" t="s">
        <v>22</v>
      </c>
      <c r="E2353" s="2">
        <v>38100</v>
      </c>
      <c r="F2353" s="2">
        <v>0</v>
      </c>
      <c r="G2353" t="s">
        <v>13</v>
      </c>
      <c r="H2353" t="s">
        <v>17</v>
      </c>
      <c r="I2353" t="s">
        <v>18</v>
      </c>
      <c r="J2353" s="3">
        <v>45754</v>
      </c>
      <c r="K2353" s="4">
        <f>ClientiBanca[[#This Row],[Prestito]]+ClientiBanca[[#This Row],[Mutuo]]</f>
        <v>38100</v>
      </c>
      <c r="L2353" t="str">
        <f>IF(ClientiBanca[[#This Row],[Reddito annuo]]&gt;=70000,"si","no")</f>
        <v>no</v>
      </c>
    </row>
    <row r="2354" spans="1:12">
      <c r="A2354">
        <v>102353</v>
      </c>
      <c r="B2354">
        <v>52</v>
      </c>
      <c r="C2354" s="2">
        <v>71000</v>
      </c>
      <c r="D2354" t="s">
        <v>21</v>
      </c>
      <c r="E2354" s="2">
        <v>51000</v>
      </c>
      <c r="F2354" s="2">
        <v>0</v>
      </c>
      <c r="G2354" t="s">
        <v>27</v>
      </c>
      <c r="H2354" t="s">
        <v>17</v>
      </c>
      <c r="I2354" t="s">
        <v>18</v>
      </c>
      <c r="J2354" s="3">
        <v>45878</v>
      </c>
      <c r="K2354" s="4">
        <f>ClientiBanca[[#This Row],[Prestito]]+ClientiBanca[[#This Row],[Mutuo]]</f>
        <v>51000</v>
      </c>
      <c r="L2354" t="str">
        <f>IF(ClientiBanca[[#This Row],[Reddito annuo]]&gt;=70000,"si","no")</f>
        <v>si</v>
      </c>
    </row>
    <row r="2355" spans="1:12">
      <c r="A2355">
        <v>102354</v>
      </c>
      <c r="B2355">
        <v>46</v>
      </c>
      <c r="C2355" s="2">
        <v>41400</v>
      </c>
      <c r="D2355" t="s">
        <v>12</v>
      </c>
      <c r="E2355" s="2">
        <v>34600</v>
      </c>
      <c r="F2355" s="2">
        <v>0</v>
      </c>
      <c r="G2355" t="s">
        <v>28</v>
      </c>
      <c r="H2355" t="s">
        <v>25</v>
      </c>
      <c r="I2355" t="s">
        <v>15</v>
      </c>
      <c r="J2355" s="3">
        <v>46156</v>
      </c>
      <c r="K2355" s="4">
        <f>ClientiBanca[[#This Row],[Prestito]]+ClientiBanca[[#This Row],[Mutuo]]</f>
        <v>34600</v>
      </c>
      <c r="L2355" t="str">
        <f>IF(ClientiBanca[[#This Row],[Reddito annuo]]&gt;=70000,"si","no")</f>
        <v>no</v>
      </c>
    </row>
    <row r="2356" spans="1:12">
      <c r="A2356">
        <v>102355</v>
      </c>
      <c r="B2356">
        <v>40</v>
      </c>
      <c r="C2356" s="2">
        <v>85500</v>
      </c>
      <c r="D2356" t="s">
        <v>12</v>
      </c>
      <c r="E2356" s="2">
        <v>0</v>
      </c>
      <c r="F2356" s="2">
        <v>0</v>
      </c>
      <c r="G2356" t="s">
        <v>26</v>
      </c>
      <c r="H2356" t="s">
        <v>17</v>
      </c>
      <c r="I2356" t="s">
        <v>18</v>
      </c>
      <c r="J2356" s="3">
        <v>45434</v>
      </c>
      <c r="K2356" s="4">
        <f>ClientiBanca[[#This Row],[Prestito]]+ClientiBanca[[#This Row],[Mutuo]]</f>
        <v>0</v>
      </c>
      <c r="L2356" t="str">
        <f>IF(ClientiBanca[[#This Row],[Reddito annuo]]&gt;=70000,"si","no")</f>
        <v>si</v>
      </c>
    </row>
    <row r="2357" spans="1:12">
      <c r="A2357">
        <v>102356</v>
      </c>
      <c r="B2357">
        <v>73</v>
      </c>
      <c r="C2357" s="2">
        <v>35800</v>
      </c>
      <c r="D2357" t="s">
        <v>21</v>
      </c>
      <c r="E2357" s="2">
        <v>44800</v>
      </c>
      <c r="F2357" s="2">
        <v>0</v>
      </c>
      <c r="G2357" t="s">
        <v>13</v>
      </c>
      <c r="H2357" t="s">
        <v>14</v>
      </c>
      <c r="I2357" t="s">
        <v>18</v>
      </c>
      <c r="J2357" s="3">
        <v>46032</v>
      </c>
      <c r="K2357" s="4">
        <f>ClientiBanca[[#This Row],[Prestito]]+ClientiBanca[[#This Row],[Mutuo]]</f>
        <v>44800</v>
      </c>
      <c r="L2357" t="str">
        <f>IF(ClientiBanca[[#This Row],[Reddito annuo]]&gt;=70000,"si","no")</f>
        <v>no</v>
      </c>
    </row>
    <row r="2358" spans="1:12">
      <c r="A2358">
        <v>102357</v>
      </c>
      <c r="B2358">
        <v>48</v>
      </c>
      <c r="C2358" s="2">
        <v>26900</v>
      </c>
      <c r="D2358" t="s">
        <v>21</v>
      </c>
      <c r="E2358" s="2">
        <v>11300</v>
      </c>
      <c r="F2358" s="2">
        <v>274000</v>
      </c>
      <c r="G2358" t="s">
        <v>27</v>
      </c>
      <c r="H2358" t="s">
        <v>17</v>
      </c>
      <c r="I2358" t="s">
        <v>18</v>
      </c>
      <c r="J2358" s="3">
        <v>45886</v>
      </c>
      <c r="K2358" s="4">
        <f>ClientiBanca[[#This Row],[Prestito]]+ClientiBanca[[#This Row],[Mutuo]]</f>
        <v>285300</v>
      </c>
      <c r="L2358" t="str">
        <f>IF(ClientiBanca[[#This Row],[Reddito annuo]]&gt;=70000,"si","no")</f>
        <v>no</v>
      </c>
    </row>
    <row r="2359" spans="1:12">
      <c r="A2359">
        <v>102358</v>
      </c>
      <c r="B2359">
        <v>57</v>
      </c>
      <c r="C2359" s="2">
        <v>39800</v>
      </c>
      <c r="D2359" t="s">
        <v>22</v>
      </c>
      <c r="E2359" s="2">
        <v>0</v>
      </c>
      <c r="F2359" s="2">
        <v>399000</v>
      </c>
      <c r="G2359" t="s">
        <v>24</v>
      </c>
      <c r="H2359" t="s">
        <v>17</v>
      </c>
      <c r="I2359" t="s">
        <v>18</v>
      </c>
      <c r="J2359" s="3">
        <v>45867</v>
      </c>
      <c r="K2359" s="4">
        <f>ClientiBanca[[#This Row],[Prestito]]+ClientiBanca[[#This Row],[Mutuo]]</f>
        <v>399000</v>
      </c>
      <c r="L2359" t="str">
        <f>IF(ClientiBanca[[#This Row],[Reddito annuo]]&gt;=70000,"si","no")</f>
        <v>no</v>
      </c>
    </row>
    <row r="2360" spans="1:12">
      <c r="A2360">
        <v>102359</v>
      </c>
      <c r="B2360">
        <v>29</v>
      </c>
      <c r="C2360" s="2">
        <v>54300</v>
      </c>
      <c r="D2360" t="s">
        <v>21</v>
      </c>
      <c r="E2360" s="2">
        <v>0</v>
      </c>
      <c r="F2360" s="2">
        <v>287000</v>
      </c>
      <c r="G2360" t="s">
        <v>28</v>
      </c>
      <c r="H2360" t="s">
        <v>20</v>
      </c>
      <c r="I2360" t="s">
        <v>18</v>
      </c>
      <c r="J2360" s="3">
        <v>46047</v>
      </c>
      <c r="K2360" s="4">
        <f>ClientiBanca[[#This Row],[Prestito]]+ClientiBanca[[#This Row],[Mutuo]]</f>
        <v>287000</v>
      </c>
      <c r="L2360" t="str">
        <f>IF(ClientiBanca[[#This Row],[Reddito annuo]]&gt;=70000,"si","no")</f>
        <v>no</v>
      </c>
    </row>
    <row r="2361" spans="1:12">
      <c r="A2361">
        <v>102360</v>
      </c>
      <c r="B2361">
        <v>20</v>
      </c>
      <c r="C2361" s="2">
        <v>62200</v>
      </c>
      <c r="D2361" t="s">
        <v>22</v>
      </c>
      <c r="E2361" s="2">
        <v>21600</v>
      </c>
      <c r="F2361" s="2">
        <v>0</v>
      </c>
      <c r="G2361" t="s">
        <v>26</v>
      </c>
      <c r="H2361" t="s">
        <v>20</v>
      </c>
      <c r="I2361" t="s">
        <v>18</v>
      </c>
      <c r="J2361" s="3">
        <v>46004</v>
      </c>
      <c r="K2361" s="4">
        <f>ClientiBanca[[#This Row],[Prestito]]+ClientiBanca[[#This Row],[Mutuo]]</f>
        <v>21600</v>
      </c>
      <c r="L2361" t="str">
        <f>IF(ClientiBanca[[#This Row],[Reddito annuo]]&gt;=70000,"si","no")</f>
        <v>no</v>
      </c>
    </row>
    <row r="2362" spans="1:12">
      <c r="A2362">
        <v>102361</v>
      </c>
      <c r="B2362">
        <v>57</v>
      </c>
      <c r="C2362" s="2">
        <v>62300</v>
      </c>
      <c r="D2362" t="s">
        <v>22</v>
      </c>
      <c r="E2362" s="2">
        <v>62900</v>
      </c>
      <c r="F2362" s="2">
        <v>0</v>
      </c>
      <c r="G2362" t="s">
        <v>23</v>
      </c>
      <c r="H2362" t="s">
        <v>25</v>
      </c>
      <c r="I2362" t="s">
        <v>18</v>
      </c>
      <c r="J2362" s="3">
        <v>45947</v>
      </c>
      <c r="K2362" s="4">
        <f>ClientiBanca[[#This Row],[Prestito]]+ClientiBanca[[#This Row],[Mutuo]]</f>
        <v>62900</v>
      </c>
      <c r="L2362" t="str">
        <f>IF(ClientiBanca[[#This Row],[Reddito annuo]]&gt;=70000,"si","no")</f>
        <v>no</v>
      </c>
    </row>
    <row r="2363" spans="1:12">
      <c r="A2363">
        <v>102362</v>
      </c>
      <c r="B2363">
        <v>58</v>
      </c>
      <c r="C2363" s="2">
        <v>74900</v>
      </c>
      <c r="D2363" t="s">
        <v>21</v>
      </c>
      <c r="E2363" s="2">
        <v>37500</v>
      </c>
      <c r="F2363" s="2">
        <v>0</v>
      </c>
      <c r="G2363" t="s">
        <v>28</v>
      </c>
      <c r="H2363" t="s">
        <v>20</v>
      </c>
      <c r="I2363" t="s">
        <v>18</v>
      </c>
      <c r="J2363" s="3">
        <v>45475</v>
      </c>
      <c r="K2363" s="4">
        <f>ClientiBanca[[#This Row],[Prestito]]+ClientiBanca[[#This Row],[Mutuo]]</f>
        <v>37500</v>
      </c>
      <c r="L2363" t="str">
        <f>IF(ClientiBanca[[#This Row],[Reddito annuo]]&gt;=70000,"si","no")</f>
        <v>si</v>
      </c>
    </row>
    <row r="2364" spans="1:12">
      <c r="A2364">
        <v>102363</v>
      </c>
      <c r="B2364">
        <v>24</v>
      </c>
      <c r="C2364" s="2">
        <v>68600</v>
      </c>
      <c r="D2364" t="s">
        <v>12</v>
      </c>
      <c r="E2364" s="2">
        <v>3700</v>
      </c>
      <c r="F2364" s="2">
        <v>0</v>
      </c>
      <c r="G2364" t="s">
        <v>24</v>
      </c>
      <c r="H2364" t="s">
        <v>25</v>
      </c>
      <c r="I2364" t="s">
        <v>18</v>
      </c>
      <c r="J2364" s="3">
        <v>45866</v>
      </c>
      <c r="K2364" s="4">
        <f>ClientiBanca[[#This Row],[Prestito]]+ClientiBanca[[#This Row],[Mutuo]]</f>
        <v>3700</v>
      </c>
      <c r="L2364" t="str">
        <f>IF(ClientiBanca[[#This Row],[Reddito annuo]]&gt;=70000,"si","no")</f>
        <v>no</v>
      </c>
    </row>
    <row r="2365" spans="1:12">
      <c r="A2365">
        <v>102364</v>
      </c>
      <c r="B2365">
        <v>52</v>
      </c>
      <c r="C2365" s="2">
        <v>79600</v>
      </c>
      <c r="D2365" t="s">
        <v>21</v>
      </c>
      <c r="E2365" s="2">
        <v>0</v>
      </c>
      <c r="F2365" s="2">
        <v>0</v>
      </c>
      <c r="G2365" t="s">
        <v>24</v>
      </c>
      <c r="H2365" t="s">
        <v>17</v>
      </c>
      <c r="I2365" t="s">
        <v>18</v>
      </c>
      <c r="J2365" s="3">
        <v>46002</v>
      </c>
      <c r="K2365" s="4">
        <f>ClientiBanca[[#This Row],[Prestito]]+ClientiBanca[[#This Row],[Mutuo]]</f>
        <v>0</v>
      </c>
      <c r="L2365" t="str">
        <f>IF(ClientiBanca[[#This Row],[Reddito annuo]]&gt;=70000,"si","no")</f>
        <v>si</v>
      </c>
    </row>
    <row r="2366" spans="1:12">
      <c r="A2366">
        <v>102365</v>
      </c>
      <c r="B2366">
        <v>63</v>
      </c>
      <c r="C2366" s="2">
        <v>88100</v>
      </c>
      <c r="D2366" t="s">
        <v>21</v>
      </c>
      <c r="E2366" s="2">
        <v>0</v>
      </c>
      <c r="F2366" s="2">
        <v>202000</v>
      </c>
      <c r="G2366" t="s">
        <v>27</v>
      </c>
      <c r="H2366" t="s">
        <v>20</v>
      </c>
      <c r="I2366" t="s">
        <v>18</v>
      </c>
      <c r="J2366" s="3">
        <v>45677</v>
      </c>
      <c r="K2366" s="4">
        <f>ClientiBanca[[#This Row],[Prestito]]+ClientiBanca[[#This Row],[Mutuo]]</f>
        <v>202000</v>
      </c>
      <c r="L2366" t="str">
        <f>IF(ClientiBanca[[#This Row],[Reddito annuo]]&gt;=70000,"si","no")</f>
        <v>si</v>
      </c>
    </row>
    <row r="2367" spans="1:12">
      <c r="A2367">
        <v>102366</v>
      </c>
      <c r="B2367">
        <v>61</v>
      </c>
      <c r="C2367" s="2">
        <v>45200</v>
      </c>
      <c r="D2367" t="s">
        <v>21</v>
      </c>
      <c r="E2367" s="2">
        <v>56500</v>
      </c>
      <c r="F2367" s="2">
        <v>0</v>
      </c>
      <c r="G2367" t="s">
        <v>27</v>
      </c>
      <c r="H2367" t="s">
        <v>20</v>
      </c>
      <c r="I2367" t="s">
        <v>18</v>
      </c>
      <c r="J2367" s="3">
        <v>45550</v>
      </c>
      <c r="K2367" s="4">
        <f>ClientiBanca[[#This Row],[Prestito]]+ClientiBanca[[#This Row],[Mutuo]]</f>
        <v>56500</v>
      </c>
      <c r="L2367" t="str">
        <f>IF(ClientiBanca[[#This Row],[Reddito annuo]]&gt;=70000,"si","no")</f>
        <v>no</v>
      </c>
    </row>
    <row r="2368" spans="1:12">
      <c r="A2368">
        <v>102367</v>
      </c>
      <c r="B2368">
        <v>69</v>
      </c>
      <c r="C2368" s="2">
        <v>65700</v>
      </c>
      <c r="D2368" t="s">
        <v>12</v>
      </c>
      <c r="E2368" s="2">
        <v>59200</v>
      </c>
      <c r="F2368" s="2">
        <v>0</v>
      </c>
      <c r="G2368" t="s">
        <v>19</v>
      </c>
      <c r="H2368" t="s">
        <v>20</v>
      </c>
      <c r="I2368" t="s">
        <v>18</v>
      </c>
      <c r="J2368" s="3">
        <v>46085</v>
      </c>
      <c r="K2368" s="4">
        <f>ClientiBanca[[#This Row],[Prestito]]+ClientiBanca[[#This Row],[Mutuo]]</f>
        <v>59200</v>
      </c>
      <c r="L2368" t="str">
        <f>IF(ClientiBanca[[#This Row],[Reddito annuo]]&gt;=70000,"si","no")</f>
        <v>no</v>
      </c>
    </row>
    <row r="2369" spans="1:12">
      <c r="A2369">
        <v>102368</v>
      </c>
      <c r="B2369">
        <v>22</v>
      </c>
      <c r="C2369" s="2">
        <v>35500</v>
      </c>
      <c r="D2369" t="s">
        <v>21</v>
      </c>
      <c r="E2369" s="2">
        <v>16800</v>
      </c>
      <c r="F2369" s="2">
        <v>0</v>
      </c>
      <c r="G2369" t="s">
        <v>27</v>
      </c>
      <c r="H2369" t="s">
        <v>17</v>
      </c>
      <c r="I2369" t="s">
        <v>15</v>
      </c>
      <c r="J2369" s="3">
        <v>45323</v>
      </c>
      <c r="K2369" s="4">
        <f>ClientiBanca[[#This Row],[Prestito]]+ClientiBanca[[#This Row],[Mutuo]]</f>
        <v>16800</v>
      </c>
      <c r="L2369" t="str">
        <f>IF(ClientiBanca[[#This Row],[Reddito annuo]]&gt;=70000,"si","no")</f>
        <v>no</v>
      </c>
    </row>
    <row r="2370" spans="1:12">
      <c r="A2370">
        <v>102369</v>
      </c>
      <c r="B2370">
        <v>52</v>
      </c>
      <c r="C2370" s="2">
        <v>69500</v>
      </c>
      <c r="D2370" t="s">
        <v>21</v>
      </c>
      <c r="E2370" s="2">
        <v>60900</v>
      </c>
      <c r="F2370" s="2">
        <v>0</v>
      </c>
      <c r="G2370" t="s">
        <v>28</v>
      </c>
      <c r="H2370" t="s">
        <v>20</v>
      </c>
      <c r="I2370" t="s">
        <v>18</v>
      </c>
      <c r="J2370" s="3">
        <v>45461</v>
      </c>
      <c r="K2370" s="4">
        <f>ClientiBanca[[#This Row],[Prestito]]+ClientiBanca[[#This Row],[Mutuo]]</f>
        <v>60900</v>
      </c>
      <c r="L2370" t="str">
        <f>IF(ClientiBanca[[#This Row],[Reddito annuo]]&gt;=70000,"si","no")</f>
        <v>no</v>
      </c>
    </row>
    <row r="2371" spans="1:12">
      <c r="A2371">
        <v>102370</v>
      </c>
      <c r="B2371">
        <v>58</v>
      </c>
      <c r="C2371" s="2">
        <v>106900</v>
      </c>
      <c r="D2371" t="s">
        <v>12</v>
      </c>
      <c r="E2371" s="2">
        <v>51900</v>
      </c>
      <c r="F2371" s="2">
        <v>0</v>
      </c>
      <c r="G2371" t="s">
        <v>19</v>
      </c>
      <c r="H2371" t="s">
        <v>17</v>
      </c>
      <c r="I2371" t="s">
        <v>15</v>
      </c>
      <c r="J2371" s="3">
        <v>46163</v>
      </c>
      <c r="K2371" s="4">
        <f>ClientiBanca[[#This Row],[Prestito]]+ClientiBanca[[#This Row],[Mutuo]]</f>
        <v>51900</v>
      </c>
      <c r="L2371" t="str">
        <f>IF(ClientiBanca[[#This Row],[Reddito annuo]]&gt;=70000,"si","no")</f>
        <v>si</v>
      </c>
    </row>
    <row r="2372" spans="1:12">
      <c r="A2372">
        <v>102371</v>
      </c>
      <c r="B2372">
        <v>21</v>
      </c>
      <c r="C2372" s="2">
        <v>56900</v>
      </c>
      <c r="D2372" t="s">
        <v>12</v>
      </c>
      <c r="E2372" s="2">
        <v>71100</v>
      </c>
      <c r="F2372" s="2">
        <v>0</v>
      </c>
      <c r="G2372" t="s">
        <v>24</v>
      </c>
      <c r="H2372" t="s">
        <v>17</v>
      </c>
      <c r="I2372" t="s">
        <v>18</v>
      </c>
      <c r="J2372" s="3">
        <v>45574</v>
      </c>
      <c r="K2372" s="4">
        <f>ClientiBanca[[#This Row],[Prestito]]+ClientiBanca[[#This Row],[Mutuo]]</f>
        <v>71100</v>
      </c>
      <c r="L2372" t="str">
        <f>IF(ClientiBanca[[#This Row],[Reddito annuo]]&gt;=70000,"si","no")</f>
        <v>no</v>
      </c>
    </row>
    <row r="2373" spans="1:12">
      <c r="A2373">
        <v>102372</v>
      </c>
      <c r="B2373">
        <v>25</v>
      </c>
      <c r="C2373" s="2">
        <v>32200</v>
      </c>
      <c r="D2373" t="s">
        <v>12</v>
      </c>
      <c r="E2373" s="2">
        <v>39200</v>
      </c>
      <c r="F2373" s="2">
        <v>230000</v>
      </c>
      <c r="G2373" t="s">
        <v>16</v>
      </c>
      <c r="H2373" t="s">
        <v>14</v>
      </c>
      <c r="I2373" t="s">
        <v>18</v>
      </c>
      <c r="J2373" s="3">
        <v>45775</v>
      </c>
      <c r="K2373" s="4">
        <f>ClientiBanca[[#This Row],[Prestito]]+ClientiBanca[[#This Row],[Mutuo]]</f>
        <v>269200</v>
      </c>
      <c r="L2373" t="str">
        <f>IF(ClientiBanca[[#This Row],[Reddito annuo]]&gt;=70000,"si","no")</f>
        <v>no</v>
      </c>
    </row>
    <row r="2374" spans="1:12">
      <c r="A2374">
        <v>102373</v>
      </c>
      <c r="B2374">
        <v>45</v>
      </c>
      <c r="C2374" s="2">
        <v>52600</v>
      </c>
      <c r="D2374" t="s">
        <v>21</v>
      </c>
      <c r="E2374" s="2">
        <v>15700</v>
      </c>
      <c r="F2374" s="2">
        <v>236000</v>
      </c>
      <c r="G2374" t="s">
        <v>28</v>
      </c>
      <c r="H2374" t="s">
        <v>20</v>
      </c>
      <c r="I2374" t="s">
        <v>18</v>
      </c>
      <c r="J2374" s="3">
        <v>45471</v>
      </c>
      <c r="K2374" s="4">
        <f>ClientiBanca[[#This Row],[Prestito]]+ClientiBanca[[#This Row],[Mutuo]]</f>
        <v>251700</v>
      </c>
      <c r="L2374" t="str">
        <f>IF(ClientiBanca[[#This Row],[Reddito annuo]]&gt;=70000,"si","no")</f>
        <v>no</v>
      </c>
    </row>
    <row r="2375" spans="1:12">
      <c r="A2375">
        <v>102374</v>
      </c>
      <c r="B2375">
        <v>46</v>
      </c>
      <c r="C2375" s="2">
        <v>40900</v>
      </c>
      <c r="D2375" t="s">
        <v>22</v>
      </c>
      <c r="E2375" s="2">
        <v>22000</v>
      </c>
      <c r="F2375" s="2">
        <v>0</v>
      </c>
      <c r="G2375" t="s">
        <v>16</v>
      </c>
      <c r="H2375" t="s">
        <v>14</v>
      </c>
      <c r="I2375" t="s">
        <v>18</v>
      </c>
      <c r="J2375" s="3">
        <v>45551</v>
      </c>
      <c r="K2375" s="4">
        <f>ClientiBanca[[#This Row],[Prestito]]+ClientiBanca[[#This Row],[Mutuo]]</f>
        <v>22000</v>
      </c>
      <c r="L2375" t="str">
        <f>IF(ClientiBanca[[#This Row],[Reddito annuo]]&gt;=70000,"si","no")</f>
        <v>no</v>
      </c>
    </row>
    <row r="2376" spans="1:12">
      <c r="A2376">
        <v>102375</v>
      </c>
      <c r="B2376">
        <v>41</v>
      </c>
      <c r="C2376" s="2">
        <v>125900</v>
      </c>
      <c r="D2376" t="s">
        <v>12</v>
      </c>
      <c r="E2376" s="2">
        <v>0</v>
      </c>
      <c r="F2376" s="2">
        <v>0</v>
      </c>
      <c r="G2376" t="s">
        <v>13</v>
      </c>
      <c r="H2376" t="s">
        <v>20</v>
      </c>
      <c r="I2376" t="s">
        <v>18</v>
      </c>
      <c r="J2376" s="3">
        <v>46045</v>
      </c>
      <c r="K2376" s="4">
        <f>ClientiBanca[[#This Row],[Prestito]]+ClientiBanca[[#This Row],[Mutuo]]</f>
        <v>0</v>
      </c>
      <c r="L2376" t="str">
        <f>IF(ClientiBanca[[#This Row],[Reddito annuo]]&gt;=70000,"si","no")</f>
        <v>si</v>
      </c>
    </row>
    <row r="2377" spans="1:12">
      <c r="A2377">
        <v>102376</v>
      </c>
      <c r="B2377">
        <v>67</v>
      </c>
      <c r="C2377" s="2">
        <v>46700</v>
      </c>
      <c r="D2377" t="s">
        <v>12</v>
      </c>
      <c r="E2377" s="2">
        <v>23300</v>
      </c>
      <c r="F2377" s="2">
        <v>0</v>
      </c>
      <c r="G2377" t="s">
        <v>19</v>
      </c>
      <c r="H2377" t="s">
        <v>20</v>
      </c>
      <c r="I2377" t="s">
        <v>18</v>
      </c>
      <c r="J2377" s="3">
        <v>45891</v>
      </c>
      <c r="K2377" s="4">
        <f>ClientiBanca[[#This Row],[Prestito]]+ClientiBanca[[#This Row],[Mutuo]]</f>
        <v>23300</v>
      </c>
      <c r="L2377" t="str">
        <f>IF(ClientiBanca[[#This Row],[Reddito annuo]]&gt;=70000,"si","no")</f>
        <v>no</v>
      </c>
    </row>
    <row r="2378" spans="1:12">
      <c r="A2378">
        <v>102377</v>
      </c>
      <c r="B2378">
        <v>25</v>
      </c>
      <c r="C2378" s="2">
        <v>105400</v>
      </c>
      <c r="D2378" t="s">
        <v>21</v>
      </c>
      <c r="E2378" s="2">
        <v>26500</v>
      </c>
      <c r="F2378" s="2">
        <v>219000</v>
      </c>
      <c r="G2378" t="s">
        <v>26</v>
      </c>
      <c r="H2378" t="s">
        <v>17</v>
      </c>
      <c r="I2378" t="s">
        <v>18</v>
      </c>
      <c r="J2378" s="3">
        <v>46127</v>
      </c>
      <c r="K2378" s="4">
        <f>ClientiBanca[[#This Row],[Prestito]]+ClientiBanca[[#This Row],[Mutuo]]</f>
        <v>245500</v>
      </c>
      <c r="L2378" t="str">
        <f>IF(ClientiBanca[[#This Row],[Reddito annuo]]&gt;=70000,"si","no")</f>
        <v>si</v>
      </c>
    </row>
    <row r="2379" spans="1:12">
      <c r="A2379">
        <v>102378</v>
      </c>
      <c r="B2379">
        <v>65</v>
      </c>
      <c r="C2379" s="2">
        <v>30600</v>
      </c>
      <c r="D2379" t="s">
        <v>12</v>
      </c>
      <c r="E2379" s="2">
        <v>30900</v>
      </c>
      <c r="F2379" s="2">
        <v>0</v>
      </c>
      <c r="G2379" t="s">
        <v>26</v>
      </c>
      <c r="H2379" t="s">
        <v>17</v>
      </c>
      <c r="I2379" t="s">
        <v>18</v>
      </c>
      <c r="J2379" s="3">
        <v>46156</v>
      </c>
      <c r="K2379" s="4">
        <f>ClientiBanca[[#This Row],[Prestito]]+ClientiBanca[[#This Row],[Mutuo]]</f>
        <v>30900</v>
      </c>
      <c r="L2379" t="str">
        <f>IF(ClientiBanca[[#This Row],[Reddito annuo]]&gt;=70000,"si","no")</f>
        <v>no</v>
      </c>
    </row>
    <row r="2380" spans="1:12">
      <c r="A2380">
        <v>102379</v>
      </c>
      <c r="B2380">
        <v>68</v>
      </c>
      <c r="C2380" s="2">
        <v>97300</v>
      </c>
      <c r="D2380" t="s">
        <v>21</v>
      </c>
      <c r="E2380" s="2">
        <v>19800</v>
      </c>
      <c r="F2380" s="2">
        <v>0</v>
      </c>
      <c r="G2380" t="s">
        <v>26</v>
      </c>
      <c r="H2380" t="s">
        <v>17</v>
      </c>
      <c r="I2380" t="s">
        <v>18</v>
      </c>
      <c r="J2380" s="3">
        <v>45837</v>
      </c>
      <c r="K2380" s="4">
        <f>ClientiBanca[[#This Row],[Prestito]]+ClientiBanca[[#This Row],[Mutuo]]</f>
        <v>19800</v>
      </c>
      <c r="L2380" t="str">
        <f>IF(ClientiBanca[[#This Row],[Reddito annuo]]&gt;=70000,"si","no")</f>
        <v>si</v>
      </c>
    </row>
    <row r="2381" spans="1:12">
      <c r="A2381">
        <v>102380</v>
      </c>
      <c r="B2381">
        <v>72</v>
      </c>
      <c r="C2381" s="2">
        <v>55700</v>
      </c>
      <c r="D2381" t="s">
        <v>21</v>
      </c>
      <c r="E2381" s="2">
        <v>0</v>
      </c>
      <c r="F2381" s="2">
        <v>0</v>
      </c>
      <c r="G2381" t="s">
        <v>23</v>
      </c>
      <c r="H2381" t="s">
        <v>14</v>
      </c>
      <c r="I2381" t="s">
        <v>18</v>
      </c>
      <c r="J2381" s="3">
        <v>46138</v>
      </c>
      <c r="K2381" s="4">
        <f>ClientiBanca[[#This Row],[Prestito]]+ClientiBanca[[#This Row],[Mutuo]]</f>
        <v>0</v>
      </c>
      <c r="L2381" t="str">
        <f>IF(ClientiBanca[[#This Row],[Reddito annuo]]&gt;=70000,"si","no")</f>
        <v>no</v>
      </c>
    </row>
    <row r="2382" spans="1:12">
      <c r="A2382">
        <v>102381</v>
      </c>
      <c r="B2382">
        <v>64</v>
      </c>
      <c r="C2382" s="2">
        <v>45300</v>
      </c>
      <c r="D2382" t="s">
        <v>22</v>
      </c>
      <c r="E2382" s="2">
        <v>16400</v>
      </c>
      <c r="F2382" s="2">
        <v>0</v>
      </c>
      <c r="G2382" t="s">
        <v>28</v>
      </c>
      <c r="H2382" t="s">
        <v>25</v>
      </c>
      <c r="I2382" t="s">
        <v>18</v>
      </c>
      <c r="J2382" s="3">
        <v>45670</v>
      </c>
      <c r="K2382" s="4">
        <f>ClientiBanca[[#This Row],[Prestito]]+ClientiBanca[[#This Row],[Mutuo]]</f>
        <v>16400</v>
      </c>
      <c r="L2382" t="str">
        <f>IF(ClientiBanca[[#This Row],[Reddito annuo]]&gt;=70000,"si","no")</f>
        <v>no</v>
      </c>
    </row>
    <row r="2383" spans="1:12">
      <c r="A2383">
        <v>102382</v>
      </c>
      <c r="B2383">
        <v>37</v>
      </c>
      <c r="C2383" s="2">
        <v>105500</v>
      </c>
      <c r="D2383" t="s">
        <v>21</v>
      </c>
      <c r="E2383" s="2">
        <v>18700</v>
      </c>
      <c r="F2383" s="2">
        <v>193000</v>
      </c>
      <c r="G2383" t="s">
        <v>16</v>
      </c>
      <c r="H2383" t="s">
        <v>20</v>
      </c>
      <c r="I2383" t="s">
        <v>18</v>
      </c>
      <c r="J2383" s="3">
        <v>46086</v>
      </c>
      <c r="K2383" s="4">
        <f>ClientiBanca[[#This Row],[Prestito]]+ClientiBanca[[#This Row],[Mutuo]]</f>
        <v>211700</v>
      </c>
      <c r="L2383" t="str">
        <f>IF(ClientiBanca[[#This Row],[Reddito annuo]]&gt;=70000,"si","no")</f>
        <v>si</v>
      </c>
    </row>
    <row r="2384" spans="1:12">
      <c r="A2384">
        <v>102383</v>
      </c>
      <c r="B2384">
        <v>59</v>
      </c>
      <c r="C2384" s="2">
        <v>112800</v>
      </c>
      <c r="D2384" t="s">
        <v>21</v>
      </c>
      <c r="E2384" s="2">
        <v>15500</v>
      </c>
      <c r="F2384" s="2">
        <v>0</v>
      </c>
      <c r="G2384" t="s">
        <v>28</v>
      </c>
      <c r="H2384" t="s">
        <v>25</v>
      </c>
      <c r="I2384" t="s">
        <v>18</v>
      </c>
      <c r="J2384" s="3">
        <v>45974</v>
      </c>
      <c r="K2384" s="4">
        <f>ClientiBanca[[#This Row],[Prestito]]+ClientiBanca[[#This Row],[Mutuo]]</f>
        <v>15500</v>
      </c>
      <c r="L2384" t="str">
        <f>IF(ClientiBanca[[#This Row],[Reddito annuo]]&gt;=70000,"si","no")</f>
        <v>si</v>
      </c>
    </row>
    <row r="2385" spans="1:12">
      <c r="A2385">
        <v>102384</v>
      </c>
      <c r="B2385">
        <v>31</v>
      </c>
      <c r="C2385" s="2">
        <v>37000</v>
      </c>
      <c r="D2385" t="s">
        <v>21</v>
      </c>
      <c r="E2385" s="2">
        <v>40000</v>
      </c>
      <c r="F2385" s="2">
        <v>0</v>
      </c>
      <c r="G2385" t="s">
        <v>24</v>
      </c>
      <c r="H2385" t="s">
        <v>25</v>
      </c>
      <c r="I2385" t="s">
        <v>18</v>
      </c>
      <c r="J2385" s="3">
        <v>45423</v>
      </c>
      <c r="K2385" s="4">
        <f>ClientiBanca[[#This Row],[Prestito]]+ClientiBanca[[#This Row],[Mutuo]]</f>
        <v>40000</v>
      </c>
      <c r="L2385" t="str">
        <f>IF(ClientiBanca[[#This Row],[Reddito annuo]]&gt;=70000,"si","no")</f>
        <v>no</v>
      </c>
    </row>
    <row r="2386" spans="1:12">
      <c r="A2386">
        <v>102385</v>
      </c>
      <c r="B2386">
        <v>20</v>
      </c>
      <c r="C2386" s="2">
        <v>52100</v>
      </c>
      <c r="D2386" t="s">
        <v>21</v>
      </c>
      <c r="E2386" s="2">
        <v>0</v>
      </c>
      <c r="F2386" s="2">
        <v>0</v>
      </c>
      <c r="G2386" t="s">
        <v>16</v>
      </c>
      <c r="H2386" t="s">
        <v>20</v>
      </c>
      <c r="I2386" t="s">
        <v>18</v>
      </c>
      <c r="J2386" s="3">
        <v>46205</v>
      </c>
      <c r="K2386" s="4">
        <f>ClientiBanca[[#This Row],[Prestito]]+ClientiBanca[[#This Row],[Mutuo]]</f>
        <v>0</v>
      </c>
      <c r="L2386" t="str">
        <f>IF(ClientiBanca[[#This Row],[Reddito annuo]]&gt;=70000,"si","no")</f>
        <v>no</v>
      </c>
    </row>
    <row r="2387" spans="1:12">
      <c r="A2387">
        <v>102386</v>
      </c>
      <c r="B2387">
        <v>42</v>
      </c>
      <c r="C2387" s="2">
        <v>51600</v>
      </c>
      <c r="D2387" t="s">
        <v>22</v>
      </c>
      <c r="E2387" s="2">
        <v>0</v>
      </c>
      <c r="F2387" s="2">
        <v>0</v>
      </c>
      <c r="G2387" t="s">
        <v>24</v>
      </c>
      <c r="H2387" t="s">
        <v>17</v>
      </c>
      <c r="I2387" t="s">
        <v>18</v>
      </c>
      <c r="J2387" s="3">
        <v>46046</v>
      </c>
      <c r="K2387" s="4">
        <f>ClientiBanca[[#This Row],[Prestito]]+ClientiBanca[[#This Row],[Mutuo]]</f>
        <v>0</v>
      </c>
      <c r="L2387" t="str">
        <f>IF(ClientiBanca[[#This Row],[Reddito annuo]]&gt;=70000,"si","no")</f>
        <v>no</v>
      </c>
    </row>
    <row r="2388" spans="1:12">
      <c r="A2388">
        <v>102387</v>
      </c>
      <c r="B2388">
        <v>58</v>
      </c>
      <c r="C2388" s="2">
        <v>84600</v>
      </c>
      <c r="D2388" t="s">
        <v>12</v>
      </c>
      <c r="E2388" s="2">
        <v>24400</v>
      </c>
      <c r="F2388" s="2">
        <v>0</v>
      </c>
      <c r="G2388" t="s">
        <v>28</v>
      </c>
      <c r="H2388" t="s">
        <v>14</v>
      </c>
      <c r="I2388" t="s">
        <v>18</v>
      </c>
      <c r="J2388" s="3">
        <v>45819</v>
      </c>
      <c r="K2388" s="4">
        <f>ClientiBanca[[#This Row],[Prestito]]+ClientiBanca[[#This Row],[Mutuo]]</f>
        <v>24400</v>
      </c>
      <c r="L2388" t="str">
        <f>IF(ClientiBanca[[#This Row],[Reddito annuo]]&gt;=70000,"si","no")</f>
        <v>si</v>
      </c>
    </row>
    <row r="2389" spans="1:12">
      <c r="A2389">
        <v>102388</v>
      </c>
      <c r="B2389">
        <v>49</v>
      </c>
      <c r="C2389" s="2">
        <v>76500</v>
      </c>
      <c r="D2389" t="s">
        <v>21</v>
      </c>
      <c r="E2389" s="2">
        <v>67000</v>
      </c>
      <c r="F2389" s="2">
        <v>0</v>
      </c>
      <c r="G2389" t="s">
        <v>26</v>
      </c>
      <c r="H2389" t="s">
        <v>20</v>
      </c>
      <c r="I2389" t="s">
        <v>18</v>
      </c>
      <c r="J2389" s="3">
        <v>45468</v>
      </c>
      <c r="K2389" s="4">
        <f>ClientiBanca[[#This Row],[Prestito]]+ClientiBanca[[#This Row],[Mutuo]]</f>
        <v>67000</v>
      </c>
      <c r="L2389" t="str">
        <f>IF(ClientiBanca[[#This Row],[Reddito annuo]]&gt;=70000,"si","no")</f>
        <v>si</v>
      </c>
    </row>
    <row r="2390" spans="1:12">
      <c r="A2390">
        <v>102389</v>
      </c>
      <c r="B2390">
        <v>23</v>
      </c>
      <c r="C2390" s="2">
        <v>61500</v>
      </c>
      <c r="D2390" t="s">
        <v>22</v>
      </c>
      <c r="E2390" s="2">
        <v>40200</v>
      </c>
      <c r="F2390" s="2">
        <v>0</v>
      </c>
      <c r="G2390" t="s">
        <v>19</v>
      </c>
      <c r="H2390" t="s">
        <v>20</v>
      </c>
      <c r="I2390" t="s">
        <v>18</v>
      </c>
      <c r="J2390" s="3">
        <v>45486</v>
      </c>
      <c r="K2390" s="4">
        <f>ClientiBanca[[#This Row],[Prestito]]+ClientiBanca[[#This Row],[Mutuo]]</f>
        <v>40200</v>
      </c>
      <c r="L2390" t="str">
        <f>IF(ClientiBanca[[#This Row],[Reddito annuo]]&gt;=70000,"si","no")</f>
        <v>no</v>
      </c>
    </row>
    <row r="2391" spans="1:12">
      <c r="A2391">
        <v>102390</v>
      </c>
      <c r="B2391">
        <v>68</v>
      </c>
      <c r="C2391" s="2">
        <v>67200</v>
      </c>
      <c r="D2391" t="s">
        <v>21</v>
      </c>
      <c r="E2391" s="2">
        <v>5700</v>
      </c>
      <c r="F2391" s="2">
        <v>111000</v>
      </c>
      <c r="G2391" t="s">
        <v>26</v>
      </c>
      <c r="H2391" t="s">
        <v>20</v>
      </c>
      <c r="I2391" t="s">
        <v>18</v>
      </c>
      <c r="J2391" s="3">
        <v>46007</v>
      </c>
      <c r="K2391" s="4">
        <f>ClientiBanca[[#This Row],[Prestito]]+ClientiBanca[[#This Row],[Mutuo]]</f>
        <v>116700</v>
      </c>
      <c r="L2391" t="str">
        <f>IF(ClientiBanca[[#This Row],[Reddito annuo]]&gt;=70000,"si","no")</f>
        <v>no</v>
      </c>
    </row>
    <row r="2392" spans="1:12">
      <c r="A2392">
        <v>102391</v>
      </c>
      <c r="B2392">
        <v>49</v>
      </c>
      <c r="C2392" s="2">
        <v>103700</v>
      </c>
      <c r="D2392" t="s">
        <v>21</v>
      </c>
      <c r="E2392" s="2">
        <v>50000</v>
      </c>
      <c r="F2392" s="2">
        <v>283000</v>
      </c>
      <c r="G2392" t="s">
        <v>23</v>
      </c>
      <c r="H2392" t="s">
        <v>14</v>
      </c>
      <c r="I2392" t="s">
        <v>18</v>
      </c>
      <c r="J2392" s="3">
        <v>46040</v>
      </c>
      <c r="K2392" s="4">
        <f>ClientiBanca[[#This Row],[Prestito]]+ClientiBanca[[#This Row],[Mutuo]]</f>
        <v>333000</v>
      </c>
      <c r="L2392" t="str">
        <f>IF(ClientiBanca[[#This Row],[Reddito annuo]]&gt;=70000,"si","no")</f>
        <v>si</v>
      </c>
    </row>
    <row r="2393" spans="1:12">
      <c r="A2393">
        <v>102392</v>
      </c>
      <c r="B2393">
        <v>56</v>
      </c>
      <c r="C2393" s="2">
        <v>31800</v>
      </c>
      <c r="D2393" t="s">
        <v>21</v>
      </c>
      <c r="E2393" s="2">
        <v>34700</v>
      </c>
      <c r="F2393" s="2">
        <v>0</v>
      </c>
      <c r="G2393" t="s">
        <v>19</v>
      </c>
      <c r="H2393" t="s">
        <v>17</v>
      </c>
      <c r="I2393" t="s">
        <v>18</v>
      </c>
      <c r="J2393" s="3">
        <v>45848</v>
      </c>
      <c r="K2393" s="4">
        <f>ClientiBanca[[#This Row],[Prestito]]+ClientiBanca[[#This Row],[Mutuo]]</f>
        <v>34700</v>
      </c>
      <c r="L2393" t="str">
        <f>IF(ClientiBanca[[#This Row],[Reddito annuo]]&gt;=70000,"si","no")</f>
        <v>no</v>
      </c>
    </row>
    <row r="2394" spans="1:12">
      <c r="A2394">
        <v>102393</v>
      </c>
      <c r="B2394">
        <v>50</v>
      </c>
      <c r="C2394" s="2">
        <v>36900</v>
      </c>
      <c r="D2394" t="s">
        <v>12</v>
      </c>
      <c r="E2394" s="2">
        <v>42500</v>
      </c>
      <c r="F2394" s="2">
        <v>0</v>
      </c>
      <c r="G2394" t="s">
        <v>16</v>
      </c>
      <c r="H2394" t="s">
        <v>17</v>
      </c>
      <c r="I2394" t="s">
        <v>18</v>
      </c>
      <c r="J2394" s="3">
        <v>45975</v>
      </c>
      <c r="K2394" s="4">
        <f>ClientiBanca[[#This Row],[Prestito]]+ClientiBanca[[#This Row],[Mutuo]]</f>
        <v>42500</v>
      </c>
      <c r="L2394" t="str">
        <f>IF(ClientiBanca[[#This Row],[Reddito annuo]]&gt;=70000,"si","no")</f>
        <v>no</v>
      </c>
    </row>
    <row r="2395" spans="1:12">
      <c r="A2395">
        <v>102394</v>
      </c>
      <c r="B2395">
        <v>64</v>
      </c>
      <c r="C2395" s="2">
        <v>37100</v>
      </c>
      <c r="D2395" t="s">
        <v>22</v>
      </c>
      <c r="E2395" s="2">
        <v>46400</v>
      </c>
      <c r="F2395" s="2">
        <v>0</v>
      </c>
      <c r="G2395" t="s">
        <v>27</v>
      </c>
      <c r="H2395" t="s">
        <v>17</v>
      </c>
      <c r="I2395" t="s">
        <v>18</v>
      </c>
      <c r="J2395" s="3">
        <v>46143</v>
      </c>
      <c r="K2395" s="4">
        <f>ClientiBanca[[#This Row],[Prestito]]+ClientiBanca[[#This Row],[Mutuo]]</f>
        <v>46400</v>
      </c>
      <c r="L2395" t="str">
        <f>IF(ClientiBanca[[#This Row],[Reddito annuo]]&gt;=70000,"si","no")</f>
        <v>no</v>
      </c>
    </row>
    <row r="2396" spans="1:12">
      <c r="A2396">
        <v>102395</v>
      </c>
      <c r="B2396">
        <v>34</v>
      </c>
      <c r="C2396" s="2">
        <v>27100</v>
      </c>
      <c r="D2396" t="s">
        <v>22</v>
      </c>
      <c r="E2396" s="2">
        <v>0</v>
      </c>
      <c r="F2396" s="2">
        <v>0</v>
      </c>
      <c r="G2396" t="s">
        <v>13</v>
      </c>
      <c r="H2396" t="s">
        <v>14</v>
      </c>
      <c r="I2396" t="s">
        <v>18</v>
      </c>
      <c r="J2396" s="3">
        <v>45559</v>
      </c>
      <c r="K2396" s="4">
        <f>ClientiBanca[[#This Row],[Prestito]]+ClientiBanca[[#This Row],[Mutuo]]</f>
        <v>0</v>
      </c>
      <c r="L2396" t="str">
        <f>IF(ClientiBanca[[#This Row],[Reddito annuo]]&gt;=70000,"si","no")</f>
        <v>no</v>
      </c>
    </row>
    <row r="2397" spans="1:12">
      <c r="A2397">
        <v>102396</v>
      </c>
      <c r="B2397">
        <v>55</v>
      </c>
      <c r="C2397" s="2">
        <v>99500</v>
      </c>
      <c r="D2397" t="s">
        <v>21</v>
      </c>
      <c r="E2397" s="2">
        <v>0</v>
      </c>
      <c r="F2397" s="2">
        <v>0</v>
      </c>
      <c r="G2397" t="s">
        <v>27</v>
      </c>
      <c r="H2397" t="s">
        <v>17</v>
      </c>
      <c r="I2397" t="s">
        <v>18</v>
      </c>
      <c r="J2397" s="3">
        <v>46169</v>
      </c>
      <c r="K2397" s="4">
        <f>ClientiBanca[[#This Row],[Prestito]]+ClientiBanca[[#This Row],[Mutuo]]</f>
        <v>0</v>
      </c>
      <c r="L2397" t="str">
        <f>IF(ClientiBanca[[#This Row],[Reddito annuo]]&gt;=70000,"si","no")</f>
        <v>si</v>
      </c>
    </row>
    <row r="2398" spans="1:12">
      <c r="A2398">
        <v>102397</v>
      </c>
      <c r="B2398">
        <v>43</v>
      </c>
      <c r="C2398" s="2">
        <v>53200</v>
      </c>
      <c r="D2398" t="s">
        <v>21</v>
      </c>
      <c r="E2398" s="2">
        <v>32300</v>
      </c>
      <c r="F2398" s="2">
        <v>0</v>
      </c>
      <c r="G2398" t="s">
        <v>27</v>
      </c>
      <c r="H2398" t="s">
        <v>17</v>
      </c>
      <c r="I2398" t="s">
        <v>18</v>
      </c>
      <c r="J2398" s="3">
        <v>45394</v>
      </c>
      <c r="K2398" s="4">
        <f>ClientiBanca[[#This Row],[Prestito]]+ClientiBanca[[#This Row],[Mutuo]]</f>
        <v>32300</v>
      </c>
      <c r="L2398" t="str">
        <f>IF(ClientiBanca[[#This Row],[Reddito annuo]]&gt;=70000,"si","no")</f>
        <v>no</v>
      </c>
    </row>
    <row r="2399" spans="1:12">
      <c r="A2399">
        <v>102398</v>
      </c>
      <c r="B2399">
        <v>53</v>
      </c>
      <c r="C2399" s="2">
        <v>55100</v>
      </c>
      <c r="D2399" t="s">
        <v>21</v>
      </c>
      <c r="E2399" s="2">
        <v>50800</v>
      </c>
      <c r="F2399" s="2">
        <v>0</v>
      </c>
      <c r="G2399" t="s">
        <v>26</v>
      </c>
      <c r="H2399" t="s">
        <v>14</v>
      </c>
      <c r="I2399" t="s">
        <v>15</v>
      </c>
      <c r="J2399" s="3">
        <v>45545</v>
      </c>
      <c r="K2399" s="4">
        <f>ClientiBanca[[#This Row],[Prestito]]+ClientiBanca[[#This Row],[Mutuo]]</f>
        <v>50800</v>
      </c>
      <c r="L2399" t="str">
        <f>IF(ClientiBanca[[#This Row],[Reddito annuo]]&gt;=70000,"si","no")</f>
        <v>no</v>
      </c>
    </row>
    <row r="2400" spans="1:12">
      <c r="A2400">
        <v>102399</v>
      </c>
      <c r="B2400">
        <v>70</v>
      </c>
      <c r="C2400" s="2">
        <v>105600</v>
      </c>
      <c r="D2400" t="s">
        <v>21</v>
      </c>
      <c r="E2400" s="2">
        <v>17200</v>
      </c>
      <c r="F2400" s="2">
        <v>0</v>
      </c>
      <c r="G2400" t="s">
        <v>13</v>
      </c>
      <c r="H2400" t="s">
        <v>17</v>
      </c>
      <c r="I2400" t="s">
        <v>18</v>
      </c>
      <c r="J2400" s="3">
        <v>45925</v>
      </c>
      <c r="K2400" s="4">
        <f>ClientiBanca[[#This Row],[Prestito]]+ClientiBanca[[#This Row],[Mutuo]]</f>
        <v>17200</v>
      </c>
      <c r="L2400" t="str">
        <f>IF(ClientiBanca[[#This Row],[Reddito annuo]]&gt;=70000,"si","no")</f>
        <v>si</v>
      </c>
    </row>
    <row r="2401" spans="1:12">
      <c r="A2401">
        <v>102400</v>
      </c>
      <c r="B2401">
        <v>40</v>
      </c>
      <c r="C2401" s="2">
        <v>91600</v>
      </c>
      <c r="D2401" t="s">
        <v>21</v>
      </c>
      <c r="E2401" s="2">
        <v>33200</v>
      </c>
      <c r="F2401" s="2">
        <v>142000</v>
      </c>
      <c r="G2401" t="s">
        <v>28</v>
      </c>
      <c r="H2401" t="s">
        <v>25</v>
      </c>
      <c r="I2401" t="s">
        <v>18</v>
      </c>
      <c r="J2401" s="3">
        <v>45523</v>
      </c>
      <c r="K2401" s="4">
        <f>ClientiBanca[[#This Row],[Prestito]]+ClientiBanca[[#This Row],[Mutuo]]</f>
        <v>175200</v>
      </c>
      <c r="L2401" t="str">
        <f>IF(ClientiBanca[[#This Row],[Reddito annuo]]&gt;=70000,"si","no")</f>
        <v>si</v>
      </c>
    </row>
    <row r="2402" spans="1:12">
      <c r="A2402">
        <v>102401</v>
      </c>
      <c r="B2402">
        <v>46</v>
      </c>
      <c r="C2402" s="2">
        <v>33200</v>
      </c>
      <c r="D2402" t="s">
        <v>12</v>
      </c>
      <c r="E2402" s="2">
        <v>41500</v>
      </c>
      <c r="F2402" s="2">
        <v>175000</v>
      </c>
      <c r="G2402" t="s">
        <v>13</v>
      </c>
      <c r="H2402" t="s">
        <v>14</v>
      </c>
      <c r="I2402" t="s">
        <v>18</v>
      </c>
      <c r="J2402" s="3">
        <v>45490</v>
      </c>
      <c r="K2402" s="4">
        <f>ClientiBanca[[#This Row],[Prestito]]+ClientiBanca[[#This Row],[Mutuo]]</f>
        <v>216500</v>
      </c>
      <c r="L2402" t="str">
        <f>IF(ClientiBanca[[#This Row],[Reddito annuo]]&gt;=70000,"si","no")</f>
        <v>no</v>
      </c>
    </row>
    <row r="2403" spans="1:12">
      <c r="A2403">
        <v>102402</v>
      </c>
      <c r="B2403">
        <v>33</v>
      </c>
      <c r="C2403" s="2">
        <v>57000</v>
      </c>
      <c r="D2403" t="s">
        <v>21</v>
      </c>
      <c r="E2403" s="2">
        <v>0</v>
      </c>
      <c r="F2403" s="2">
        <v>0</v>
      </c>
      <c r="G2403" t="s">
        <v>26</v>
      </c>
      <c r="H2403" t="s">
        <v>20</v>
      </c>
      <c r="I2403" t="s">
        <v>18</v>
      </c>
      <c r="J2403" s="3">
        <v>45751</v>
      </c>
      <c r="K2403" s="4">
        <f>ClientiBanca[[#This Row],[Prestito]]+ClientiBanca[[#This Row],[Mutuo]]</f>
        <v>0</v>
      </c>
      <c r="L2403" t="str">
        <f>IF(ClientiBanca[[#This Row],[Reddito annuo]]&gt;=70000,"si","no")</f>
        <v>no</v>
      </c>
    </row>
    <row r="2404" spans="1:12">
      <c r="A2404">
        <v>102403</v>
      </c>
      <c r="B2404">
        <v>38</v>
      </c>
      <c r="C2404" s="2">
        <v>63400</v>
      </c>
      <c r="D2404" t="s">
        <v>21</v>
      </c>
      <c r="E2404" s="2">
        <v>30000</v>
      </c>
      <c r="F2404" s="2">
        <v>0</v>
      </c>
      <c r="G2404" t="s">
        <v>16</v>
      </c>
      <c r="H2404" t="s">
        <v>14</v>
      </c>
      <c r="I2404" t="s">
        <v>18</v>
      </c>
      <c r="J2404" s="3">
        <v>45614</v>
      </c>
      <c r="K2404" s="4">
        <f>ClientiBanca[[#This Row],[Prestito]]+ClientiBanca[[#This Row],[Mutuo]]</f>
        <v>30000</v>
      </c>
      <c r="L2404" t="str">
        <f>IF(ClientiBanca[[#This Row],[Reddito annuo]]&gt;=70000,"si","no")</f>
        <v>no</v>
      </c>
    </row>
    <row r="2405" spans="1:12">
      <c r="A2405">
        <v>102404</v>
      </c>
      <c r="B2405">
        <v>24</v>
      </c>
      <c r="C2405" s="2">
        <v>102500</v>
      </c>
      <c r="D2405" t="s">
        <v>22</v>
      </c>
      <c r="E2405" s="2">
        <v>32100</v>
      </c>
      <c r="F2405" s="2">
        <v>0</v>
      </c>
      <c r="G2405" t="s">
        <v>13</v>
      </c>
      <c r="H2405" t="s">
        <v>17</v>
      </c>
      <c r="I2405" t="s">
        <v>18</v>
      </c>
      <c r="J2405" s="3">
        <v>46232</v>
      </c>
      <c r="K2405" s="4">
        <f>ClientiBanca[[#This Row],[Prestito]]+ClientiBanca[[#This Row],[Mutuo]]</f>
        <v>32100</v>
      </c>
      <c r="L2405" t="str">
        <f>IF(ClientiBanca[[#This Row],[Reddito annuo]]&gt;=70000,"si","no")</f>
        <v>si</v>
      </c>
    </row>
    <row r="2406" spans="1:12">
      <c r="A2406">
        <v>102405</v>
      </c>
      <c r="B2406">
        <v>64</v>
      </c>
      <c r="C2406" s="2">
        <v>63900</v>
      </c>
      <c r="D2406" t="s">
        <v>12</v>
      </c>
      <c r="E2406" s="2">
        <v>32800</v>
      </c>
      <c r="F2406" s="2">
        <v>0</v>
      </c>
      <c r="G2406" t="s">
        <v>24</v>
      </c>
      <c r="H2406" t="s">
        <v>14</v>
      </c>
      <c r="I2406" t="s">
        <v>18</v>
      </c>
      <c r="J2406" s="3">
        <v>45372</v>
      </c>
      <c r="K2406" s="4">
        <f>ClientiBanca[[#This Row],[Prestito]]+ClientiBanca[[#This Row],[Mutuo]]</f>
        <v>32800</v>
      </c>
      <c r="L2406" t="str">
        <f>IF(ClientiBanca[[#This Row],[Reddito annuo]]&gt;=70000,"si","no")</f>
        <v>no</v>
      </c>
    </row>
    <row r="2407" spans="1:12">
      <c r="A2407">
        <v>102406</v>
      </c>
      <c r="B2407">
        <v>37</v>
      </c>
      <c r="C2407" s="2">
        <v>50100</v>
      </c>
      <c r="D2407" t="s">
        <v>21</v>
      </c>
      <c r="E2407" s="2">
        <v>40000</v>
      </c>
      <c r="F2407" s="2">
        <v>284000</v>
      </c>
      <c r="G2407" t="s">
        <v>27</v>
      </c>
      <c r="H2407" t="s">
        <v>17</v>
      </c>
      <c r="I2407" t="s">
        <v>18</v>
      </c>
      <c r="J2407" s="3">
        <v>45372</v>
      </c>
      <c r="K2407" s="4">
        <f>ClientiBanca[[#This Row],[Prestito]]+ClientiBanca[[#This Row],[Mutuo]]</f>
        <v>324000</v>
      </c>
      <c r="L2407" t="str">
        <f>IF(ClientiBanca[[#This Row],[Reddito annuo]]&gt;=70000,"si","no")</f>
        <v>no</v>
      </c>
    </row>
    <row r="2408" spans="1:12">
      <c r="A2408">
        <v>102407</v>
      </c>
      <c r="B2408">
        <v>66</v>
      </c>
      <c r="C2408" s="2">
        <v>79000</v>
      </c>
      <c r="D2408" t="s">
        <v>21</v>
      </c>
      <c r="E2408" s="2">
        <v>0</v>
      </c>
      <c r="F2408" s="2">
        <v>0</v>
      </c>
      <c r="G2408" t="s">
        <v>26</v>
      </c>
      <c r="H2408" t="s">
        <v>17</v>
      </c>
      <c r="I2408" t="s">
        <v>18</v>
      </c>
      <c r="J2408" s="3">
        <v>45926</v>
      </c>
      <c r="K2408" s="4">
        <f>ClientiBanca[[#This Row],[Prestito]]+ClientiBanca[[#This Row],[Mutuo]]</f>
        <v>0</v>
      </c>
      <c r="L2408" t="str">
        <f>IF(ClientiBanca[[#This Row],[Reddito annuo]]&gt;=70000,"si","no")</f>
        <v>si</v>
      </c>
    </row>
    <row r="2409" spans="1:12">
      <c r="A2409">
        <v>102408</v>
      </c>
      <c r="B2409">
        <v>45</v>
      </c>
      <c r="C2409" s="2">
        <v>72900</v>
      </c>
      <c r="D2409" t="s">
        <v>21</v>
      </c>
      <c r="E2409" s="2">
        <v>67700</v>
      </c>
      <c r="F2409" s="2">
        <v>206000</v>
      </c>
      <c r="G2409" t="s">
        <v>28</v>
      </c>
      <c r="H2409" t="s">
        <v>20</v>
      </c>
      <c r="I2409" t="s">
        <v>18</v>
      </c>
      <c r="J2409" s="3">
        <v>45893</v>
      </c>
      <c r="K2409" s="4">
        <f>ClientiBanca[[#This Row],[Prestito]]+ClientiBanca[[#This Row],[Mutuo]]</f>
        <v>273700</v>
      </c>
      <c r="L2409" t="str">
        <f>IF(ClientiBanca[[#This Row],[Reddito annuo]]&gt;=70000,"si","no")</f>
        <v>si</v>
      </c>
    </row>
    <row r="2410" spans="1:12">
      <c r="A2410">
        <v>102409</v>
      </c>
      <c r="B2410">
        <v>35</v>
      </c>
      <c r="C2410" s="2">
        <v>97400</v>
      </c>
      <c r="D2410" t="s">
        <v>12</v>
      </c>
      <c r="E2410" s="2">
        <v>24300</v>
      </c>
      <c r="F2410" s="2">
        <v>0</v>
      </c>
      <c r="G2410" t="s">
        <v>26</v>
      </c>
      <c r="H2410" t="s">
        <v>25</v>
      </c>
      <c r="I2410" t="s">
        <v>18</v>
      </c>
      <c r="J2410" s="3">
        <v>45546</v>
      </c>
      <c r="K2410" s="4">
        <f>ClientiBanca[[#This Row],[Prestito]]+ClientiBanca[[#This Row],[Mutuo]]</f>
        <v>24300</v>
      </c>
      <c r="L2410" t="str">
        <f>IF(ClientiBanca[[#This Row],[Reddito annuo]]&gt;=70000,"si","no")</f>
        <v>si</v>
      </c>
    </row>
    <row r="2411" spans="1:12">
      <c r="A2411">
        <v>102410</v>
      </c>
      <c r="B2411">
        <v>58</v>
      </c>
      <c r="C2411" s="2">
        <v>102500</v>
      </c>
      <c r="D2411" t="s">
        <v>12</v>
      </c>
      <c r="E2411" s="2">
        <v>12700</v>
      </c>
      <c r="F2411" s="2">
        <v>0</v>
      </c>
      <c r="G2411" t="s">
        <v>23</v>
      </c>
      <c r="H2411" t="s">
        <v>17</v>
      </c>
      <c r="I2411" t="s">
        <v>18</v>
      </c>
      <c r="J2411" s="3">
        <v>45456</v>
      </c>
      <c r="K2411" s="4">
        <f>ClientiBanca[[#This Row],[Prestito]]+ClientiBanca[[#This Row],[Mutuo]]</f>
        <v>12700</v>
      </c>
      <c r="L2411" t="str">
        <f>IF(ClientiBanca[[#This Row],[Reddito annuo]]&gt;=70000,"si","no")</f>
        <v>si</v>
      </c>
    </row>
    <row r="2412" spans="1:12">
      <c r="A2412">
        <v>102411</v>
      </c>
      <c r="B2412">
        <v>69</v>
      </c>
      <c r="C2412" s="2">
        <v>105600</v>
      </c>
      <c r="D2412" t="s">
        <v>12</v>
      </c>
      <c r="E2412" s="2">
        <v>26900</v>
      </c>
      <c r="F2412" s="2">
        <v>0</v>
      </c>
      <c r="G2412" t="s">
        <v>16</v>
      </c>
      <c r="H2412" t="s">
        <v>17</v>
      </c>
      <c r="I2412" t="s">
        <v>18</v>
      </c>
      <c r="J2412" s="3">
        <v>46002</v>
      </c>
      <c r="K2412" s="4">
        <f>ClientiBanca[[#This Row],[Prestito]]+ClientiBanca[[#This Row],[Mutuo]]</f>
        <v>26900</v>
      </c>
      <c r="L2412" t="str">
        <f>IF(ClientiBanca[[#This Row],[Reddito annuo]]&gt;=70000,"si","no")</f>
        <v>si</v>
      </c>
    </row>
    <row r="2413" spans="1:12">
      <c r="A2413">
        <v>102412</v>
      </c>
      <c r="B2413">
        <v>67</v>
      </c>
      <c r="C2413" s="2">
        <v>25500</v>
      </c>
      <c r="D2413" t="s">
        <v>21</v>
      </c>
      <c r="E2413" s="2">
        <v>16600</v>
      </c>
      <c r="F2413" s="2">
        <v>0</v>
      </c>
      <c r="G2413" t="s">
        <v>19</v>
      </c>
      <c r="H2413" t="s">
        <v>20</v>
      </c>
      <c r="I2413" t="s">
        <v>18</v>
      </c>
      <c r="J2413" s="3">
        <v>45581</v>
      </c>
      <c r="K2413" s="4">
        <f>ClientiBanca[[#This Row],[Prestito]]+ClientiBanca[[#This Row],[Mutuo]]</f>
        <v>16600</v>
      </c>
      <c r="L2413" t="str">
        <f>IF(ClientiBanca[[#This Row],[Reddito annuo]]&gt;=70000,"si","no")</f>
        <v>no</v>
      </c>
    </row>
    <row r="2414" spans="1:12">
      <c r="A2414">
        <v>102413</v>
      </c>
      <c r="B2414">
        <v>64</v>
      </c>
      <c r="C2414" s="2">
        <v>55500</v>
      </c>
      <c r="D2414" t="s">
        <v>12</v>
      </c>
      <c r="E2414" s="2">
        <v>0</v>
      </c>
      <c r="F2414" s="2">
        <v>0</v>
      </c>
      <c r="G2414" t="s">
        <v>19</v>
      </c>
      <c r="H2414" t="s">
        <v>14</v>
      </c>
      <c r="I2414" t="s">
        <v>18</v>
      </c>
      <c r="J2414" s="3">
        <v>45427</v>
      </c>
      <c r="K2414" s="4">
        <f>ClientiBanca[[#This Row],[Prestito]]+ClientiBanca[[#This Row],[Mutuo]]</f>
        <v>0</v>
      </c>
      <c r="L2414" t="str">
        <f>IF(ClientiBanca[[#This Row],[Reddito annuo]]&gt;=70000,"si","no")</f>
        <v>no</v>
      </c>
    </row>
    <row r="2415" spans="1:12">
      <c r="A2415">
        <v>102414</v>
      </c>
      <c r="B2415">
        <v>32</v>
      </c>
      <c r="C2415" s="2">
        <v>30200</v>
      </c>
      <c r="D2415" t="s">
        <v>21</v>
      </c>
      <c r="E2415" s="2">
        <v>0</v>
      </c>
      <c r="F2415" s="2">
        <v>0</v>
      </c>
      <c r="G2415" t="s">
        <v>27</v>
      </c>
      <c r="H2415" t="s">
        <v>17</v>
      </c>
      <c r="I2415" t="s">
        <v>18</v>
      </c>
      <c r="J2415" s="3">
        <v>45811</v>
      </c>
      <c r="K2415" s="4">
        <f>ClientiBanca[[#This Row],[Prestito]]+ClientiBanca[[#This Row],[Mutuo]]</f>
        <v>0</v>
      </c>
      <c r="L2415" t="str">
        <f>IF(ClientiBanca[[#This Row],[Reddito annuo]]&gt;=70000,"si","no")</f>
        <v>no</v>
      </c>
    </row>
    <row r="2416" spans="1:12">
      <c r="A2416">
        <v>102415</v>
      </c>
      <c r="B2416">
        <v>23</v>
      </c>
      <c r="C2416" s="2">
        <v>81600</v>
      </c>
      <c r="D2416" t="s">
        <v>22</v>
      </c>
      <c r="E2416" s="2">
        <v>34000</v>
      </c>
      <c r="F2416" s="2">
        <v>0</v>
      </c>
      <c r="G2416" t="s">
        <v>28</v>
      </c>
      <c r="H2416" t="s">
        <v>25</v>
      </c>
      <c r="I2416" t="s">
        <v>15</v>
      </c>
      <c r="J2416" s="3">
        <v>45464</v>
      </c>
      <c r="K2416" s="4">
        <f>ClientiBanca[[#This Row],[Prestito]]+ClientiBanca[[#This Row],[Mutuo]]</f>
        <v>34000</v>
      </c>
      <c r="L2416" t="str">
        <f>IF(ClientiBanca[[#This Row],[Reddito annuo]]&gt;=70000,"si","no")</f>
        <v>si</v>
      </c>
    </row>
    <row r="2417" spans="1:12">
      <c r="A2417">
        <v>102416</v>
      </c>
      <c r="B2417">
        <v>22</v>
      </c>
      <c r="C2417" s="2">
        <v>115600</v>
      </c>
      <c r="D2417" t="s">
        <v>12</v>
      </c>
      <c r="E2417" s="2">
        <v>40600</v>
      </c>
      <c r="F2417" s="2">
        <v>0</v>
      </c>
      <c r="G2417" t="s">
        <v>26</v>
      </c>
      <c r="H2417" t="s">
        <v>14</v>
      </c>
      <c r="I2417" t="s">
        <v>15</v>
      </c>
      <c r="J2417" s="3">
        <v>45496</v>
      </c>
      <c r="K2417" s="4">
        <f>ClientiBanca[[#This Row],[Prestito]]+ClientiBanca[[#This Row],[Mutuo]]</f>
        <v>40600</v>
      </c>
      <c r="L2417" t="str">
        <f>IF(ClientiBanca[[#This Row],[Reddito annuo]]&gt;=70000,"si","no")</f>
        <v>si</v>
      </c>
    </row>
    <row r="2418" spans="1:12">
      <c r="A2418">
        <v>102417</v>
      </c>
      <c r="B2418">
        <v>63</v>
      </c>
      <c r="C2418" s="2">
        <v>92300</v>
      </c>
      <c r="D2418" t="s">
        <v>21</v>
      </c>
      <c r="E2418" s="2">
        <v>13900</v>
      </c>
      <c r="F2418" s="2">
        <v>0</v>
      </c>
      <c r="G2418" t="s">
        <v>26</v>
      </c>
      <c r="H2418" t="s">
        <v>17</v>
      </c>
      <c r="I2418" t="s">
        <v>18</v>
      </c>
      <c r="J2418" s="3">
        <v>45643</v>
      </c>
      <c r="K2418" s="4">
        <f>ClientiBanca[[#This Row],[Prestito]]+ClientiBanca[[#This Row],[Mutuo]]</f>
        <v>13900</v>
      </c>
      <c r="L2418" t="str">
        <f>IF(ClientiBanca[[#This Row],[Reddito annuo]]&gt;=70000,"si","no")</f>
        <v>si</v>
      </c>
    </row>
    <row r="2419" spans="1:12">
      <c r="A2419">
        <v>102418</v>
      </c>
      <c r="B2419">
        <v>30</v>
      </c>
      <c r="C2419" s="2">
        <v>85600</v>
      </c>
      <c r="D2419" t="s">
        <v>21</v>
      </c>
      <c r="E2419" s="2">
        <v>14500</v>
      </c>
      <c r="F2419" s="2">
        <v>0</v>
      </c>
      <c r="G2419" t="s">
        <v>27</v>
      </c>
      <c r="H2419" t="s">
        <v>20</v>
      </c>
      <c r="I2419" t="s">
        <v>18</v>
      </c>
      <c r="J2419" s="3">
        <v>45992</v>
      </c>
      <c r="K2419" s="4">
        <f>ClientiBanca[[#This Row],[Prestito]]+ClientiBanca[[#This Row],[Mutuo]]</f>
        <v>14500</v>
      </c>
      <c r="L2419" t="str">
        <f>IF(ClientiBanca[[#This Row],[Reddito annuo]]&gt;=70000,"si","no")</f>
        <v>si</v>
      </c>
    </row>
    <row r="2420" spans="1:12">
      <c r="A2420">
        <v>102419</v>
      </c>
      <c r="B2420">
        <v>63</v>
      </c>
      <c r="C2420" s="2">
        <v>119000</v>
      </c>
      <c r="D2420" t="s">
        <v>21</v>
      </c>
      <c r="E2420" s="2">
        <v>39700</v>
      </c>
      <c r="F2420" s="2">
        <v>0</v>
      </c>
      <c r="G2420" t="s">
        <v>27</v>
      </c>
      <c r="H2420" t="s">
        <v>20</v>
      </c>
      <c r="I2420" t="s">
        <v>18</v>
      </c>
      <c r="J2420" s="3">
        <v>45664</v>
      </c>
      <c r="K2420" s="4">
        <f>ClientiBanca[[#This Row],[Prestito]]+ClientiBanca[[#This Row],[Mutuo]]</f>
        <v>39700</v>
      </c>
      <c r="L2420" t="str">
        <f>IF(ClientiBanca[[#This Row],[Reddito annuo]]&gt;=70000,"si","no")</f>
        <v>si</v>
      </c>
    </row>
    <row r="2421" spans="1:12">
      <c r="A2421">
        <v>102420</v>
      </c>
      <c r="B2421">
        <v>65</v>
      </c>
      <c r="C2421" s="2">
        <v>45700</v>
      </c>
      <c r="D2421" t="s">
        <v>21</v>
      </c>
      <c r="E2421" s="2">
        <v>53500</v>
      </c>
      <c r="F2421" s="2">
        <v>0</v>
      </c>
      <c r="G2421" t="s">
        <v>24</v>
      </c>
      <c r="H2421" t="s">
        <v>14</v>
      </c>
      <c r="I2421" t="s">
        <v>18</v>
      </c>
      <c r="J2421" s="3">
        <v>45373</v>
      </c>
      <c r="K2421" s="4">
        <f>ClientiBanca[[#This Row],[Prestito]]+ClientiBanca[[#This Row],[Mutuo]]</f>
        <v>53500</v>
      </c>
      <c r="L2421" t="str">
        <f>IF(ClientiBanca[[#This Row],[Reddito annuo]]&gt;=70000,"si","no")</f>
        <v>no</v>
      </c>
    </row>
    <row r="2422" spans="1:12">
      <c r="A2422">
        <v>102421</v>
      </c>
      <c r="B2422">
        <v>48</v>
      </c>
      <c r="C2422" s="2">
        <v>80400</v>
      </c>
      <c r="D2422" t="s">
        <v>21</v>
      </c>
      <c r="E2422" s="2">
        <v>0</v>
      </c>
      <c r="F2422" s="2">
        <v>0</v>
      </c>
      <c r="G2422" t="s">
        <v>19</v>
      </c>
      <c r="H2422" t="s">
        <v>17</v>
      </c>
      <c r="I2422" t="s">
        <v>18</v>
      </c>
      <c r="J2422" s="3">
        <v>45882</v>
      </c>
      <c r="K2422" s="4">
        <f>ClientiBanca[[#This Row],[Prestito]]+ClientiBanca[[#This Row],[Mutuo]]</f>
        <v>0</v>
      </c>
      <c r="L2422" t="str">
        <f>IF(ClientiBanca[[#This Row],[Reddito annuo]]&gt;=70000,"si","no")</f>
        <v>si</v>
      </c>
    </row>
    <row r="2423" spans="1:12">
      <c r="A2423">
        <v>102422</v>
      </c>
      <c r="B2423">
        <v>37</v>
      </c>
      <c r="C2423" s="2">
        <v>54500</v>
      </c>
      <c r="D2423" t="s">
        <v>12</v>
      </c>
      <c r="E2423" s="2">
        <v>0</v>
      </c>
      <c r="F2423" s="2">
        <v>0</v>
      </c>
      <c r="G2423" t="s">
        <v>24</v>
      </c>
      <c r="H2423" t="s">
        <v>14</v>
      </c>
      <c r="I2423" t="s">
        <v>18</v>
      </c>
      <c r="J2423" s="3">
        <v>45476</v>
      </c>
      <c r="K2423" s="4">
        <f>ClientiBanca[[#This Row],[Prestito]]+ClientiBanca[[#This Row],[Mutuo]]</f>
        <v>0</v>
      </c>
      <c r="L2423" t="str">
        <f>IF(ClientiBanca[[#This Row],[Reddito annuo]]&gt;=70000,"si","no")</f>
        <v>no</v>
      </c>
    </row>
    <row r="2424" spans="1:12">
      <c r="A2424">
        <v>102423</v>
      </c>
      <c r="B2424">
        <v>35</v>
      </c>
      <c r="C2424" s="2">
        <v>48500</v>
      </c>
      <c r="D2424" t="s">
        <v>12</v>
      </c>
      <c r="E2424" s="2">
        <v>4000</v>
      </c>
      <c r="F2424" s="2">
        <v>83000</v>
      </c>
      <c r="G2424" t="s">
        <v>16</v>
      </c>
      <c r="H2424" t="s">
        <v>20</v>
      </c>
      <c r="I2424" t="s">
        <v>18</v>
      </c>
      <c r="J2424" s="3">
        <v>45308</v>
      </c>
      <c r="K2424" s="4">
        <f>ClientiBanca[[#This Row],[Prestito]]+ClientiBanca[[#This Row],[Mutuo]]</f>
        <v>87000</v>
      </c>
      <c r="L2424" t="str">
        <f>IF(ClientiBanca[[#This Row],[Reddito annuo]]&gt;=70000,"si","no")</f>
        <v>no</v>
      </c>
    </row>
    <row r="2425" spans="1:12">
      <c r="A2425">
        <v>102424</v>
      </c>
      <c r="B2425">
        <v>28</v>
      </c>
      <c r="C2425" s="2">
        <v>51400</v>
      </c>
      <c r="D2425" t="s">
        <v>12</v>
      </c>
      <c r="E2425" s="2">
        <v>0</v>
      </c>
      <c r="F2425" s="2">
        <v>328000</v>
      </c>
      <c r="G2425" t="s">
        <v>16</v>
      </c>
      <c r="H2425" t="s">
        <v>20</v>
      </c>
      <c r="I2425" t="s">
        <v>18</v>
      </c>
      <c r="J2425" s="3">
        <v>46242</v>
      </c>
      <c r="K2425" s="4">
        <f>ClientiBanca[[#This Row],[Prestito]]+ClientiBanca[[#This Row],[Mutuo]]</f>
        <v>328000</v>
      </c>
      <c r="L2425" t="str">
        <f>IF(ClientiBanca[[#This Row],[Reddito annuo]]&gt;=70000,"si","no")</f>
        <v>no</v>
      </c>
    </row>
    <row r="2426" spans="1:12">
      <c r="A2426">
        <v>102425</v>
      </c>
      <c r="B2426">
        <v>72</v>
      </c>
      <c r="C2426" s="2">
        <v>29800</v>
      </c>
      <c r="D2426" t="s">
        <v>21</v>
      </c>
      <c r="E2426" s="2">
        <v>20500</v>
      </c>
      <c r="F2426" s="2">
        <v>0</v>
      </c>
      <c r="G2426" t="s">
        <v>19</v>
      </c>
      <c r="H2426" t="s">
        <v>20</v>
      </c>
      <c r="I2426" t="s">
        <v>18</v>
      </c>
      <c r="J2426" s="3">
        <v>46200</v>
      </c>
      <c r="K2426" s="4">
        <f>ClientiBanca[[#This Row],[Prestito]]+ClientiBanca[[#This Row],[Mutuo]]</f>
        <v>20500</v>
      </c>
      <c r="L2426" t="str">
        <f>IF(ClientiBanca[[#This Row],[Reddito annuo]]&gt;=70000,"si","no")</f>
        <v>no</v>
      </c>
    </row>
    <row r="2427" spans="1:12">
      <c r="A2427">
        <v>102426</v>
      </c>
      <c r="B2427">
        <v>61</v>
      </c>
      <c r="C2427" s="2">
        <v>33400</v>
      </c>
      <c r="D2427" t="s">
        <v>12</v>
      </c>
      <c r="E2427" s="2">
        <v>5400</v>
      </c>
      <c r="F2427" s="2">
        <v>0</v>
      </c>
      <c r="G2427" t="s">
        <v>13</v>
      </c>
      <c r="H2427" t="s">
        <v>20</v>
      </c>
      <c r="I2427" t="s">
        <v>18</v>
      </c>
      <c r="J2427" s="3">
        <v>45336</v>
      </c>
      <c r="K2427" s="4">
        <f>ClientiBanca[[#This Row],[Prestito]]+ClientiBanca[[#This Row],[Mutuo]]</f>
        <v>5400</v>
      </c>
      <c r="L2427" t="str">
        <f>IF(ClientiBanca[[#This Row],[Reddito annuo]]&gt;=70000,"si","no")</f>
        <v>no</v>
      </c>
    </row>
    <row r="2428" spans="1:12">
      <c r="A2428">
        <v>102427</v>
      </c>
      <c r="B2428">
        <v>57</v>
      </c>
      <c r="C2428" s="2">
        <v>35800</v>
      </c>
      <c r="D2428" t="s">
        <v>21</v>
      </c>
      <c r="E2428" s="2">
        <v>0</v>
      </c>
      <c r="F2428" s="2">
        <v>0</v>
      </c>
      <c r="G2428" t="s">
        <v>27</v>
      </c>
      <c r="H2428" t="s">
        <v>20</v>
      </c>
      <c r="I2428" t="s">
        <v>18</v>
      </c>
      <c r="J2428" s="3">
        <v>45430</v>
      </c>
      <c r="K2428" s="4">
        <f>ClientiBanca[[#This Row],[Prestito]]+ClientiBanca[[#This Row],[Mutuo]]</f>
        <v>0</v>
      </c>
      <c r="L2428" t="str">
        <f>IF(ClientiBanca[[#This Row],[Reddito annuo]]&gt;=70000,"si","no")</f>
        <v>no</v>
      </c>
    </row>
    <row r="2429" spans="1:12">
      <c r="A2429">
        <v>102428</v>
      </c>
      <c r="B2429">
        <v>21</v>
      </c>
      <c r="C2429" s="2">
        <v>67900</v>
      </c>
      <c r="D2429" t="s">
        <v>21</v>
      </c>
      <c r="E2429" s="2">
        <v>51600</v>
      </c>
      <c r="F2429" s="2">
        <v>0</v>
      </c>
      <c r="G2429" t="s">
        <v>19</v>
      </c>
      <c r="H2429" t="s">
        <v>17</v>
      </c>
      <c r="I2429" t="s">
        <v>18</v>
      </c>
      <c r="J2429" s="3">
        <v>45667</v>
      </c>
      <c r="K2429" s="4">
        <f>ClientiBanca[[#This Row],[Prestito]]+ClientiBanca[[#This Row],[Mutuo]]</f>
        <v>51600</v>
      </c>
      <c r="L2429" t="str">
        <f>IF(ClientiBanca[[#This Row],[Reddito annuo]]&gt;=70000,"si","no")</f>
        <v>no</v>
      </c>
    </row>
    <row r="2430" spans="1:12">
      <c r="A2430">
        <v>102429</v>
      </c>
      <c r="B2430">
        <v>34</v>
      </c>
      <c r="C2430" s="2">
        <v>92500</v>
      </c>
      <c r="D2430" t="s">
        <v>12</v>
      </c>
      <c r="E2430" s="2">
        <v>0</v>
      </c>
      <c r="F2430" s="2">
        <v>0</v>
      </c>
      <c r="G2430" t="s">
        <v>27</v>
      </c>
      <c r="H2430" t="s">
        <v>20</v>
      </c>
      <c r="I2430" t="s">
        <v>18</v>
      </c>
      <c r="J2430" s="3">
        <v>46025</v>
      </c>
      <c r="K2430" s="4">
        <f>ClientiBanca[[#This Row],[Prestito]]+ClientiBanca[[#This Row],[Mutuo]]</f>
        <v>0</v>
      </c>
      <c r="L2430" t="str">
        <f>IF(ClientiBanca[[#This Row],[Reddito annuo]]&gt;=70000,"si","no")</f>
        <v>si</v>
      </c>
    </row>
    <row r="2431" spans="1:12">
      <c r="A2431">
        <v>102430</v>
      </c>
      <c r="B2431">
        <v>54</v>
      </c>
      <c r="C2431" s="2">
        <v>55100</v>
      </c>
      <c r="D2431" t="s">
        <v>21</v>
      </c>
      <c r="E2431" s="2">
        <v>0</v>
      </c>
      <c r="F2431" s="2">
        <v>0</v>
      </c>
      <c r="G2431" t="s">
        <v>28</v>
      </c>
      <c r="H2431" t="s">
        <v>14</v>
      </c>
      <c r="I2431" t="s">
        <v>18</v>
      </c>
      <c r="J2431" s="3">
        <v>45969</v>
      </c>
      <c r="K2431" s="4">
        <f>ClientiBanca[[#This Row],[Prestito]]+ClientiBanca[[#This Row],[Mutuo]]</f>
        <v>0</v>
      </c>
      <c r="L2431" t="str">
        <f>IF(ClientiBanca[[#This Row],[Reddito annuo]]&gt;=70000,"si","no")</f>
        <v>no</v>
      </c>
    </row>
    <row r="2432" spans="1:12">
      <c r="A2432">
        <v>102431</v>
      </c>
      <c r="B2432">
        <v>40</v>
      </c>
      <c r="C2432" s="2">
        <v>44500</v>
      </c>
      <c r="D2432" t="s">
        <v>21</v>
      </c>
      <c r="E2432" s="2">
        <v>55600</v>
      </c>
      <c r="F2432" s="2">
        <v>166000</v>
      </c>
      <c r="G2432" t="s">
        <v>26</v>
      </c>
      <c r="H2432" t="s">
        <v>14</v>
      </c>
      <c r="I2432" t="s">
        <v>18</v>
      </c>
      <c r="J2432" s="3">
        <v>45522</v>
      </c>
      <c r="K2432" s="4">
        <f>ClientiBanca[[#This Row],[Prestito]]+ClientiBanca[[#This Row],[Mutuo]]</f>
        <v>221600</v>
      </c>
      <c r="L2432" t="str">
        <f>IF(ClientiBanca[[#This Row],[Reddito annuo]]&gt;=70000,"si","no")</f>
        <v>no</v>
      </c>
    </row>
    <row r="2433" spans="1:12">
      <c r="A2433">
        <v>102432</v>
      </c>
      <c r="B2433">
        <v>52</v>
      </c>
      <c r="C2433" s="2">
        <v>33600</v>
      </c>
      <c r="D2433" t="s">
        <v>12</v>
      </c>
      <c r="E2433" s="2">
        <v>15000</v>
      </c>
      <c r="F2433" s="2">
        <v>0</v>
      </c>
      <c r="G2433" t="s">
        <v>16</v>
      </c>
      <c r="H2433" t="s">
        <v>17</v>
      </c>
      <c r="I2433" t="s">
        <v>18</v>
      </c>
      <c r="J2433" s="3">
        <v>45508</v>
      </c>
      <c r="K2433" s="4">
        <f>ClientiBanca[[#This Row],[Prestito]]+ClientiBanca[[#This Row],[Mutuo]]</f>
        <v>15000</v>
      </c>
      <c r="L2433" t="str">
        <f>IF(ClientiBanca[[#This Row],[Reddito annuo]]&gt;=70000,"si","no")</f>
        <v>no</v>
      </c>
    </row>
    <row r="2434" spans="1:12">
      <c r="A2434">
        <v>102433</v>
      </c>
      <c r="B2434">
        <v>38</v>
      </c>
      <c r="C2434" s="2">
        <v>96500</v>
      </c>
      <c r="D2434" t="s">
        <v>22</v>
      </c>
      <c r="E2434" s="2">
        <v>0</v>
      </c>
      <c r="F2434" s="2">
        <v>0</v>
      </c>
      <c r="G2434" t="s">
        <v>16</v>
      </c>
      <c r="H2434" t="s">
        <v>20</v>
      </c>
      <c r="I2434" t="s">
        <v>18</v>
      </c>
      <c r="J2434" s="3">
        <v>45463</v>
      </c>
      <c r="K2434" s="4">
        <f>ClientiBanca[[#This Row],[Prestito]]+ClientiBanca[[#This Row],[Mutuo]]</f>
        <v>0</v>
      </c>
      <c r="L2434" t="str">
        <f>IF(ClientiBanca[[#This Row],[Reddito annuo]]&gt;=70000,"si","no")</f>
        <v>si</v>
      </c>
    </row>
    <row r="2435" spans="1:12">
      <c r="A2435">
        <v>102434</v>
      </c>
      <c r="B2435">
        <v>58</v>
      </c>
      <c r="C2435" s="2">
        <v>85000</v>
      </c>
      <c r="D2435" t="s">
        <v>21</v>
      </c>
      <c r="E2435" s="2">
        <v>40700</v>
      </c>
      <c r="F2435" s="2">
        <v>256000</v>
      </c>
      <c r="G2435" t="s">
        <v>16</v>
      </c>
      <c r="H2435" t="s">
        <v>20</v>
      </c>
      <c r="I2435" t="s">
        <v>18</v>
      </c>
      <c r="J2435" s="3">
        <v>45710</v>
      </c>
      <c r="K2435" s="4">
        <f>ClientiBanca[[#This Row],[Prestito]]+ClientiBanca[[#This Row],[Mutuo]]</f>
        <v>296700</v>
      </c>
      <c r="L2435" t="str">
        <f>IF(ClientiBanca[[#This Row],[Reddito annuo]]&gt;=70000,"si","no")</f>
        <v>si</v>
      </c>
    </row>
    <row r="2436" spans="1:12">
      <c r="A2436">
        <v>102435</v>
      </c>
      <c r="B2436">
        <v>26</v>
      </c>
      <c r="C2436" s="2">
        <v>86800</v>
      </c>
      <c r="D2436" t="s">
        <v>22</v>
      </c>
      <c r="E2436" s="2">
        <v>29500</v>
      </c>
      <c r="F2436" s="2">
        <v>0</v>
      </c>
      <c r="G2436" t="s">
        <v>26</v>
      </c>
      <c r="H2436" t="s">
        <v>20</v>
      </c>
      <c r="I2436" t="s">
        <v>18</v>
      </c>
      <c r="J2436" s="3">
        <v>46067</v>
      </c>
      <c r="K2436" s="4">
        <f>ClientiBanca[[#This Row],[Prestito]]+ClientiBanca[[#This Row],[Mutuo]]</f>
        <v>29500</v>
      </c>
      <c r="L2436" t="str">
        <f>IF(ClientiBanca[[#This Row],[Reddito annuo]]&gt;=70000,"si","no")</f>
        <v>si</v>
      </c>
    </row>
    <row r="2437" spans="1:12">
      <c r="A2437">
        <v>102436</v>
      </c>
      <c r="B2437">
        <v>46</v>
      </c>
      <c r="C2437" s="2">
        <v>98900</v>
      </c>
      <c r="D2437" t="s">
        <v>21</v>
      </c>
      <c r="E2437" s="2">
        <v>26000</v>
      </c>
      <c r="F2437" s="2">
        <v>0</v>
      </c>
      <c r="G2437" t="s">
        <v>19</v>
      </c>
      <c r="H2437" t="s">
        <v>17</v>
      </c>
      <c r="I2437" t="s">
        <v>15</v>
      </c>
      <c r="J2437" s="3">
        <v>45675</v>
      </c>
      <c r="K2437" s="4">
        <f>ClientiBanca[[#This Row],[Prestito]]+ClientiBanca[[#This Row],[Mutuo]]</f>
        <v>26000</v>
      </c>
      <c r="L2437" t="str">
        <f>IF(ClientiBanca[[#This Row],[Reddito annuo]]&gt;=70000,"si","no")</f>
        <v>si</v>
      </c>
    </row>
    <row r="2438" spans="1:12">
      <c r="A2438">
        <v>102437</v>
      </c>
      <c r="B2438">
        <v>32</v>
      </c>
      <c r="C2438" s="2">
        <v>73900</v>
      </c>
      <c r="D2438" t="s">
        <v>21</v>
      </c>
      <c r="E2438" s="2">
        <v>48300</v>
      </c>
      <c r="F2438" s="2">
        <v>0</v>
      </c>
      <c r="G2438" t="s">
        <v>16</v>
      </c>
      <c r="H2438" t="s">
        <v>17</v>
      </c>
      <c r="I2438" t="s">
        <v>18</v>
      </c>
      <c r="J2438" s="3">
        <v>45725</v>
      </c>
      <c r="K2438" s="4">
        <f>ClientiBanca[[#This Row],[Prestito]]+ClientiBanca[[#This Row],[Mutuo]]</f>
        <v>48300</v>
      </c>
      <c r="L2438" t="str">
        <f>IF(ClientiBanca[[#This Row],[Reddito annuo]]&gt;=70000,"si","no")</f>
        <v>si</v>
      </c>
    </row>
    <row r="2439" spans="1:12">
      <c r="A2439">
        <v>102438</v>
      </c>
      <c r="B2439">
        <v>23</v>
      </c>
      <c r="C2439" s="2">
        <v>49800</v>
      </c>
      <c r="D2439" t="s">
        <v>21</v>
      </c>
      <c r="E2439" s="2">
        <v>15500</v>
      </c>
      <c r="F2439" s="2">
        <v>0</v>
      </c>
      <c r="G2439" t="s">
        <v>13</v>
      </c>
      <c r="H2439" t="s">
        <v>20</v>
      </c>
      <c r="I2439" t="s">
        <v>18</v>
      </c>
      <c r="J2439" s="3">
        <v>45606</v>
      </c>
      <c r="K2439" s="4">
        <f>ClientiBanca[[#This Row],[Prestito]]+ClientiBanca[[#This Row],[Mutuo]]</f>
        <v>15500</v>
      </c>
      <c r="L2439" t="str">
        <f>IF(ClientiBanca[[#This Row],[Reddito annuo]]&gt;=70000,"si","no")</f>
        <v>no</v>
      </c>
    </row>
    <row r="2440" spans="1:12">
      <c r="A2440">
        <v>102439</v>
      </c>
      <c r="B2440">
        <v>48</v>
      </c>
      <c r="C2440" s="2">
        <v>64700</v>
      </c>
      <c r="D2440" t="s">
        <v>21</v>
      </c>
      <c r="E2440" s="2">
        <v>21700</v>
      </c>
      <c r="F2440" s="2">
        <v>0</v>
      </c>
      <c r="G2440" t="s">
        <v>23</v>
      </c>
      <c r="H2440" t="s">
        <v>20</v>
      </c>
      <c r="I2440" t="s">
        <v>18</v>
      </c>
      <c r="J2440" s="3">
        <v>46003</v>
      </c>
      <c r="K2440" s="4">
        <f>ClientiBanca[[#This Row],[Prestito]]+ClientiBanca[[#This Row],[Mutuo]]</f>
        <v>21700</v>
      </c>
      <c r="L2440" t="str">
        <f>IF(ClientiBanca[[#This Row],[Reddito annuo]]&gt;=70000,"si","no")</f>
        <v>no</v>
      </c>
    </row>
    <row r="2441" spans="1:12">
      <c r="A2441">
        <v>102440</v>
      </c>
      <c r="B2441">
        <v>49</v>
      </c>
      <c r="C2441" s="2">
        <v>65900</v>
      </c>
      <c r="D2441" t="s">
        <v>21</v>
      </c>
      <c r="E2441" s="2">
        <v>38000</v>
      </c>
      <c r="F2441" s="2">
        <v>0</v>
      </c>
      <c r="G2441" t="s">
        <v>16</v>
      </c>
      <c r="H2441" t="s">
        <v>17</v>
      </c>
      <c r="I2441" t="s">
        <v>18</v>
      </c>
      <c r="J2441" s="3">
        <v>45599</v>
      </c>
      <c r="K2441" s="4">
        <f>ClientiBanca[[#This Row],[Prestito]]+ClientiBanca[[#This Row],[Mutuo]]</f>
        <v>38000</v>
      </c>
      <c r="L2441" t="str">
        <f>IF(ClientiBanca[[#This Row],[Reddito annuo]]&gt;=70000,"si","no")</f>
        <v>no</v>
      </c>
    </row>
    <row r="2442" spans="1:12">
      <c r="A2442">
        <v>102441</v>
      </c>
      <c r="B2442">
        <v>74</v>
      </c>
      <c r="C2442" s="2">
        <v>77300</v>
      </c>
      <c r="D2442" t="s">
        <v>12</v>
      </c>
      <c r="E2442" s="2">
        <v>27700</v>
      </c>
      <c r="F2442" s="2">
        <v>156000</v>
      </c>
      <c r="G2442" t="s">
        <v>19</v>
      </c>
      <c r="H2442" t="s">
        <v>17</v>
      </c>
      <c r="I2442" t="s">
        <v>18</v>
      </c>
      <c r="J2442" s="3">
        <v>45934</v>
      </c>
      <c r="K2442" s="4">
        <f>ClientiBanca[[#This Row],[Prestito]]+ClientiBanca[[#This Row],[Mutuo]]</f>
        <v>183700</v>
      </c>
      <c r="L2442" t="str">
        <f>IF(ClientiBanca[[#This Row],[Reddito annuo]]&gt;=70000,"si","no")</f>
        <v>si</v>
      </c>
    </row>
    <row r="2443" spans="1:12">
      <c r="A2443">
        <v>102442</v>
      </c>
      <c r="B2443">
        <v>62</v>
      </c>
      <c r="C2443" s="2">
        <v>64100</v>
      </c>
      <c r="D2443" t="s">
        <v>21</v>
      </c>
      <c r="E2443" s="2">
        <v>0</v>
      </c>
      <c r="F2443" s="2">
        <v>0</v>
      </c>
      <c r="G2443" t="s">
        <v>28</v>
      </c>
      <c r="H2443" t="s">
        <v>20</v>
      </c>
      <c r="I2443" t="s">
        <v>18</v>
      </c>
      <c r="J2443" s="3">
        <v>45482</v>
      </c>
      <c r="K2443" s="4">
        <f>ClientiBanca[[#This Row],[Prestito]]+ClientiBanca[[#This Row],[Mutuo]]</f>
        <v>0</v>
      </c>
      <c r="L2443" t="str">
        <f>IF(ClientiBanca[[#This Row],[Reddito annuo]]&gt;=70000,"si","no")</f>
        <v>no</v>
      </c>
    </row>
    <row r="2444" spans="1:12">
      <c r="A2444">
        <v>102443</v>
      </c>
      <c r="B2444">
        <v>35</v>
      </c>
      <c r="C2444" s="2">
        <v>122200</v>
      </c>
      <c r="D2444" t="s">
        <v>12</v>
      </c>
      <c r="E2444" s="2">
        <v>0</v>
      </c>
      <c r="F2444" s="2">
        <v>0</v>
      </c>
      <c r="G2444" t="s">
        <v>13</v>
      </c>
      <c r="H2444" t="s">
        <v>17</v>
      </c>
      <c r="I2444" t="s">
        <v>18</v>
      </c>
      <c r="J2444" s="3">
        <v>45542</v>
      </c>
      <c r="K2444" s="4">
        <f>ClientiBanca[[#This Row],[Prestito]]+ClientiBanca[[#This Row],[Mutuo]]</f>
        <v>0</v>
      </c>
      <c r="L2444" t="str">
        <f>IF(ClientiBanca[[#This Row],[Reddito annuo]]&gt;=70000,"si","no")</f>
        <v>si</v>
      </c>
    </row>
    <row r="2445" spans="1:12">
      <c r="A2445">
        <v>102444</v>
      </c>
      <c r="B2445">
        <v>74</v>
      </c>
      <c r="C2445" s="2">
        <v>22000</v>
      </c>
      <c r="D2445" t="s">
        <v>12</v>
      </c>
      <c r="E2445" s="2">
        <v>17200</v>
      </c>
      <c r="F2445" s="2">
        <v>0</v>
      </c>
      <c r="G2445" t="s">
        <v>16</v>
      </c>
      <c r="H2445" t="s">
        <v>17</v>
      </c>
      <c r="I2445" t="s">
        <v>18</v>
      </c>
      <c r="J2445" s="3">
        <v>46162</v>
      </c>
      <c r="K2445" s="4">
        <f>ClientiBanca[[#This Row],[Prestito]]+ClientiBanca[[#This Row],[Mutuo]]</f>
        <v>17200</v>
      </c>
      <c r="L2445" t="str">
        <f>IF(ClientiBanca[[#This Row],[Reddito annuo]]&gt;=70000,"si","no")</f>
        <v>no</v>
      </c>
    </row>
    <row r="2446" spans="1:12">
      <c r="A2446">
        <v>102445</v>
      </c>
      <c r="B2446">
        <v>72</v>
      </c>
      <c r="C2446" s="2">
        <v>37700</v>
      </c>
      <c r="D2446" t="s">
        <v>12</v>
      </c>
      <c r="E2446" s="2">
        <v>19400</v>
      </c>
      <c r="F2446" s="2">
        <v>0</v>
      </c>
      <c r="G2446" t="s">
        <v>23</v>
      </c>
      <c r="H2446" t="s">
        <v>14</v>
      </c>
      <c r="I2446" t="s">
        <v>18</v>
      </c>
      <c r="J2446" s="3">
        <v>45588</v>
      </c>
      <c r="K2446" s="4">
        <f>ClientiBanca[[#This Row],[Prestito]]+ClientiBanca[[#This Row],[Mutuo]]</f>
        <v>19400</v>
      </c>
      <c r="L2446" t="str">
        <f>IF(ClientiBanca[[#This Row],[Reddito annuo]]&gt;=70000,"si","no")</f>
        <v>no</v>
      </c>
    </row>
    <row r="2447" spans="1:12">
      <c r="A2447">
        <v>102446</v>
      </c>
      <c r="B2447">
        <v>36</v>
      </c>
      <c r="C2447" s="2">
        <v>28400</v>
      </c>
      <c r="D2447" t="s">
        <v>22</v>
      </c>
      <c r="E2447" s="2">
        <v>0</v>
      </c>
      <c r="F2447" s="2">
        <v>0</v>
      </c>
      <c r="G2447" t="s">
        <v>24</v>
      </c>
      <c r="H2447" t="s">
        <v>14</v>
      </c>
      <c r="I2447" t="s">
        <v>18</v>
      </c>
      <c r="J2447" s="3">
        <v>46249</v>
      </c>
      <c r="K2447" s="4">
        <f>ClientiBanca[[#This Row],[Prestito]]+ClientiBanca[[#This Row],[Mutuo]]</f>
        <v>0</v>
      </c>
      <c r="L2447" t="str">
        <f>IF(ClientiBanca[[#This Row],[Reddito annuo]]&gt;=70000,"si","no")</f>
        <v>no</v>
      </c>
    </row>
    <row r="2448" spans="1:12">
      <c r="A2448">
        <v>102447</v>
      </c>
      <c r="B2448">
        <v>71</v>
      </c>
      <c r="C2448" s="2">
        <v>97900</v>
      </c>
      <c r="D2448" t="s">
        <v>21</v>
      </c>
      <c r="E2448" s="2">
        <v>39300</v>
      </c>
      <c r="F2448" s="2">
        <v>141000</v>
      </c>
      <c r="G2448" t="s">
        <v>28</v>
      </c>
      <c r="H2448" t="s">
        <v>14</v>
      </c>
      <c r="I2448" t="s">
        <v>18</v>
      </c>
      <c r="J2448" s="3">
        <v>46018</v>
      </c>
      <c r="K2448" s="4">
        <f>ClientiBanca[[#This Row],[Prestito]]+ClientiBanca[[#This Row],[Mutuo]]</f>
        <v>180300</v>
      </c>
      <c r="L2448" t="str">
        <f>IF(ClientiBanca[[#This Row],[Reddito annuo]]&gt;=70000,"si","no")</f>
        <v>si</v>
      </c>
    </row>
    <row r="2449" spans="1:12">
      <c r="A2449">
        <v>102448</v>
      </c>
      <c r="B2449">
        <v>30</v>
      </c>
      <c r="C2449" s="2">
        <v>42500</v>
      </c>
      <c r="D2449" t="s">
        <v>12</v>
      </c>
      <c r="E2449" s="2">
        <v>16100</v>
      </c>
      <c r="F2449" s="2">
        <v>252000</v>
      </c>
      <c r="G2449" t="s">
        <v>27</v>
      </c>
      <c r="H2449" t="s">
        <v>14</v>
      </c>
      <c r="I2449" t="s">
        <v>18</v>
      </c>
      <c r="J2449" s="3">
        <v>45292</v>
      </c>
      <c r="K2449" s="4">
        <f>ClientiBanca[[#This Row],[Prestito]]+ClientiBanca[[#This Row],[Mutuo]]</f>
        <v>268100</v>
      </c>
      <c r="L2449" t="str">
        <f>IF(ClientiBanca[[#This Row],[Reddito annuo]]&gt;=70000,"si","no")</f>
        <v>no</v>
      </c>
    </row>
    <row r="2450" spans="1:12">
      <c r="A2450">
        <v>102449</v>
      </c>
      <c r="B2450">
        <v>24</v>
      </c>
      <c r="C2450" s="2">
        <v>54600</v>
      </c>
      <c r="D2450" t="s">
        <v>21</v>
      </c>
      <c r="E2450" s="2">
        <v>0</v>
      </c>
      <c r="F2450" s="2">
        <v>165000</v>
      </c>
      <c r="G2450" t="s">
        <v>24</v>
      </c>
      <c r="H2450" t="s">
        <v>20</v>
      </c>
      <c r="I2450" t="s">
        <v>18</v>
      </c>
      <c r="J2450" s="3">
        <v>45596</v>
      </c>
      <c r="K2450" s="4">
        <f>ClientiBanca[[#This Row],[Prestito]]+ClientiBanca[[#This Row],[Mutuo]]</f>
        <v>165000</v>
      </c>
      <c r="L2450" t="str">
        <f>IF(ClientiBanca[[#This Row],[Reddito annuo]]&gt;=70000,"si","no")</f>
        <v>no</v>
      </c>
    </row>
    <row r="2451" spans="1:12">
      <c r="A2451">
        <v>102450</v>
      </c>
      <c r="B2451">
        <v>51</v>
      </c>
      <c r="C2451" s="2">
        <v>72100</v>
      </c>
      <c r="D2451" t="s">
        <v>12</v>
      </c>
      <c r="E2451" s="2">
        <v>63500</v>
      </c>
      <c r="F2451" s="2">
        <v>248000</v>
      </c>
      <c r="G2451" t="s">
        <v>19</v>
      </c>
      <c r="H2451" t="s">
        <v>14</v>
      </c>
      <c r="I2451" t="s">
        <v>18</v>
      </c>
      <c r="J2451" s="3">
        <v>45628</v>
      </c>
      <c r="K2451" s="4">
        <f>ClientiBanca[[#This Row],[Prestito]]+ClientiBanca[[#This Row],[Mutuo]]</f>
        <v>311500</v>
      </c>
      <c r="L2451" t="str">
        <f>IF(ClientiBanca[[#This Row],[Reddito annuo]]&gt;=70000,"si","no")</f>
        <v>si</v>
      </c>
    </row>
    <row r="2452" spans="1:12">
      <c r="A2452">
        <v>102451</v>
      </c>
      <c r="B2452">
        <v>73</v>
      </c>
      <c r="C2452" s="2">
        <v>45100</v>
      </c>
      <c r="D2452" t="s">
        <v>21</v>
      </c>
      <c r="E2452" s="2">
        <v>0</v>
      </c>
      <c r="F2452" s="2">
        <v>338000</v>
      </c>
      <c r="G2452" t="s">
        <v>19</v>
      </c>
      <c r="H2452" t="s">
        <v>17</v>
      </c>
      <c r="I2452" t="s">
        <v>18</v>
      </c>
      <c r="J2452" s="3">
        <v>45998</v>
      </c>
      <c r="K2452" s="4">
        <f>ClientiBanca[[#This Row],[Prestito]]+ClientiBanca[[#This Row],[Mutuo]]</f>
        <v>338000</v>
      </c>
      <c r="L2452" t="str">
        <f>IF(ClientiBanca[[#This Row],[Reddito annuo]]&gt;=70000,"si","no")</f>
        <v>no</v>
      </c>
    </row>
    <row r="2453" spans="1:12">
      <c r="A2453">
        <v>102452</v>
      </c>
      <c r="B2453">
        <v>58</v>
      </c>
      <c r="C2453" s="2">
        <v>69000</v>
      </c>
      <c r="D2453" t="s">
        <v>21</v>
      </c>
      <c r="E2453" s="2">
        <v>0</v>
      </c>
      <c r="F2453" s="2">
        <v>72000</v>
      </c>
      <c r="G2453" t="s">
        <v>16</v>
      </c>
      <c r="H2453" t="s">
        <v>14</v>
      </c>
      <c r="I2453" t="s">
        <v>18</v>
      </c>
      <c r="J2453" s="3">
        <v>45543</v>
      </c>
      <c r="K2453" s="4">
        <f>ClientiBanca[[#This Row],[Prestito]]+ClientiBanca[[#This Row],[Mutuo]]</f>
        <v>72000</v>
      </c>
      <c r="L2453" t="str">
        <f>IF(ClientiBanca[[#This Row],[Reddito annuo]]&gt;=70000,"si","no")</f>
        <v>no</v>
      </c>
    </row>
    <row r="2454" spans="1:12">
      <c r="A2454">
        <v>102453</v>
      </c>
      <c r="B2454">
        <v>33</v>
      </c>
      <c r="C2454" s="2">
        <v>73300</v>
      </c>
      <c r="D2454" t="s">
        <v>21</v>
      </c>
      <c r="E2454" s="2">
        <v>0</v>
      </c>
      <c r="F2454" s="2">
        <v>0</v>
      </c>
      <c r="G2454" t="s">
        <v>24</v>
      </c>
      <c r="H2454" t="s">
        <v>14</v>
      </c>
      <c r="I2454" t="s">
        <v>18</v>
      </c>
      <c r="J2454" s="3">
        <v>45796</v>
      </c>
      <c r="K2454" s="4">
        <f>ClientiBanca[[#This Row],[Prestito]]+ClientiBanca[[#This Row],[Mutuo]]</f>
        <v>0</v>
      </c>
      <c r="L2454" t="str">
        <f>IF(ClientiBanca[[#This Row],[Reddito annuo]]&gt;=70000,"si","no")</f>
        <v>si</v>
      </c>
    </row>
    <row r="2455" spans="1:12">
      <c r="A2455">
        <v>102454</v>
      </c>
      <c r="B2455">
        <v>48</v>
      </c>
      <c r="C2455" s="2">
        <v>57600</v>
      </c>
      <c r="D2455" t="s">
        <v>21</v>
      </c>
      <c r="E2455" s="2">
        <v>0</v>
      </c>
      <c r="F2455" s="2">
        <v>0</v>
      </c>
      <c r="G2455" t="s">
        <v>27</v>
      </c>
      <c r="H2455" t="s">
        <v>25</v>
      </c>
      <c r="I2455" t="s">
        <v>18</v>
      </c>
      <c r="J2455" s="3">
        <v>45703</v>
      </c>
      <c r="K2455" s="4">
        <f>ClientiBanca[[#This Row],[Prestito]]+ClientiBanca[[#This Row],[Mutuo]]</f>
        <v>0</v>
      </c>
      <c r="L2455" t="str">
        <f>IF(ClientiBanca[[#This Row],[Reddito annuo]]&gt;=70000,"si","no")</f>
        <v>no</v>
      </c>
    </row>
    <row r="2456" spans="1:12">
      <c r="A2456">
        <v>102455</v>
      </c>
      <c r="B2456">
        <v>39</v>
      </c>
      <c r="C2456" s="2">
        <v>78400</v>
      </c>
      <c r="D2456" t="s">
        <v>21</v>
      </c>
      <c r="E2456" s="2">
        <v>0</v>
      </c>
      <c r="F2456" s="2">
        <v>221000</v>
      </c>
      <c r="G2456" t="s">
        <v>27</v>
      </c>
      <c r="H2456" t="s">
        <v>20</v>
      </c>
      <c r="I2456" t="s">
        <v>18</v>
      </c>
      <c r="J2456" s="3">
        <v>46108</v>
      </c>
      <c r="K2456" s="4">
        <f>ClientiBanca[[#This Row],[Prestito]]+ClientiBanca[[#This Row],[Mutuo]]</f>
        <v>221000</v>
      </c>
      <c r="L2456" t="str">
        <f>IF(ClientiBanca[[#This Row],[Reddito annuo]]&gt;=70000,"si","no")</f>
        <v>si</v>
      </c>
    </row>
    <row r="2457" spans="1:12">
      <c r="A2457">
        <v>102456</v>
      </c>
      <c r="B2457">
        <v>22</v>
      </c>
      <c r="C2457" s="2">
        <v>49000</v>
      </c>
      <c r="D2457" t="s">
        <v>21</v>
      </c>
      <c r="E2457" s="2">
        <v>54100</v>
      </c>
      <c r="F2457" s="2">
        <v>167000</v>
      </c>
      <c r="G2457" t="s">
        <v>27</v>
      </c>
      <c r="H2457" t="s">
        <v>17</v>
      </c>
      <c r="I2457" t="s">
        <v>18</v>
      </c>
      <c r="J2457" s="3">
        <v>45596</v>
      </c>
      <c r="K2457" s="4">
        <f>ClientiBanca[[#This Row],[Prestito]]+ClientiBanca[[#This Row],[Mutuo]]</f>
        <v>221100</v>
      </c>
      <c r="L2457" t="str">
        <f>IF(ClientiBanca[[#This Row],[Reddito annuo]]&gt;=70000,"si","no")</f>
        <v>no</v>
      </c>
    </row>
    <row r="2458" spans="1:12">
      <c r="A2458">
        <v>102457</v>
      </c>
      <c r="B2458">
        <v>66</v>
      </c>
      <c r="C2458" s="2">
        <v>30000</v>
      </c>
      <c r="D2458" t="s">
        <v>22</v>
      </c>
      <c r="E2458" s="2">
        <v>37500</v>
      </c>
      <c r="F2458" s="2">
        <v>0</v>
      </c>
      <c r="G2458" t="s">
        <v>28</v>
      </c>
      <c r="H2458" t="s">
        <v>14</v>
      </c>
      <c r="I2458" t="s">
        <v>18</v>
      </c>
      <c r="J2458" s="3">
        <v>45463</v>
      </c>
      <c r="K2458" s="4">
        <f>ClientiBanca[[#This Row],[Prestito]]+ClientiBanca[[#This Row],[Mutuo]]</f>
        <v>37500</v>
      </c>
      <c r="L2458" t="str">
        <f>IF(ClientiBanca[[#This Row],[Reddito annuo]]&gt;=70000,"si","no")</f>
        <v>no</v>
      </c>
    </row>
    <row r="2459" spans="1:12">
      <c r="A2459">
        <v>102458</v>
      </c>
      <c r="B2459">
        <v>47</v>
      </c>
      <c r="C2459" s="2">
        <v>56600</v>
      </c>
      <c r="D2459" t="s">
        <v>21</v>
      </c>
      <c r="E2459" s="2">
        <v>3800</v>
      </c>
      <c r="F2459" s="2">
        <v>0</v>
      </c>
      <c r="G2459" t="s">
        <v>24</v>
      </c>
      <c r="H2459" t="s">
        <v>20</v>
      </c>
      <c r="I2459" t="s">
        <v>18</v>
      </c>
      <c r="J2459" s="3">
        <v>46015</v>
      </c>
      <c r="K2459" s="4">
        <f>ClientiBanca[[#This Row],[Prestito]]+ClientiBanca[[#This Row],[Mutuo]]</f>
        <v>3800</v>
      </c>
      <c r="L2459" t="str">
        <f>IF(ClientiBanca[[#This Row],[Reddito annuo]]&gt;=70000,"si","no")</f>
        <v>no</v>
      </c>
    </row>
    <row r="2460" spans="1:12">
      <c r="A2460">
        <v>102459</v>
      </c>
      <c r="B2460">
        <v>45</v>
      </c>
      <c r="C2460" s="2">
        <v>40700</v>
      </c>
      <c r="D2460" t="s">
        <v>12</v>
      </c>
      <c r="E2460" s="2">
        <v>0</v>
      </c>
      <c r="F2460" s="2">
        <v>0</v>
      </c>
      <c r="G2460" t="s">
        <v>16</v>
      </c>
      <c r="H2460" t="s">
        <v>25</v>
      </c>
      <c r="I2460" t="s">
        <v>18</v>
      </c>
      <c r="J2460" s="3">
        <v>46106</v>
      </c>
      <c r="K2460" s="4">
        <f>ClientiBanca[[#This Row],[Prestito]]+ClientiBanca[[#This Row],[Mutuo]]</f>
        <v>0</v>
      </c>
      <c r="L2460" t="str">
        <f>IF(ClientiBanca[[#This Row],[Reddito annuo]]&gt;=70000,"si","no")</f>
        <v>no</v>
      </c>
    </row>
    <row r="2461" spans="1:12">
      <c r="A2461">
        <v>102460</v>
      </c>
      <c r="B2461">
        <v>36</v>
      </c>
      <c r="C2461" s="2">
        <v>106900</v>
      </c>
      <c r="D2461" t="s">
        <v>12</v>
      </c>
      <c r="E2461" s="2">
        <v>30900</v>
      </c>
      <c r="F2461" s="2">
        <v>0</v>
      </c>
      <c r="G2461" t="s">
        <v>28</v>
      </c>
      <c r="H2461" t="s">
        <v>17</v>
      </c>
      <c r="I2461" t="s">
        <v>18</v>
      </c>
      <c r="J2461" s="3">
        <v>45827</v>
      </c>
      <c r="K2461" s="4">
        <f>ClientiBanca[[#This Row],[Prestito]]+ClientiBanca[[#This Row],[Mutuo]]</f>
        <v>30900</v>
      </c>
      <c r="L2461" t="str">
        <f>IF(ClientiBanca[[#This Row],[Reddito annuo]]&gt;=70000,"si","no")</f>
        <v>si</v>
      </c>
    </row>
    <row r="2462" spans="1:12">
      <c r="A2462">
        <v>102461</v>
      </c>
      <c r="B2462">
        <v>33</v>
      </c>
      <c r="C2462" s="2">
        <v>116300</v>
      </c>
      <c r="D2462" t="s">
        <v>12</v>
      </c>
      <c r="E2462" s="2">
        <v>32800</v>
      </c>
      <c r="F2462" s="2">
        <v>0</v>
      </c>
      <c r="G2462" t="s">
        <v>26</v>
      </c>
      <c r="H2462" t="s">
        <v>14</v>
      </c>
      <c r="I2462" t="s">
        <v>18</v>
      </c>
      <c r="J2462" s="3">
        <v>45371</v>
      </c>
      <c r="K2462" s="4">
        <f>ClientiBanca[[#This Row],[Prestito]]+ClientiBanca[[#This Row],[Mutuo]]</f>
        <v>32800</v>
      </c>
      <c r="L2462" t="str">
        <f>IF(ClientiBanca[[#This Row],[Reddito annuo]]&gt;=70000,"si","no")</f>
        <v>si</v>
      </c>
    </row>
    <row r="2463" spans="1:12">
      <c r="A2463">
        <v>102462</v>
      </c>
      <c r="B2463">
        <v>36</v>
      </c>
      <c r="C2463" s="2">
        <v>67100</v>
      </c>
      <c r="D2463" t="s">
        <v>12</v>
      </c>
      <c r="E2463" s="2">
        <v>39000</v>
      </c>
      <c r="F2463" s="2">
        <v>0</v>
      </c>
      <c r="G2463" t="s">
        <v>19</v>
      </c>
      <c r="H2463" t="s">
        <v>14</v>
      </c>
      <c r="I2463" t="s">
        <v>15</v>
      </c>
      <c r="J2463" s="3">
        <v>45580</v>
      </c>
      <c r="K2463" s="4">
        <f>ClientiBanca[[#This Row],[Prestito]]+ClientiBanca[[#This Row],[Mutuo]]</f>
        <v>39000</v>
      </c>
      <c r="L2463" t="str">
        <f>IF(ClientiBanca[[#This Row],[Reddito annuo]]&gt;=70000,"si","no")</f>
        <v>no</v>
      </c>
    </row>
    <row r="2464" spans="1:12">
      <c r="A2464">
        <v>102463</v>
      </c>
      <c r="B2464">
        <v>58</v>
      </c>
      <c r="C2464" s="2">
        <v>75800</v>
      </c>
      <c r="D2464" t="s">
        <v>12</v>
      </c>
      <c r="E2464" s="2">
        <v>29200</v>
      </c>
      <c r="F2464" s="2">
        <v>0</v>
      </c>
      <c r="G2464" t="s">
        <v>26</v>
      </c>
      <c r="H2464" t="s">
        <v>20</v>
      </c>
      <c r="I2464" t="s">
        <v>18</v>
      </c>
      <c r="J2464" s="3">
        <v>45519</v>
      </c>
      <c r="K2464" s="4">
        <f>ClientiBanca[[#This Row],[Prestito]]+ClientiBanca[[#This Row],[Mutuo]]</f>
        <v>29200</v>
      </c>
      <c r="L2464" t="str">
        <f>IF(ClientiBanca[[#This Row],[Reddito annuo]]&gt;=70000,"si","no")</f>
        <v>si</v>
      </c>
    </row>
    <row r="2465" spans="1:12">
      <c r="A2465">
        <v>102464</v>
      </c>
      <c r="B2465">
        <v>57</v>
      </c>
      <c r="C2465" s="2">
        <v>44400</v>
      </c>
      <c r="D2465" t="s">
        <v>21</v>
      </c>
      <c r="E2465" s="2">
        <v>16900</v>
      </c>
      <c r="F2465" s="2">
        <v>0</v>
      </c>
      <c r="G2465" t="s">
        <v>13</v>
      </c>
      <c r="H2465" t="s">
        <v>14</v>
      </c>
      <c r="I2465" t="s">
        <v>18</v>
      </c>
      <c r="J2465" s="3">
        <v>45629</v>
      </c>
      <c r="K2465" s="4">
        <f>ClientiBanca[[#This Row],[Prestito]]+ClientiBanca[[#This Row],[Mutuo]]</f>
        <v>16900</v>
      </c>
      <c r="L2465" t="str">
        <f>IF(ClientiBanca[[#This Row],[Reddito annuo]]&gt;=70000,"si","no")</f>
        <v>no</v>
      </c>
    </row>
    <row r="2466" spans="1:12">
      <c r="A2466">
        <v>102465</v>
      </c>
      <c r="B2466">
        <v>59</v>
      </c>
      <c r="C2466" s="2">
        <v>46200</v>
      </c>
      <c r="D2466" t="s">
        <v>22</v>
      </c>
      <c r="E2466" s="2">
        <v>6800</v>
      </c>
      <c r="F2466" s="2">
        <v>0</v>
      </c>
      <c r="G2466" t="s">
        <v>24</v>
      </c>
      <c r="H2466" t="s">
        <v>17</v>
      </c>
      <c r="I2466" t="s">
        <v>18</v>
      </c>
      <c r="J2466" s="3">
        <v>46007</v>
      </c>
      <c r="K2466" s="4">
        <f>ClientiBanca[[#This Row],[Prestito]]+ClientiBanca[[#This Row],[Mutuo]]</f>
        <v>6800</v>
      </c>
      <c r="L2466" t="str">
        <f>IF(ClientiBanca[[#This Row],[Reddito annuo]]&gt;=70000,"si","no")</f>
        <v>no</v>
      </c>
    </row>
    <row r="2467" spans="1:12">
      <c r="A2467">
        <v>102466</v>
      </c>
      <c r="B2467">
        <v>30</v>
      </c>
      <c r="C2467" s="2">
        <v>37200</v>
      </c>
      <c r="D2467" t="s">
        <v>21</v>
      </c>
      <c r="E2467" s="2">
        <v>35500</v>
      </c>
      <c r="F2467" s="2">
        <v>0</v>
      </c>
      <c r="G2467" t="s">
        <v>28</v>
      </c>
      <c r="H2467" t="s">
        <v>17</v>
      </c>
      <c r="I2467" t="s">
        <v>18</v>
      </c>
      <c r="J2467" s="3">
        <v>46243</v>
      </c>
      <c r="K2467" s="4">
        <f>ClientiBanca[[#This Row],[Prestito]]+ClientiBanca[[#This Row],[Mutuo]]</f>
        <v>35500</v>
      </c>
      <c r="L2467" t="str">
        <f>IF(ClientiBanca[[#This Row],[Reddito annuo]]&gt;=70000,"si","no")</f>
        <v>no</v>
      </c>
    </row>
    <row r="2468" spans="1:12">
      <c r="A2468">
        <v>102467</v>
      </c>
      <c r="B2468">
        <v>60</v>
      </c>
      <c r="C2468" s="2">
        <v>38800</v>
      </c>
      <c r="D2468" t="s">
        <v>21</v>
      </c>
      <c r="E2468" s="2">
        <v>33900</v>
      </c>
      <c r="F2468" s="2">
        <v>0</v>
      </c>
      <c r="G2468" t="s">
        <v>24</v>
      </c>
      <c r="H2468" t="s">
        <v>25</v>
      </c>
      <c r="I2468" t="s">
        <v>15</v>
      </c>
      <c r="J2468" s="3">
        <v>45753</v>
      </c>
      <c r="K2468" s="4">
        <f>ClientiBanca[[#This Row],[Prestito]]+ClientiBanca[[#This Row],[Mutuo]]</f>
        <v>33900</v>
      </c>
      <c r="L2468" t="str">
        <f>IF(ClientiBanca[[#This Row],[Reddito annuo]]&gt;=70000,"si","no")</f>
        <v>no</v>
      </c>
    </row>
    <row r="2469" spans="1:12">
      <c r="A2469">
        <v>102468</v>
      </c>
      <c r="B2469">
        <v>53</v>
      </c>
      <c r="C2469" s="2">
        <v>70700</v>
      </c>
      <c r="D2469" t="s">
        <v>12</v>
      </c>
      <c r="E2469" s="2">
        <v>43400</v>
      </c>
      <c r="F2469" s="2">
        <v>0</v>
      </c>
      <c r="G2469" t="s">
        <v>26</v>
      </c>
      <c r="H2469" t="s">
        <v>20</v>
      </c>
      <c r="I2469" t="s">
        <v>18</v>
      </c>
      <c r="J2469" s="3">
        <v>45685</v>
      </c>
      <c r="K2469" s="4">
        <f>ClientiBanca[[#This Row],[Prestito]]+ClientiBanca[[#This Row],[Mutuo]]</f>
        <v>43400</v>
      </c>
      <c r="L2469" t="str">
        <f>IF(ClientiBanca[[#This Row],[Reddito annuo]]&gt;=70000,"si","no")</f>
        <v>si</v>
      </c>
    </row>
    <row r="2470" spans="1:12">
      <c r="A2470">
        <v>102469</v>
      </c>
      <c r="B2470">
        <v>64</v>
      </c>
      <c r="C2470" s="2">
        <v>32400</v>
      </c>
      <c r="D2470" t="s">
        <v>12</v>
      </c>
      <c r="E2470" s="2">
        <v>21300</v>
      </c>
      <c r="F2470" s="2">
        <v>0</v>
      </c>
      <c r="G2470" t="s">
        <v>16</v>
      </c>
      <c r="H2470" t="s">
        <v>17</v>
      </c>
      <c r="I2470" t="s">
        <v>18</v>
      </c>
      <c r="J2470" s="3">
        <v>45880</v>
      </c>
      <c r="K2470" s="4">
        <f>ClientiBanca[[#This Row],[Prestito]]+ClientiBanca[[#This Row],[Mutuo]]</f>
        <v>21300</v>
      </c>
      <c r="L2470" t="str">
        <f>IF(ClientiBanca[[#This Row],[Reddito annuo]]&gt;=70000,"si","no")</f>
        <v>no</v>
      </c>
    </row>
    <row r="2471" spans="1:12">
      <c r="A2471">
        <v>102470</v>
      </c>
      <c r="B2471">
        <v>58</v>
      </c>
      <c r="C2471" s="2">
        <v>62400</v>
      </c>
      <c r="D2471" t="s">
        <v>22</v>
      </c>
      <c r="E2471" s="2">
        <v>7900</v>
      </c>
      <c r="F2471" s="2">
        <v>0</v>
      </c>
      <c r="G2471" t="s">
        <v>16</v>
      </c>
      <c r="H2471" t="s">
        <v>17</v>
      </c>
      <c r="I2471" t="s">
        <v>18</v>
      </c>
      <c r="J2471" s="3">
        <v>45872</v>
      </c>
      <c r="K2471" s="4">
        <f>ClientiBanca[[#This Row],[Prestito]]+ClientiBanca[[#This Row],[Mutuo]]</f>
        <v>7900</v>
      </c>
      <c r="L2471" t="str">
        <f>IF(ClientiBanca[[#This Row],[Reddito annuo]]&gt;=70000,"si","no")</f>
        <v>no</v>
      </c>
    </row>
    <row r="2472" spans="1:12">
      <c r="A2472">
        <v>102471</v>
      </c>
      <c r="B2472">
        <v>69</v>
      </c>
      <c r="C2472" s="2">
        <v>85200</v>
      </c>
      <c r="D2472" t="s">
        <v>21</v>
      </c>
      <c r="E2472" s="2">
        <v>20700</v>
      </c>
      <c r="F2472" s="2">
        <v>235000</v>
      </c>
      <c r="G2472" t="s">
        <v>28</v>
      </c>
      <c r="H2472" t="s">
        <v>20</v>
      </c>
      <c r="I2472" t="s">
        <v>18</v>
      </c>
      <c r="J2472" s="3">
        <v>45414</v>
      </c>
      <c r="K2472" s="4">
        <f>ClientiBanca[[#This Row],[Prestito]]+ClientiBanca[[#This Row],[Mutuo]]</f>
        <v>255700</v>
      </c>
      <c r="L2472" t="str">
        <f>IF(ClientiBanca[[#This Row],[Reddito annuo]]&gt;=70000,"si","no")</f>
        <v>si</v>
      </c>
    </row>
    <row r="2473" spans="1:12">
      <c r="A2473">
        <v>102472</v>
      </c>
      <c r="B2473">
        <v>23</v>
      </c>
      <c r="C2473" s="2">
        <v>90200</v>
      </c>
      <c r="D2473" t="s">
        <v>21</v>
      </c>
      <c r="E2473" s="2">
        <v>0</v>
      </c>
      <c r="F2473" s="2">
        <v>0</v>
      </c>
      <c r="G2473" t="s">
        <v>16</v>
      </c>
      <c r="H2473" t="s">
        <v>20</v>
      </c>
      <c r="I2473" t="s">
        <v>18</v>
      </c>
      <c r="J2473" s="3">
        <v>45299</v>
      </c>
      <c r="K2473" s="4">
        <f>ClientiBanca[[#This Row],[Prestito]]+ClientiBanca[[#This Row],[Mutuo]]</f>
        <v>0</v>
      </c>
      <c r="L2473" t="str">
        <f>IF(ClientiBanca[[#This Row],[Reddito annuo]]&gt;=70000,"si","no")</f>
        <v>si</v>
      </c>
    </row>
    <row r="2474" spans="1:12">
      <c r="A2474">
        <v>102473</v>
      </c>
      <c r="B2474">
        <v>26</v>
      </c>
      <c r="C2474" s="2">
        <v>54300</v>
      </c>
      <c r="D2474" t="s">
        <v>21</v>
      </c>
      <c r="E2474" s="2">
        <v>30900</v>
      </c>
      <c r="F2474" s="2">
        <v>0</v>
      </c>
      <c r="G2474" t="s">
        <v>26</v>
      </c>
      <c r="H2474" t="s">
        <v>17</v>
      </c>
      <c r="I2474" t="s">
        <v>18</v>
      </c>
      <c r="J2474" s="3">
        <v>45827</v>
      </c>
      <c r="K2474" s="4">
        <f>ClientiBanca[[#This Row],[Prestito]]+ClientiBanca[[#This Row],[Mutuo]]</f>
        <v>30900</v>
      </c>
      <c r="L2474" t="str">
        <f>IF(ClientiBanca[[#This Row],[Reddito annuo]]&gt;=70000,"si","no")</f>
        <v>no</v>
      </c>
    </row>
    <row r="2475" spans="1:12">
      <c r="A2475">
        <v>102474</v>
      </c>
      <c r="B2475">
        <v>45</v>
      </c>
      <c r="C2475" s="2">
        <v>48300</v>
      </c>
      <c r="D2475" t="s">
        <v>12</v>
      </c>
      <c r="E2475" s="2">
        <v>33400</v>
      </c>
      <c r="F2475" s="2">
        <v>365000</v>
      </c>
      <c r="G2475" t="s">
        <v>26</v>
      </c>
      <c r="H2475" t="s">
        <v>17</v>
      </c>
      <c r="I2475" t="s">
        <v>18</v>
      </c>
      <c r="J2475" s="3">
        <v>45299</v>
      </c>
      <c r="K2475" s="4">
        <f>ClientiBanca[[#This Row],[Prestito]]+ClientiBanca[[#This Row],[Mutuo]]</f>
        <v>398400</v>
      </c>
      <c r="L2475" t="str">
        <f>IF(ClientiBanca[[#This Row],[Reddito annuo]]&gt;=70000,"si","no")</f>
        <v>no</v>
      </c>
    </row>
    <row r="2476" spans="1:12">
      <c r="A2476">
        <v>102475</v>
      </c>
      <c r="B2476">
        <v>23</v>
      </c>
      <c r="C2476" s="2">
        <v>52200</v>
      </c>
      <c r="D2476" t="s">
        <v>21</v>
      </c>
      <c r="E2476" s="2">
        <v>55200</v>
      </c>
      <c r="F2476" s="2">
        <v>0</v>
      </c>
      <c r="G2476" t="s">
        <v>24</v>
      </c>
      <c r="H2476" t="s">
        <v>20</v>
      </c>
      <c r="I2476" t="s">
        <v>18</v>
      </c>
      <c r="J2476" s="3">
        <v>45365</v>
      </c>
      <c r="K2476" s="4">
        <f>ClientiBanca[[#This Row],[Prestito]]+ClientiBanca[[#This Row],[Mutuo]]</f>
        <v>55200</v>
      </c>
      <c r="L2476" t="str">
        <f>IF(ClientiBanca[[#This Row],[Reddito annuo]]&gt;=70000,"si","no")</f>
        <v>no</v>
      </c>
    </row>
    <row r="2477" spans="1:12">
      <c r="A2477">
        <v>102476</v>
      </c>
      <c r="B2477">
        <v>46</v>
      </c>
      <c r="C2477" s="2">
        <v>52000</v>
      </c>
      <c r="D2477" t="s">
        <v>21</v>
      </c>
      <c r="E2477" s="2">
        <v>17700</v>
      </c>
      <c r="F2477" s="2">
        <v>169000</v>
      </c>
      <c r="G2477" t="s">
        <v>13</v>
      </c>
      <c r="H2477" t="s">
        <v>14</v>
      </c>
      <c r="I2477" t="s">
        <v>18</v>
      </c>
      <c r="J2477" s="3">
        <v>45775</v>
      </c>
      <c r="K2477" s="4">
        <f>ClientiBanca[[#This Row],[Prestito]]+ClientiBanca[[#This Row],[Mutuo]]</f>
        <v>186700</v>
      </c>
      <c r="L2477" t="str">
        <f>IF(ClientiBanca[[#This Row],[Reddito annuo]]&gt;=70000,"si","no")</f>
        <v>no</v>
      </c>
    </row>
    <row r="2478" spans="1:12">
      <c r="A2478">
        <v>102477</v>
      </c>
      <c r="B2478">
        <v>38</v>
      </c>
      <c r="C2478" s="2">
        <v>21600</v>
      </c>
      <c r="D2478" t="s">
        <v>12</v>
      </c>
      <c r="E2478" s="2">
        <v>0</v>
      </c>
      <c r="F2478" s="2">
        <v>0</v>
      </c>
      <c r="G2478" t="s">
        <v>16</v>
      </c>
      <c r="H2478" t="s">
        <v>25</v>
      </c>
      <c r="I2478" t="s">
        <v>18</v>
      </c>
      <c r="J2478" s="3">
        <v>45728</v>
      </c>
      <c r="K2478" s="4">
        <f>ClientiBanca[[#This Row],[Prestito]]+ClientiBanca[[#This Row],[Mutuo]]</f>
        <v>0</v>
      </c>
      <c r="L2478" t="str">
        <f>IF(ClientiBanca[[#This Row],[Reddito annuo]]&gt;=70000,"si","no")</f>
        <v>no</v>
      </c>
    </row>
    <row r="2479" spans="1:12">
      <c r="A2479">
        <v>102478</v>
      </c>
      <c r="B2479">
        <v>21</v>
      </c>
      <c r="C2479" s="2">
        <v>60700</v>
      </c>
      <c r="D2479" t="s">
        <v>21</v>
      </c>
      <c r="E2479" s="2">
        <v>32000</v>
      </c>
      <c r="F2479" s="2">
        <v>110000</v>
      </c>
      <c r="G2479" t="s">
        <v>27</v>
      </c>
      <c r="H2479" t="s">
        <v>25</v>
      </c>
      <c r="I2479" t="s">
        <v>18</v>
      </c>
      <c r="J2479" s="3">
        <v>45338</v>
      </c>
      <c r="K2479" s="4">
        <f>ClientiBanca[[#This Row],[Prestito]]+ClientiBanca[[#This Row],[Mutuo]]</f>
        <v>142000</v>
      </c>
      <c r="L2479" t="str">
        <f>IF(ClientiBanca[[#This Row],[Reddito annuo]]&gt;=70000,"si","no")</f>
        <v>no</v>
      </c>
    </row>
    <row r="2480" spans="1:12">
      <c r="A2480">
        <v>102479</v>
      </c>
      <c r="B2480">
        <v>59</v>
      </c>
      <c r="C2480" s="2">
        <v>46800</v>
      </c>
      <c r="D2480" t="s">
        <v>22</v>
      </c>
      <c r="E2480" s="2">
        <v>19300</v>
      </c>
      <c r="F2480" s="2">
        <v>0</v>
      </c>
      <c r="G2480" t="s">
        <v>27</v>
      </c>
      <c r="H2480" t="s">
        <v>20</v>
      </c>
      <c r="I2480" t="s">
        <v>18</v>
      </c>
      <c r="J2480" s="3">
        <v>45632</v>
      </c>
      <c r="K2480" s="4">
        <f>ClientiBanca[[#This Row],[Prestito]]+ClientiBanca[[#This Row],[Mutuo]]</f>
        <v>19300</v>
      </c>
      <c r="L2480" t="str">
        <f>IF(ClientiBanca[[#This Row],[Reddito annuo]]&gt;=70000,"si","no")</f>
        <v>no</v>
      </c>
    </row>
    <row r="2481" spans="1:12">
      <c r="A2481">
        <v>102480</v>
      </c>
      <c r="B2481">
        <v>66</v>
      </c>
      <c r="C2481" s="2">
        <v>29400</v>
      </c>
      <c r="D2481" t="s">
        <v>12</v>
      </c>
      <c r="E2481" s="2">
        <v>8500</v>
      </c>
      <c r="F2481" s="2">
        <v>0</v>
      </c>
      <c r="G2481" t="s">
        <v>26</v>
      </c>
      <c r="H2481" t="s">
        <v>14</v>
      </c>
      <c r="I2481" t="s">
        <v>18</v>
      </c>
      <c r="J2481" s="3">
        <v>45976</v>
      </c>
      <c r="K2481" s="4">
        <f>ClientiBanca[[#This Row],[Prestito]]+ClientiBanca[[#This Row],[Mutuo]]</f>
        <v>8500</v>
      </c>
      <c r="L2481" t="str">
        <f>IF(ClientiBanca[[#This Row],[Reddito annuo]]&gt;=70000,"si","no")</f>
        <v>no</v>
      </c>
    </row>
    <row r="2482" spans="1:12">
      <c r="A2482">
        <v>102481</v>
      </c>
      <c r="B2482">
        <v>57</v>
      </c>
      <c r="C2482" s="2">
        <v>23700</v>
      </c>
      <c r="D2482" t="s">
        <v>12</v>
      </c>
      <c r="E2482" s="2">
        <v>29600</v>
      </c>
      <c r="F2482" s="2">
        <v>0</v>
      </c>
      <c r="G2482" t="s">
        <v>28</v>
      </c>
      <c r="H2482" t="s">
        <v>14</v>
      </c>
      <c r="I2482" t="s">
        <v>18</v>
      </c>
      <c r="J2482" s="3">
        <v>46208</v>
      </c>
      <c r="K2482" s="4">
        <f>ClientiBanca[[#This Row],[Prestito]]+ClientiBanca[[#This Row],[Mutuo]]</f>
        <v>29600</v>
      </c>
      <c r="L2482" t="str">
        <f>IF(ClientiBanca[[#This Row],[Reddito annuo]]&gt;=70000,"si","no")</f>
        <v>no</v>
      </c>
    </row>
    <row r="2483" spans="1:12">
      <c r="A2483">
        <v>102482</v>
      </c>
      <c r="B2483">
        <v>56</v>
      </c>
      <c r="C2483" s="2">
        <v>95300</v>
      </c>
      <c r="D2483" t="s">
        <v>21</v>
      </c>
      <c r="E2483" s="2">
        <v>82100</v>
      </c>
      <c r="F2483" s="2">
        <v>0</v>
      </c>
      <c r="G2483" t="s">
        <v>13</v>
      </c>
      <c r="H2483" t="s">
        <v>20</v>
      </c>
      <c r="I2483" t="s">
        <v>18</v>
      </c>
      <c r="J2483" s="3">
        <v>45568</v>
      </c>
      <c r="K2483" s="4">
        <f>ClientiBanca[[#This Row],[Prestito]]+ClientiBanca[[#This Row],[Mutuo]]</f>
        <v>82100</v>
      </c>
      <c r="L2483" t="str">
        <f>IF(ClientiBanca[[#This Row],[Reddito annuo]]&gt;=70000,"si","no")</f>
        <v>si</v>
      </c>
    </row>
    <row r="2484" spans="1:12">
      <c r="A2484">
        <v>102483</v>
      </c>
      <c r="B2484">
        <v>53</v>
      </c>
      <c r="C2484" s="2">
        <v>24000</v>
      </c>
      <c r="D2484" t="s">
        <v>21</v>
      </c>
      <c r="E2484" s="2">
        <v>19000</v>
      </c>
      <c r="F2484" s="2">
        <v>0</v>
      </c>
      <c r="G2484" t="s">
        <v>16</v>
      </c>
      <c r="H2484" t="s">
        <v>14</v>
      </c>
      <c r="I2484" t="s">
        <v>18</v>
      </c>
      <c r="J2484" s="3">
        <v>45813</v>
      </c>
      <c r="K2484" s="4">
        <f>ClientiBanca[[#This Row],[Prestito]]+ClientiBanca[[#This Row],[Mutuo]]</f>
        <v>19000</v>
      </c>
      <c r="L2484" t="str">
        <f>IF(ClientiBanca[[#This Row],[Reddito annuo]]&gt;=70000,"si","no")</f>
        <v>no</v>
      </c>
    </row>
    <row r="2485" spans="1:12">
      <c r="A2485">
        <v>102484</v>
      </c>
      <c r="B2485">
        <v>20</v>
      </c>
      <c r="C2485" s="2">
        <v>65100</v>
      </c>
      <c r="D2485" t="s">
        <v>21</v>
      </c>
      <c r="E2485" s="2">
        <v>19800</v>
      </c>
      <c r="F2485" s="2">
        <v>0</v>
      </c>
      <c r="G2485" t="s">
        <v>27</v>
      </c>
      <c r="H2485" t="s">
        <v>14</v>
      </c>
      <c r="I2485" t="s">
        <v>18</v>
      </c>
      <c r="J2485" s="3">
        <v>45935</v>
      </c>
      <c r="K2485" s="4">
        <f>ClientiBanca[[#This Row],[Prestito]]+ClientiBanca[[#This Row],[Mutuo]]</f>
        <v>19800</v>
      </c>
      <c r="L2485" t="str">
        <f>IF(ClientiBanca[[#This Row],[Reddito annuo]]&gt;=70000,"si","no")</f>
        <v>no</v>
      </c>
    </row>
    <row r="2486" spans="1:12">
      <c r="A2486">
        <v>102485</v>
      </c>
      <c r="B2486">
        <v>68</v>
      </c>
      <c r="C2486" s="2">
        <v>63300</v>
      </c>
      <c r="D2486" t="s">
        <v>21</v>
      </c>
      <c r="E2486" s="2">
        <v>0</v>
      </c>
      <c r="F2486" s="2">
        <v>260000</v>
      </c>
      <c r="G2486" t="s">
        <v>26</v>
      </c>
      <c r="H2486" t="s">
        <v>20</v>
      </c>
      <c r="I2486" t="s">
        <v>18</v>
      </c>
      <c r="J2486" s="3">
        <v>45958</v>
      </c>
      <c r="K2486" s="4">
        <f>ClientiBanca[[#This Row],[Prestito]]+ClientiBanca[[#This Row],[Mutuo]]</f>
        <v>260000</v>
      </c>
      <c r="L2486" t="str">
        <f>IF(ClientiBanca[[#This Row],[Reddito annuo]]&gt;=70000,"si","no")</f>
        <v>no</v>
      </c>
    </row>
    <row r="2487" spans="1:12">
      <c r="A2487">
        <v>102486</v>
      </c>
      <c r="B2487">
        <v>75</v>
      </c>
      <c r="C2487" s="2">
        <v>86600</v>
      </c>
      <c r="D2487" t="s">
        <v>21</v>
      </c>
      <c r="E2487" s="2">
        <v>13300</v>
      </c>
      <c r="F2487" s="2">
        <v>0</v>
      </c>
      <c r="G2487" t="s">
        <v>24</v>
      </c>
      <c r="H2487" t="s">
        <v>20</v>
      </c>
      <c r="I2487" t="s">
        <v>18</v>
      </c>
      <c r="J2487" s="3">
        <v>46153</v>
      </c>
      <c r="K2487" s="4">
        <f>ClientiBanca[[#This Row],[Prestito]]+ClientiBanca[[#This Row],[Mutuo]]</f>
        <v>13300</v>
      </c>
      <c r="L2487" t="str">
        <f>IF(ClientiBanca[[#This Row],[Reddito annuo]]&gt;=70000,"si","no")</f>
        <v>si</v>
      </c>
    </row>
    <row r="2488" spans="1:12">
      <c r="A2488">
        <v>102487</v>
      </c>
      <c r="B2488">
        <v>75</v>
      </c>
      <c r="C2488" s="2">
        <v>24900</v>
      </c>
      <c r="D2488" t="s">
        <v>21</v>
      </c>
      <c r="E2488" s="2">
        <v>9600</v>
      </c>
      <c r="F2488" s="2">
        <v>268000</v>
      </c>
      <c r="G2488" t="s">
        <v>28</v>
      </c>
      <c r="H2488" t="s">
        <v>17</v>
      </c>
      <c r="I2488" t="s">
        <v>18</v>
      </c>
      <c r="J2488" s="3">
        <v>45763</v>
      </c>
      <c r="K2488" s="4">
        <f>ClientiBanca[[#This Row],[Prestito]]+ClientiBanca[[#This Row],[Mutuo]]</f>
        <v>277600</v>
      </c>
      <c r="L2488" t="str">
        <f>IF(ClientiBanca[[#This Row],[Reddito annuo]]&gt;=70000,"si","no")</f>
        <v>no</v>
      </c>
    </row>
    <row r="2489" spans="1:12">
      <c r="A2489">
        <v>102488</v>
      </c>
      <c r="B2489">
        <v>43</v>
      </c>
      <c r="C2489" s="2">
        <v>68000</v>
      </c>
      <c r="D2489" t="s">
        <v>22</v>
      </c>
      <c r="E2489" s="2">
        <v>23800</v>
      </c>
      <c r="F2489" s="2">
        <v>0</v>
      </c>
      <c r="G2489" t="s">
        <v>16</v>
      </c>
      <c r="H2489" t="s">
        <v>14</v>
      </c>
      <c r="I2489" t="s">
        <v>18</v>
      </c>
      <c r="J2489" s="3">
        <v>45995</v>
      </c>
      <c r="K2489" s="4">
        <f>ClientiBanca[[#This Row],[Prestito]]+ClientiBanca[[#This Row],[Mutuo]]</f>
        <v>23800</v>
      </c>
      <c r="L2489" t="str">
        <f>IF(ClientiBanca[[#This Row],[Reddito annuo]]&gt;=70000,"si","no")</f>
        <v>no</v>
      </c>
    </row>
    <row r="2490" spans="1:12">
      <c r="A2490">
        <v>102489</v>
      </c>
      <c r="B2490">
        <v>53</v>
      </c>
      <c r="C2490" s="2">
        <v>77600</v>
      </c>
      <c r="D2490" t="s">
        <v>21</v>
      </c>
      <c r="E2490" s="2">
        <v>50600</v>
      </c>
      <c r="F2490" s="2">
        <v>232000</v>
      </c>
      <c r="G2490" t="s">
        <v>16</v>
      </c>
      <c r="H2490" t="s">
        <v>17</v>
      </c>
      <c r="I2490" t="s">
        <v>18</v>
      </c>
      <c r="J2490" s="3">
        <v>45575</v>
      </c>
      <c r="K2490" s="4">
        <f>ClientiBanca[[#This Row],[Prestito]]+ClientiBanca[[#This Row],[Mutuo]]</f>
        <v>282600</v>
      </c>
      <c r="L2490" t="str">
        <f>IF(ClientiBanca[[#This Row],[Reddito annuo]]&gt;=70000,"si","no")</f>
        <v>si</v>
      </c>
    </row>
    <row r="2491" spans="1:12">
      <c r="A2491">
        <v>102490</v>
      </c>
      <c r="B2491">
        <v>26</v>
      </c>
      <c r="C2491" s="2">
        <v>64900</v>
      </c>
      <c r="D2491" t="s">
        <v>21</v>
      </c>
      <c r="E2491" s="2">
        <v>19700</v>
      </c>
      <c r="F2491" s="2">
        <v>0</v>
      </c>
      <c r="G2491" t="s">
        <v>16</v>
      </c>
      <c r="H2491" t="s">
        <v>20</v>
      </c>
      <c r="I2491" t="s">
        <v>18</v>
      </c>
      <c r="J2491" s="3">
        <v>46031</v>
      </c>
      <c r="K2491" s="4">
        <f>ClientiBanca[[#This Row],[Prestito]]+ClientiBanca[[#This Row],[Mutuo]]</f>
        <v>19700</v>
      </c>
      <c r="L2491" t="str">
        <f>IF(ClientiBanca[[#This Row],[Reddito annuo]]&gt;=70000,"si","no")</f>
        <v>no</v>
      </c>
    </row>
    <row r="2492" spans="1:12">
      <c r="A2492">
        <v>102491</v>
      </c>
      <c r="B2492">
        <v>55</v>
      </c>
      <c r="C2492" s="2">
        <v>51600</v>
      </c>
      <c r="D2492" t="s">
        <v>12</v>
      </c>
      <c r="E2492" s="2">
        <v>31500</v>
      </c>
      <c r="F2492" s="2">
        <v>0</v>
      </c>
      <c r="G2492" t="s">
        <v>26</v>
      </c>
      <c r="H2492" t="s">
        <v>14</v>
      </c>
      <c r="I2492" t="s">
        <v>18</v>
      </c>
      <c r="J2492" s="3">
        <v>46161</v>
      </c>
      <c r="K2492" s="4">
        <f>ClientiBanca[[#This Row],[Prestito]]+ClientiBanca[[#This Row],[Mutuo]]</f>
        <v>31500</v>
      </c>
      <c r="L2492" t="str">
        <f>IF(ClientiBanca[[#This Row],[Reddito annuo]]&gt;=70000,"si","no")</f>
        <v>no</v>
      </c>
    </row>
    <row r="2493" spans="1:12">
      <c r="A2493">
        <v>102492</v>
      </c>
      <c r="B2493">
        <v>48</v>
      </c>
      <c r="C2493" s="2">
        <v>40700</v>
      </c>
      <c r="D2493" t="s">
        <v>21</v>
      </c>
      <c r="E2493" s="2">
        <v>50900</v>
      </c>
      <c r="F2493" s="2">
        <v>0</v>
      </c>
      <c r="G2493" t="s">
        <v>13</v>
      </c>
      <c r="H2493" t="s">
        <v>17</v>
      </c>
      <c r="I2493" t="s">
        <v>18</v>
      </c>
      <c r="J2493" s="3">
        <v>45834</v>
      </c>
      <c r="K2493" s="4">
        <f>ClientiBanca[[#This Row],[Prestito]]+ClientiBanca[[#This Row],[Mutuo]]</f>
        <v>50900</v>
      </c>
      <c r="L2493" t="str">
        <f>IF(ClientiBanca[[#This Row],[Reddito annuo]]&gt;=70000,"si","no")</f>
        <v>no</v>
      </c>
    </row>
    <row r="2494" spans="1:12">
      <c r="A2494">
        <v>102493</v>
      </c>
      <c r="B2494">
        <v>71</v>
      </c>
      <c r="C2494" s="2">
        <v>81800</v>
      </c>
      <c r="D2494" t="s">
        <v>21</v>
      </c>
      <c r="E2494" s="2">
        <v>23200</v>
      </c>
      <c r="F2494" s="2">
        <v>184000</v>
      </c>
      <c r="G2494" t="s">
        <v>19</v>
      </c>
      <c r="H2494" t="s">
        <v>14</v>
      </c>
      <c r="I2494" t="s">
        <v>18</v>
      </c>
      <c r="J2494" s="3">
        <v>45716</v>
      </c>
      <c r="K2494" s="4">
        <f>ClientiBanca[[#This Row],[Prestito]]+ClientiBanca[[#This Row],[Mutuo]]</f>
        <v>207200</v>
      </c>
      <c r="L2494" t="str">
        <f>IF(ClientiBanca[[#This Row],[Reddito annuo]]&gt;=70000,"si","no")</f>
        <v>si</v>
      </c>
    </row>
    <row r="2495" spans="1:12">
      <c r="A2495">
        <v>102494</v>
      </c>
      <c r="B2495">
        <v>59</v>
      </c>
      <c r="C2495" s="2">
        <v>63300</v>
      </c>
      <c r="D2495" t="s">
        <v>22</v>
      </c>
      <c r="E2495" s="2">
        <v>0</v>
      </c>
      <c r="F2495" s="2">
        <v>0</v>
      </c>
      <c r="G2495" t="s">
        <v>23</v>
      </c>
      <c r="H2495" t="s">
        <v>20</v>
      </c>
      <c r="I2495" t="s">
        <v>18</v>
      </c>
      <c r="J2495" s="3">
        <v>46034</v>
      </c>
      <c r="K2495" s="4">
        <f>ClientiBanca[[#This Row],[Prestito]]+ClientiBanca[[#This Row],[Mutuo]]</f>
        <v>0</v>
      </c>
      <c r="L2495" t="str">
        <f>IF(ClientiBanca[[#This Row],[Reddito annuo]]&gt;=70000,"si","no")</f>
        <v>no</v>
      </c>
    </row>
    <row r="2496" spans="1:12">
      <c r="A2496">
        <v>102495</v>
      </c>
      <c r="B2496">
        <v>29</v>
      </c>
      <c r="C2496" s="2">
        <v>42300</v>
      </c>
      <c r="D2496" t="s">
        <v>21</v>
      </c>
      <c r="E2496" s="2">
        <v>33900</v>
      </c>
      <c r="F2496" s="2">
        <v>0</v>
      </c>
      <c r="G2496" t="s">
        <v>24</v>
      </c>
      <c r="H2496" t="s">
        <v>25</v>
      </c>
      <c r="I2496" t="s">
        <v>18</v>
      </c>
      <c r="J2496" s="3">
        <v>45987</v>
      </c>
      <c r="K2496" s="4">
        <f>ClientiBanca[[#This Row],[Prestito]]+ClientiBanca[[#This Row],[Mutuo]]</f>
        <v>33900</v>
      </c>
      <c r="L2496" t="str">
        <f>IF(ClientiBanca[[#This Row],[Reddito annuo]]&gt;=70000,"si","no")</f>
        <v>no</v>
      </c>
    </row>
    <row r="2497" spans="1:12">
      <c r="A2497">
        <v>102496</v>
      </c>
      <c r="B2497">
        <v>72</v>
      </c>
      <c r="C2497" s="2">
        <v>65100</v>
      </c>
      <c r="D2497" t="s">
        <v>21</v>
      </c>
      <c r="E2497" s="2">
        <v>0</v>
      </c>
      <c r="F2497" s="2">
        <v>0</v>
      </c>
      <c r="G2497" t="s">
        <v>16</v>
      </c>
      <c r="H2497" t="s">
        <v>17</v>
      </c>
      <c r="I2497" t="s">
        <v>18</v>
      </c>
      <c r="J2497" s="3">
        <v>45571</v>
      </c>
      <c r="K2497" s="4">
        <f>ClientiBanca[[#This Row],[Prestito]]+ClientiBanca[[#This Row],[Mutuo]]</f>
        <v>0</v>
      </c>
      <c r="L2497" t="str">
        <f>IF(ClientiBanca[[#This Row],[Reddito annuo]]&gt;=70000,"si","no")</f>
        <v>no</v>
      </c>
    </row>
    <row r="2498" spans="1:12">
      <c r="A2498">
        <v>102497</v>
      </c>
      <c r="B2498">
        <v>75</v>
      </c>
      <c r="C2498" s="2">
        <v>85500</v>
      </c>
      <c r="D2498" t="s">
        <v>12</v>
      </c>
      <c r="E2498" s="2">
        <v>10900</v>
      </c>
      <c r="F2498" s="2">
        <v>0</v>
      </c>
      <c r="G2498" t="s">
        <v>26</v>
      </c>
      <c r="H2498" t="s">
        <v>17</v>
      </c>
      <c r="I2498" t="s">
        <v>18</v>
      </c>
      <c r="J2498" s="3">
        <v>45886</v>
      </c>
      <c r="K2498" s="4">
        <f>ClientiBanca[[#This Row],[Prestito]]+ClientiBanca[[#This Row],[Mutuo]]</f>
        <v>10900</v>
      </c>
      <c r="L2498" t="str">
        <f>IF(ClientiBanca[[#This Row],[Reddito annuo]]&gt;=70000,"si","no")</f>
        <v>si</v>
      </c>
    </row>
    <row r="2499" spans="1:12">
      <c r="A2499">
        <v>102498</v>
      </c>
      <c r="B2499">
        <v>40</v>
      </c>
      <c r="C2499" s="2">
        <v>75900</v>
      </c>
      <c r="D2499" t="s">
        <v>21</v>
      </c>
      <c r="E2499" s="2">
        <v>0</v>
      </c>
      <c r="F2499" s="2">
        <v>0</v>
      </c>
      <c r="G2499" t="s">
        <v>19</v>
      </c>
      <c r="H2499" t="s">
        <v>20</v>
      </c>
      <c r="I2499" t="s">
        <v>18</v>
      </c>
      <c r="J2499" s="3">
        <v>45899</v>
      </c>
      <c r="K2499" s="4">
        <f>ClientiBanca[[#This Row],[Prestito]]+ClientiBanca[[#This Row],[Mutuo]]</f>
        <v>0</v>
      </c>
      <c r="L2499" t="str">
        <f>IF(ClientiBanca[[#This Row],[Reddito annuo]]&gt;=70000,"si","no")</f>
        <v>si</v>
      </c>
    </row>
    <row r="2500" spans="1:12">
      <c r="A2500">
        <v>102499</v>
      </c>
      <c r="B2500">
        <v>53</v>
      </c>
      <c r="C2500" s="2">
        <v>32400</v>
      </c>
      <c r="D2500" t="s">
        <v>12</v>
      </c>
      <c r="E2500" s="2">
        <v>0</v>
      </c>
      <c r="F2500" s="2">
        <v>0</v>
      </c>
      <c r="G2500" t="s">
        <v>27</v>
      </c>
      <c r="H2500" t="s">
        <v>14</v>
      </c>
      <c r="I2500" t="s">
        <v>18</v>
      </c>
      <c r="J2500" s="3">
        <v>46058</v>
      </c>
      <c r="K2500" s="4">
        <f>ClientiBanca[[#This Row],[Prestito]]+ClientiBanca[[#This Row],[Mutuo]]</f>
        <v>0</v>
      </c>
      <c r="L2500" t="str">
        <f>IF(ClientiBanca[[#This Row],[Reddito annuo]]&gt;=70000,"si","no")</f>
        <v>no</v>
      </c>
    </row>
    <row r="2501" spans="1:12">
      <c r="A2501">
        <v>102500</v>
      </c>
      <c r="B2501">
        <v>33</v>
      </c>
      <c r="C2501" s="2">
        <v>57200</v>
      </c>
      <c r="D2501" t="s">
        <v>21</v>
      </c>
      <c r="E2501" s="2">
        <v>24400</v>
      </c>
      <c r="F2501" s="2">
        <v>0</v>
      </c>
      <c r="G2501" t="s">
        <v>26</v>
      </c>
      <c r="H2501" t="s">
        <v>17</v>
      </c>
      <c r="I2501" t="s">
        <v>18</v>
      </c>
      <c r="J2501" s="3">
        <v>46072</v>
      </c>
      <c r="K2501" s="4">
        <f>ClientiBanca[[#This Row],[Prestito]]+ClientiBanca[[#This Row],[Mutuo]]</f>
        <v>24400</v>
      </c>
      <c r="L2501" t="str">
        <f>IF(ClientiBanca[[#This Row],[Reddito annuo]]&gt;=70000,"si","no")</f>
        <v>no</v>
      </c>
    </row>
    <row r="2502" spans="1:12">
      <c r="A2502">
        <v>102501</v>
      </c>
      <c r="B2502">
        <v>65</v>
      </c>
      <c r="C2502" s="2">
        <v>69400</v>
      </c>
      <c r="D2502" t="s">
        <v>21</v>
      </c>
      <c r="E2502" s="2">
        <v>0</v>
      </c>
      <c r="F2502" s="2">
        <v>162000</v>
      </c>
      <c r="G2502" t="s">
        <v>28</v>
      </c>
      <c r="H2502" t="s">
        <v>17</v>
      </c>
      <c r="I2502" t="s">
        <v>18</v>
      </c>
      <c r="J2502" s="3">
        <v>45829</v>
      </c>
      <c r="K2502" s="4">
        <f>ClientiBanca[[#This Row],[Prestito]]+ClientiBanca[[#This Row],[Mutuo]]</f>
        <v>162000</v>
      </c>
      <c r="L2502" t="str">
        <f>IF(ClientiBanca[[#This Row],[Reddito annuo]]&gt;=70000,"si","no")</f>
        <v>no</v>
      </c>
    </row>
    <row r="2503" spans="1:12">
      <c r="A2503">
        <v>102502</v>
      </c>
      <c r="B2503">
        <v>21</v>
      </c>
      <c r="C2503" s="2">
        <v>93000</v>
      </c>
      <c r="D2503" t="s">
        <v>22</v>
      </c>
      <c r="E2503" s="2">
        <v>28300</v>
      </c>
      <c r="F2503" s="2">
        <v>229000</v>
      </c>
      <c r="G2503" t="s">
        <v>13</v>
      </c>
      <c r="H2503" t="s">
        <v>20</v>
      </c>
      <c r="I2503" t="s">
        <v>18</v>
      </c>
      <c r="J2503" s="3">
        <v>46097</v>
      </c>
      <c r="K2503" s="4">
        <f>ClientiBanca[[#This Row],[Prestito]]+ClientiBanca[[#This Row],[Mutuo]]</f>
        <v>257300</v>
      </c>
      <c r="L2503" t="str">
        <f>IF(ClientiBanca[[#This Row],[Reddito annuo]]&gt;=70000,"si","no")</f>
        <v>si</v>
      </c>
    </row>
    <row r="2504" spans="1:12">
      <c r="A2504">
        <v>102503</v>
      </c>
      <c r="B2504">
        <v>62</v>
      </c>
      <c r="C2504" s="2">
        <v>67400</v>
      </c>
      <c r="D2504" t="s">
        <v>12</v>
      </c>
      <c r="E2504" s="2">
        <v>13100</v>
      </c>
      <c r="F2504" s="2">
        <v>0</v>
      </c>
      <c r="G2504" t="s">
        <v>13</v>
      </c>
      <c r="H2504" t="s">
        <v>20</v>
      </c>
      <c r="I2504" t="s">
        <v>18</v>
      </c>
      <c r="J2504" s="3">
        <v>46100</v>
      </c>
      <c r="K2504" s="4">
        <f>ClientiBanca[[#This Row],[Prestito]]+ClientiBanca[[#This Row],[Mutuo]]</f>
        <v>13100</v>
      </c>
      <c r="L2504" t="str">
        <f>IF(ClientiBanca[[#This Row],[Reddito annuo]]&gt;=70000,"si","no")</f>
        <v>no</v>
      </c>
    </row>
    <row r="2505" spans="1:12">
      <c r="A2505">
        <v>102504</v>
      </c>
      <c r="B2505">
        <v>54</v>
      </c>
      <c r="C2505" s="2">
        <v>61400</v>
      </c>
      <c r="D2505" t="s">
        <v>21</v>
      </c>
      <c r="E2505" s="2">
        <v>51200</v>
      </c>
      <c r="F2505" s="2">
        <v>0</v>
      </c>
      <c r="G2505" t="s">
        <v>24</v>
      </c>
      <c r="H2505" t="s">
        <v>14</v>
      </c>
      <c r="I2505" t="s">
        <v>15</v>
      </c>
      <c r="J2505" s="3">
        <v>46139</v>
      </c>
      <c r="K2505" s="4">
        <f>ClientiBanca[[#This Row],[Prestito]]+ClientiBanca[[#This Row],[Mutuo]]</f>
        <v>51200</v>
      </c>
      <c r="L2505" t="str">
        <f>IF(ClientiBanca[[#This Row],[Reddito annuo]]&gt;=70000,"si","no")</f>
        <v>no</v>
      </c>
    </row>
    <row r="2506" spans="1:12">
      <c r="A2506">
        <v>102505</v>
      </c>
      <c r="B2506">
        <v>51</v>
      </c>
      <c r="C2506" s="2">
        <v>22400</v>
      </c>
      <c r="D2506" t="s">
        <v>21</v>
      </c>
      <c r="E2506" s="2">
        <v>28000</v>
      </c>
      <c r="F2506" s="2">
        <v>0</v>
      </c>
      <c r="G2506" t="s">
        <v>13</v>
      </c>
      <c r="H2506" t="s">
        <v>20</v>
      </c>
      <c r="I2506" t="s">
        <v>18</v>
      </c>
      <c r="J2506" s="3">
        <v>45516</v>
      </c>
      <c r="K2506" s="4">
        <f>ClientiBanca[[#This Row],[Prestito]]+ClientiBanca[[#This Row],[Mutuo]]</f>
        <v>28000</v>
      </c>
      <c r="L2506" t="str">
        <f>IF(ClientiBanca[[#This Row],[Reddito annuo]]&gt;=70000,"si","no")</f>
        <v>no</v>
      </c>
    </row>
    <row r="2507" spans="1:12">
      <c r="A2507">
        <v>102506</v>
      </c>
      <c r="B2507">
        <v>50</v>
      </c>
      <c r="C2507" s="2">
        <v>83400</v>
      </c>
      <c r="D2507" t="s">
        <v>12</v>
      </c>
      <c r="E2507" s="2">
        <v>36800</v>
      </c>
      <c r="F2507" s="2">
        <v>0</v>
      </c>
      <c r="G2507" t="s">
        <v>23</v>
      </c>
      <c r="H2507" t="s">
        <v>20</v>
      </c>
      <c r="I2507" t="s">
        <v>18</v>
      </c>
      <c r="J2507" s="3">
        <v>45970</v>
      </c>
      <c r="K2507" s="4">
        <f>ClientiBanca[[#This Row],[Prestito]]+ClientiBanca[[#This Row],[Mutuo]]</f>
        <v>36800</v>
      </c>
      <c r="L2507" t="str">
        <f>IF(ClientiBanca[[#This Row],[Reddito annuo]]&gt;=70000,"si","no")</f>
        <v>si</v>
      </c>
    </row>
    <row r="2508" spans="1:12">
      <c r="A2508">
        <v>102507</v>
      </c>
      <c r="B2508">
        <v>74</v>
      </c>
      <c r="C2508" s="2">
        <v>55500</v>
      </c>
      <c r="D2508" t="s">
        <v>21</v>
      </c>
      <c r="E2508" s="2">
        <v>0</v>
      </c>
      <c r="F2508" s="2">
        <v>0</v>
      </c>
      <c r="G2508" t="s">
        <v>23</v>
      </c>
      <c r="H2508" t="s">
        <v>17</v>
      </c>
      <c r="I2508" t="s">
        <v>18</v>
      </c>
      <c r="J2508" s="3">
        <v>45337</v>
      </c>
      <c r="K2508" s="4">
        <f>ClientiBanca[[#This Row],[Prestito]]+ClientiBanca[[#This Row],[Mutuo]]</f>
        <v>0</v>
      </c>
      <c r="L2508" t="str">
        <f>IF(ClientiBanca[[#This Row],[Reddito annuo]]&gt;=70000,"si","no")</f>
        <v>no</v>
      </c>
    </row>
    <row r="2509" spans="1:12">
      <c r="A2509">
        <v>102508</v>
      </c>
      <c r="B2509">
        <v>46</v>
      </c>
      <c r="C2509" s="2">
        <v>59200</v>
      </c>
      <c r="D2509" t="s">
        <v>21</v>
      </c>
      <c r="E2509" s="2">
        <v>60500</v>
      </c>
      <c r="F2509" s="2">
        <v>0</v>
      </c>
      <c r="G2509" t="s">
        <v>23</v>
      </c>
      <c r="H2509" t="s">
        <v>25</v>
      </c>
      <c r="I2509" t="s">
        <v>15</v>
      </c>
      <c r="J2509" s="3">
        <v>45654</v>
      </c>
      <c r="K2509" s="4">
        <f>ClientiBanca[[#This Row],[Prestito]]+ClientiBanca[[#This Row],[Mutuo]]</f>
        <v>60500</v>
      </c>
      <c r="L2509" t="str">
        <f>IF(ClientiBanca[[#This Row],[Reddito annuo]]&gt;=70000,"si","no")</f>
        <v>no</v>
      </c>
    </row>
    <row r="2510" spans="1:12">
      <c r="A2510">
        <v>102509</v>
      </c>
      <c r="B2510">
        <v>64</v>
      </c>
      <c r="C2510" s="2">
        <v>56100</v>
      </c>
      <c r="D2510" t="s">
        <v>12</v>
      </c>
      <c r="E2510" s="2">
        <v>49400</v>
      </c>
      <c r="F2510" s="2">
        <v>0</v>
      </c>
      <c r="G2510" t="s">
        <v>23</v>
      </c>
      <c r="H2510" t="s">
        <v>20</v>
      </c>
      <c r="I2510" t="s">
        <v>18</v>
      </c>
      <c r="J2510" s="3">
        <v>45939</v>
      </c>
      <c r="K2510" s="4">
        <f>ClientiBanca[[#This Row],[Prestito]]+ClientiBanca[[#This Row],[Mutuo]]</f>
        <v>49400</v>
      </c>
      <c r="L2510" t="str">
        <f>IF(ClientiBanca[[#This Row],[Reddito annuo]]&gt;=70000,"si","no")</f>
        <v>no</v>
      </c>
    </row>
    <row r="2511" spans="1:12">
      <c r="A2511">
        <v>102510</v>
      </c>
      <c r="B2511">
        <v>22</v>
      </c>
      <c r="C2511" s="2">
        <v>74000</v>
      </c>
      <c r="D2511" t="s">
        <v>12</v>
      </c>
      <c r="E2511" s="2">
        <v>65500</v>
      </c>
      <c r="F2511" s="2">
        <v>0</v>
      </c>
      <c r="G2511" t="s">
        <v>13</v>
      </c>
      <c r="H2511" t="s">
        <v>17</v>
      </c>
      <c r="I2511" t="s">
        <v>18</v>
      </c>
      <c r="J2511" s="3">
        <v>45983</v>
      </c>
      <c r="K2511" s="4">
        <f>ClientiBanca[[#This Row],[Prestito]]+ClientiBanca[[#This Row],[Mutuo]]</f>
        <v>65500</v>
      </c>
      <c r="L2511" t="str">
        <f>IF(ClientiBanca[[#This Row],[Reddito annuo]]&gt;=70000,"si","no")</f>
        <v>si</v>
      </c>
    </row>
    <row r="2512" spans="1:12">
      <c r="A2512">
        <v>102511</v>
      </c>
      <c r="B2512">
        <v>67</v>
      </c>
      <c r="C2512" s="2">
        <v>42500</v>
      </c>
      <c r="D2512" t="s">
        <v>21</v>
      </c>
      <c r="E2512" s="2">
        <v>0</v>
      </c>
      <c r="F2512" s="2">
        <v>0</v>
      </c>
      <c r="G2512" t="s">
        <v>26</v>
      </c>
      <c r="H2512" t="s">
        <v>17</v>
      </c>
      <c r="I2512" t="s">
        <v>18</v>
      </c>
      <c r="J2512" s="3">
        <v>45813</v>
      </c>
      <c r="K2512" s="4">
        <f>ClientiBanca[[#This Row],[Prestito]]+ClientiBanca[[#This Row],[Mutuo]]</f>
        <v>0</v>
      </c>
      <c r="L2512" t="str">
        <f>IF(ClientiBanca[[#This Row],[Reddito annuo]]&gt;=70000,"si","no")</f>
        <v>no</v>
      </c>
    </row>
    <row r="2513" spans="1:12">
      <c r="A2513">
        <v>102512</v>
      </c>
      <c r="B2513">
        <v>54</v>
      </c>
      <c r="C2513" s="2">
        <v>41700</v>
      </c>
      <c r="D2513" t="s">
        <v>22</v>
      </c>
      <c r="E2513" s="2">
        <v>23800</v>
      </c>
      <c r="F2513" s="2">
        <v>0</v>
      </c>
      <c r="G2513" t="s">
        <v>27</v>
      </c>
      <c r="H2513" t="s">
        <v>14</v>
      </c>
      <c r="I2513" t="s">
        <v>18</v>
      </c>
      <c r="J2513" s="3">
        <v>46062</v>
      </c>
      <c r="K2513" s="4">
        <f>ClientiBanca[[#This Row],[Prestito]]+ClientiBanca[[#This Row],[Mutuo]]</f>
        <v>23800</v>
      </c>
      <c r="L2513" t="str">
        <f>IF(ClientiBanca[[#This Row],[Reddito annuo]]&gt;=70000,"si","no")</f>
        <v>no</v>
      </c>
    </row>
    <row r="2514" spans="1:12">
      <c r="A2514">
        <v>102513</v>
      </c>
      <c r="B2514">
        <v>29</v>
      </c>
      <c r="C2514" s="2">
        <v>104900</v>
      </c>
      <c r="D2514" t="s">
        <v>22</v>
      </c>
      <c r="E2514" s="2">
        <v>0</v>
      </c>
      <c r="F2514" s="2">
        <v>0</v>
      </c>
      <c r="G2514" t="s">
        <v>23</v>
      </c>
      <c r="H2514" t="s">
        <v>20</v>
      </c>
      <c r="I2514" t="s">
        <v>18</v>
      </c>
      <c r="J2514" s="3">
        <v>45746</v>
      </c>
      <c r="K2514" s="4">
        <f>ClientiBanca[[#This Row],[Prestito]]+ClientiBanca[[#This Row],[Mutuo]]</f>
        <v>0</v>
      </c>
      <c r="L2514" t="str">
        <f>IF(ClientiBanca[[#This Row],[Reddito annuo]]&gt;=70000,"si","no")</f>
        <v>si</v>
      </c>
    </row>
    <row r="2515" spans="1:12">
      <c r="A2515">
        <v>102514</v>
      </c>
      <c r="B2515">
        <v>27</v>
      </c>
      <c r="C2515" s="2">
        <v>48400</v>
      </c>
      <c r="D2515" t="s">
        <v>12</v>
      </c>
      <c r="E2515" s="2">
        <v>0</v>
      </c>
      <c r="F2515" s="2">
        <v>0</v>
      </c>
      <c r="G2515" t="s">
        <v>13</v>
      </c>
      <c r="H2515" t="s">
        <v>14</v>
      </c>
      <c r="I2515" t="s">
        <v>18</v>
      </c>
      <c r="J2515" s="3">
        <v>45888</v>
      </c>
      <c r="K2515" s="4">
        <f>ClientiBanca[[#This Row],[Prestito]]+ClientiBanca[[#This Row],[Mutuo]]</f>
        <v>0</v>
      </c>
      <c r="L2515" t="str">
        <f>IF(ClientiBanca[[#This Row],[Reddito annuo]]&gt;=70000,"si","no")</f>
        <v>no</v>
      </c>
    </row>
    <row r="2516" spans="1:12">
      <c r="A2516">
        <v>102515</v>
      </c>
      <c r="B2516">
        <v>60</v>
      </c>
      <c r="C2516" s="2">
        <v>55600</v>
      </c>
      <c r="D2516" t="s">
        <v>22</v>
      </c>
      <c r="E2516" s="2">
        <v>35900</v>
      </c>
      <c r="F2516" s="2">
        <v>0</v>
      </c>
      <c r="G2516" t="s">
        <v>24</v>
      </c>
      <c r="H2516" t="s">
        <v>20</v>
      </c>
      <c r="I2516" t="s">
        <v>18</v>
      </c>
      <c r="J2516" s="3">
        <v>46115</v>
      </c>
      <c r="K2516" s="4">
        <f>ClientiBanca[[#This Row],[Prestito]]+ClientiBanca[[#This Row],[Mutuo]]</f>
        <v>35900</v>
      </c>
      <c r="L2516" t="str">
        <f>IF(ClientiBanca[[#This Row],[Reddito annuo]]&gt;=70000,"si","no")</f>
        <v>no</v>
      </c>
    </row>
    <row r="2517" spans="1:12">
      <c r="A2517">
        <v>102516</v>
      </c>
      <c r="B2517">
        <v>69</v>
      </c>
      <c r="C2517" s="2">
        <v>69400</v>
      </c>
      <c r="D2517" t="s">
        <v>21</v>
      </c>
      <c r="E2517" s="2">
        <v>21700</v>
      </c>
      <c r="F2517" s="2">
        <v>0</v>
      </c>
      <c r="G2517" t="s">
        <v>26</v>
      </c>
      <c r="H2517" t="s">
        <v>20</v>
      </c>
      <c r="I2517" t="s">
        <v>18</v>
      </c>
      <c r="J2517" s="3">
        <v>45529</v>
      </c>
      <c r="K2517" s="4">
        <f>ClientiBanca[[#This Row],[Prestito]]+ClientiBanca[[#This Row],[Mutuo]]</f>
        <v>21700</v>
      </c>
      <c r="L2517" t="str">
        <f>IF(ClientiBanca[[#This Row],[Reddito annuo]]&gt;=70000,"si","no")</f>
        <v>no</v>
      </c>
    </row>
    <row r="2518" spans="1:12">
      <c r="A2518">
        <v>102517</v>
      </c>
      <c r="B2518">
        <v>72</v>
      </c>
      <c r="C2518" s="2">
        <v>82600</v>
      </c>
      <c r="D2518" t="s">
        <v>12</v>
      </c>
      <c r="E2518" s="2">
        <v>23300</v>
      </c>
      <c r="F2518" s="2">
        <v>194000</v>
      </c>
      <c r="G2518" t="s">
        <v>24</v>
      </c>
      <c r="H2518" t="s">
        <v>17</v>
      </c>
      <c r="I2518" t="s">
        <v>18</v>
      </c>
      <c r="J2518" s="3">
        <v>46068</v>
      </c>
      <c r="K2518" s="4">
        <f>ClientiBanca[[#This Row],[Prestito]]+ClientiBanca[[#This Row],[Mutuo]]</f>
        <v>217300</v>
      </c>
      <c r="L2518" t="str">
        <f>IF(ClientiBanca[[#This Row],[Reddito annuo]]&gt;=70000,"si","no")</f>
        <v>si</v>
      </c>
    </row>
    <row r="2519" spans="1:12">
      <c r="A2519">
        <v>102518</v>
      </c>
      <c r="B2519">
        <v>51</v>
      </c>
      <c r="C2519" s="2">
        <v>60200</v>
      </c>
      <c r="D2519" t="s">
        <v>21</v>
      </c>
      <c r="E2519" s="2">
        <v>38600</v>
      </c>
      <c r="F2519" s="2">
        <v>0</v>
      </c>
      <c r="G2519" t="s">
        <v>28</v>
      </c>
      <c r="H2519" t="s">
        <v>17</v>
      </c>
      <c r="I2519" t="s">
        <v>18</v>
      </c>
      <c r="J2519" s="3">
        <v>46223</v>
      </c>
      <c r="K2519" s="4">
        <f>ClientiBanca[[#This Row],[Prestito]]+ClientiBanca[[#This Row],[Mutuo]]</f>
        <v>38600</v>
      </c>
      <c r="L2519" t="str">
        <f>IF(ClientiBanca[[#This Row],[Reddito annuo]]&gt;=70000,"si","no")</f>
        <v>no</v>
      </c>
    </row>
    <row r="2520" spans="1:12">
      <c r="A2520">
        <v>102519</v>
      </c>
      <c r="B2520">
        <v>65</v>
      </c>
      <c r="C2520" s="2">
        <v>72900</v>
      </c>
      <c r="D2520" t="s">
        <v>12</v>
      </c>
      <c r="E2520" s="2">
        <v>34200</v>
      </c>
      <c r="F2520" s="2">
        <v>0</v>
      </c>
      <c r="G2520" t="s">
        <v>23</v>
      </c>
      <c r="H2520" t="s">
        <v>17</v>
      </c>
      <c r="I2520" t="s">
        <v>18</v>
      </c>
      <c r="J2520" s="3">
        <v>46141</v>
      </c>
      <c r="K2520" s="4">
        <f>ClientiBanca[[#This Row],[Prestito]]+ClientiBanca[[#This Row],[Mutuo]]</f>
        <v>34200</v>
      </c>
      <c r="L2520" t="str">
        <f>IF(ClientiBanca[[#This Row],[Reddito annuo]]&gt;=70000,"si","no")</f>
        <v>si</v>
      </c>
    </row>
    <row r="2521" spans="1:12">
      <c r="A2521">
        <v>102520</v>
      </c>
      <c r="B2521">
        <v>25</v>
      </c>
      <c r="C2521" s="2">
        <v>48800</v>
      </c>
      <c r="D2521" t="s">
        <v>21</v>
      </c>
      <c r="E2521" s="2">
        <v>23600</v>
      </c>
      <c r="F2521" s="2">
        <v>293000</v>
      </c>
      <c r="G2521" t="s">
        <v>23</v>
      </c>
      <c r="H2521" t="s">
        <v>20</v>
      </c>
      <c r="I2521" t="s">
        <v>18</v>
      </c>
      <c r="J2521" s="3">
        <v>46167</v>
      </c>
      <c r="K2521" s="4">
        <f>ClientiBanca[[#This Row],[Prestito]]+ClientiBanca[[#This Row],[Mutuo]]</f>
        <v>316600</v>
      </c>
      <c r="L2521" t="str">
        <f>IF(ClientiBanca[[#This Row],[Reddito annuo]]&gt;=70000,"si","no")</f>
        <v>no</v>
      </c>
    </row>
    <row r="2522" spans="1:12">
      <c r="A2522">
        <v>102521</v>
      </c>
      <c r="B2522">
        <v>67</v>
      </c>
      <c r="C2522" s="2">
        <v>51400</v>
      </c>
      <c r="D2522" t="s">
        <v>12</v>
      </c>
      <c r="E2522" s="2">
        <v>21300</v>
      </c>
      <c r="F2522" s="2">
        <v>0</v>
      </c>
      <c r="G2522" t="s">
        <v>16</v>
      </c>
      <c r="H2522" t="s">
        <v>14</v>
      </c>
      <c r="I2522" t="s">
        <v>15</v>
      </c>
      <c r="J2522" s="3">
        <v>45769</v>
      </c>
      <c r="K2522" s="4">
        <f>ClientiBanca[[#This Row],[Prestito]]+ClientiBanca[[#This Row],[Mutuo]]</f>
        <v>21300</v>
      </c>
      <c r="L2522" t="str">
        <f>IF(ClientiBanca[[#This Row],[Reddito annuo]]&gt;=70000,"si","no")</f>
        <v>no</v>
      </c>
    </row>
    <row r="2523" spans="1:12">
      <c r="A2523">
        <v>102522</v>
      </c>
      <c r="B2523">
        <v>33</v>
      </c>
      <c r="C2523" s="2">
        <v>46900</v>
      </c>
      <c r="D2523" t="s">
        <v>12</v>
      </c>
      <c r="E2523" s="2">
        <v>0</v>
      </c>
      <c r="F2523" s="2">
        <v>0</v>
      </c>
      <c r="G2523" t="s">
        <v>16</v>
      </c>
      <c r="H2523" t="s">
        <v>20</v>
      </c>
      <c r="I2523" t="s">
        <v>18</v>
      </c>
      <c r="J2523" s="3">
        <v>45417</v>
      </c>
      <c r="K2523" s="4">
        <f>ClientiBanca[[#This Row],[Prestito]]+ClientiBanca[[#This Row],[Mutuo]]</f>
        <v>0</v>
      </c>
      <c r="L2523" t="str">
        <f>IF(ClientiBanca[[#This Row],[Reddito annuo]]&gt;=70000,"si","no")</f>
        <v>no</v>
      </c>
    </row>
    <row r="2524" spans="1:12">
      <c r="A2524">
        <v>102523</v>
      </c>
      <c r="B2524">
        <v>42</v>
      </c>
      <c r="C2524" s="2">
        <v>79700</v>
      </c>
      <c r="D2524" t="s">
        <v>12</v>
      </c>
      <c r="E2524" s="2">
        <v>42900</v>
      </c>
      <c r="F2524" s="2">
        <v>0</v>
      </c>
      <c r="G2524" t="s">
        <v>28</v>
      </c>
      <c r="H2524" t="s">
        <v>20</v>
      </c>
      <c r="I2524" t="s">
        <v>18</v>
      </c>
      <c r="J2524" s="3">
        <v>46243</v>
      </c>
      <c r="K2524" s="4">
        <f>ClientiBanca[[#This Row],[Prestito]]+ClientiBanca[[#This Row],[Mutuo]]</f>
        <v>42900</v>
      </c>
      <c r="L2524" t="str">
        <f>IF(ClientiBanca[[#This Row],[Reddito annuo]]&gt;=70000,"si","no")</f>
        <v>si</v>
      </c>
    </row>
    <row r="2525" spans="1:12">
      <c r="A2525">
        <v>102524</v>
      </c>
      <c r="B2525">
        <v>59</v>
      </c>
      <c r="C2525" s="2">
        <v>35600</v>
      </c>
      <c r="D2525" t="s">
        <v>21</v>
      </c>
      <c r="E2525" s="2">
        <v>6300</v>
      </c>
      <c r="F2525" s="2">
        <v>0</v>
      </c>
      <c r="G2525" t="s">
        <v>24</v>
      </c>
      <c r="H2525" t="s">
        <v>20</v>
      </c>
      <c r="I2525" t="s">
        <v>18</v>
      </c>
      <c r="J2525" s="3">
        <v>45706</v>
      </c>
      <c r="K2525" s="4">
        <f>ClientiBanca[[#This Row],[Prestito]]+ClientiBanca[[#This Row],[Mutuo]]</f>
        <v>6300</v>
      </c>
      <c r="L2525" t="str">
        <f>IF(ClientiBanca[[#This Row],[Reddito annuo]]&gt;=70000,"si","no")</f>
        <v>no</v>
      </c>
    </row>
    <row r="2526" spans="1:12">
      <c r="A2526">
        <v>102525</v>
      </c>
      <c r="B2526">
        <v>56</v>
      </c>
      <c r="C2526" s="2">
        <v>63500</v>
      </c>
      <c r="D2526" t="s">
        <v>12</v>
      </c>
      <c r="E2526" s="2">
        <v>0</v>
      </c>
      <c r="F2526" s="2">
        <v>0</v>
      </c>
      <c r="G2526" t="s">
        <v>13</v>
      </c>
      <c r="H2526" t="s">
        <v>20</v>
      </c>
      <c r="I2526" t="s">
        <v>18</v>
      </c>
      <c r="J2526" s="3">
        <v>46073</v>
      </c>
      <c r="K2526" s="4">
        <f>ClientiBanca[[#This Row],[Prestito]]+ClientiBanca[[#This Row],[Mutuo]]</f>
        <v>0</v>
      </c>
      <c r="L2526" t="str">
        <f>IF(ClientiBanca[[#This Row],[Reddito annuo]]&gt;=70000,"si","no")</f>
        <v>no</v>
      </c>
    </row>
    <row r="2527" spans="1:12">
      <c r="A2527">
        <v>102526</v>
      </c>
      <c r="B2527">
        <v>39</v>
      </c>
      <c r="C2527" s="2">
        <v>90000</v>
      </c>
      <c r="D2527" t="s">
        <v>12</v>
      </c>
      <c r="E2527" s="2">
        <v>63500</v>
      </c>
      <c r="F2527" s="2">
        <v>0</v>
      </c>
      <c r="G2527" t="s">
        <v>26</v>
      </c>
      <c r="H2527" t="s">
        <v>17</v>
      </c>
      <c r="I2527" t="s">
        <v>18</v>
      </c>
      <c r="J2527" s="3">
        <v>45790</v>
      </c>
      <c r="K2527" s="4">
        <f>ClientiBanca[[#This Row],[Prestito]]+ClientiBanca[[#This Row],[Mutuo]]</f>
        <v>63500</v>
      </c>
      <c r="L2527" t="str">
        <f>IF(ClientiBanca[[#This Row],[Reddito annuo]]&gt;=70000,"si","no")</f>
        <v>si</v>
      </c>
    </row>
    <row r="2528" spans="1:12">
      <c r="A2528">
        <v>102527</v>
      </c>
      <c r="B2528">
        <v>71</v>
      </c>
      <c r="C2528" s="2">
        <v>56400</v>
      </c>
      <c r="D2528" t="s">
        <v>21</v>
      </c>
      <c r="E2528" s="2">
        <v>0</v>
      </c>
      <c r="F2528" s="2">
        <v>0</v>
      </c>
      <c r="G2528" t="s">
        <v>24</v>
      </c>
      <c r="H2528" t="s">
        <v>17</v>
      </c>
      <c r="I2528" t="s">
        <v>18</v>
      </c>
      <c r="J2528" s="3">
        <v>45587</v>
      </c>
      <c r="K2528" s="4">
        <f>ClientiBanca[[#This Row],[Prestito]]+ClientiBanca[[#This Row],[Mutuo]]</f>
        <v>0</v>
      </c>
      <c r="L2528" t="str">
        <f>IF(ClientiBanca[[#This Row],[Reddito annuo]]&gt;=70000,"si","no")</f>
        <v>no</v>
      </c>
    </row>
    <row r="2529" spans="1:12">
      <c r="A2529">
        <v>102528</v>
      </c>
      <c r="B2529">
        <v>62</v>
      </c>
      <c r="C2529" s="2">
        <v>70200</v>
      </c>
      <c r="D2529" t="s">
        <v>21</v>
      </c>
      <c r="E2529" s="2">
        <v>69600</v>
      </c>
      <c r="F2529" s="2">
        <v>0</v>
      </c>
      <c r="G2529" t="s">
        <v>16</v>
      </c>
      <c r="H2529" t="s">
        <v>25</v>
      </c>
      <c r="I2529" t="s">
        <v>18</v>
      </c>
      <c r="J2529" s="3">
        <v>46247</v>
      </c>
      <c r="K2529" s="4">
        <f>ClientiBanca[[#This Row],[Prestito]]+ClientiBanca[[#This Row],[Mutuo]]</f>
        <v>69600</v>
      </c>
      <c r="L2529" t="str">
        <f>IF(ClientiBanca[[#This Row],[Reddito annuo]]&gt;=70000,"si","no")</f>
        <v>si</v>
      </c>
    </row>
    <row r="2530" spans="1:12">
      <c r="A2530">
        <v>102529</v>
      </c>
      <c r="B2530">
        <v>67</v>
      </c>
      <c r="C2530" s="2">
        <v>26900</v>
      </c>
      <c r="D2530" t="s">
        <v>12</v>
      </c>
      <c r="E2530" s="2">
        <v>33600</v>
      </c>
      <c r="F2530" s="2">
        <v>0</v>
      </c>
      <c r="G2530" t="s">
        <v>23</v>
      </c>
      <c r="H2530" t="s">
        <v>17</v>
      </c>
      <c r="I2530" t="s">
        <v>18</v>
      </c>
      <c r="J2530" s="3">
        <v>45418</v>
      </c>
      <c r="K2530" s="4">
        <f>ClientiBanca[[#This Row],[Prestito]]+ClientiBanca[[#This Row],[Mutuo]]</f>
        <v>33600</v>
      </c>
      <c r="L2530" t="str">
        <f>IF(ClientiBanca[[#This Row],[Reddito annuo]]&gt;=70000,"si","no")</f>
        <v>no</v>
      </c>
    </row>
    <row r="2531" spans="1:12">
      <c r="A2531">
        <v>102530</v>
      </c>
      <c r="B2531">
        <v>58</v>
      </c>
      <c r="C2531" s="2">
        <v>80000</v>
      </c>
      <c r="D2531" t="s">
        <v>22</v>
      </c>
      <c r="E2531" s="2">
        <v>72700</v>
      </c>
      <c r="F2531" s="2">
        <v>405000</v>
      </c>
      <c r="G2531" t="s">
        <v>16</v>
      </c>
      <c r="H2531" t="s">
        <v>14</v>
      </c>
      <c r="I2531" t="s">
        <v>18</v>
      </c>
      <c r="J2531" s="3">
        <v>46122</v>
      </c>
      <c r="K2531" s="4">
        <f>ClientiBanca[[#This Row],[Prestito]]+ClientiBanca[[#This Row],[Mutuo]]</f>
        <v>477700</v>
      </c>
      <c r="L2531" t="str">
        <f>IF(ClientiBanca[[#This Row],[Reddito annuo]]&gt;=70000,"si","no")</f>
        <v>si</v>
      </c>
    </row>
    <row r="2532" spans="1:12">
      <c r="A2532">
        <v>102531</v>
      </c>
      <c r="B2532">
        <v>22</v>
      </c>
      <c r="C2532" s="2">
        <v>37000</v>
      </c>
      <c r="D2532" t="s">
        <v>22</v>
      </c>
      <c r="E2532" s="2">
        <v>45000</v>
      </c>
      <c r="F2532" s="2">
        <v>0</v>
      </c>
      <c r="G2532" t="s">
        <v>26</v>
      </c>
      <c r="H2532" t="s">
        <v>14</v>
      </c>
      <c r="I2532" t="s">
        <v>18</v>
      </c>
      <c r="J2532" s="3">
        <v>45366</v>
      </c>
      <c r="K2532" s="4">
        <f>ClientiBanca[[#This Row],[Prestito]]+ClientiBanca[[#This Row],[Mutuo]]</f>
        <v>45000</v>
      </c>
      <c r="L2532" t="str">
        <f>IF(ClientiBanca[[#This Row],[Reddito annuo]]&gt;=70000,"si","no")</f>
        <v>no</v>
      </c>
    </row>
    <row r="2533" spans="1:12">
      <c r="A2533">
        <v>102532</v>
      </c>
      <c r="B2533">
        <v>33</v>
      </c>
      <c r="C2533" s="2">
        <v>78000</v>
      </c>
      <c r="D2533" t="s">
        <v>22</v>
      </c>
      <c r="E2533" s="2">
        <v>63700</v>
      </c>
      <c r="F2533" s="2">
        <v>0</v>
      </c>
      <c r="G2533" t="s">
        <v>27</v>
      </c>
      <c r="H2533" t="s">
        <v>20</v>
      </c>
      <c r="I2533" t="s">
        <v>18</v>
      </c>
      <c r="J2533" s="3">
        <v>45921</v>
      </c>
      <c r="K2533" s="4">
        <f>ClientiBanca[[#This Row],[Prestito]]+ClientiBanca[[#This Row],[Mutuo]]</f>
        <v>63700</v>
      </c>
      <c r="L2533" t="str">
        <f>IF(ClientiBanca[[#This Row],[Reddito annuo]]&gt;=70000,"si","no")</f>
        <v>si</v>
      </c>
    </row>
    <row r="2534" spans="1:12">
      <c r="A2534">
        <v>102533</v>
      </c>
      <c r="B2534">
        <v>24</v>
      </c>
      <c r="C2534" s="2">
        <v>48600</v>
      </c>
      <c r="D2534" t="s">
        <v>12</v>
      </c>
      <c r="E2534" s="2">
        <v>28500</v>
      </c>
      <c r="F2534" s="2">
        <v>0</v>
      </c>
      <c r="G2534" t="s">
        <v>27</v>
      </c>
      <c r="H2534" t="s">
        <v>17</v>
      </c>
      <c r="I2534" t="s">
        <v>18</v>
      </c>
      <c r="J2534" s="3">
        <v>46087</v>
      </c>
      <c r="K2534" s="4">
        <f>ClientiBanca[[#This Row],[Prestito]]+ClientiBanca[[#This Row],[Mutuo]]</f>
        <v>28500</v>
      </c>
      <c r="L2534" t="str">
        <f>IF(ClientiBanca[[#This Row],[Reddito annuo]]&gt;=70000,"si","no")</f>
        <v>no</v>
      </c>
    </row>
    <row r="2535" spans="1:12">
      <c r="A2535">
        <v>102534</v>
      </c>
      <c r="B2535">
        <v>74</v>
      </c>
      <c r="C2535" s="2">
        <v>50000</v>
      </c>
      <c r="D2535" t="s">
        <v>21</v>
      </c>
      <c r="E2535" s="2">
        <v>0</v>
      </c>
      <c r="F2535" s="2">
        <v>0</v>
      </c>
      <c r="G2535" t="s">
        <v>16</v>
      </c>
      <c r="H2535" t="s">
        <v>14</v>
      </c>
      <c r="I2535" t="s">
        <v>18</v>
      </c>
      <c r="J2535" s="3">
        <v>45435</v>
      </c>
      <c r="K2535" s="4">
        <f>ClientiBanca[[#This Row],[Prestito]]+ClientiBanca[[#This Row],[Mutuo]]</f>
        <v>0</v>
      </c>
      <c r="L2535" t="str">
        <f>IF(ClientiBanca[[#This Row],[Reddito annuo]]&gt;=70000,"si","no")</f>
        <v>no</v>
      </c>
    </row>
    <row r="2536" spans="1:12">
      <c r="A2536">
        <v>102535</v>
      </c>
      <c r="B2536">
        <v>75</v>
      </c>
      <c r="C2536" s="2">
        <v>86600</v>
      </c>
      <c r="D2536" t="s">
        <v>12</v>
      </c>
      <c r="E2536" s="2">
        <v>27500</v>
      </c>
      <c r="F2536" s="2">
        <v>0</v>
      </c>
      <c r="G2536" t="s">
        <v>24</v>
      </c>
      <c r="H2536" t="s">
        <v>20</v>
      </c>
      <c r="I2536" t="s">
        <v>18</v>
      </c>
      <c r="J2536" s="3">
        <v>45890</v>
      </c>
      <c r="K2536" s="4">
        <f>ClientiBanca[[#This Row],[Prestito]]+ClientiBanca[[#This Row],[Mutuo]]</f>
        <v>27500</v>
      </c>
      <c r="L2536" t="str">
        <f>IF(ClientiBanca[[#This Row],[Reddito annuo]]&gt;=70000,"si","no")</f>
        <v>si</v>
      </c>
    </row>
    <row r="2537" spans="1:12">
      <c r="A2537">
        <v>102536</v>
      </c>
      <c r="B2537">
        <v>70</v>
      </c>
      <c r="C2537" s="2">
        <v>80400</v>
      </c>
      <c r="D2537" t="s">
        <v>12</v>
      </c>
      <c r="E2537" s="2">
        <v>64000</v>
      </c>
      <c r="F2537" s="2">
        <v>0</v>
      </c>
      <c r="G2537" t="s">
        <v>19</v>
      </c>
      <c r="H2537" t="s">
        <v>17</v>
      </c>
      <c r="I2537" t="s">
        <v>18</v>
      </c>
      <c r="J2537" s="3">
        <v>45479</v>
      </c>
      <c r="K2537" s="4">
        <f>ClientiBanca[[#This Row],[Prestito]]+ClientiBanca[[#This Row],[Mutuo]]</f>
        <v>64000</v>
      </c>
      <c r="L2537" t="str">
        <f>IF(ClientiBanca[[#This Row],[Reddito annuo]]&gt;=70000,"si","no")</f>
        <v>si</v>
      </c>
    </row>
    <row r="2538" spans="1:12">
      <c r="A2538">
        <v>102537</v>
      </c>
      <c r="B2538">
        <v>51</v>
      </c>
      <c r="C2538" s="2">
        <v>74300</v>
      </c>
      <c r="D2538" t="s">
        <v>21</v>
      </c>
      <c r="E2538" s="2">
        <v>0</v>
      </c>
      <c r="F2538" s="2">
        <v>0</v>
      </c>
      <c r="G2538" t="s">
        <v>26</v>
      </c>
      <c r="H2538" t="s">
        <v>17</v>
      </c>
      <c r="I2538" t="s">
        <v>18</v>
      </c>
      <c r="J2538" s="3">
        <v>45318</v>
      </c>
      <c r="K2538" s="4">
        <f>ClientiBanca[[#This Row],[Prestito]]+ClientiBanca[[#This Row],[Mutuo]]</f>
        <v>0</v>
      </c>
      <c r="L2538" t="str">
        <f>IF(ClientiBanca[[#This Row],[Reddito annuo]]&gt;=70000,"si","no")</f>
        <v>si</v>
      </c>
    </row>
    <row r="2539" spans="1:12">
      <c r="A2539">
        <v>102538</v>
      </c>
      <c r="B2539">
        <v>33</v>
      </c>
      <c r="C2539" s="2">
        <v>103200</v>
      </c>
      <c r="D2539" t="s">
        <v>22</v>
      </c>
      <c r="E2539" s="2">
        <v>0</v>
      </c>
      <c r="F2539" s="2">
        <v>0</v>
      </c>
      <c r="G2539" t="s">
        <v>27</v>
      </c>
      <c r="H2539" t="s">
        <v>25</v>
      </c>
      <c r="I2539" t="s">
        <v>18</v>
      </c>
      <c r="J2539" s="3">
        <v>46052</v>
      </c>
      <c r="K2539" s="4">
        <f>ClientiBanca[[#This Row],[Prestito]]+ClientiBanca[[#This Row],[Mutuo]]</f>
        <v>0</v>
      </c>
      <c r="L2539" t="str">
        <f>IF(ClientiBanca[[#This Row],[Reddito annuo]]&gt;=70000,"si","no")</f>
        <v>si</v>
      </c>
    </row>
    <row r="2540" spans="1:12">
      <c r="A2540">
        <v>102539</v>
      </c>
      <c r="B2540">
        <v>71</v>
      </c>
      <c r="C2540" s="2">
        <v>49000</v>
      </c>
      <c r="D2540" t="s">
        <v>21</v>
      </c>
      <c r="E2540" s="2">
        <v>0</v>
      </c>
      <c r="F2540" s="2">
        <v>345000</v>
      </c>
      <c r="G2540" t="s">
        <v>26</v>
      </c>
      <c r="H2540" t="s">
        <v>14</v>
      </c>
      <c r="I2540" t="s">
        <v>18</v>
      </c>
      <c r="J2540" s="3">
        <v>46239</v>
      </c>
      <c r="K2540" s="4">
        <f>ClientiBanca[[#This Row],[Prestito]]+ClientiBanca[[#This Row],[Mutuo]]</f>
        <v>345000</v>
      </c>
      <c r="L2540" t="str">
        <f>IF(ClientiBanca[[#This Row],[Reddito annuo]]&gt;=70000,"si","no")</f>
        <v>no</v>
      </c>
    </row>
    <row r="2541" spans="1:12">
      <c r="A2541">
        <v>102540</v>
      </c>
      <c r="B2541">
        <v>63</v>
      </c>
      <c r="C2541" s="2">
        <v>44400</v>
      </c>
      <c r="D2541" t="s">
        <v>12</v>
      </c>
      <c r="E2541" s="2">
        <v>17900</v>
      </c>
      <c r="F2541" s="2">
        <v>0</v>
      </c>
      <c r="G2541" t="s">
        <v>23</v>
      </c>
      <c r="H2541" t="s">
        <v>14</v>
      </c>
      <c r="I2541" t="s">
        <v>18</v>
      </c>
      <c r="J2541" s="3">
        <v>46065</v>
      </c>
      <c r="K2541" s="4">
        <f>ClientiBanca[[#This Row],[Prestito]]+ClientiBanca[[#This Row],[Mutuo]]</f>
        <v>17900</v>
      </c>
      <c r="L2541" t="str">
        <f>IF(ClientiBanca[[#This Row],[Reddito annuo]]&gt;=70000,"si","no")</f>
        <v>no</v>
      </c>
    </row>
    <row r="2542" spans="1:12">
      <c r="A2542">
        <v>102541</v>
      </c>
      <c r="B2542">
        <v>35</v>
      </c>
      <c r="C2542" s="2">
        <v>109300</v>
      </c>
      <c r="D2542" t="s">
        <v>21</v>
      </c>
      <c r="E2542" s="2">
        <v>0</v>
      </c>
      <c r="F2542" s="2">
        <v>264000</v>
      </c>
      <c r="G2542" t="s">
        <v>13</v>
      </c>
      <c r="H2542" t="s">
        <v>20</v>
      </c>
      <c r="I2542" t="s">
        <v>18</v>
      </c>
      <c r="J2542" s="3">
        <v>45785</v>
      </c>
      <c r="K2542" s="4">
        <f>ClientiBanca[[#This Row],[Prestito]]+ClientiBanca[[#This Row],[Mutuo]]</f>
        <v>264000</v>
      </c>
      <c r="L2542" t="str">
        <f>IF(ClientiBanca[[#This Row],[Reddito annuo]]&gt;=70000,"si","no")</f>
        <v>si</v>
      </c>
    </row>
    <row r="2543" spans="1:12">
      <c r="A2543">
        <v>102542</v>
      </c>
      <c r="B2543">
        <v>38</v>
      </c>
      <c r="C2543" s="2">
        <v>65700</v>
      </c>
      <c r="D2543" t="s">
        <v>21</v>
      </c>
      <c r="E2543" s="2">
        <v>14700</v>
      </c>
      <c r="F2543" s="2">
        <v>0</v>
      </c>
      <c r="G2543" t="s">
        <v>28</v>
      </c>
      <c r="H2543" t="s">
        <v>17</v>
      </c>
      <c r="I2543" t="s">
        <v>18</v>
      </c>
      <c r="J2543" s="3">
        <v>46135</v>
      </c>
      <c r="K2543" s="4">
        <f>ClientiBanca[[#This Row],[Prestito]]+ClientiBanca[[#This Row],[Mutuo]]</f>
        <v>14700</v>
      </c>
      <c r="L2543" t="str">
        <f>IF(ClientiBanca[[#This Row],[Reddito annuo]]&gt;=70000,"si","no")</f>
        <v>no</v>
      </c>
    </row>
    <row r="2544" spans="1:12">
      <c r="A2544">
        <v>102543</v>
      </c>
      <c r="B2544">
        <v>40</v>
      </c>
      <c r="C2544" s="2">
        <v>42000</v>
      </c>
      <c r="D2544" t="s">
        <v>21</v>
      </c>
      <c r="E2544" s="2">
        <v>22900</v>
      </c>
      <c r="F2544" s="2">
        <v>0</v>
      </c>
      <c r="G2544" t="s">
        <v>26</v>
      </c>
      <c r="H2544" t="s">
        <v>17</v>
      </c>
      <c r="I2544" t="s">
        <v>18</v>
      </c>
      <c r="J2544" s="3">
        <v>45737</v>
      </c>
      <c r="K2544" s="4">
        <f>ClientiBanca[[#This Row],[Prestito]]+ClientiBanca[[#This Row],[Mutuo]]</f>
        <v>22900</v>
      </c>
      <c r="L2544" t="str">
        <f>IF(ClientiBanca[[#This Row],[Reddito annuo]]&gt;=70000,"si","no")</f>
        <v>no</v>
      </c>
    </row>
    <row r="2545" spans="1:12">
      <c r="A2545">
        <v>102544</v>
      </c>
      <c r="B2545">
        <v>47</v>
      </c>
      <c r="C2545" s="2">
        <v>34000</v>
      </c>
      <c r="D2545" t="s">
        <v>21</v>
      </c>
      <c r="E2545" s="2">
        <v>42500</v>
      </c>
      <c r="F2545" s="2">
        <v>0</v>
      </c>
      <c r="G2545" t="s">
        <v>27</v>
      </c>
      <c r="H2545" t="s">
        <v>20</v>
      </c>
      <c r="I2545" t="s">
        <v>18</v>
      </c>
      <c r="J2545" s="3">
        <v>45783</v>
      </c>
      <c r="K2545" s="4">
        <f>ClientiBanca[[#This Row],[Prestito]]+ClientiBanca[[#This Row],[Mutuo]]</f>
        <v>42500</v>
      </c>
      <c r="L2545" t="str">
        <f>IF(ClientiBanca[[#This Row],[Reddito annuo]]&gt;=70000,"si","no")</f>
        <v>no</v>
      </c>
    </row>
    <row r="2546" spans="1:12">
      <c r="A2546">
        <v>102545</v>
      </c>
      <c r="B2546">
        <v>35</v>
      </c>
      <c r="C2546" s="2">
        <v>33200</v>
      </c>
      <c r="D2546" t="s">
        <v>21</v>
      </c>
      <c r="E2546" s="2">
        <v>13400</v>
      </c>
      <c r="F2546" s="2">
        <v>155000</v>
      </c>
      <c r="G2546" t="s">
        <v>28</v>
      </c>
      <c r="H2546" t="s">
        <v>14</v>
      </c>
      <c r="I2546" t="s">
        <v>18</v>
      </c>
      <c r="J2546" s="3">
        <v>45398</v>
      </c>
      <c r="K2546" s="4">
        <f>ClientiBanca[[#This Row],[Prestito]]+ClientiBanca[[#This Row],[Mutuo]]</f>
        <v>168400</v>
      </c>
      <c r="L2546" t="str">
        <f>IF(ClientiBanca[[#This Row],[Reddito annuo]]&gt;=70000,"si","no")</f>
        <v>no</v>
      </c>
    </row>
    <row r="2547" spans="1:12">
      <c r="A2547">
        <v>102546</v>
      </c>
      <c r="B2547">
        <v>71</v>
      </c>
      <c r="C2547" s="2">
        <v>24300</v>
      </c>
      <c r="D2547" t="s">
        <v>12</v>
      </c>
      <c r="E2547" s="2">
        <v>30400</v>
      </c>
      <c r="F2547" s="2">
        <v>248000</v>
      </c>
      <c r="G2547" t="s">
        <v>19</v>
      </c>
      <c r="H2547" t="s">
        <v>17</v>
      </c>
      <c r="I2547" t="s">
        <v>18</v>
      </c>
      <c r="J2547" s="3">
        <v>46071</v>
      </c>
      <c r="K2547" s="4">
        <f>ClientiBanca[[#This Row],[Prestito]]+ClientiBanca[[#This Row],[Mutuo]]</f>
        <v>278400</v>
      </c>
      <c r="L2547" t="str">
        <f>IF(ClientiBanca[[#This Row],[Reddito annuo]]&gt;=70000,"si","no")</f>
        <v>no</v>
      </c>
    </row>
    <row r="2548" spans="1:12">
      <c r="A2548">
        <v>102547</v>
      </c>
      <c r="B2548">
        <v>49</v>
      </c>
      <c r="C2548" s="2">
        <v>90200</v>
      </c>
      <c r="D2548" t="s">
        <v>21</v>
      </c>
      <c r="E2548" s="2">
        <v>57900</v>
      </c>
      <c r="F2548" s="2">
        <v>193000</v>
      </c>
      <c r="G2548" t="s">
        <v>23</v>
      </c>
      <c r="H2548" t="s">
        <v>20</v>
      </c>
      <c r="I2548" t="s">
        <v>18</v>
      </c>
      <c r="J2548" s="3">
        <v>45365</v>
      </c>
      <c r="K2548" s="4">
        <f>ClientiBanca[[#This Row],[Prestito]]+ClientiBanca[[#This Row],[Mutuo]]</f>
        <v>250900</v>
      </c>
      <c r="L2548" t="str">
        <f>IF(ClientiBanca[[#This Row],[Reddito annuo]]&gt;=70000,"si","no")</f>
        <v>si</v>
      </c>
    </row>
    <row r="2549" spans="1:12">
      <c r="A2549">
        <v>102548</v>
      </c>
      <c r="B2549">
        <v>43</v>
      </c>
      <c r="C2549" s="2">
        <v>106100</v>
      </c>
      <c r="D2549" t="s">
        <v>21</v>
      </c>
      <c r="E2549" s="2">
        <v>0</v>
      </c>
      <c r="F2549" s="2">
        <v>96000</v>
      </c>
      <c r="G2549" t="s">
        <v>24</v>
      </c>
      <c r="H2549" t="s">
        <v>20</v>
      </c>
      <c r="I2549" t="s">
        <v>18</v>
      </c>
      <c r="J2549" s="3">
        <v>45481</v>
      </c>
      <c r="K2549" s="4">
        <f>ClientiBanca[[#This Row],[Prestito]]+ClientiBanca[[#This Row],[Mutuo]]</f>
        <v>96000</v>
      </c>
      <c r="L2549" t="str">
        <f>IF(ClientiBanca[[#This Row],[Reddito annuo]]&gt;=70000,"si","no")</f>
        <v>si</v>
      </c>
    </row>
    <row r="2550" spans="1:12">
      <c r="A2550">
        <v>102549</v>
      </c>
      <c r="B2550">
        <v>52</v>
      </c>
      <c r="C2550" s="2">
        <v>55200</v>
      </c>
      <c r="D2550" t="s">
        <v>21</v>
      </c>
      <c r="E2550" s="2">
        <v>69000</v>
      </c>
      <c r="F2550" s="2">
        <v>0</v>
      </c>
      <c r="G2550" t="s">
        <v>27</v>
      </c>
      <c r="H2550" t="s">
        <v>17</v>
      </c>
      <c r="I2550" t="s">
        <v>18</v>
      </c>
      <c r="J2550" s="3">
        <v>45433</v>
      </c>
      <c r="K2550" s="4">
        <f>ClientiBanca[[#This Row],[Prestito]]+ClientiBanca[[#This Row],[Mutuo]]</f>
        <v>69000</v>
      </c>
      <c r="L2550" t="str">
        <f>IF(ClientiBanca[[#This Row],[Reddito annuo]]&gt;=70000,"si","no")</f>
        <v>no</v>
      </c>
    </row>
    <row r="2551" spans="1:12">
      <c r="A2551">
        <v>102550</v>
      </c>
      <c r="B2551">
        <v>30</v>
      </c>
      <c r="C2551" s="2">
        <v>46200</v>
      </c>
      <c r="D2551" t="s">
        <v>21</v>
      </c>
      <c r="E2551" s="2">
        <v>16700</v>
      </c>
      <c r="F2551" s="2">
        <v>0</v>
      </c>
      <c r="G2551" t="s">
        <v>28</v>
      </c>
      <c r="H2551" t="s">
        <v>20</v>
      </c>
      <c r="I2551" t="s">
        <v>18</v>
      </c>
      <c r="J2551" s="3">
        <v>45554</v>
      </c>
      <c r="K2551" s="4">
        <f>ClientiBanca[[#This Row],[Prestito]]+ClientiBanca[[#This Row],[Mutuo]]</f>
        <v>16700</v>
      </c>
      <c r="L2551" t="str">
        <f>IF(ClientiBanca[[#This Row],[Reddito annuo]]&gt;=70000,"si","no")</f>
        <v>no</v>
      </c>
    </row>
    <row r="2552" spans="1:12">
      <c r="A2552">
        <v>102551</v>
      </c>
      <c r="B2552">
        <v>40</v>
      </c>
      <c r="C2552" s="2">
        <v>79200</v>
      </c>
      <c r="D2552" t="s">
        <v>12</v>
      </c>
      <c r="E2552" s="2">
        <v>79700</v>
      </c>
      <c r="F2552" s="2">
        <v>0</v>
      </c>
      <c r="G2552" t="s">
        <v>23</v>
      </c>
      <c r="H2552" t="s">
        <v>20</v>
      </c>
      <c r="I2552" t="s">
        <v>18</v>
      </c>
      <c r="J2552" s="3">
        <v>45436</v>
      </c>
      <c r="K2552" s="4">
        <f>ClientiBanca[[#This Row],[Prestito]]+ClientiBanca[[#This Row],[Mutuo]]</f>
        <v>79700</v>
      </c>
      <c r="L2552" t="str">
        <f>IF(ClientiBanca[[#This Row],[Reddito annuo]]&gt;=70000,"si","no")</f>
        <v>si</v>
      </c>
    </row>
    <row r="2553" spans="1:12">
      <c r="A2553">
        <v>102552</v>
      </c>
      <c r="B2553">
        <v>28</v>
      </c>
      <c r="C2553" s="2">
        <v>37100</v>
      </c>
      <c r="D2553" t="s">
        <v>21</v>
      </c>
      <c r="E2553" s="2">
        <v>46400</v>
      </c>
      <c r="F2553" s="2">
        <v>0</v>
      </c>
      <c r="G2553" t="s">
        <v>24</v>
      </c>
      <c r="H2553" t="s">
        <v>17</v>
      </c>
      <c r="I2553" t="s">
        <v>18</v>
      </c>
      <c r="J2553" s="3">
        <v>45673</v>
      </c>
      <c r="K2553" s="4">
        <f>ClientiBanca[[#This Row],[Prestito]]+ClientiBanca[[#This Row],[Mutuo]]</f>
        <v>46400</v>
      </c>
      <c r="L2553" t="str">
        <f>IF(ClientiBanca[[#This Row],[Reddito annuo]]&gt;=70000,"si","no")</f>
        <v>no</v>
      </c>
    </row>
    <row r="2554" spans="1:12">
      <c r="A2554">
        <v>102553</v>
      </c>
      <c r="B2554">
        <v>44</v>
      </c>
      <c r="C2554" s="2">
        <v>37400</v>
      </c>
      <c r="D2554" t="s">
        <v>21</v>
      </c>
      <c r="E2554" s="2">
        <v>0</v>
      </c>
      <c r="F2554" s="2">
        <v>0</v>
      </c>
      <c r="G2554" t="s">
        <v>27</v>
      </c>
      <c r="H2554" t="s">
        <v>14</v>
      </c>
      <c r="I2554" t="s">
        <v>18</v>
      </c>
      <c r="J2554" s="3">
        <v>45408</v>
      </c>
      <c r="K2554" s="4">
        <f>ClientiBanca[[#This Row],[Prestito]]+ClientiBanca[[#This Row],[Mutuo]]</f>
        <v>0</v>
      </c>
      <c r="L2554" t="str">
        <f>IF(ClientiBanca[[#This Row],[Reddito annuo]]&gt;=70000,"si","no")</f>
        <v>no</v>
      </c>
    </row>
    <row r="2555" spans="1:12">
      <c r="A2555">
        <v>102554</v>
      </c>
      <c r="B2555">
        <v>68</v>
      </c>
      <c r="C2555" s="2">
        <v>41600</v>
      </c>
      <c r="D2555" t="s">
        <v>12</v>
      </c>
      <c r="E2555" s="2">
        <v>38200</v>
      </c>
      <c r="F2555" s="2">
        <v>0</v>
      </c>
      <c r="G2555" t="s">
        <v>24</v>
      </c>
      <c r="H2555" t="s">
        <v>17</v>
      </c>
      <c r="I2555" t="s">
        <v>18</v>
      </c>
      <c r="J2555" s="3">
        <v>45411</v>
      </c>
      <c r="K2555" s="4">
        <f>ClientiBanca[[#This Row],[Prestito]]+ClientiBanca[[#This Row],[Mutuo]]</f>
        <v>38200</v>
      </c>
      <c r="L2555" t="str">
        <f>IF(ClientiBanca[[#This Row],[Reddito annuo]]&gt;=70000,"si","no")</f>
        <v>no</v>
      </c>
    </row>
    <row r="2556" spans="1:12">
      <c r="A2556">
        <v>102555</v>
      </c>
      <c r="B2556">
        <v>70</v>
      </c>
      <c r="C2556" s="2">
        <v>42000</v>
      </c>
      <c r="D2556" t="s">
        <v>21</v>
      </c>
      <c r="E2556" s="2">
        <v>25100</v>
      </c>
      <c r="F2556" s="2">
        <v>0</v>
      </c>
      <c r="G2556" t="s">
        <v>26</v>
      </c>
      <c r="H2556" t="s">
        <v>17</v>
      </c>
      <c r="I2556" t="s">
        <v>18</v>
      </c>
      <c r="J2556" s="3">
        <v>45482</v>
      </c>
      <c r="K2556" s="4">
        <f>ClientiBanca[[#This Row],[Prestito]]+ClientiBanca[[#This Row],[Mutuo]]</f>
        <v>25100</v>
      </c>
      <c r="L2556" t="str">
        <f>IF(ClientiBanca[[#This Row],[Reddito annuo]]&gt;=70000,"si","no")</f>
        <v>no</v>
      </c>
    </row>
    <row r="2557" spans="1:12">
      <c r="A2557">
        <v>102556</v>
      </c>
      <c r="B2557">
        <v>52</v>
      </c>
      <c r="C2557" s="2">
        <v>53100</v>
      </c>
      <c r="D2557" t="s">
        <v>12</v>
      </c>
      <c r="E2557" s="2">
        <v>30600</v>
      </c>
      <c r="F2557" s="2">
        <v>0</v>
      </c>
      <c r="G2557" t="s">
        <v>24</v>
      </c>
      <c r="H2557" t="s">
        <v>20</v>
      </c>
      <c r="I2557" t="s">
        <v>18</v>
      </c>
      <c r="J2557" s="3">
        <v>45731</v>
      </c>
      <c r="K2557" s="4">
        <f>ClientiBanca[[#This Row],[Prestito]]+ClientiBanca[[#This Row],[Mutuo]]</f>
        <v>30600</v>
      </c>
      <c r="L2557" t="str">
        <f>IF(ClientiBanca[[#This Row],[Reddito annuo]]&gt;=70000,"si","no")</f>
        <v>no</v>
      </c>
    </row>
    <row r="2558" spans="1:12">
      <c r="A2558">
        <v>102557</v>
      </c>
      <c r="B2558">
        <v>32</v>
      </c>
      <c r="C2558" s="2">
        <v>45000</v>
      </c>
      <c r="D2558" t="s">
        <v>12</v>
      </c>
      <c r="E2558" s="2">
        <v>0</v>
      </c>
      <c r="F2558" s="2">
        <v>0</v>
      </c>
      <c r="G2558" t="s">
        <v>19</v>
      </c>
      <c r="H2558" t="s">
        <v>20</v>
      </c>
      <c r="I2558" t="s">
        <v>18</v>
      </c>
      <c r="J2558" s="3">
        <v>46060</v>
      </c>
      <c r="K2558" s="4">
        <f>ClientiBanca[[#This Row],[Prestito]]+ClientiBanca[[#This Row],[Mutuo]]</f>
        <v>0</v>
      </c>
      <c r="L2558" t="str">
        <f>IF(ClientiBanca[[#This Row],[Reddito annuo]]&gt;=70000,"si","no")</f>
        <v>no</v>
      </c>
    </row>
    <row r="2559" spans="1:12">
      <c r="A2559">
        <v>102558</v>
      </c>
      <c r="B2559">
        <v>49</v>
      </c>
      <c r="C2559" s="2">
        <v>70200</v>
      </c>
      <c r="D2559" t="s">
        <v>21</v>
      </c>
      <c r="E2559" s="2">
        <v>0</v>
      </c>
      <c r="F2559" s="2">
        <v>0</v>
      </c>
      <c r="G2559" t="s">
        <v>26</v>
      </c>
      <c r="H2559" t="s">
        <v>17</v>
      </c>
      <c r="I2559" t="s">
        <v>18</v>
      </c>
      <c r="J2559" s="3">
        <v>45855</v>
      </c>
      <c r="K2559" s="4">
        <f>ClientiBanca[[#This Row],[Prestito]]+ClientiBanca[[#This Row],[Mutuo]]</f>
        <v>0</v>
      </c>
      <c r="L2559" t="str">
        <f>IF(ClientiBanca[[#This Row],[Reddito annuo]]&gt;=70000,"si","no")</f>
        <v>si</v>
      </c>
    </row>
    <row r="2560" spans="1:12">
      <c r="A2560">
        <v>102559</v>
      </c>
      <c r="B2560">
        <v>60</v>
      </c>
      <c r="C2560" s="2">
        <v>69200</v>
      </c>
      <c r="D2560" t="s">
        <v>21</v>
      </c>
      <c r="E2560" s="2">
        <v>20200</v>
      </c>
      <c r="F2560" s="2">
        <v>0</v>
      </c>
      <c r="G2560" t="s">
        <v>13</v>
      </c>
      <c r="H2560" t="s">
        <v>17</v>
      </c>
      <c r="I2560" t="s">
        <v>18</v>
      </c>
      <c r="J2560" s="3">
        <v>45684</v>
      </c>
      <c r="K2560" s="4">
        <f>ClientiBanca[[#This Row],[Prestito]]+ClientiBanca[[#This Row],[Mutuo]]</f>
        <v>20200</v>
      </c>
      <c r="L2560" t="str">
        <f>IF(ClientiBanca[[#This Row],[Reddito annuo]]&gt;=70000,"si","no")</f>
        <v>no</v>
      </c>
    </row>
    <row r="2561" spans="1:12">
      <c r="A2561">
        <v>102560</v>
      </c>
      <c r="B2561">
        <v>45</v>
      </c>
      <c r="C2561" s="2">
        <v>51300</v>
      </c>
      <c r="D2561" t="s">
        <v>21</v>
      </c>
      <c r="E2561" s="2">
        <v>0</v>
      </c>
      <c r="F2561" s="2">
        <v>274000</v>
      </c>
      <c r="G2561" t="s">
        <v>16</v>
      </c>
      <c r="H2561" t="s">
        <v>25</v>
      </c>
      <c r="I2561" t="s">
        <v>18</v>
      </c>
      <c r="J2561" s="3">
        <v>45670</v>
      </c>
      <c r="K2561" s="4">
        <f>ClientiBanca[[#This Row],[Prestito]]+ClientiBanca[[#This Row],[Mutuo]]</f>
        <v>274000</v>
      </c>
      <c r="L2561" t="str">
        <f>IF(ClientiBanca[[#This Row],[Reddito annuo]]&gt;=70000,"si","no")</f>
        <v>no</v>
      </c>
    </row>
    <row r="2562" spans="1:12">
      <c r="A2562">
        <v>102561</v>
      </c>
      <c r="B2562">
        <v>70</v>
      </c>
      <c r="C2562" s="2">
        <v>43800</v>
      </c>
      <c r="D2562" t="s">
        <v>12</v>
      </c>
      <c r="E2562" s="2">
        <v>54800</v>
      </c>
      <c r="F2562" s="2">
        <v>0</v>
      </c>
      <c r="G2562" t="s">
        <v>13</v>
      </c>
      <c r="H2562" t="s">
        <v>17</v>
      </c>
      <c r="I2562" t="s">
        <v>18</v>
      </c>
      <c r="J2562" s="3">
        <v>45670</v>
      </c>
      <c r="K2562" s="4">
        <f>ClientiBanca[[#This Row],[Prestito]]+ClientiBanca[[#This Row],[Mutuo]]</f>
        <v>54800</v>
      </c>
      <c r="L2562" t="str">
        <f>IF(ClientiBanca[[#This Row],[Reddito annuo]]&gt;=70000,"si","no")</f>
        <v>no</v>
      </c>
    </row>
    <row r="2563" spans="1:12">
      <c r="A2563">
        <v>102562</v>
      </c>
      <c r="B2563">
        <v>34</v>
      </c>
      <c r="C2563" s="2">
        <v>44000</v>
      </c>
      <c r="D2563" t="s">
        <v>22</v>
      </c>
      <c r="E2563" s="2">
        <v>17000</v>
      </c>
      <c r="F2563" s="2">
        <v>0</v>
      </c>
      <c r="G2563" t="s">
        <v>26</v>
      </c>
      <c r="H2563" t="s">
        <v>25</v>
      </c>
      <c r="I2563" t="s">
        <v>18</v>
      </c>
      <c r="J2563" s="3">
        <v>46028</v>
      </c>
      <c r="K2563" s="4">
        <f>ClientiBanca[[#This Row],[Prestito]]+ClientiBanca[[#This Row],[Mutuo]]</f>
        <v>17000</v>
      </c>
      <c r="L2563" t="str">
        <f>IF(ClientiBanca[[#This Row],[Reddito annuo]]&gt;=70000,"si","no")</f>
        <v>no</v>
      </c>
    </row>
    <row r="2564" spans="1:12">
      <c r="A2564">
        <v>102563</v>
      </c>
      <c r="B2564">
        <v>40</v>
      </c>
      <c r="C2564" s="2">
        <v>72700</v>
      </c>
      <c r="D2564" t="s">
        <v>21</v>
      </c>
      <c r="E2564" s="2">
        <v>46300</v>
      </c>
      <c r="F2564" s="2">
        <v>0</v>
      </c>
      <c r="G2564" t="s">
        <v>16</v>
      </c>
      <c r="H2564" t="s">
        <v>20</v>
      </c>
      <c r="I2564" t="s">
        <v>18</v>
      </c>
      <c r="J2564" s="3">
        <v>46076</v>
      </c>
      <c r="K2564" s="4">
        <f>ClientiBanca[[#This Row],[Prestito]]+ClientiBanca[[#This Row],[Mutuo]]</f>
        <v>46300</v>
      </c>
      <c r="L2564" t="str">
        <f>IF(ClientiBanca[[#This Row],[Reddito annuo]]&gt;=70000,"si","no")</f>
        <v>si</v>
      </c>
    </row>
    <row r="2565" spans="1:12">
      <c r="A2565">
        <v>102564</v>
      </c>
      <c r="B2565">
        <v>56</v>
      </c>
      <c r="C2565" s="2">
        <v>63500</v>
      </c>
      <c r="D2565" t="s">
        <v>21</v>
      </c>
      <c r="E2565" s="2">
        <v>22900</v>
      </c>
      <c r="F2565" s="2">
        <v>0</v>
      </c>
      <c r="G2565" t="s">
        <v>16</v>
      </c>
      <c r="H2565" t="s">
        <v>17</v>
      </c>
      <c r="I2565" t="s">
        <v>18</v>
      </c>
      <c r="J2565" s="3">
        <v>45596</v>
      </c>
      <c r="K2565" s="4">
        <f>ClientiBanca[[#This Row],[Prestito]]+ClientiBanca[[#This Row],[Mutuo]]</f>
        <v>22900</v>
      </c>
      <c r="L2565" t="str">
        <f>IF(ClientiBanca[[#This Row],[Reddito annuo]]&gt;=70000,"si","no")</f>
        <v>no</v>
      </c>
    </row>
    <row r="2566" spans="1:12">
      <c r="A2566">
        <v>102565</v>
      </c>
      <c r="B2566">
        <v>26</v>
      </c>
      <c r="C2566" s="2">
        <v>49300</v>
      </c>
      <c r="D2566" t="s">
        <v>21</v>
      </c>
      <c r="E2566" s="2">
        <v>60600</v>
      </c>
      <c r="F2566" s="2">
        <v>0</v>
      </c>
      <c r="G2566" t="s">
        <v>16</v>
      </c>
      <c r="H2566" t="s">
        <v>25</v>
      </c>
      <c r="I2566" t="s">
        <v>18</v>
      </c>
      <c r="J2566" s="3">
        <v>45852</v>
      </c>
      <c r="K2566" s="4">
        <f>ClientiBanca[[#This Row],[Prestito]]+ClientiBanca[[#This Row],[Mutuo]]</f>
        <v>60600</v>
      </c>
      <c r="L2566" t="str">
        <f>IF(ClientiBanca[[#This Row],[Reddito annuo]]&gt;=70000,"si","no")</f>
        <v>no</v>
      </c>
    </row>
    <row r="2567" spans="1:12">
      <c r="A2567">
        <v>102566</v>
      </c>
      <c r="B2567">
        <v>34</v>
      </c>
      <c r="C2567" s="2">
        <v>48400</v>
      </c>
      <c r="D2567" t="s">
        <v>21</v>
      </c>
      <c r="E2567" s="2">
        <v>28900</v>
      </c>
      <c r="F2567" s="2">
        <v>0</v>
      </c>
      <c r="G2567" t="s">
        <v>16</v>
      </c>
      <c r="H2567" t="s">
        <v>20</v>
      </c>
      <c r="I2567" t="s">
        <v>18</v>
      </c>
      <c r="J2567" s="3">
        <v>45714</v>
      </c>
      <c r="K2567" s="4">
        <f>ClientiBanca[[#This Row],[Prestito]]+ClientiBanca[[#This Row],[Mutuo]]</f>
        <v>28900</v>
      </c>
      <c r="L2567" t="str">
        <f>IF(ClientiBanca[[#This Row],[Reddito annuo]]&gt;=70000,"si","no")</f>
        <v>no</v>
      </c>
    </row>
    <row r="2568" spans="1:12">
      <c r="A2568">
        <v>102567</v>
      </c>
      <c r="B2568">
        <v>70</v>
      </c>
      <c r="C2568" s="2">
        <v>34500</v>
      </c>
      <c r="D2568" t="s">
        <v>12</v>
      </c>
      <c r="E2568" s="2">
        <v>37500</v>
      </c>
      <c r="F2568" s="2">
        <v>0</v>
      </c>
      <c r="G2568" t="s">
        <v>23</v>
      </c>
      <c r="H2568" t="s">
        <v>14</v>
      </c>
      <c r="I2568" t="s">
        <v>18</v>
      </c>
      <c r="J2568" s="3">
        <v>46069</v>
      </c>
      <c r="K2568" s="4">
        <f>ClientiBanca[[#This Row],[Prestito]]+ClientiBanca[[#This Row],[Mutuo]]</f>
        <v>37500</v>
      </c>
      <c r="L2568" t="str">
        <f>IF(ClientiBanca[[#This Row],[Reddito annuo]]&gt;=70000,"si","no")</f>
        <v>no</v>
      </c>
    </row>
    <row r="2569" spans="1:12">
      <c r="A2569">
        <v>102568</v>
      </c>
      <c r="B2569">
        <v>54</v>
      </c>
      <c r="C2569" s="2">
        <v>84200</v>
      </c>
      <c r="D2569" t="s">
        <v>21</v>
      </c>
      <c r="E2569" s="2">
        <v>60300</v>
      </c>
      <c r="F2569" s="2">
        <v>0</v>
      </c>
      <c r="G2569" t="s">
        <v>13</v>
      </c>
      <c r="H2569" t="s">
        <v>20</v>
      </c>
      <c r="I2569" t="s">
        <v>18</v>
      </c>
      <c r="J2569" s="3">
        <v>45819</v>
      </c>
      <c r="K2569" s="4">
        <f>ClientiBanca[[#This Row],[Prestito]]+ClientiBanca[[#This Row],[Mutuo]]</f>
        <v>60300</v>
      </c>
      <c r="L2569" t="str">
        <f>IF(ClientiBanca[[#This Row],[Reddito annuo]]&gt;=70000,"si","no")</f>
        <v>si</v>
      </c>
    </row>
    <row r="2570" spans="1:12">
      <c r="A2570">
        <v>102569</v>
      </c>
      <c r="B2570">
        <v>61</v>
      </c>
      <c r="C2570" s="2">
        <v>41000</v>
      </c>
      <c r="D2570" t="s">
        <v>21</v>
      </c>
      <c r="E2570" s="2">
        <v>7700</v>
      </c>
      <c r="F2570" s="2">
        <v>0</v>
      </c>
      <c r="G2570" t="s">
        <v>28</v>
      </c>
      <c r="H2570" t="s">
        <v>20</v>
      </c>
      <c r="I2570" t="s">
        <v>18</v>
      </c>
      <c r="J2570" s="3">
        <v>45999</v>
      </c>
      <c r="K2570" s="4">
        <f>ClientiBanca[[#This Row],[Prestito]]+ClientiBanca[[#This Row],[Mutuo]]</f>
        <v>7700</v>
      </c>
      <c r="L2570" t="str">
        <f>IF(ClientiBanca[[#This Row],[Reddito annuo]]&gt;=70000,"si","no")</f>
        <v>no</v>
      </c>
    </row>
    <row r="2571" spans="1:12">
      <c r="A2571">
        <v>102570</v>
      </c>
      <c r="B2571">
        <v>30</v>
      </c>
      <c r="C2571" s="2">
        <v>82900</v>
      </c>
      <c r="D2571" t="s">
        <v>12</v>
      </c>
      <c r="E2571" s="2">
        <v>0</v>
      </c>
      <c r="F2571" s="2">
        <v>234000</v>
      </c>
      <c r="G2571" t="s">
        <v>28</v>
      </c>
      <c r="H2571" t="s">
        <v>14</v>
      </c>
      <c r="I2571" t="s">
        <v>18</v>
      </c>
      <c r="J2571" s="3">
        <v>46217</v>
      </c>
      <c r="K2571" s="4">
        <f>ClientiBanca[[#This Row],[Prestito]]+ClientiBanca[[#This Row],[Mutuo]]</f>
        <v>234000</v>
      </c>
      <c r="L2571" t="str">
        <f>IF(ClientiBanca[[#This Row],[Reddito annuo]]&gt;=70000,"si","no")</f>
        <v>si</v>
      </c>
    </row>
    <row r="2572" spans="1:12">
      <c r="A2572">
        <v>102571</v>
      </c>
      <c r="B2572">
        <v>65</v>
      </c>
      <c r="C2572" s="2">
        <v>25200</v>
      </c>
      <c r="D2572" t="s">
        <v>22</v>
      </c>
      <c r="E2572" s="2">
        <v>22200</v>
      </c>
      <c r="F2572" s="2">
        <v>0</v>
      </c>
      <c r="G2572" t="s">
        <v>24</v>
      </c>
      <c r="H2572" t="s">
        <v>25</v>
      </c>
      <c r="I2572" t="s">
        <v>18</v>
      </c>
      <c r="J2572" s="3">
        <v>45699</v>
      </c>
      <c r="K2572" s="4">
        <f>ClientiBanca[[#This Row],[Prestito]]+ClientiBanca[[#This Row],[Mutuo]]</f>
        <v>22200</v>
      </c>
      <c r="L2572" t="str">
        <f>IF(ClientiBanca[[#This Row],[Reddito annuo]]&gt;=70000,"si","no")</f>
        <v>no</v>
      </c>
    </row>
    <row r="2573" spans="1:12">
      <c r="A2573">
        <v>102572</v>
      </c>
      <c r="B2573">
        <v>70</v>
      </c>
      <c r="C2573" s="2">
        <v>41000</v>
      </c>
      <c r="D2573" t="s">
        <v>12</v>
      </c>
      <c r="E2573" s="2">
        <v>0</v>
      </c>
      <c r="F2573" s="2">
        <v>0</v>
      </c>
      <c r="G2573" t="s">
        <v>24</v>
      </c>
      <c r="H2573" t="s">
        <v>17</v>
      </c>
      <c r="I2573" t="s">
        <v>18</v>
      </c>
      <c r="J2573" s="3">
        <v>45576</v>
      </c>
      <c r="K2573" s="4">
        <f>ClientiBanca[[#This Row],[Prestito]]+ClientiBanca[[#This Row],[Mutuo]]</f>
        <v>0</v>
      </c>
      <c r="L2573" t="str">
        <f>IF(ClientiBanca[[#This Row],[Reddito annuo]]&gt;=70000,"si","no")</f>
        <v>no</v>
      </c>
    </row>
    <row r="2574" spans="1:12">
      <c r="A2574">
        <v>102573</v>
      </c>
      <c r="B2574">
        <v>73</v>
      </c>
      <c r="C2574" s="2">
        <v>37700</v>
      </c>
      <c r="D2574" t="s">
        <v>12</v>
      </c>
      <c r="E2574" s="2">
        <v>0</v>
      </c>
      <c r="F2574" s="2">
        <v>0</v>
      </c>
      <c r="G2574" t="s">
        <v>26</v>
      </c>
      <c r="H2574" t="s">
        <v>17</v>
      </c>
      <c r="I2574" t="s">
        <v>18</v>
      </c>
      <c r="J2574" s="3">
        <v>45707</v>
      </c>
      <c r="K2574" s="4">
        <f>ClientiBanca[[#This Row],[Prestito]]+ClientiBanca[[#This Row],[Mutuo]]</f>
        <v>0</v>
      </c>
      <c r="L2574" t="str">
        <f>IF(ClientiBanca[[#This Row],[Reddito annuo]]&gt;=70000,"si","no")</f>
        <v>no</v>
      </c>
    </row>
    <row r="2575" spans="1:12">
      <c r="A2575">
        <v>102574</v>
      </c>
      <c r="B2575">
        <v>33</v>
      </c>
      <c r="C2575" s="2">
        <v>101400</v>
      </c>
      <c r="D2575" t="s">
        <v>21</v>
      </c>
      <c r="E2575" s="2">
        <v>16000</v>
      </c>
      <c r="F2575" s="2">
        <v>0</v>
      </c>
      <c r="G2575" t="s">
        <v>26</v>
      </c>
      <c r="H2575" t="s">
        <v>20</v>
      </c>
      <c r="I2575" t="s">
        <v>18</v>
      </c>
      <c r="J2575" s="3">
        <v>45878</v>
      </c>
      <c r="K2575" s="4">
        <f>ClientiBanca[[#This Row],[Prestito]]+ClientiBanca[[#This Row],[Mutuo]]</f>
        <v>16000</v>
      </c>
      <c r="L2575" t="str">
        <f>IF(ClientiBanca[[#This Row],[Reddito annuo]]&gt;=70000,"si","no")</f>
        <v>si</v>
      </c>
    </row>
    <row r="2576" spans="1:12">
      <c r="A2576">
        <v>102575</v>
      </c>
      <c r="B2576">
        <v>36</v>
      </c>
      <c r="C2576" s="2">
        <v>60200</v>
      </c>
      <c r="D2576" t="s">
        <v>12</v>
      </c>
      <c r="E2576" s="2">
        <v>0</v>
      </c>
      <c r="F2576" s="2">
        <v>241000</v>
      </c>
      <c r="G2576" t="s">
        <v>16</v>
      </c>
      <c r="H2576" t="s">
        <v>17</v>
      </c>
      <c r="I2576" t="s">
        <v>18</v>
      </c>
      <c r="J2576" s="3">
        <v>45872</v>
      </c>
      <c r="K2576" s="4">
        <f>ClientiBanca[[#This Row],[Prestito]]+ClientiBanca[[#This Row],[Mutuo]]</f>
        <v>241000</v>
      </c>
      <c r="L2576" t="str">
        <f>IF(ClientiBanca[[#This Row],[Reddito annuo]]&gt;=70000,"si","no")</f>
        <v>no</v>
      </c>
    </row>
    <row r="2577" spans="1:12">
      <c r="A2577">
        <v>102576</v>
      </c>
      <c r="B2577">
        <v>49</v>
      </c>
      <c r="C2577" s="2">
        <v>33400</v>
      </c>
      <c r="D2577" t="s">
        <v>21</v>
      </c>
      <c r="E2577" s="2">
        <v>0</v>
      </c>
      <c r="F2577" s="2">
        <v>251000</v>
      </c>
      <c r="G2577" t="s">
        <v>23</v>
      </c>
      <c r="H2577" t="s">
        <v>17</v>
      </c>
      <c r="I2577" t="s">
        <v>18</v>
      </c>
      <c r="J2577" s="3">
        <v>45517</v>
      </c>
      <c r="K2577" s="4">
        <f>ClientiBanca[[#This Row],[Prestito]]+ClientiBanca[[#This Row],[Mutuo]]</f>
        <v>251000</v>
      </c>
      <c r="L2577" t="str">
        <f>IF(ClientiBanca[[#This Row],[Reddito annuo]]&gt;=70000,"si","no")</f>
        <v>no</v>
      </c>
    </row>
    <row r="2578" spans="1:12">
      <c r="A2578">
        <v>102577</v>
      </c>
      <c r="B2578">
        <v>58</v>
      </c>
      <c r="C2578" s="2">
        <v>35300</v>
      </c>
      <c r="D2578" t="s">
        <v>21</v>
      </c>
      <c r="E2578" s="2">
        <v>17500</v>
      </c>
      <c r="F2578" s="2">
        <v>0</v>
      </c>
      <c r="G2578" t="s">
        <v>27</v>
      </c>
      <c r="H2578" t="s">
        <v>20</v>
      </c>
      <c r="I2578" t="s">
        <v>18</v>
      </c>
      <c r="J2578" s="3">
        <v>45544</v>
      </c>
      <c r="K2578" s="4">
        <f>ClientiBanca[[#This Row],[Prestito]]+ClientiBanca[[#This Row],[Mutuo]]</f>
        <v>17500</v>
      </c>
      <c r="L2578" t="str">
        <f>IF(ClientiBanca[[#This Row],[Reddito annuo]]&gt;=70000,"si","no")</f>
        <v>no</v>
      </c>
    </row>
    <row r="2579" spans="1:12">
      <c r="A2579">
        <v>102578</v>
      </c>
      <c r="B2579">
        <v>56</v>
      </c>
      <c r="C2579" s="2">
        <v>67300</v>
      </c>
      <c r="D2579" t="s">
        <v>12</v>
      </c>
      <c r="E2579" s="2">
        <v>50500</v>
      </c>
      <c r="F2579" s="2">
        <v>156000</v>
      </c>
      <c r="G2579" t="s">
        <v>26</v>
      </c>
      <c r="H2579" t="s">
        <v>20</v>
      </c>
      <c r="I2579" t="s">
        <v>18</v>
      </c>
      <c r="J2579" s="3">
        <v>45721</v>
      </c>
      <c r="K2579" s="4">
        <f>ClientiBanca[[#This Row],[Prestito]]+ClientiBanca[[#This Row],[Mutuo]]</f>
        <v>206500</v>
      </c>
      <c r="L2579" t="str">
        <f>IF(ClientiBanca[[#This Row],[Reddito annuo]]&gt;=70000,"si","no")</f>
        <v>no</v>
      </c>
    </row>
    <row r="2580" spans="1:12">
      <c r="A2580">
        <v>102579</v>
      </c>
      <c r="B2580">
        <v>73</v>
      </c>
      <c r="C2580" s="2">
        <v>58600</v>
      </c>
      <c r="D2580" t="s">
        <v>12</v>
      </c>
      <c r="E2580" s="2">
        <v>0</v>
      </c>
      <c r="F2580" s="2">
        <v>0</v>
      </c>
      <c r="G2580" t="s">
        <v>13</v>
      </c>
      <c r="H2580" t="s">
        <v>20</v>
      </c>
      <c r="I2580" t="s">
        <v>18</v>
      </c>
      <c r="J2580" s="3">
        <v>46137</v>
      </c>
      <c r="K2580" s="4">
        <f>ClientiBanca[[#This Row],[Prestito]]+ClientiBanca[[#This Row],[Mutuo]]</f>
        <v>0</v>
      </c>
      <c r="L2580" t="str">
        <f>IF(ClientiBanca[[#This Row],[Reddito annuo]]&gt;=70000,"si","no")</f>
        <v>no</v>
      </c>
    </row>
    <row r="2581" spans="1:12">
      <c r="A2581">
        <v>102580</v>
      </c>
      <c r="B2581">
        <v>56</v>
      </c>
      <c r="C2581" s="2">
        <v>63100</v>
      </c>
      <c r="D2581" t="s">
        <v>12</v>
      </c>
      <c r="E2581" s="2">
        <v>11300</v>
      </c>
      <c r="F2581" s="2">
        <v>194000</v>
      </c>
      <c r="G2581" t="s">
        <v>23</v>
      </c>
      <c r="H2581" t="s">
        <v>20</v>
      </c>
      <c r="I2581" t="s">
        <v>18</v>
      </c>
      <c r="J2581" s="3">
        <v>46222</v>
      </c>
      <c r="K2581" s="4">
        <f>ClientiBanca[[#This Row],[Prestito]]+ClientiBanca[[#This Row],[Mutuo]]</f>
        <v>205300</v>
      </c>
      <c r="L2581" t="str">
        <f>IF(ClientiBanca[[#This Row],[Reddito annuo]]&gt;=70000,"si","no")</f>
        <v>no</v>
      </c>
    </row>
    <row r="2582" spans="1:12">
      <c r="A2582">
        <v>102581</v>
      </c>
      <c r="B2582">
        <v>54</v>
      </c>
      <c r="C2582" s="2">
        <v>33700</v>
      </c>
      <c r="D2582" t="s">
        <v>21</v>
      </c>
      <c r="E2582" s="2">
        <v>0</v>
      </c>
      <c r="F2582" s="2">
        <v>0</v>
      </c>
      <c r="G2582" t="s">
        <v>13</v>
      </c>
      <c r="H2582" t="s">
        <v>14</v>
      </c>
      <c r="I2582" t="s">
        <v>18</v>
      </c>
      <c r="J2582" s="3">
        <v>45340</v>
      </c>
      <c r="K2582" s="4">
        <f>ClientiBanca[[#This Row],[Prestito]]+ClientiBanca[[#This Row],[Mutuo]]</f>
        <v>0</v>
      </c>
      <c r="L2582" t="str">
        <f>IF(ClientiBanca[[#This Row],[Reddito annuo]]&gt;=70000,"si","no")</f>
        <v>no</v>
      </c>
    </row>
    <row r="2583" spans="1:12">
      <c r="A2583">
        <v>102582</v>
      </c>
      <c r="B2583">
        <v>74</v>
      </c>
      <c r="C2583" s="2">
        <v>47600</v>
      </c>
      <c r="D2583" t="s">
        <v>22</v>
      </c>
      <c r="E2583" s="2">
        <v>59500</v>
      </c>
      <c r="F2583" s="2">
        <v>221000</v>
      </c>
      <c r="G2583" t="s">
        <v>16</v>
      </c>
      <c r="H2583" t="s">
        <v>14</v>
      </c>
      <c r="I2583" t="s">
        <v>18</v>
      </c>
      <c r="J2583" s="3">
        <v>45705</v>
      </c>
      <c r="K2583" s="4">
        <f>ClientiBanca[[#This Row],[Prestito]]+ClientiBanca[[#This Row],[Mutuo]]</f>
        <v>280500</v>
      </c>
      <c r="L2583" t="str">
        <f>IF(ClientiBanca[[#This Row],[Reddito annuo]]&gt;=70000,"si","no")</f>
        <v>no</v>
      </c>
    </row>
    <row r="2584" spans="1:12">
      <c r="A2584">
        <v>102583</v>
      </c>
      <c r="B2584">
        <v>54</v>
      </c>
      <c r="C2584" s="2">
        <v>127300</v>
      </c>
      <c r="D2584" t="s">
        <v>12</v>
      </c>
      <c r="E2584" s="2">
        <v>41000</v>
      </c>
      <c r="F2584" s="2">
        <v>168000</v>
      </c>
      <c r="G2584" t="s">
        <v>13</v>
      </c>
      <c r="H2584" t="s">
        <v>14</v>
      </c>
      <c r="I2584" t="s">
        <v>18</v>
      </c>
      <c r="J2584" s="3">
        <v>45556</v>
      </c>
      <c r="K2584" s="4">
        <f>ClientiBanca[[#This Row],[Prestito]]+ClientiBanca[[#This Row],[Mutuo]]</f>
        <v>209000</v>
      </c>
      <c r="L2584" t="str">
        <f>IF(ClientiBanca[[#This Row],[Reddito annuo]]&gt;=70000,"si","no")</f>
        <v>si</v>
      </c>
    </row>
    <row r="2585" spans="1:12">
      <c r="A2585">
        <v>102584</v>
      </c>
      <c r="B2585">
        <v>52</v>
      </c>
      <c r="C2585" s="2">
        <v>97900</v>
      </c>
      <c r="D2585" t="s">
        <v>22</v>
      </c>
      <c r="E2585" s="2">
        <v>21600</v>
      </c>
      <c r="F2585" s="2">
        <v>109000</v>
      </c>
      <c r="G2585" t="s">
        <v>19</v>
      </c>
      <c r="H2585" t="s">
        <v>20</v>
      </c>
      <c r="I2585" t="s">
        <v>18</v>
      </c>
      <c r="J2585" s="3">
        <v>46004</v>
      </c>
      <c r="K2585" s="4">
        <f>ClientiBanca[[#This Row],[Prestito]]+ClientiBanca[[#This Row],[Mutuo]]</f>
        <v>130600</v>
      </c>
      <c r="L2585" t="str">
        <f>IF(ClientiBanca[[#This Row],[Reddito annuo]]&gt;=70000,"si","no")</f>
        <v>si</v>
      </c>
    </row>
    <row r="2586" spans="1:12">
      <c r="A2586">
        <v>102585</v>
      </c>
      <c r="B2586">
        <v>50</v>
      </c>
      <c r="C2586" s="2">
        <v>64600</v>
      </c>
      <c r="D2586" t="s">
        <v>12</v>
      </c>
      <c r="E2586" s="2">
        <v>70400</v>
      </c>
      <c r="F2586" s="2">
        <v>0</v>
      </c>
      <c r="G2586" t="s">
        <v>23</v>
      </c>
      <c r="H2586" t="s">
        <v>14</v>
      </c>
      <c r="I2586" t="s">
        <v>18</v>
      </c>
      <c r="J2586" s="3">
        <v>45373</v>
      </c>
      <c r="K2586" s="4">
        <f>ClientiBanca[[#This Row],[Prestito]]+ClientiBanca[[#This Row],[Mutuo]]</f>
        <v>70400</v>
      </c>
      <c r="L2586" t="str">
        <f>IF(ClientiBanca[[#This Row],[Reddito annuo]]&gt;=70000,"si","no")</f>
        <v>no</v>
      </c>
    </row>
    <row r="2587" spans="1:12">
      <c r="A2587">
        <v>102586</v>
      </c>
      <c r="B2587">
        <v>40</v>
      </c>
      <c r="C2587" s="2">
        <v>84200</v>
      </c>
      <c r="D2587" t="s">
        <v>21</v>
      </c>
      <c r="E2587" s="2">
        <v>13000</v>
      </c>
      <c r="F2587" s="2">
        <v>0</v>
      </c>
      <c r="G2587" t="s">
        <v>23</v>
      </c>
      <c r="H2587" t="s">
        <v>14</v>
      </c>
      <c r="I2587" t="s">
        <v>18</v>
      </c>
      <c r="J2587" s="3">
        <v>45392</v>
      </c>
      <c r="K2587" s="4">
        <f>ClientiBanca[[#This Row],[Prestito]]+ClientiBanca[[#This Row],[Mutuo]]</f>
        <v>13000</v>
      </c>
      <c r="L2587" t="str">
        <f>IF(ClientiBanca[[#This Row],[Reddito annuo]]&gt;=70000,"si","no")</f>
        <v>si</v>
      </c>
    </row>
    <row r="2588" spans="1:12">
      <c r="A2588">
        <v>102587</v>
      </c>
      <c r="B2588">
        <v>57</v>
      </c>
      <c r="C2588" s="2">
        <v>74000</v>
      </c>
      <c r="D2588" t="s">
        <v>22</v>
      </c>
      <c r="E2588" s="2">
        <v>0</v>
      </c>
      <c r="F2588" s="2">
        <v>0</v>
      </c>
      <c r="G2588" t="s">
        <v>26</v>
      </c>
      <c r="H2588" t="s">
        <v>14</v>
      </c>
      <c r="I2588" t="s">
        <v>18</v>
      </c>
      <c r="J2588" s="3">
        <v>45977</v>
      </c>
      <c r="K2588" s="4">
        <f>ClientiBanca[[#This Row],[Prestito]]+ClientiBanca[[#This Row],[Mutuo]]</f>
        <v>0</v>
      </c>
      <c r="L2588" t="str">
        <f>IF(ClientiBanca[[#This Row],[Reddito annuo]]&gt;=70000,"si","no")</f>
        <v>si</v>
      </c>
    </row>
    <row r="2589" spans="1:12">
      <c r="A2589">
        <v>102588</v>
      </c>
      <c r="B2589">
        <v>75</v>
      </c>
      <c r="C2589" s="2">
        <v>21400</v>
      </c>
      <c r="D2589" t="s">
        <v>22</v>
      </c>
      <c r="E2589" s="2">
        <v>26800</v>
      </c>
      <c r="F2589" s="2">
        <v>120000</v>
      </c>
      <c r="G2589" t="s">
        <v>24</v>
      </c>
      <c r="H2589" t="s">
        <v>14</v>
      </c>
      <c r="I2589" t="s">
        <v>18</v>
      </c>
      <c r="J2589" s="3">
        <v>45939</v>
      </c>
      <c r="K2589" s="4">
        <f>ClientiBanca[[#This Row],[Prestito]]+ClientiBanca[[#This Row],[Mutuo]]</f>
        <v>146800</v>
      </c>
      <c r="L2589" t="str">
        <f>IF(ClientiBanca[[#This Row],[Reddito annuo]]&gt;=70000,"si","no")</f>
        <v>no</v>
      </c>
    </row>
    <row r="2590" spans="1:12">
      <c r="A2590">
        <v>102589</v>
      </c>
      <c r="B2590">
        <v>39</v>
      </c>
      <c r="C2590" s="2">
        <v>48000</v>
      </c>
      <c r="D2590" t="s">
        <v>22</v>
      </c>
      <c r="E2590" s="2">
        <v>0</v>
      </c>
      <c r="F2590" s="2">
        <v>340000</v>
      </c>
      <c r="G2590" t="s">
        <v>23</v>
      </c>
      <c r="H2590" t="s">
        <v>25</v>
      </c>
      <c r="I2590" t="s">
        <v>18</v>
      </c>
      <c r="J2590" s="3">
        <v>45779</v>
      </c>
      <c r="K2590" s="4">
        <f>ClientiBanca[[#This Row],[Prestito]]+ClientiBanca[[#This Row],[Mutuo]]</f>
        <v>340000</v>
      </c>
      <c r="L2590" t="str">
        <f>IF(ClientiBanca[[#This Row],[Reddito annuo]]&gt;=70000,"si","no")</f>
        <v>no</v>
      </c>
    </row>
    <row r="2591" spans="1:12">
      <c r="A2591">
        <v>102590</v>
      </c>
      <c r="B2591">
        <v>74</v>
      </c>
      <c r="C2591" s="2">
        <v>60500</v>
      </c>
      <c r="D2591" t="s">
        <v>21</v>
      </c>
      <c r="E2591" s="2">
        <v>29800</v>
      </c>
      <c r="F2591" s="2">
        <v>0</v>
      </c>
      <c r="G2591" t="s">
        <v>23</v>
      </c>
      <c r="H2591" t="s">
        <v>17</v>
      </c>
      <c r="I2591" t="s">
        <v>18</v>
      </c>
      <c r="J2591" s="3">
        <v>45330</v>
      </c>
      <c r="K2591" s="4">
        <f>ClientiBanca[[#This Row],[Prestito]]+ClientiBanca[[#This Row],[Mutuo]]</f>
        <v>29800</v>
      </c>
      <c r="L2591" t="str">
        <f>IF(ClientiBanca[[#This Row],[Reddito annuo]]&gt;=70000,"si","no")</f>
        <v>no</v>
      </c>
    </row>
    <row r="2592" spans="1:12">
      <c r="A2592">
        <v>102591</v>
      </c>
      <c r="B2592">
        <v>60</v>
      </c>
      <c r="C2592" s="2">
        <v>59800</v>
      </c>
      <c r="D2592" t="s">
        <v>12</v>
      </c>
      <c r="E2592" s="2">
        <v>74800</v>
      </c>
      <c r="F2592" s="2">
        <v>225000</v>
      </c>
      <c r="G2592" t="s">
        <v>26</v>
      </c>
      <c r="H2592" t="s">
        <v>20</v>
      </c>
      <c r="I2592" t="s">
        <v>18</v>
      </c>
      <c r="J2592" s="3">
        <v>45413</v>
      </c>
      <c r="K2592" s="4">
        <f>ClientiBanca[[#This Row],[Prestito]]+ClientiBanca[[#This Row],[Mutuo]]</f>
        <v>299800</v>
      </c>
      <c r="L2592" t="str">
        <f>IF(ClientiBanca[[#This Row],[Reddito annuo]]&gt;=70000,"si","no")</f>
        <v>no</v>
      </c>
    </row>
    <row r="2593" spans="1:12">
      <c r="A2593">
        <v>102592</v>
      </c>
      <c r="B2593">
        <v>42</v>
      </c>
      <c r="C2593" s="2">
        <v>46000</v>
      </c>
      <c r="D2593" t="s">
        <v>21</v>
      </c>
      <c r="E2593" s="2">
        <v>12800</v>
      </c>
      <c r="F2593" s="2">
        <v>0</v>
      </c>
      <c r="G2593" t="s">
        <v>19</v>
      </c>
      <c r="H2593" t="s">
        <v>20</v>
      </c>
      <c r="I2593" t="s">
        <v>18</v>
      </c>
      <c r="J2593" s="3">
        <v>45735</v>
      </c>
      <c r="K2593" s="4">
        <f>ClientiBanca[[#This Row],[Prestito]]+ClientiBanca[[#This Row],[Mutuo]]</f>
        <v>12800</v>
      </c>
      <c r="L2593" t="str">
        <f>IF(ClientiBanca[[#This Row],[Reddito annuo]]&gt;=70000,"si","no")</f>
        <v>no</v>
      </c>
    </row>
    <row r="2594" spans="1:12">
      <c r="A2594">
        <v>102593</v>
      </c>
      <c r="B2594">
        <v>62</v>
      </c>
      <c r="C2594" s="2">
        <v>40300</v>
      </c>
      <c r="D2594" t="s">
        <v>21</v>
      </c>
      <c r="E2594" s="2">
        <v>50400</v>
      </c>
      <c r="F2594" s="2">
        <v>0</v>
      </c>
      <c r="G2594" t="s">
        <v>19</v>
      </c>
      <c r="H2594" t="s">
        <v>17</v>
      </c>
      <c r="I2594" t="s">
        <v>18</v>
      </c>
      <c r="J2594" s="3">
        <v>46049</v>
      </c>
      <c r="K2594" s="4">
        <f>ClientiBanca[[#This Row],[Prestito]]+ClientiBanca[[#This Row],[Mutuo]]</f>
        <v>50400</v>
      </c>
      <c r="L2594" t="str">
        <f>IF(ClientiBanca[[#This Row],[Reddito annuo]]&gt;=70000,"si","no")</f>
        <v>no</v>
      </c>
    </row>
    <row r="2595" spans="1:12">
      <c r="A2595">
        <v>102594</v>
      </c>
      <c r="B2595">
        <v>39</v>
      </c>
      <c r="C2595" s="2">
        <v>97600</v>
      </c>
      <c r="D2595" t="s">
        <v>21</v>
      </c>
      <c r="E2595" s="2">
        <v>22600</v>
      </c>
      <c r="F2595" s="2">
        <v>0</v>
      </c>
      <c r="G2595" t="s">
        <v>13</v>
      </c>
      <c r="H2595" t="s">
        <v>14</v>
      </c>
      <c r="I2595" t="s">
        <v>18</v>
      </c>
      <c r="J2595" s="3">
        <v>45847</v>
      </c>
      <c r="K2595" s="4">
        <f>ClientiBanca[[#This Row],[Prestito]]+ClientiBanca[[#This Row],[Mutuo]]</f>
        <v>22600</v>
      </c>
      <c r="L2595" t="str">
        <f>IF(ClientiBanca[[#This Row],[Reddito annuo]]&gt;=70000,"si","no")</f>
        <v>si</v>
      </c>
    </row>
    <row r="2596" spans="1:12">
      <c r="A2596">
        <v>102595</v>
      </c>
      <c r="B2596">
        <v>58</v>
      </c>
      <c r="C2596" s="2">
        <v>76100</v>
      </c>
      <c r="D2596" t="s">
        <v>21</v>
      </c>
      <c r="E2596" s="2">
        <v>66100</v>
      </c>
      <c r="F2596" s="2">
        <v>0</v>
      </c>
      <c r="G2596" t="s">
        <v>26</v>
      </c>
      <c r="H2596" t="s">
        <v>17</v>
      </c>
      <c r="I2596" t="s">
        <v>18</v>
      </c>
      <c r="J2596" s="3">
        <v>45904</v>
      </c>
      <c r="K2596" s="4">
        <f>ClientiBanca[[#This Row],[Prestito]]+ClientiBanca[[#This Row],[Mutuo]]</f>
        <v>66100</v>
      </c>
      <c r="L2596" t="str">
        <f>IF(ClientiBanca[[#This Row],[Reddito annuo]]&gt;=70000,"si","no")</f>
        <v>si</v>
      </c>
    </row>
    <row r="2597" spans="1:12">
      <c r="A2597">
        <v>102596</v>
      </c>
      <c r="B2597">
        <v>34</v>
      </c>
      <c r="C2597" s="2">
        <v>116400</v>
      </c>
      <c r="D2597" t="s">
        <v>21</v>
      </c>
      <c r="E2597" s="2">
        <v>82200</v>
      </c>
      <c r="F2597" s="2">
        <v>0</v>
      </c>
      <c r="G2597" t="s">
        <v>19</v>
      </c>
      <c r="H2597" t="s">
        <v>20</v>
      </c>
      <c r="I2597" t="s">
        <v>18</v>
      </c>
      <c r="J2597" s="3">
        <v>45971</v>
      </c>
      <c r="K2597" s="4">
        <f>ClientiBanca[[#This Row],[Prestito]]+ClientiBanca[[#This Row],[Mutuo]]</f>
        <v>82200</v>
      </c>
      <c r="L2597" t="str">
        <f>IF(ClientiBanca[[#This Row],[Reddito annuo]]&gt;=70000,"si","no")</f>
        <v>si</v>
      </c>
    </row>
    <row r="2598" spans="1:12">
      <c r="A2598">
        <v>102597</v>
      </c>
      <c r="B2598">
        <v>45</v>
      </c>
      <c r="C2598" s="2">
        <v>41700</v>
      </c>
      <c r="D2598" t="s">
        <v>21</v>
      </c>
      <c r="E2598" s="2">
        <v>52100</v>
      </c>
      <c r="F2598" s="2">
        <v>0</v>
      </c>
      <c r="G2598" t="s">
        <v>24</v>
      </c>
      <c r="H2598" t="s">
        <v>17</v>
      </c>
      <c r="I2598" t="s">
        <v>18</v>
      </c>
      <c r="J2598" s="3">
        <v>45758</v>
      </c>
      <c r="K2598" s="4">
        <f>ClientiBanca[[#This Row],[Prestito]]+ClientiBanca[[#This Row],[Mutuo]]</f>
        <v>52100</v>
      </c>
      <c r="L2598" t="str">
        <f>IF(ClientiBanca[[#This Row],[Reddito annuo]]&gt;=70000,"si","no")</f>
        <v>no</v>
      </c>
    </row>
    <row r="2599" spans="1:12">
      <c r="A2599">
        <v>102598</v>
      </c>
      <c r="B2599">
        <v>29</v>
      </c>
      <c r="C2599" s="2">
        <v>52400</v>
      </c>
      <c r="D2599" t="s">
        <v>21</v>
      </c>
      <c r="E2599" s="2">
        <v>28600</v>
      </c>
      <c r="F2599" s="2">
        <v>184000</v>
      </c>
      <c r="G2599" t="s">
        <v>27</v>
      </c>
      <c r="H2599" t="s">
        <v>17</v>
      </c>
      <c r="I2599" t="s">
        <v>18</v>
      </c>
      <c r="J2599" s="3">
        <v>45376</v>
      </c>
      <c r="K2599" s="4">
        <f>ClientiBanca[[#This Row],[Prestito]]+ClientiBanca[[#This Row],[Mutuo]]</f>
        <v>212600</v>
      </c>
      <c r="L2599" t="str">
        <f>IF(ClientiBanca[[#This Row],[Reddito annuo]]&gt;=70000,"si","no")</f>
        <v>no</v>
      </c>
    </row>
    <row r="2600" spans="1:12">
      <c r="A2600">
        <v>102599</v>
      </c>
      <c r="B2600">
        <v>38</v>
      </c>
      <c r="C2600" s="2">
        <v>92700</v>
      </c>
      <c r="D2600" t="s">
        <v>12</v>
      </c>
      <c r="E2600" s="2">
        <v>58000</v>
      </c>
      <c r="F2600" s="2">
        <v>292000</v>
      </c>
      <c r="G2600" t="s">
        <v>16</v>
      </c>
      <c r="H2600" t="s">
        <v>14</v>
      </c>
      <c r="I2600" t="s">
        <v>18</v>
      </c>
      <c r="J2600" s="3">
        <v>46098</v>
      </c>
      <c r="K2600" s="4">
        <f>ClientiBanca[[#This Row],[Prestito]]+ClientiBanca[[#This Row],[Mutuo]]</f>
        <v>350000</v>
      </c>
      <c r="L2600" t="str">
        <f>IF(ClientiBanca[[#This Row],[Reddito annuo]]&gt;=70000,"si","no")</f>
        <v>si</v>
      </c>
    </row>
    <row r="2601" spans="1:12">
      <c r="A2601">
        <v>102600</v>
      </c>
      <c r="B2601">
        <v>64</v>
      </c>
      <c r="C2601" s="2">
        <v>60600</v>
      </c>
      <c r="D2601" t="s">
        <v>12</v>
      </c>
      <c r="E2601" s="2">
        <v>4700</v>
      </c>
      <c r="F2601" s="2">
        <v>0</v>
      </c>
      <c r="G2601" t="s">
        <v>16</v>
      </c>
      <c r="H2601" t="s">
        <v>17</v>
      </c>
      <c r="I2601" t="s">
        <v>18</v>
      </c>
      <c r="J2601" s="3">
        <v>45980</v>
      </c>
      <c r="K2601" s="4">
        <f>ClientiBanca[[#This Row],[Prestito]]+ClientiBanca[[#This Row],[Mutuo]]</f>
        <v>4700</v>
      </c>
      <c r="L2601" t="str">
        <f>IF(ClientiBanca[[#This Row],[Reddito annuo]]&gt;=70000,"si","no")</f>
        <v>no</v>
      </c>
    </row>
    <row r="2602" spans="1:12">
      <c r="A2602">
        <v>102601</v>
      </c>
      <c r="B2602">
        <v>37</v>
      </c>
      <c r="C2602" s="2">
        <v>119300</v>
      </c>
      <c r="D2602" t="s">
        <v>12</v>
      </c>
      <c r="E2602" s="2">
        <v>15800</v>
      </c>
      <c r="F2602" s="2">
        <v>202000</v>
      </c>
      <c r="G2602" t="s">
        <v>24</v>
      </c>
      <c r="H2602" t="s">
        <v>20</v>
      </c>
      <c r="I2602" t="s">
        <v>18</v>
      </c>
      <c r="J2602" s="3">
        <v>45416</v>
      </c>
      <c r="K2602" s="4">
        <f>ClientiBanca[[#This Row],[Prestito]]+ClientiBanca[[#This Row],[Mutuo]]</f>
        <v>217800</v>
      </c>
      <c r="L2602" t="str">
        <f>IF(ClientiBanca[[#This Row],[Reddito annuo]]&gt;=70000,"si","no")</f>
        <v>si</v>
      </c>
    </row>
    <row r="2603" spans="1:12">
      <c r="A2603">
        <v>102602</v>
      </c>
      <c r="B2603">
        <v>42</v>
      </c>
      <c r="C2603" s="2">
        <v>94200</v>
      </c>
      <c r="D2603" t="s">
        <v>12</v>
      </c>
      <c r="E2603" s="2">
        <v>16200</v>
      </c>
      <c r="F2603" s="2">
        <v>143000</v>
      </c>
      <c r="G2603" t="s">
        <v>24</v>
      </c>
      <c r="H2603" t="s">
        <v>20</v>
      </c>
      <c r="I2603" t="s">
        <v>18</v>
      </c>
      <c r="J2603" s="3">
        <v>45774</v>
      </c>
      <c r="K2603" s="4">
        <f>ClientiBanca[[#This Row],[Prestito]]+ClientiBanca[[#This Row],[Mutuo]]</f>
        <v>159200</v>
      </c>
      <c r="L2603" t="str">
        <f>IF(ClientiBanca[[#This Row],[Reddito annuo]]&gt;=70000,"si","no")</f>
        <v>si</v>
      </c>
    </row>
    <row r="2604" spans="1:12">
      <c r="A2604">
        <v>102603</v>
      </c>
      <c r="B2604">
        <v>40</v>
      </c>
      <c r="C2604" s="2">
        <v>93700</v>
      </c>
      <c r="D2604" t="s">
        <v>12</v>
      </c>
      <c r="E2604" s="2">
        <v>40000</v>
      </c>
      <c r="F2604" s="2">
        <v>0</v>
      </c>
      <c r="G2604" t="s">
        <v>27</v>
      </c>
      <c r="H2604" t="s">
        <v>20</v>
      </c>
      <c r="I2604" t="s">
        <v>18</v>
      </c>
      <c r="J2604" s="3">
        <v>46035</v>
      </c>
      <c r="K2604" s="4">
        <f>ClientiBanca[[#This Row],[Prestito]]+ClientiBanca[[#This Row],[Mutuo]]</f>
        <v>40000</v>
      </c>
      <c r="L2604" t="str">
        <f>IF(ClientiBanca[[#This Row],[Reddito annuo]]&gt;=70000,"si","no")</f>
        <v>si</v>
      </c>
    </row>
    <row r="2605" spans="1:12">
      <c r="A2605">
        <v>102604</v>
      </c>
      <c r="B2605">
        <v>68</v>
      </c>
      <c r="C2605" s="2">
        <v>63700</v>
      </c>
      <c r="D2605" t="s">
        <v>21</v>
      </c>
      <c r="E2605" s="2">
        <v>0</v>
      </c>
      <c r="F2605" s="2">
        <v>0</v>
      </c>
      <c r="G2605" t="s">
        <v>13</v>
      </c>
      <c r="H2605" t="s">
        <v>17</v>
      </c>
      <c r="I2605" t="s">
        <v>18</v>
      </c>
      <c r="J2605" s="3">
        <v>46250</v>
      </c>
      <c r="K2605" s="4">
        <f>ClientiBanca[[#This Row],[Prestito]]+ClientiBanca[[#This Row],[Mutuo]]</f>
        <v>0</v>
      </c>
      <c r="L2605" t="str">
        <f>IF(ClientiBanca[[#This Row],[Reddito annuo]]&gt;=70000,"si","no")</f>
        <v>no</v>
      </c>
    </row>
    <row r="2606" spans="1:12">
      <c r="A2606">
        <v>102605</v>
      </c>
      <c r="B2606">
        <v>35</v>
      </c>
      <c r="C2606" s="2">
        <v>49800</v>
      </c>
      <c r="D2606" t="s">
        <v>21</v>
      </c>
      <c r="E2606" s="2">
        <v>0</v>
      </c>
      <c r="F2606" s="2">
        <v>0</v>
      </c>
      <c r="G2606" t="s">
        <v>23</v>
      </c>
      <c r="H2606" t="s">
        <v>17</v>
      </c>
      <c r="I2606" t="s">
        <v>18</v>
      </c>
      <c r="J2606" s="3">
        <v>46090</v>
      </c>
      <c r="K2606" s="4">
        <f>ClientiBanca[[#This Row],[Prestito]]+ClientiBanca[[#This Row],[Mutuo]]</f>
        <v>0</v>
      </c>
      <c r="L2606" t="str">
        <f>IF(ClientiBanca[[#This Row],[Reddito annuo]]&gt;=70000,"si","no")</f>
        <v>no</v>
      </c>
    </row>
    <row r="2607" spans="1:12">
      <c r="A2607">
        <v>102606</v>
      </c>
      <c r="B2607">
        <v>48</v>
      </c>
      <c r="C2607" s="2">
        <v>103300</v>
      </c>
      <c r="D2607" t="s">
        <v>21</v>
      </c>
      <c r="E2607" s="2">
        <v>39200</v>
      </c>
      <c r="F2607" s="2">
        <v>0</v>
      </c>
      <c r="G2607" t="s">
        <v>27</v>
      </c>
      <c r="H2607" t="s">
        <v>17</v>
      </c>
      <c r="I2607" t="s">
        <v>18</v>
      </c>
      <c r="J2607" s="3">
        <v>45412</v>
      </c>
      <c r="K2607" s="4">
        <f>ClientiBanca[[#This Row],[Prestito]]+ClientiBanca[[#This Row],[Mutuo]]</f>
        <v>39200</v>
      </c>
      <c r="L2607" t="str">
        <f>IF(ClientiBanca[[#This Row],[Reddito annuo]]&gt;=70000,"si","no")</f>
        <v>si</v>
      </c>
    </row>
    <row r="2608" spans="1:12">
      <c r="A2608">
        <v>102607</v>
      </c>
      <c r="B2608">
        <v>60</v>
      </c>
      <c r="C2608" s="2">
        <v>75600</v>
      </c>
      <c r="D2608" t="s">
        <v>12</v>
      </c>
      <c r="E2608" s="2">
        <v>0</v>
      </c>
      <c r="F2608" s="2">
        <v>0</v>
      </c>
      <c r="G2608" t="s">
        <v>27</v>
      </c>
      <c r="H2608" t="s">
        <v>17</v>
      </c>
      <c r="I2608" t="s">
        <v>18</v>
      </c>
      <c r="J2608" s="3">
        <v>45767</v>
      </c>
      <c r="K2608" s="4">
        <f>ClientiBanca[[#This Row],[Prestito]]+ClientiBanca[[#This Row],[Mutuo]]</f>
        <v>0</v>
      </c>
      <c r="L2608" t="str">
        <f>IF(ClientiBanca[[#This Row],[Reddito annuo]]&gt;=70000,"si","no")</f>
        <v>si</v>
      </c>
    </row>
    <row r="2609" spans="1:12">
      <c r="A2609">
        <v>102608</v>
      </c>
      <c r="B2609">
        <v>53</v>
      </c>
      <c r="C2609" s="2">
        <v>43500</v>
      </c>
      <c r="D2609" t="s">
        <v>21</v>
      </c>
      <c r="E2609" s="2">
        <v>54400</v>
      </c>
      <c r="F2609" s="2">
        <v>169000</v>
      </c>
      <c r="G2609" t="s">
        <v>26</v>
      </c>
      <c r="H2609" t="s">
        <v>25</v>
      </c>
      <c r="I2609" t="s">
        <v>18</v>
      </c>
      <c r="J2609" s="3">
        <v>45629</v>
      </c>
      <c r="K2609" s="4">
        <f>ClientiBanca[[#This Row],[Prestito]]+ClientiBanca[[#This Row],[Mutuo]]</f>
        <v>223400</v>
      </c>
      <c r="L2609" t="str">
        <f>IF(ClientiBanca[[#This Row],[Reddito annuo]]&gt;=70000,"si","no")</f>
        <v>no</v>
      </c>
    </row>
    <row r="2610" spans="1:12">
      <c r="A2610">
        <v>102609</v>
      </c>
      <c r="B2610">
        <v>35</v>
      </c>
      <c r="C2610" s="2">
        <v>47000</v>
      </c>
      <c r="D2610" t="s">
        <v>12</v>
      </c>
      <c r="E2610" s="2">
        <v>0</v>
      </c>
      <c r="F2610" s="2">
        <v>274000</v>
      </c>
      <c r="G2610" t="s">
        <v>13</v>
      </c>
      <c r="H2610" t="s">
        <v>14</v>
      </c>
      <c r="I2610" t="s">
        <v>18</v>
      </c>
      <c r="J2610" s="3">
        <v>45560</v>
      </c>
      <c r="K2610" s="4">
        <f>ClientiBanca[[#This Row],[Prestito]]+ClientiBanca[[#This Row],[Mutuo]]</f>
        <v>274000</v>
      </c>
      <c r="L2610" t="str">
        <f>IF(ClientiBanca[[#This Row],[Reddito annuo]]&gt;=70000,"si","no")</f>
        <v>no</v>
      </c>
    </row>
    <row r="2611" spans="1:12">
      <c r="A2611">
        <v>102610</v>
      </c>
      <c r="B2611">
        <v>38</v>
      </c>
      <c r="C2611" s="2">
        <v>57700</v>
      </c>
      <c r="D2611" t="s">
        <v>21</v>
      </c>
      <c r="E2611" s="2">
        <v>48900</v>
      </c>
      <c r="F2611" s="2">
        <v>0</v>
      </c>
      <c r="G2611" t="s">
        <v>27</v>
      </c>
      <c r="H2611" t="s">
        <v>20</v>
      </c>
      <c r="I2611" t="s">
        <v>18</v>
      </c>
      <c r="J2611" s="3">
        <v>45982</v>
      </c>
      <c r="K2611" s="4">
        <f>ClientiBanca[[#This Row],[Prestito]]+ClientiBanca[[#This Row],[Mutuo]]</f>
        <v>48900</v>
      </c>
      <c r="L2611" t="str">
        <f>IF(ClientiBanca[[#This Row],[Reddito annuo]]&gt;=70000,"si","no")</f>
        <v>no</v>
      </c>
    </row>
    <row r="2612" spans="1:12">
      <c r="A2612">
        <v>102611</v>
      </c>
      <c r="B2612">
        <v>55</v>
      </c>
      <c r="C2612" s="2">
        <v>103100</v>
      </c>
      <c r="D2612" t="s">
        <v>21</v>
      </c>
      <c r="E2612" s="2">
        <v>50700</v>
      </c>
      <c r="F2612" s="2">
        <v>0</v>
      </c>
      <c r="G2612" t="s">
        <v>27</v>
      </c>
      <c r="H2612" t="s">
        <v>17</v>
      </c>
      <c r="I2612" t="s">
        <v>18</v>
      </c>
      <c r="J2612" s="3">
        <v>45863</v>
      </c>
      <c r="K2612" s="4">
        <f>ClientiBanca[[#This Row],[Prestito]]+ClientiBanca[[#This Row],[Mutuo]]</f>
        <v>50700</v>
      </c>
      <c r="L2612" t="str">
        <f>IF(ClientiBanca[[#This Row],[Reddito annuo]]&gt;=70000,"si","no")</f>
        <v>si</v>
      </c>
    </row>
    <row r="2613" spans="1:12">
      <c r="A2613">
        <v>102612</v>
      </c>
      <c r="B2613">
        <v>57</v>
      </c>
      <c r="C2613" s="2">
        <v>82700</v>
      </c>
      <c r="D2613" t="s">
        <v>12</v>
      </c>
      <c r="E2613" s="2">
        <v>56600</v>
      </c>
      <c r="F2613" s="2">
        <v>0</v>
      </c>
      <c r="G2613" t="s">
        <v>28</v>
      </c>
      <c r="H2613" t="s">
        <v>20</v>
      </c>
      <c r="I2613" t="s">
        <v>18</v>
      </c>
      <c r="J2613" s="3">
        <v>45537</v>
      </c>
      <c r="K2613" s="4">
        <f>ClientiBanca[[#This Row],[Prestito]]+ClientiBanca[[#This Row],[Mutuo]]</f>
        <v>56600</v>
      </c>
      <c r="L2613" t="str">
        <f>IF(ClientiBanca[[#This Row],[Reddito annuo]]&gt;=70000,"si","no")</f>
        <v>si</v>
      </c>
    </row>
    <row r="2614" spans="1:12">
      <c r="A2614">
        <v>102613</v>
      </c>
      <c r="B2614">
        <v>72</v>
      </c>
      <c r="C2614" s="2">
        <v>77500</v>
      </c>
      <c r="D2614" t="s">
        <v>12</v>
      </c>
      <c r="E2614" s="2">
        <v>55700</v>
      </c>
      <c r="F2614" s="2">
        <v>0</v>
      </c>
      <c r="G2614" t="s">
        <v>19</v>
      </c>
      <c r="H2614" t="s">
        <v>14</v>
      </c>
      <c r="I2614" t="s">
        <v>18</v>
      </c>
      <c r="J2614" s="3">
        <v>45898</v>
      </c>
      <c r="K2614" s="4">
        <f>ClientiBanca[[#This Row],[Prestito]]+ClientiBanca[[#This Row],[Mutuo]]</f>
        <v>55700</v>
      </c>
      <c r="L2614" t="str">
        <f>IF(ClientiBanca[[#This Row],[Reddito annuo]]&gt;=70000,"si","no")</f>
        <v>si</v>
      </c>
    </row>
    <row r="2615" spans="1:12">
      <c r="A2615">
        <v>102614</v>
      </c>
      <c r="B2615">
        <v>56</v>
      </c>
      <c r="C2615" s="2">
        <v>47300</v>
      </c>
      <c r="D2615" t="s">
        <v>12</v>
      </c>
      <c r="E2615" s="2">
        <v>22400</v>
      </c>
      <c r="F2615" s="2">
        <v>0</v>
      </c>
      <c r="G2615" t="s">
        <v>27</v>
      </c>
      <c r="H2615" t="s">
        <v>14</v>
      </c>
      <c r="I2615" t="s">
        <v>18</v>
      </c>
      <c r="J2615" s="3">
        <v>45732</v>
      </c>
      <c r="K2615" s="4">
        <f>ClientiBanca[[#This Row],[Prestito]]+ClientiBanca[[#This Row],[Mutuo]]</f>
        <v>22400</v>
      </c>
      <c r="L2615" t="str">
        <f>IF(ClientiBanca[[#This Row],[Reddito annuo]]&gt;=70000,"si","no")</f>
        <v>no</v>
      </c>
    </row>
    <row r="2616" spans="1:12">
      <c r="A2616">
        <v>102615</v>
      </c>
      <c r="B2616">
        <v>56</v>
      </c>
      <c r="C2616" s="2">
        <v>70200</v>
      </c>
      <c r="D2616" t="s">
        <v>12</v>
      </c>
      <c r="E2616" s="2">
        <v>16700</v>
      </c>
      <c r="F2616" s="2">
        <v>0</v>
      </c>
      <c r="G2616" t="s">
        <v>16</v>
      </c>
      <c r="H2616" t="s">
        <v>20</v>
      </c>
      <c r="I2616" t="s">
        <v>18</v>
      </c>
      <c r="J2616" s="3">
        <v>45341</v>
      </c>
      <c r="K2616" s="4">
        <f>ClientiBanca[[#This Row],[Prestito]]+ClientiBanca[[#This Row],[Mutuo]]</f>
        <v>16700</v>
      </c>
      <c r="L2616" t="str">
        <f>IF(ClientiBanca[[#This Row],[Reddito annuo]]&gt;=70000,"si","no")</f>
        <v>si</v>
      </c>
    </row>
    <row r="2617" spans="1:12">
      <c r="A2617">
        <v>102616</v>
      </c>
      <c r="B2617">
        <v>44</v>
      </c>
      <c r="C2617" s="2">
        <v>48800</v>
      </c>
      <c r="D2617" t="s">
        <v>21</v>
      </c>
      <c r="E2617" s="2">
        <v>50700</v>
      </c>
      <c r="F2617" s="2">
        <v>0</v>
      </c>
      <c r="G2617" t="s">
        <v>27</v>
      </c>
      <c r="H2617" t="s">
        <v>20</v>
      </c>
      <c r="I2617" t="s">
        <v>18</v>
      </c>
      <c r="J2617" s="3">
        <v>45746</v>
      </c>
      <c r="K2617" s="4">
        <f>ClientiBanca[[#This Row],[Prestito]]+ClientiBanca[[#This Row],[Mutuo]]</f>
        <v>50700</v>
      </c>
      <c r="L2617" t="str">
        <f>IF(ClientiBanca[[#This Row],[Reddito annuo]]&gt;=70000,"si","no")</f>
        <v>no</v>
      </c>
    </row>
    <row r="2618" spans="1:12">
      <c r="A2618">
        <v>102617</v>
      </c>
      <c r="B2618">
        <v>46</v>
      </c>
      <c r="C2618" s="2">
        <v>33800</v>
      </c>
      <c r="D2618" t="s">
        <v>21</v>
      </c>
      <c r="E2618" s="2">
        <v>11900</v>
      </c>
      <c r="F2618" s="2">
        <v>0</v>
      </c>
      <c r="G2618" t="s">
        <v>27</v>
      </c>
      <c r="H2618" t="s">
        <v>20</v>
      </c>
      <c r="I2618" t="s">
        <v>18</v>
      </c>
      <c r="J2618" s="3">
        <v>45312</v>
      </c>
      <c r="K2618" s="4">
        <f>ClientiBanca[[#This Row],[Prestito]]+ClientiBanca[[#This Row],[Mutuo]]</f>
        <v>11900</v>
      </c>
      <c r="L2618" t="str">
        <f>IF(ClientiBanca[[#This Row],[Reddito annuo]]&gt;=70000,"si","no")</f>
        <v>no</v>
      </c>
    </row>
    <row r="2619" spans="1:12">
      <c r="A2619">
        <v>102618</v>
      </c>
      <c r="B2619">
        <v>52</v>
      </c>
      <c r="C2619" s="2">
        <v>45800</v>
      </c>
      <c r="D2619" t="s">
        <v>21</v>
      </c>
      <c r="E2619" s="2">
        <v>40500</v>
      </c>
      <c r="F2619" s="2">
        <v>0</v>
      </c>
      <c r="G2619" t="s">
        <v>16</v>
      </c>
      <c r="H2619" t="s">
        <v>20</v>
      </c>
      <c r="I2619" t="s">
        <v>18</v>
      </c>
      <c r="J2619" s="3">
        <v>46084</v>
      </c>
      <c r="K2619" s="4">
        <f>ClientiBanca[[#This Row],[Prestito]]+ClientiBanca[[#This Row],[Mutuo]]</f>
        <v>40500</v>
      </c>
      <c r="L2619" t="str">
        <f>IF(ClientiBanca[[#This Row],[Reddito annuo]]&gt;=70000,"si","no")</f>
        <v>no</v>
      </c>
    </row>
    <row r="2620" spans="1:12">
      <c r="A2620">
        <v>102619</v>
      </c>
      <c r="B2620">
        <v>73</v>
      </c>
      <c r="C2620" s="2">
        <v>59700</v>
      </c>
      <c r="D2620" t="s">
        <v>22</v>
      </c>
      <c r="E2620" s="2">
        <v>62000</v>
      </c>
      <c r="F2620" s="2">
        <v>166000</v>
      </c>
      <c r="G2620" t="s">
        <v>24</v>
      </c>
      <c r="H2620" t="s">
        <v>20</v>
      </c>
      <c r="I2620" t="s">
        <v>18</v>
      </c>
      <c r="J2620" s="3">
        <v>45548</v>
      </c>
      <c r="K2620" s="4">
        <f>ClientiBanca[[#This Row],[Prestito]]+ClientiBanca[[#This Row],[Mutuo]]</f>
        <v>228000</v>
      </c>
      <c r="L2620" t="str">
        <f>IF(ClientiBanca[[#This Row],[Reddito annuo]]&gt;=70000,"si","no")</f>
        <v>no</v>
      </c>
    </row>
    <row r="2621" spans="1:12">
      <c r="A2621">
        <v>102620</v>
      </c>
      <c r="B2621">
        <v>31</v>
      </c>
      <c r="C2621" s="2">
        <v>41900</v>
      </c>
      <c r="D2621" t="s">
        <v>12</v>
      </c>
      <c r="E2621" s="2">
        <v>0</v>
      </c>
      <c r="F2621" s="2">
        <v>0</v>
      </c>
      <c r="G2621" t="s">
        <v>28</v>
      </c>
      <c r="H2621" t="s">
        <v>14</v>
      </c>
      <c r="I2621" t="s">
        <v>18</v>
      </c>
      <c r="J2621" s="3">
        <v>45607</v>
      </c>
      <c r="K2621" s="4">
        <f>ClientiBanca[[#This Row],[Prestito]]+ClientiBanca[[#This Row],[Mutuo]]</f>
        <v>0</v>
      </c>
      <c r="L2621" t="str">
        <f>IF(ClientiBanca[[#This Row],[Reddito annuo]]&gt;=70000,"si","no")</f>
        <v>no</v>
      </c>
    </row>
    <row r="2622" spans="1:12">
      <c r="A2622">
        <v>102621</v>
      </c>
      <c r="B2622">
        <v>27</v>
      </c>
      <c r="C2622" s="2">
        <v>77500</v>
      </c>
      <c r="D2622" t="s">
        <v>21</v>
      </c>
      <c r="E2622" s="2">
        <v>0</v>
      </c>
      <c r="F2622" s="2">
        <v>0</v>
      </c>
      <c r="G2622" t="s">
        <v>13</v>
      </c>
      <c r="H2622" t="s">
        <v>20</v>
      </c>
      <c r="I2622" t="s">
        <v>18</v>
      </c>
      <c r="J2622" s="3">
        <v>45638</v>
      </c>
      <c r="K2622" s="4">
        <f>ClientiBanca[[#This Row],[Prestito]]+ClientiBanca[[#This Row],[Mutuo]]</f>
        <v>0</v>
      </c>
      <c r="L2622" t="str">
        <f>IF(ClientiBanca[[#This Row],[Reddito annuo]]&gt;=70000,"si","no")</f>
        <v>si</v>
      </c>
    </row>
    <row r="2623" spans="1:12">
      <c r="A2623">
        <v>102622</v>
      </c>
      <c r="B2623">
        <v>40</v>
      </c>
      <c r="C2623" s="2">
        <v>56900</v>
      </c>
      <c r="D2623" t="s">
        <v>22</v>
      </c>
      <c r="E2623" s="2">
        <v>8400</v>
      </c>
      <c r="F2623" s="2">
        <v>208000</v>
      </c>
      <c r="G2623" t="s">
        <v>16</v>
      </c>
      <c r="H2623" t="s">
        <v>20</v>
      </c>
      <c r="I2623" t="s">
        <v>18</v>
      </c>
      <c r="J2623" s="3">
        <v>45669</v>
      </c>
      <c r="K2623" s="4">
        <f>ClientiBanca[[#This Row],[Prestito]]+ClientiBanca[[#This Row],[Mutuo]]</f>
        <v>216400</v>
      </c>
      <c r="L2623" t="str">
        <f>IF(ClientiBanca[[#This Row],[Reddito annuo]]&gt;=70000,"si","no")</f>
        <v>no</v>
      </c>
    </row>
    <row r="2624" spans="1:12">
      <c r="A2624">
        <v>102623</v>
      </c>
      <c r="B2624">
        <v>48</v>
      </c>
      <c r="C2624" s="2">
        <v>30900</v>
      </c>
      <c r="D2624" t="s">
        <v>22</v>
      </c>
      <c r="E2624" s="2">
        <v>38600</v>
      </c>
      <c r="F2624" s="2">
        <v>0</v>
      </c>
      <c r="G2624" t="s">
        <v>19</v>
      </c>
      <c r="H2624" t="s">
        <v>14</v>
      </c>
      <c r="I2624" t="s">
        <v>18</v>
      </c>
      <c r="J2624" s="3">
        <v>45477</v>
      </c>
      <c r="K2624" s="4">
        <f>ClientiBanca[[#This Row],[Prestito]]+ClientiBanca[[#This Row],[Mutuo]]</f>
        <v>38600</v>
      </c>
      <c r="L2624" t="str">
        <f>IF(ClientiBanca[[#This Row],[Reddito annuo]]&gt;=70000,"si","no")</f>
        <v>no</v>
      </c>
    </row>
    <row r="2625" spans="1:12">
      <c r="A2625">
        <v>102624</v>
      </c>
      <c r="B2625">
        <v>34</v>
      </c>
      <c r="C2625" s="2">
        <v>91300</v>
      </c>
      <c r="D2625" t="s">
        <v>21</v>
      </c>
      <c r="E2625" s="2">
        <v>55300</v>
      </c>
      <c r="F2625" s="2">
        <v>0</v>
      </c>
      <c r="G2625" t="s">
        <v>23</v>
      </c>
      <c r="H2625" t="s">
        <v>20</v>
      </c>
      <c r="I2625" t="s">
        <v>15</v>
      </c>
      <c r="J2625" s="3">
        <v>46140</v>
      </c>
      <c r="K2625" s="4">
        <f>ClientiBanca[[#This Row],[Prestito]]+ClientiBanca[[#This Row],[Mutuo]]</f>
        <v>55300</v>
      </c>
      <c r="L2625" t="str">
        <f>IF(ClientiBanca[[#This Row],[Reddito annuo]]&gt;=70000,"si","no")</f>
        <v>si</v>
      </c>
    </row>
    <row r="2626" spans="1:12">
      <c r="A2626">
        <v>102625</v>
      </c>
      <c r="B2626">
        <v>28</v>
      </c>
      <c r="C2626" s="2">
        <v>67600</v>
      </c>
      <c r="D2626" t="s">
        <v>21</v>
      </c>
      <c r="E2626" s="2">
        <v>0</v>
      </c>
      <c r="F2626" s="2">
        <v>0</v>
      </c>
      <c r="G2626" t="s">
        <v>13</v>
      </c>
      <c r="H2626" t="s">
        <v>17</v>
      </c>
      <c r="I2626" t="s">
        <v>18</v>
      </c>
      <c r="J2626" s="3">
        <v>45393</v>
      </c>
      <c r="K2626" s="4">
        <f>ClientiBanca[[#This Row],[Prestito]]+ClientiBanca[[#This Row],[Mutuo]]</f>
        <v>0</v>
      </c>
      <c r="L2626" t="str">
        <f>IF(ClientiBanca[[#This Row],[Reddito annuo]]&gt;=70000,"si","no")</f>
        <v>no</v>
      </c>
    </row>
    <row r="2627" spans="1:12">
      <c r="A2627">
        <v>102626</v>
      </c>
      <c r="B2627">
        <v>51</v>
      </c>
      <c r="C2627" s="2">
        <v>46700</v>
      </c>
      <c r="D2627" t="s">
        <v>21</v>
      </c>
      <c r="E2627" s="2">
        <v>15600</v>
      </c>
      <c r="F2627" s="2">
        <v>0</v>
      </c>
      <c r="G2627" t="s">
        <v>16</v>
      </c>
      <c r="H2627" t="s">
        <v>17</v>
      </c>
      <c r="I2627" t="s">
        <v>18</v>
      </c>
      <c r="J2627" s="3">
        <v>45473</v>
      </c>
      <c r="K2627" s="4">
        <f>ClientiBanca[[#This Row],[Prestito]]+ClientiBanca[[#This Row],[Mutuo]]</f>
        <v>15600</v>
      </c>
      <c r="L2627" t="str">
        <f>IF(ClientiBanca[[#This Row],[Reddito annuo]]&gt;=70000,"si","no")</f>
        <v>no</v>
      </c>
    </row>
    <row r="2628" spans="1:12">
      <c r="A2628">
        <v>102627</v>
      </c>
      <c r="B2628">
        <v>27</v>
      </c>
      <c r="C2628" s="2">
        <v>50500</v>
      </c>
      <c r="D2628" t="s">
        <v>21</v>
      </c>
      <c r="E2628" s="2">
        <v>28700</v>
      </c>
      <c r="F2628" s="2">
        <v>0</v>
      </c>
      <c r="G2628" t="s">
        <v>28</v>
      </c>
      <c r="H2628" t="s">
        <v>14</v>
      </c>
      <c r="I2628" t="s">
        <v>18</v>
      </c>
      <c r="J2628" s="3">
        <v>45697</v>
      </c>
      <c r="K2628" s="4">
        <f>ClientiBanca[[#This Row],[Prestito]]+ClientiBanca[[#This Row],[Mutuo]]</f>
        <v>28700</v>
      </c>
      <c r="L2628" t="str">
        <f>IF(ClientiBanca[[#This Row],[Reddito annuo]]&gt;=70000,"si","no")</f>
        <v>no</v>
      </c>
    </row>
    <row r="2629" spans="1:12">
      <c r="A2629">
        <v>102628</v>
      </c>
      <c r="B2629">
        <v>34</v>
      </c>
      <c r="C2629" s="2">
        <v>118300</v>
      </c>
      <c r="D2629" t="s">
        <v>12</v>
      </c>
      <c r="E2629" s="2">
        <v>0</v>
      </c>
      <c r="F2629" s="2">
        <v>0</v>
      </c>
      <c r="G2629" t="s">
        <v>13</v>
      </c>
      <c r="H2629" t="s">
        <v>14</v>
      </c>
      <c r="I2629" t="s">
        <v>18</v>
      </c>
      <c r="J2629" s="3">
        <v>45892</v>
      </c>
      <c r="K2629" s="4">
        <f>ClientiBanca[[#This Row],[Prestito]]+ClientiBanca[[#This Row],[Mutuo]]</f>
        <v>0</v>
      </c>
      <c r="L2629" t="str">
        <f>IF(ClientiBanca[[#This Row],[Reddito annuo]]&gt;=70000,"si","no")</f>
        <v>si</v>
      </c>
    </row>
    <row r="2630" spans="1:12">
      <c r="A2630">
        <v>102629</v>
      </c>
      <c r="B2630">
        <v>30</v>
      </c>
      <c r="C2630" s="2">
        <v>59800</v>
      </c>
      <c r="D2630" t="s">
        <v>21</v>
      </c>
      <c r="E2630" s="2">
        <v>0</v>
      </c>
      <c r="F2630" s="2">
        <v>0</v>
      </c>
      <c r="G2630" t="s">
        <v>27</v>
      </c>
      <c r="H2630" t="s">
        <v>20</v>
      </c>
      <c r="I2630" t="s">
        <v>18</v>
      </c>
      <c r="J2630" s="3">
        <v>45338</v>
      </c>
      <c r="K2630" s="4">
        <f>ClientiBanca[[#This Row],[Prestito]]+ClientiBanca[[#This Row],[Mutuo]]</f>
        <v>0</v>
      </c>
      <c r="L2630" t="str">
        <f>IF(ClientiBanca[[#This Row],[Reddito annuo]]&gt;=70000,"si","no")</f>
        <v>no</v>
      </c>
    </row>
    <row r="2631" spans="1:12">
      <c r="A2631">
        <v>102630</v>
      </c>
      <c r="B2631">
        <v>46</v>
      </c>
      <c r="C2631" s="2">
        <v>34000</v>
      </c>
      <c r="D2631" t="s">
        <v>12</v>
      </c>
      <c r="E2631" s="2">
        <v>20600</v>
      </c>
      <c r="F2631" s="2">
        <v>0</v>
      </c>
      <c r="G2631" t="s">
        <v>19</v>
      </c>
      <c r="H2631" t="s">
        <v>14</v>
      </c>
      <c r="I2631" t="s">
        <v>18</v>
      </c>
      <c r="J2631" s="3">
        <v>45790</v>
      </c>
      <c r="K2631" s="4">
        <f>ClientiBanca[[#This Row],[Prestito]]+ClientiBanca[[#This Row],[Mutuo]]</f>
        <v>20600</v>
      </c>
      <c r="L2631" t="str">
        <f>IF(ClientiBanca[[#This Row],[Reddito annuo]]&gt;=70000,"si","no")</f>
        <v>no</v>
      </c>
    </row>
    <row r="2632" spans="1:12">
      <c r="A2632">
        <v>102631</v>
      </c>
      <c r="B2632">
        <v>25</v>
      </c>
      <c r="C2632" s="2">
        <v>67500</v>
      </c>
      <c r="D2632" t="s">
        <v>21</v>
      </c>
      <c r="E2632" s="2">
        <v>18100</v>
      </c>
      <c r="F2632" s="2">
        <v>0</v>
      </c>
      <c r="G2632" t="s">
        <v>19</v>
      </c>
      <c r="H2632" t="s">
        <v>17</v>
      </c>
      <c r="I2632" t="s">
        <v>18</v>
      </c>
      <c r="J2632" s="3">
        <v>45480</v>
      </c>
      <c r="K2632" s="4">
        <f>ClientiBanca[[#This Row],[Prestito]]+ClientiBanca[[#This Row],[Mutuo]]</f>
        <v>18100</v>
      </c>
      <c r="L2632" t="str">
        <f>IF(ClientiBanca[[#This Row],[Reddito annuo]]&gt;=70000,"si","no")</f>
        <v>no</v>
      </c>
    </row>
    <row r="2633" spans="1:12">
      <c r="A2633">
        <v>102632</v>
      </c>
      <c r="B2633">
        <v>73</v>
      </c>
      <c r="C2633" s="2">
        <v>49400</v>
      </c>
      <c r="D2633" t="s">
        <v>12</v>
      </c>
      <c r="E2633" s="2">
        <v>46400</v>
      </c>
      <c r="F2633" s="2">
        <v>267000</v>
      </c>
      <c r="G2633" t="s">
        <v>19</v>
      </c>
      <c r="H2633" t="s">
        <v>25</v>
      </c>
      <c r="I2633" t="s">
        <v>18</v>
      </c>
      <c r="J2633" s="3">
        <v>46036</v>
      </c>
      <c r="K2633" s="4">
        <f>ClientiBanca[[#This Row],[Prestito]]+ClientiBanca[[#This Row],[Mutuo]]</f>
        <v>313400</v>
      </c>
      <c r="L2633" t="str">
        <f>IF(ClientiBanca[[#This Row],[Reddito annuo]]&gt;=70000,"si","no")</f>
        <v>no</v>
      </c>
    </row>
    <row r="2634" spans="1:12">
      <c r="A2634">
        <v>102633</v>
      </c>
      <c r="B2634">
        <v>48</v>
      </c>
      <c r="C2634" s="2">
        <v>65600</v>
      </c>
      <c r="D2634" t="s">
        <v>12</v>
      </c>
      <c r="E2634" s="2">
        <v>0</v>
      </c>
      <c r="F2634" s="2">
        <v>166000</v>
      </c>
      <c r="G2634" t="s">
        <v>19</v>
      </c>
      <c r="H2634" t="s">
        <v>14</v>
      </c>
      <c r="I2634" t="s">
        <v>18</v>
      </c>
      <c r="J2634" s="3">
        <v>45514</v>
      </c>
      <c r="K2634" s="4">
        <f>ClientiBanca[[#This Row],[Prestito]]+ClientiBanca[[#This Row],[Mutuo]]</f>
        <v>166000</v>
      </c>
      <c r="L2634" t="str">
        <f>IF(ClientiBanca[[#This Row],[Reddito annuo]]&gt;=70000,"si","no")</f>
        <v>no</v>
      </c>
    </row>
    <row r="2635" spans="1:12">
      <c r="A2635">
        <v>102634</v>
      </c>
      <c r="B2635">
        <v>28</v>
      </c>
      <c r="C2635" s="2">
        <v>79700</v>
      </c>
      <c r="D2635" t="s">
        <v>21</v>
      </c>
      <c r="E2635" s="2">
        <v>41400</v>
      </c>
      <c r="F2635" s="2">
        <v>0</v>
      </c>
      <c r="G2635" t="s">
        <v>13</v>
      </c>
      <c r="H2635" t="s">
        <v>20</v>
      </c>
      <c r="I2635" t="s">
        <v>18</v>
      </c>
      <c r="J2635" s="3">
        <v>45743</v>
      </c>
      <c r="K2635" s="4">
        <f>ClientiBanca[[#This Row],[Prestito]]+ClientiBanca[[#This Row],[Mutuo]]</f>
        <v>41400</v>
      </c>
      <c r="L2635" t="str">
        <f>IF(ClientiBanca[[#This Row],[Reddito annuo]]&gt;=70000,"si","no")</f>
        <v>si</v>
      </c>
    </row>
    <row r="2636" spans="1:12">
      <c r="A2636">
        <v>102635</v>
      </c>
      <c r="B2636">
        <v>66</v>
      </c>
      <c r="C2636" s="2">
        <v>46200</v>
      </c>
      <c r="D2636" t="s">
        <v>21</v>
      </c>
      <c r="E2636" s="2">
        <v>49400</v>
      </c>
      <c r="F2636" s="2">
        <v>0</v>
      </c>
      <c r="G2636" t="s">
        <v>19</v>
      </c>
      <c r="H2636" t="s">
        <v>20</v>
      </c>
      <c r="I2636" t="s">
        <v>18</v>
      </c>
      <c r="J2636" s="3">
        <v>46226</v>
      </c>
      <c r="K2636" s="4">
        <f>ClientiBanca[[#This Row],[Prestito]]+ClientiBanca[[#This Row],[Mutuo]]</f>
        <v>49400</v>
      </c>
      <c r="L2636" t="str">
        <f>IF(ClientiBanca[[#This Row],[Reddito annuo]]&gt;=70000,"si","no")</f>
        <v>no</v>
      </c>
    </row>
    <row r="2637" spans="1:12">
      <c r="A2637">
        <v>102636</v>
      </c>
      <c r="B2637">
        <v>26</v>
      </c>
      <c r="C2637" s="2">
        <v>101900</v>
      </c>
      <c r="D2637" t="s">
        <v>12</v>
      </c>
      <c r="E2637" s="2">
        <v>0</v>
      </c>
      <c r="F2637" s="2">
        <v>0</v>
      </c>
      <c r="G2637" t="s">
        <v>16</v>
      </c>
      <c r="H2637" t="s">
        <v>17</v>
      </c>
      <c r="I2637" t="s">
        <v>18</v>
      </c>
      <c r="J2637" s="3">
        <v>45640</v>
      </c>
      <c r="K2637" s="4">
        <f>ClientiBanca[[#This Row],[Prestito]]+ClientiBanca[[#This Row],[Mutuo]]</f>
        <v>0</v>
      </c>
      <c r="L2637" t="str">
        <f>IF(ClientiBanca[[#This Row],[Reddito annuo]]&gt;=70000,"si","no")</f>
        <v>si</v>
      </c>
    </row>
    <row r="2638" spans="1:12">
      <c r="A2638">
        <v>102637</v>
      </c>
      <c r="B2638">
        <v>23</v>
      </c>
      <c r="C2638" s="2">
        <v>49600</v>
      </c>
      <c r="D2638" t="s">
        <v>12</v>
      </c>
      <c r="E2638" s="2">
        <v>51000</v>
      </c>
      <c r="F2638" s="2">
        <v>92000</v>
      </c>
      <c r="G2638" t="s">
        <v>24</v>
      </c>
      <c r="H2638" t="s">
        <v>17</v>
      </c>
      <c r="I2638" t="s">
        <v>18</v>
      </c>
      <c r="J2638" s="3">
        <v>45955</v>
      </c>
      <c r="K2638" s="4">
        <f>ClientiBanca[[#This Row],[Prestito]]+ClientiBanca[[#This Row],[Mutuo]]</f>
        <v>143000</v>
      </c>
      <c r="L2638" t="str">
        <f>IF(ClientiBanca[[#This Row],[Reddito annuo]]&gt;=70000,"si","no")</f>
        <v>no</v>
      </c>
    </row>
    <row r="2639" spans="1:12">
      <c r="A2639">
        <v>102638</v>
      </c>
      <c r="B2639">
        <v>40</v>
      </c>
      <c r="C2639" s="2">
        <v>58200</v>
      </c>
      <c r="D2639" t="s">
        <v>21</v>
      </c>
      <c r="E2639" s="2">
        <v>54100</v>
      </c>
      <c r="F2639" s="2">
        <v>0</v>
      </c>
      <c r="G2639" t="s">
        <v>24</v>
      </c>
      <c r="H2639" t="s">
        <v>20</v>
      </c>
      <c r="I2639" t="s">
        <v>18</v>
      </c>
      <c r="J2639" s="3">
        <v>45408</v>
      </c>
      <c r="K2639" s="4">
        <f>ClientiBanca[[#This Row],[Prestito]]+ClientiBanca[[#This Row],[Mutuo]]</f>
        <v>54100</v>
      </c>
      <c r="L2639" t="str">
        <f>IF(ClientiBanca[[#This Row],[Reddito annuo]]&gt;=70000,"si","no")</f>
        <v>no</v>
      </c>
    </row>
    <row r="2640" spans="1:12">
      <c r="A2640">
        <v>102639</v>
      </c>
      <c r="B2640">
        <v>45</v>
      </c>
      <c r="C2640" s="2">
        <v>58300</v>
      </c>
      <c r="D2640" t="s">
        <v>12</v>
      </c>
      <c r="E2640" s="2">
        <v>0</v>
      </c>
      <c r="F2640" s="2">
        <v>237000</v>
      </c>
      <c r="G2640" t="s">
        <v>28</v>
      </c>
      <c r="H2640" t="s">
        <v>17</v>
      </c>
      <c r="I2640" t="s">
        <v>18</v>
      </c>
      <c r="J2640" s="3">
        <v>45501</v>
      </c>
      <c r="K2640" s="4">
        <f>ClientiBanca[[#This Row],[Prestito]]+ClientiBanca[[#This Row],[Mutuo]]</f>
        <v>237000</v>
      </c>
      <c r="L2640" t="str">
        <f>IF(ClientiBanca[[#This Row],[Reddito annuo]]&gt;=70000,"si","no")</f>
        <v>no</v>
      </c>
    </row>
    <row r="2641" spans="1:12">
      <c r="A2641">
        <v>102640</v>
      </c>
      <c r="B2641">
        <v>41</v>
      </c>
      <c r="C2641" s="2">
        <v>43800</v>
      </c>
      <c r="D2641" t="s">
        <v>21</v>
      </c>
      <c r="E2641" s="2">
        <v>15200</v>
      </c>
      <c r="F2641" s="2">
        <v>0</v>
      </c>
      <c r="G2641" t="s">
        <v>24</v>
      </c>
      <c r="H2641" t="s">
        <v>20</v>
      </c>
      <c r="I2641" t="s">
        <v>18</v>
      </c>
      <c r="J2641" s="3">
        <v>46130</v>
      </c>
      <c r="K2641" s="4">
        <f>ClientiBanca[[#This Row],[Prestito]]+ClientiBanca[[#This Row],[Mutuo]]</f>
        <v>15200</v>
      </c>
      <c r="L2641" t="str">
        <f>IF(ClientiBanca[[#This Row],[Reddito annuo]]&gt;=70000,"si","no")</f>
        <v>no</v>
      </c>
    </row>
    <row r="2642" spans="1:12">
      <c r="A2642">
        <v>102641</v>
      </c>
      <c r="B2642">
        <v>60</v>
      </c>
      <c r="C2642" s="2">
        <v>61000</v>
      </c>
      <c r="D2642" t="s">
        <v>21</v>
      </c>
      <c r="E2642" s="2">
        <v>29100</v>
      </c>
      <c r="F2642" s="2">
        <v>0</v>
      </c>
      <c r="G2642" t="s">
        <v>13</v>
      </c>
      <c r="H2642" t="s">
        <v>20</v>
      </c>
      <c r="I2642" t="s">
        <v>18</v>
      </c>
      <c r="J2642" s="3">
        <v>45912</v>
      </c>
      <c r="K2642" s="4">
        <f>ClientiBanca[[#This Row],[Prestito]]+ClientiBanca[[#This Row],[Mutuo]]</f>
        <v>29100</v>
      </c>
      <c r="L2642" t="str">
        <f>IF(ClientiBanca[[#This Row],[Reddito annuo]]&gt;=70000,"si","no")</f>
        <v>no</v>
      </c>
    </row>
    <row r="2643" spans="1:12">
      <c r="A2643">
        <v>102642</v>
      </c>
      <c r="B2643">
        <v>39</v>
      </c>
      <c r="C2643" s="2">
        <v>40800</v>
      </c>
      <c r="D2643" t="s">
        <v>21</v>
      </c>
      <c r="E2643" s="2">
        <v>0</v>
      </c>
      <c r="F2643" s="2">
        <v>0</v>
      </c>
      <c r="G2643" t="s">
        <v>19</v>
      </c>
      <c r="H2643" t="s">
        <v>14</v>
      </c>
      <c r="I2643" t="s">
        <v>18</v>
      </c>
      <c r="J2643" s="3">
        <v>45543</v>
      </c>
      <c r="K2643" s="4">
        <f>ClientiBanca[[#This Row],[Prestito]]+ClientiBanca[[#This Row],[Mutuo]]</f>
        <v>0</v>
      </c>
      <c r="L2643" t="str">
        <f>IF(ClientiBanca[[#This Row],[Reddito annuo]]&gt;=70000,"si","no")</f>
        <v>no</v>
      </c>
    </row>
    <row r="2644" spans="1:12">
      <c r="A2644">
        <v>102643</v>
      </c>
      <c r="B2644">
        <v>56</v>
      </c>
      <c r="C2644" s="2">
        <v>80600</v>
      </c>
      <c r="D2644" t="s">
        <v>12</v>
      </c>
      <c r="E2644" s="2">
        <v>61700</v>
      </c>
      <c r="F2644" s="2">
        <v>0</v>
      </c>
      <c r="G2644" t="s">
        <v>13</v>
      </c>
      <c r="H2644" t="s">
        <v>20</v>
      </c>
      <c r="I2644" t="s">
        <v>18</v>
      </c>
      <c r="J2644" s="3">
        <v>45644</v>
      </c>
      <c r="K2644" s="4">
        <f>ClientiBanca[[#This Row],[Prestito]]+ClientiBanca[[#This Row],[Mutuo]]</f>
        <v>61700</v>
      </c>
      <c r="L2644" t="str">
        <f>IF(ClientiBanca[[#This Row],[Reddito annuo]]&gt;=70000,"si","no")</f>
        <v>si</v>
      </c>
    </row>
    <row r="2645" spans="1:12">
      <c r="A2645">
        <v>102644</v>
      </c>
      <c r="B2645">
        <v>58</v>
      </c>
      <c r="C2645" s="2">
        <v>72000</v>
      </c>
      <c r="D2645" t="s">
        <v>12</v>
      </c>
      <c r="E2645" s="2">
        <v>40500</v>
      </c>
      <c r="F2645" s="2">
        <v>203000</v>
      </c>
      <c r="G2645" t="s">
        <v>26</v>
      </c>
      <c r="H2645" t="s">
        <v>20</v>
      </c>
      <c r="I2645" t="s">
        <v>18</v>
      </c>
      <c r="J2645" s="3">
        <v>45498</v>
      </c>
      <c r="K2645" s="4">
        <f>ClientiBanca[[#This Row],[Prestito]]+ClientiBanca[[#This Row],[Mutuo]]</f>
        <v>243500</v>
      </c>
      <c r="L2645" t="str">
        <f>IF(ClientiBanca[[#This Row],[Reddito annuo]]&gt;=70000,"si","no")</f>
        <v>si</v>
      </c>
    </row>
    <row r="2646" spans="1:12">
      <c r="A2646">
        <v>102645</v>
      </c>
      <c r="B2646">
        <v>71</v>
      </c>
      <c r="C2646" s="2">
        <v>74100</v>
      </c>
      <c r="D2646" t="s">
        <v>21</v>
      </c>
      <c r="E2646" s="2">
        <v>62700</v>
      </c>
      <c r="F2646" s="2">
        <v>0</v>
      </c>
      <c r="G2646" t="s">
        <v>23</v>
      </c>
      <c r="H2646" t="s">
        <v>14</v>
      </c>
      <c r="I2646" t="s">
        <v>18</v>
      </c>
      <c r="J2646" s="3">
        <v>45388</v>
      </c>
      <c r="K2646" s="4">
        <f>ClientiBanca[[#This Row],[Prestito]]+ClientiBanca[[#This Row],[Mutuo]]</f>
        <v>62700</v>
      </c>
      <c r="L2646" t="str">
        <f>IF(ClientiBanca[[#This Row],[Reddito annuo]]&gt;=70000,"si","no")</f>
        <v>si</v>
      </c>
    </row>
    <row r="2647" spans="1:12">
      <c r="A2647">
        <v>102646</v>
      </c>
      <c r="B2647">
        <v>26</v>
      </c>
      <c r="C2647" s="2">
        <v>83300</v>
      </c>
      <c r="D2647" t="s">
        <v>12</v>
      </c>
      <c r="E2647" s="2">
        <v>27700</v>
      </c>
      <c r="F2647" s="2">
        <v>0</v>
      </c>
      <c r="G2647" t="s">
        <v>16</v>
      </c>
      <c r="H2647" t="s">
        <v>20</v>
      </c>
      <c r="I2647" t="s">
        <v>18</v>
      </c>
      <c r="J2647" s="3">
        <v>45747</v>
      </c>
      <c r="K2647" s="4">
        <f>ClientiBanca[[#This Row],[Prestito]]+ClientiBanca[[#This Row],[Mutuo]]</f>
        <v>27700</v>
      </c>
      <c r="L2647" t="str">
        <f>IF(ClientiBanca[[#This Row],[Reddito annuo]]&gt;=70000,"si","no")</f>
        <v>si</v>
      </c>
    </row>
    <row r="2648" spans="1:12">
      <c r="A2648">
        <v>102647</v>
      </c>
      <c r="B2648">
        <v>75</v>
      </c>
      <c r="C2648" s="2">
        <v>84800</v>
      </c>
      <c r="D2648" t="s">
        <v>21</v>
      </c>
      <c r="E2648" s="2">
        <v>0</v>
      </c>
      <c r="F2648" s="2">
        <v>136000</v>
      </c>
      <c r="G2648" t="s">
        <v>24</v>
      </c>
      <c r="H2648" t="s">
        <v>25</v>
      </c>
      <c r="I2648" t="s">
        <v>18</v>
      </c>
      <c r="J2648" s="3">
        <v>45615</v>
      </c>
      <c r="K2648" s="4">
        <f>ClientiBanca[[#This Row],[Prestito]]+ClientiBanca[[#This Row],[Mutuo]]</f>
        <v>136000</v>
      </c>
      <c r="L2648" t="str">
        <f>IF(ClientiBanca[[#This Row],[Reddito annuo]]&gt;=70000,"si","no")</f>
        <v>si</v>
      </c>
    </row>
    <row r="2649" spans="1:12">
      <c r="A2649">
        <v>102648</v>
      </c>
      <c r="B2649">
        <v>42</v>
      </c>
      <c r="C2649" s="2">
        <v>42400</v>
      </c>
      <c r="D2649" t="s">
        <v>12</v>
      </c>
      <c r="E2649" s="2">
        <v>53000</v>
      </c>
      <c r="F2649" s="2">
        <v>0</v>
      </c>
      <c r="G2649" t="s">
        <v>16</v>
      </c>
      <c r="H2649" t="s">
        <v>17</v>
      </c>
      <c r="I2649" t="s">
        <v>18</v>
      </c>
      <c r="J2649" s="3">
        <v>45920</v>
      </c>
      <c r="K2649" s="4">
        <f>ClientiBanca[[#This Row],[Prestito]]+ClientiBanca[[#This Row],[Mutuo]]</f>
        <v>53000</v>
      </c>
      <c r="L2649" t="str">
        <f>IF(ClientiBanca[[#This Row],[Reddito annuo]]&gt;=70000,"si","no")</f>
        <v>no</v>
      </c>
    </row>
    <row r="2650" spans="1:12">
      <c r="A2650">
        <v>102649</v>
      </c>
      <c r="B2650">
        <v>50</v>
      </c>
      <c r="C2650" s="2">
        <v>115100</v>
      </c>
      <c r="D2650" t="s">
        <v>21</v>
      </c>
      <c r="E2650" s="2">
        <v>23100</v>
      </c>
      <c r="F2650" s="2">
        <v>0</v>
      </c>
      <c r="G2650" t="s">
        <v>24</v>
      </c>
      <c r="H2650" t="s">
        <v>20</v>
      </c>
      <c r="I2650" t="s">
        <v>18</v>
      </c>
      <c r="J2650" s="3">
        <v>45586</v>
      </c>
      <c r="K2650" s="4">
        <f>ClientiBanca[[#This Row],[Prestito]]+ClientiBanca[[#This Row],[Mutuo]]</f>
        <v>23100</v>
      </c>
      <c r="L2650" t="str">
        <f>IF(ClientiBanca[[#This Row],[Reddito annuo]]&gt;=70000,"si","no")</f>
        <v>si</v>
      </c>
    </row>
    <row r="2651" spans="1:12">
      <c r="A2651">
        <v>102650</v>
      </c>
      <c r="B2651">
        <v>65</v>
      </c>
      <c r="C2651" s="2">
        <v>51100</v>
      </c>
      <c r="D2651" t="s">
        <v>21</v>
      </c>
      <c r="E2651" s="2">
        <v>41300</v>
      </c>
      <c r="F2651" s="2">
        <v>0</v>
      </c>
      <c r="G2651" t="s">
        <v>16</v>
      </c>
      <c r="H2651" t="s">
        <v>17</v>
      </c>
      <c r="I2651" t="s">
        <v>18</v>
      </c>
      <c r="J2651" s="3">
        <v>45720</v>
      </c>
      <c r="K2651" s="4">
        <f>ClientiBanca[[#This Row],[Prestito]]+ClientiBanca[[#This Row],[Mutuo]]</f>
        <v>41300</v>
      </c>
      <c r="L2651" t="str">
        <f>IF(ClientiBanca[[#This Row],[Reddito annuo]]&gt;=70000,"si","no")</f>
        <v>no</v>
      </c>
    </row>
    <row r="2652" spans="1:12">
      <c r="A2652">
        <v>102651</v>
      </c>
      <c r="B2652">
        <v>40</v>
      </c>
      <c r="C2652" s="2">
        <v>52000</v>
      </c>
      <c r="D2652" t="s">
        <v>22</v>
      </c>
      <c r="E2652" s="2">
        <v>0</v>
      </c>
      <c r="F2652" s="2">
        <v>248000</v>
      </c>
      <c r="G2652" t="s">
        <v>16</v>
      </c>
      <c r="H2652" t="s">
        <v>14</v>
      </c>
      <c r="I2652" t="s">
        <v>18</v>
      </c>
      <c r="J2652" s="3">
        <v>46060</v>
      </c>
      <c r="K2652" s="4">
        <f>ClientiBanca[[#This Row],[Prestito]]+ClientiBanca[[#This Row],[Mutuo]]</f>
        <v>248000</v>
      </c>
      <c r="L2652" t="str">
        <f>IF(ClientiBanca[[#This Row],[Reddito annuo]]&gt;=70000,"si","no")</f>
        <v>no</v>
      </c>
    </row>
    <row r="2653" spans="1:12">
      <c r="A2653">
        <v>102652</v>
      </c>
      <c r="B2653">
        <v>48</v>
      </c>
      <c r="C2653" s="2">
        <v>95000</v>
      </c>
      <c r="D2653" t="s">
        <v>12</v>
      </c>
      <c r="E2653" s="2">
        <v>71300</v>
      </c>
      <c r="F2653" s="2">
        <v>0</v>
      </c>
      <c r="G2653" t="s">
        <v>27</v>
      </c>
      <c r="H2653" t="s">
        <v>17</v>
      </c>
      <c r="I2653" t="s">
        <v>18</v>
      </c>
      <c r="J2653" s="3">
        <v>45512</v>
      </c>
      <c r="K2653" s="4">
        <f>ClientiBanca[[#This Row],[Prestito]]+ClientiBanca[[#This Row],[Mutuo]]</f>
        <v>71300</v>
      </c>
      <c r="L2653" t="str">
        <f>IF(ClientiBanca[[#This Row],[Reddito annuo]]&gt;=70000,"si","no")</f>
        <v>si</v>
      </c>
    </row>
    <row r="2654" spans="1:12">
      <c r="A2654">
        <v>102653</v>
      </c>
      <c r="B2654">
        <v>36</v>
      </c>
      <c r="C2654" s="2">
        <v>74300</v>
      </c>
      <c r="D2654" t="s">
        <v>21</v>
      </c>
      <c r="E2654" s="2">
        <v>15600</v>
      </c>
      <c r="F2654" s="2">
        <v>195000</v>
      </c>
      <c r="G2654" t="s">
        <v>19</v>
      </c>
      <c r="H2654" t="s">
        <v>14</v>
      </c>
      <c r="I2654" t="s">
        <v>18</v>
      </c>
      <c r="J2654" s="3">
        <v>46098</v>
      </c>
      <c r="K2654" s="4">
        <f>ClientiBanca[[#This Row],[Prestito]]+ClientiBanca[[#This Row],[Mutuo]]</f>
        <v>210600</v>
      </c>
      <c r="L2654" t="str">
        <f>IF(ClientiBanca[[#This Row],[Reddito annuo]]&gt;=70000,"si","no")</f>
        <v>si</v>
      </c>
    </row>
    <row r="2655" spans="1:12">
      <c r="A2655">
        <v>102654</v>
      </c>
      <c r="B2655">
        <v>32</v>
      </c>
      <c r="C2655" s="2">
        <v>46500</v>
      </c>
      <c r="D2655" t="s">
        <v>21</v>
      </c>
      <c r="E2655" s="2">
        <v>58100</v>
      </c>
      <c r="F2655" s="2">
        <v>0</v>
      </c>
      <c r="G2655" t="s">
        <v>27</v>
      </c>
      <c r="H2655" t="s">
        <v>20</v>
      </c>
      <c r="I2655" t="s">
        <v>18</v>
      </c>
      <c r="J2655" s="3">
        <v>45796</v>
      </c>
      <c r="K2655" s="4">
        <f>ClientiBanca[[#This Row],[Prestito]]+ClientiBanca[[#This Row],[Mutuo]]</f>
        <v>58100</v>
      </c>
      <c r="L2655" t="str">
        <f>IF(ClientiBanca[[#This Row],[Reddito annuo]]&gt;=70000,"si","no")</f>
        <v>no</v>
      </c>
    </row>
    <row r="2656" spans="1:12">
      <c r="A2656">
        <v>102655</v>
      </c>
      <c r="B2656">
        <v>66</v>
      </c>
      <c r="C2656" s="2">
        <v>64700</v>
      </c>
      <c r="D2656" t="s">
        <v>22</v>
      </c>
      <c r="E2656" s="2">
        <v>14800</v>
      </c>
      <c r="F2656" s="2">
        <v>0</v>
      </c>
      <c r="G2656" t="s">
        <v>27</v>
      </c>
      <c r="H2656" t="s">
        <v>17</v>
      </c>
      <c r="I2656" t="s">
        <v>18</v>
      </c>
      <c r="J2656" s="3">
        <v>45957</v>
      </c>
      <c r="K2656" s="4">
        <f>ClientiBanca[[#This Row],[Prestito]]+ClientiBanca[[#This Row],[Mutuo]]</f>
        <v>14800</v>
      </c>
      <c r="L2656" t="str">
        <f>IF(ClientiBanca[[#This Row],[Reddito annuo]]&gt;=70000,"si","no")</f>
        <v>no</v>
      </c>
    </row>
    <row r="2657" spans="1:12">
      <c r="A2657">
        <v>102656</v>
      </c>
      <c r="B2657">
        <v>59</v>
      </c>
      <c r="C2657" s="2">
        <v>61900</v>
      </c>
      <c r="D2657" t="s">
        <v>21</v>
      </c>
      <c r="E2657" s="2">
        <v>45000</v>
      </c>
      <c r="F2657" s="2">
        <v>0</v>
      </c>
      <c r="G2657" t="s">
        <v>24</v>
      </c>
      <c r="H2657" t="s">
        <v>14</v>
      </c>
      <c r="I2657" t="s">
        <v>18</v>
      </c>
      <c r="J2657" s="3">
        <v>45952</v>
      </c>
      <c r="K2657" s="4">
        <f>ClientiBanca[[#This Row],[Prestito]]+ClientiBanca[[#This Row],[Mutuo]]</f>
        <v>45000</v>
      </c>
      <c r="L2657" t="str">
        <f>IF(ClientiBanca[[#This Row],[Reddito annuo]]&gt;=70000,"si","no")</f>
        <v>no</v>
      </c>
    </row>
    <row r="2658" spans="1:12">
      <c r="A2658">
        <v>102657</v>
      </c>
      <c r="B2658">
        <v>66</v>
      </c>
      <c r="C2658" s="2">
        <v>95700</v>
      </c>
      <c r="D2658" t="s">
        <v>12</v>
      </c>
      <c r="E2658" s="2">
        <v>0</v>
      </c>
      <c r="F2658" s="2">
        <v>0</v>
      </c>
      <c r="G2658" t="s">
        <v>26</v>
      </c>
      <c r="H2658" t="s">
        <v>20</v>
      </c>
      <c r="I2658" t="s">
        <v>18</v>
      </c>
      <c r="J2658" s="3">
        <v>46026</v>
      </c>
      <c r="K2658" s="4">
        <f>ClientiBanca[[#This Row],[Prestito]]+ClientiBanca[[#This Row],[Mutuo]]</f>
        <v>0</v>
      </c>
      <c r="L2658" t="str">
        <f>IF(ClientiBanca[[#This Row],[Reddito annuo]]&gt;=70000,"si","no")</f>
        <v>si</v>
      </c>
    </row>
    <row r="2659" spans="1:12">
      <c r="A2659">
        <v>102658</v>
      </c>
      <c r="B2659">
        <v>45</v>
      </c>
      <c r="C2659" s="2">
        <v>59000</v>
      </c>
      <c r="D2659" t="s">
        <v>12</v>
      </c>
      <c r="E2659" s="2">
        <v>28100</v>
      </c>
      <c r="F2659" s="2">
        <v>0</v>
      </c>
      <c r="G2659" t="s">
        <v>23</v>
      </c>
      <c r="H2659" t="s">
        <v>17</v>
      </c>
      <c r="I2659" t="s">
        <v>18</v>
      </c>
      <c r="J2659" s="3">
        <v>46094</v>
      </c>
      <c r="K2659" s="4">
        <f>ClientiBanca[[#This Row],[Prestito]]+ClientiBanca[[#This Row],[Mutuo]]</f>
        <v>28100</v>
      </c>
      <c r="L2659" t="str">
        <f>IF(ClientiBanca[[#This Row],[Reddito annuo]]&gt;=70000,"si","no")</f>
        <v>no</v>
      </c>
    </row>
    <row r="2660" spans="1:12">
      <c r="A2660">
        <v>102659</v>
      </c>
      <c r="B2660">
        <v>71</v>
      </c>
      <c r="C2660" s="2">
        <v>61200</v>
      </c>
      <c r="D2660" t="s">
        <v>21</v>
      </c>
      <c r="E2660" s="2">
        <v>76500</v>
      </c>
      <c r="F2660" s="2">
        <v>0</v>
      </c>
      <c r="G2660" t="s">
        <v>24</v>
      </c>
      <c r="H2660" t="s">
        <v>20</v>
      </c>
      <c r="I2660" t="s">
        <v>18</v>
      </c>
      <c r="J2660" s="3">
        <v>45342</v>
      </c>
      <c r="K2660" s="4">
        <f>ClientiBanca[[#This Row],[Prestito]]+ClientiBanca[[#This Row],[Mutuo]]</f>
        <v>76500</v>
      </c>
      <c r="L2660" t="str">
        <f>IF(ClientiBanca[[#This Row],[Reddito annuo]]&gt;=70000,"si","no")</f>
        <v>no</v>
      </c>
    </row>
    <row r="2661" spans="1:12">
      <c r="A2661">
        <v>102660</v>
      </c>
      <c r="B2661">
        <v>66</v>
      </c>
      <c r="C2661" s="2">
        <v>73500</v>
      </c>
      <c r="D2661" t="s">
        <v>21</v>
      </c>
      <c r="E2661" s="2">
        <v>0</v>
      </c>
      <c r="F2661" s="2">
        <v>292000</v>
      </c>
      <c r="G2661" t="s">
        <v>23</v>
      </c>
      <c r="H2661" t="s">
        <v>20</v>
      </c>
      <c r="I2661" t="s">
        <v>18</v>
      </c>
      <c r="J2661" s="3">
        <v>46062</v>
      </c>
      <c r="K2661" s="4">
        <f>ClientiBanca[[#This Row],[Prestito]]+ClientiBanca[[#This Row],[Mutuo]]</f>
        <v>292000</v>
      </c>
      <c r="L2661" t="str">
        <f>IF(ClientiBanca[[#This Row],[Reddito annuo]]&gt;=70000,"si","no")</f>
        <v>si</v>
      </c>
    </row>
    <row r="2662" spans="1:12">
      <c r="A2662">
        <v>102661</v>
      </c>
      <c r="B2662">
        <v>33</v>
      </c>
      <c r="C2662" s="2">
        <v>54600</v>
      </c>
      <c r="D2662" t="s">
        <v>21</v>
      </c>
      <c r="E2662" s="2">
        <v>7700</v>
      </c>
      <c r="F2662" s="2">
        <v>0</v>
      </c>
      <c r="G2662" t="s">
        <v>24</v>
      </c>
      <c r="H2662" t="s">
        <v>14</v>
      </c>
      <c r="I2662" t="s">
        <v>18</v>
      </c>
      <c r="J2662" s="3">
        <v>45911</v>
      </c>
      <c r="K2662" s="4">
        <f>ClientiBanca[[#This Row],[Prestito]]+ClientiBanca[[#This Row],[Mutuo]]</f>
        <v>7700</v>
      </c>
      <c r="L2662" t="str">
        <f>IF(ClientiBanca[[#This Row],[Reddito annuo]]&gt;=70000,"si","no")</f>
        <v>no</v>
      </c>
    </row>
    <row r="2663" spans="1:12">
      <c r="A2663">
        <v>102662</v>
      </c>
      <c r="B2663">
        <v>45</v>
      </c>
      <c r="C2663" s="2">
        <v>59700</v>
      </c>
      <c r="D2663" t="s">
        <v>12</v>
      </c>
      <c r="E2663" s="2">
        <v>19100</v>
      </c>
      <c r="F2663" s="2">
        <v>175000</v>
      </c>
      <c r="G2663" t="s">
        <v>26</v>
      </c>
      <c r="H2663" t="s">
        <v>17</v>
      </c>
      <c r="I2663" t="s">
        <v>18</v>
      </c>
      <c r="J2663" s="3">
        <v>45737</v>
      </c>
      <c r="K2663" s="4">
        <f>ClientiBanca[[#This Row],[Prestito]]+ClientiBanca[[#This Row],[Mutuo]]</f>
        <v>194100</v>
      </c>
      <c r="L2663" t="str">
        <f>IF(ClientiBanca[[#This Row],[Reddito annuo]]&gt;=70000,"si","no")</f>
        <v>no</v>
      </c>
    </row>
    <row r="2664" spans="1:12">
      <c r="A2664">
        <v>102663</v>
      </c>
      <c r="B2664">
        <v>58</v>
      </c>
      <c r="C2664" s="2">
        <v>36900</v>
      </c>
      <c r="D2664" t="s">
        <v>12</v>
      </c>
      <c r="E2664" s="2">
        <v>29300</v>
      </c>
      <c r="F2664" s="2">
        <v>0</v>
      </c>
      <c r="G2664" t="s">
        <v>27</v>
      </c>
      <c r="H2664" t="s">
        <v>20</v>
      </c>
      <c r="I2664" t="s">
        <v>18</v>
      </c>
      <c r="J2664" s="3">
        <v>45559</v>
      </c>
      <c r="K2664" s="4">
        <f>ClientiBanca[[#This Row],[Prestito]]+ClientiBanca[[#This Row],[Mutuo]]</f>
        <v>29300</v>
      </c>
      <c r="L2664" t="str">
        <f>IF(ClientiBanca[[#This Row],[Reddito annuo]]&gt;=70000,"si","no")</f>
        <v>no</v>
      </c>
    </row>
    <row r="2665" spans="1:12">
      <c r="A2665">
        <v>102664</v>
      </c>
      <c r="B2665">
        <v>59</v>
      </c>
      <c r="C2665" s="2">
        <v>51200</v>
      </c>
      <c r="D2665" t="s">
        <v>22</v>
      </c>
      <c r="E2665" s="2">
        <v>0</v>
      </c>
      <c r="F2665" s="2">
        <v>0</v>
      </c>
      <c r="G2665" t="s">
        <v>19</v>
      </c>
      <c r="H2665" t="s">
        <v>20</v>
      </c>
      <c r="I2665" t="s">
        <v>18</v>
      </c>
      <c r="J2665" s="3">
        <v>45960</v>
      </c>
      <c r="K2665" s="4">
        <f>ClientiBanca[[#This Row],[Prestito]]+ClientiBanca[[#This Row],[Mutuo]]</f>
        <v>0</v>
      </c>
      <c r="L2665" t="str">
        <f>IF(ClientiBanca[[#This Row],[Reddito annuo]]&gt;=70000,"si","no")</f>
        <v>no</v>
      </c>
    </row>
    <row r="2666" spans="1:12">
      <c r="A2666">
        <v>102665</v>
      </c>
      <c r="B2666">
        <v>75</v>
      </c>
      <c r="C2666" s="2">
        <v>19600</v>
      </c>
      <c r="D2666" t="s">
        <v>21</v>
      </c>
      <c r="E2666" s="2">
        <v>24500</v>
      </c>
      <c r="F2666" s="2">
        <v>0</v>
      </c>
      <c r="G2666" t="s">
        <v>27</v>
      </c>
      <c r="H2666" t="s">
        <v>14</v>
      </c>
      <c r="I2666" t="s">
        <v>15</v>
      </c>
      <c r="J2666" s="3">
        <v>45828</v>
      </c>
      <c r="K2666" s="4">
        <f>ClientiBanca[[#This Row],[Prestito]]+ClientiBanca[[#This Row],[Mutuo]]</f>
        <v>24500</v>
      </c>
      <c r="L2666" t="str">
        <f>IF(ClientiBanca[[#This Row],[Reddito annuo]]&gt;=70000,"si","no")</f>
        <v>no</v>
      </c>
    </row>
    <row r="2667" spans="1:12">
      <c r="A2667">
        <v>102666</v>
      </c>
      <c r="B2667">
        <v>66</v>
      </c>
      <c r="C2667" s="2">
        <v>60500</v>
      </c>
      <c r="D2667" t="s">
        <v>12</v>
      </c>
      <c r="E2667" s="2">
        <v>0</v>
      </c>
      <c r="F2667" s="2">
        <v>161000</v>
      </c>
      <c r="G2667" t="s">
        <v>13</v>
      </c>
      <c r="H2667" t="s">
        <v>20</v>
      </c>
      <c r="I2667" t="s">
        <v>18</v>
      </c>
      <c r="J2667" s="3">
        <v>45354</v>
      </c>
      <c r="K2667" s="4">
        <f>ClientiBanca[[#This Row],[Prestito]]+ClientiBanca[[#This Row],[Mutuo]]</f>
        <v>161000</v>
      </c>
      <c r="L2667" t="str">
        <f>IF(ClientiBanca[[#This Row],[Reddito annuo]]&gt;=70000,"si","no")</f>
        <v>no</v>
      </c>
    </row>
    <row r="2668" spans="1:12">
      <c r="A2668">
        <v>102667</v>
      </c>
      <c r="B2668">
        <v>37</v>
      </c>
      <c r="C2668" s="2">
        <v>43600</v>
      </c>
      <c r="D2668" t="s">
        <v>21</v>
      </c>
      <c r="E2668" s="2">
        <v>34200</v>
      </c>
      <c r="F2668" s="2">
        <v>152000</v>
      </c>
      <c r="G2668" t="s">
        <v>19</v>
      </c>
      <c r="H2668" t="s">
        <v>17</v>
      </c>
      <c r="I2668" t="s">
        <v>18</v>
      </c>
      <c r="J2668" s="3">
        <v>45397</v>
      </c>
      <c r="K2668" s="4">
        <f>ClientiBanca[[#This Row],[Prestito]]+ClientiBanca[[#This Row],[Mutuo]]</f>
        <v>186200</v>
      </c>
      <c r="L2668" t="str">
        <f>IF(ClientiBanca[[#This Row],[Reddito annuo]]&gt;=70000,"si","no")</f>
        <v>no</v>
      </c>
    </row>
    <row r="2669" spans="1:12">
      <c r="A2669">
        <v>102668</v>
      </c>
      <c r="B2669">
        <v>37</v>
      </c>
      <c r="C2669" s="2">
        <v>60900</v>
      </c>
      <c r="D2669" t="s">
        <v>21</v>
      </c>
      <c r="E2669" s="2">
        <v>24300</v>
      </c>
      <c r="F2669" s="2">
        <v>0</v>
      </c>
      <c r="G2669" t="s">
        <v>23</v>
      </c>
      <c r="H2669" t="s">
        <v>20</v>
      </c>
      <c r="I2669" t="s">
        <v>18</v>
      </c>
      <c r="J2669" s="3">
        <v>45397</v>
      </c>
      <c r="K2669" s="4">
        <f>ClientiBanca[[#This Row],[Prestito]]+ClientiBanca[[#This Row],[Mutuo]]</f>
        <v>24300</v>
      </c>
      <c r="L2669" t="str">
        <f>IF(ClientiBanca[[#This Row],[Reddito annuo]]&gt;=70000,"si","no")</f>
        <v>no</v>
      </c>
    </row>
    <row r="2670" spans="1:12">
      <c r="A2670">
        <v>102669</v>
      </c>
      <c r="B2670">
        <v>45</v>
      </c>
      <c r="C2670" s="2">
        <v>61000</v>
      </c>
      <c r="D2670" t="s">
        <v>21</v>
      </c>
      <c r="E2670" s="2">
        <v>14400</v>
      </c>
      <c r="F2670" s="2">
        <v>0</v>
      </c>
      <c r="G2670" t="s">
        <v>28</v>
      </c>
      <c r="H2670" t="s">
        <v>17</v>
      </c>
      <c r="I2670" t="s">
        <v>15</v>
      </c>
      <c r="J2670" s="3">
        <v>46241</v>
      </c>
      <c r="K2670" s="4">
        <f>ClientiBanca[[#This Row],[Prestito]]+ClientiBanca[[#This Row],[Mutuo]]</f>
        <v>14400</v>
      </c>
      <c r="L2670" t="str">
        <f>IF(ClientiBanca[[#This Row],[Reddito annuo]]&gt;=70000,"si","no")</f>
        <v>no</v>
      </c>
    </row>
    <row r="2671" spans="1:12">
      <c r="A2671">
        <v>102670</v>
      </c>
      <c r="B2671">
        <v>58</v>
      </c>
      <c r="C2671" s="2">
        <v>28000</v>
      </c>
      <c r="D2671" t="s">
        <v>22</v>
      </c>
      <c r="E2671" s="2">
        <v>0</v>
      </c>
      <c r="F2671" s="2">
        <v>0</v>
      </c>
      <c r="G2671" t="s">
        <v>16</v>
      </c>
      <c r="H2671" t="s">
        <v>25</v>
      </c>
      <c r="I2671" t="s">
        <v>18</v>
      </c>
      <c r="J2671" s="3">
        <v>45831</v>
      </c>
      <c r="K2671" s="4">
        <f>ClientiBanca[[#This Row],[Prestito]]+ClientiBanca[[#This Row],[Mutuo]]</f>
        <v>0</v>
      </c>
      <c r="L2671" t="str">
        <f>IF(ClientiBanca[[#This Row],[Reddito annuo]]&gt;=70000,"si","no")</f>
        <v>no</v>
      </c>
    </row>
    <row r="2672" spans="1:12">
      <c r="A2672">
        <v>102671</v>
      </c>
      <c r="B2672">
        <v>64</v>
      </c>
      <c r="C2672" s="2">
        <v>64100</v>
      </c>
      <c r="D2672" t="s">
        <v>12</v>
      </c>
      <c r="E2672" s="2">
        <v>14000</v>
      </c>
      <c r="F2672" s="2">
        <v>181000</v>
      </c>
      <c r="G2672" t="s">
        <v>16</v>
      </c>
      <c r="H2672" t="s">
        <v>17</v>
      </c>
      <c r="I2672" t="s">
        <v>18</v>
      </c>
      <c r="J2672" s="3">
        <v>45724</v>
      </c>
      <c r="K2672" s="4">
        <f>ClientiBanca[[#This Row],[Prestito]]+ClientiBanca[[#This Row],[Mutuo]]</f>
        <v>195000</v>
      </c>
      <c r="L2672" t="str">
        <f>IF(ClientiBanca[[#This Row],[Reddito annuo]]&gt;=70000,"si","no")</f>
        <v>no</v>
      </c>
    </row>
    <row r="2673" spans="1:12">
      <c r="A2673">
        <v>102672</v>
      </c>
      <c r="B2673">
        <v>27</v>
      </c>
      <c r="C2673" s="2">
        <v>33100</v>
      </c>
      <c r="D2673" t="s">
        <v>12</v>
      </c>
      <c r="E2673" s="2">
        <v>0</v>
      </c>
      <c r="F2673" s="2">
        <v>0</v>
      </c>
      <c r="G2673" t="s">
        <v>19</v>
      </c>
      <c r="H2673" t="s">
        <v>14</v>
      </c>
      <c r="I2673" t="s">
        <v>18</v>
      </c>
      <c r="J2673" s="3">
        <v>46021</v>
      </c>
      <c r="K2673" s="4">
        <f>ClientiBanca[[#This Row],[Prestito]]+ClientiBanca[[#This Row],[Mutuo]]</f>
        <v>0</v>
      </c>
      <c r="L2673" t="str">
        <f>IF(ClientiBanca[[#This Row],[Reddito annuo]]&gt;=70000,"si","no")</f>
        <v>no</v>
      </c>
    </row>
    <row r="2674" spans="1:12">
      <c r="A2674">
        <v>102673</v>
      </c>
      <c r="B2674">
        <v>53</v>
      </c>
      <c r="C2674" s="2">
        <v>41300</v>
      </c>
      <c r="D2674" t="s">
        <v>21</v>
      </c>
      <c r="E2674" s="2">
        <v>32400</v>
      </c>
      <c r="F2674" s="2">
        <v>173000</v>
      </c>
      <c r="G2674" t="s">
        <v>27</v>
      </c>
      <c r="H2674" t="s">
        <v>17</v>
      </c>
      <c r="I2674" t="s">
        <v>18</v>
      </c>
      <c r="J2674" s="3">
        <v>45504</v>
      </c>
      <c r="K2674" s="4">
        <f>ClientiBanca[[#This Row],[Prestito]]+ClientiBanca[[#This Row],[Mutuo]]</f>
        <v>205400</v>
      </c>
      <c r="L2674" t="str">
        <f>IF(ClientiBanca[[#This Row],[Reddito annuo]]&gt;=70000,"si","no")</f>
        <v>no</v>
      </c>
    </row>
    <row r="2675" spans="1:12">
      <c r="A2675">
        <v>102674</v>
      </c>
      <c r="B2675">
        <v>43</v>
      </c>
      <c r="C2675" s="2">
        <v>40600</v>
      </c>
      <c r="D2675" t="s">
        <v>21</v>
      </c>
      <c r="E2675" s="2">
        <v>38900</v>
      </c>
      <c r="F2675" s="2">
        <v>0</v>
      </c>
      <c r="G2675" t="s">
        <v>28</v>
      </c>
      <c r="H2675" t="s">
        <v>14</v>
      </c>
      <c r="I2675" t="s">
        <v>18</v>
      </c>
      <c r="J2675" s="3">
        <v>45544</v>
      </c>
      <c r="K2675" s="4">
        <f>ClientiBanca[[#This Row],[Prestito]]+ClientiBanca[[#This Row],[Mutuo]]</f>
        <v>38900</v>
      </c>
      <c r="L2675" t="str">
        <f>IF(ClientiBanca[[#This Row],[Reddito annuo]]&gt;=70000,"si","no")</f>
        <v>no</v>
      </c>
    </row>
    <row r="2676" spans="1:12">
      <c r="A2676">
        <v>102675</v>
      </c>
      <c r="B2676">
        <v>43</v>
      </c>
      <c r="C2676" s="2">
        <v>108200</v>
      </c>
      <c r="D2676" t="s">
        <v>22</v>
      </c>
      <c r="E2676" s="2">
        <v>39200</v>
      </c>
      <c r="F2676" s="2">
        <v>0</v>
      </c>
      <c r="G2676" t="s">
        <v>24</v>
      </c>
      <c r="H2676" t="s">
        <v>20</v>
      </c>
      <c r="I2676" t="s">
        <v>18</v>
      </c>
      <c r="J2676" s="3">
        <v>45967</v>
      </c>
      <c r="K2676" s="4">
        <f>ClientiBanca[[#This Row],[Prestito]]+ClientiBanca[[#This Row],[Mutuo]]</f>
        <v>39200</v>
      </c>
      <c r="L2676" t="str">
        <f>IF(ClientiBanca[[#This Row],[Reddito annuo]]&gt;=70000,"si","no")</f>
        <v>si</v>
      </c>
    </row>
    <row r="2677" spans="1:12">
      <c r="A2677">
        <v>102676</v>
      </c>
      <c r="B2677">
        <v>29</v>
      </c>
      <c r="C2677" s="2">
        <v>33900</v>
      </c>
      <c r="D2677" t="s">
        <v>22</v>
      </c>
      <c r="E2677" s="2">
        <v>25100</v>
      </c>
      <c r="F2677" s="2">
        <v>251000</v>
      </c>
      <c r="G2677" t="s">
        <v>26</v>
      </c>
      <c r="H2677" t="s">
        <v>25</v>
      </c>
      <c r="I2677" t="s">
        <v>18</v>
      </c>
      <c r="J2677" s="3">
        <v>45788</v>
      </c>
      <c r="K2677" s="4">
        <f>ClientiBanca[[#This Row],[Prestito]]+ClientiBanca[[#This Row],[Mutuo]]</f>
        <v>276100</v>
      </c>
      <c r="L2677" t="str">
        <f>IF(ClientiBanca[[#This Row],[Reddito annuo]]&gt;=70000,"si","no")</f>
        <v>no</v>
      </c>
    </row>
    <row r="2678" spans="1:12">
      <c r="A2678">
        <v>102677</v>
      </c>
      <c r="B2678">
        <v>58</v>
      </c>
      <c r="C2678" s="2">
        <v>94100</v>
      </c>
      <c r="D2678" t="s">
        <v>21</v>
      </c>
      <c r="E2678" s="2">
        <v>0</v>
      </c>
      <c r="F2678" s="2">
        <v>137000</v>
      </c>
      <c r="G2678" t="s">
        <v>19</v>
      </c>
      <c r="H2678" t="s">
        <v>20</v>
      </c>
      <c r="I2678" t="s">
        <v>18</v>
      </c>
      <c r="J2678" s="3">
        <v>46214</v>
      </c>
      <c r="K2678" s="4">
        <f>ClientiBanca[[#This Row],[Prestito]]+ClientiBanca[[#This Row],[Mutuo]]</f>
        <v>137000</v>
      </c>
      <c r="L2678" t="str">
        <f>IF(ClientiBanca[[#This Row],[Reddito annuo]]&gt;=70000,"si","no")</f>
        <v>si</v>
      </c>
    </row>
    <row r="2679" spans="1:12">
      <c r="A2679">
        <v>102678</v>
      </c>
      <c r="B2679">
        <v>72</v>
      </c>
      <c r="C2679" s="2">
        <v>57200</v>
      </c>
      <c r="D2679" t="s">
        <v>21</v>
      </c>
      <c r="E2679" s="2">
        <v>39200</v>
      </c>
      <c r="F2679" s="2">
        <v>0</v>
      </c>
      <c r="G2679" t="s">
        <v>23</v>
      </c>
      <c r="H2679" t="s">
        <v>20</v>
      </c>
      <c r="I2679" t="s">
        <v>18</v>
      </c>
      <c r="J2679" s="3">
        <v>45671</v>
      </c>
      <c r="K2679" s="4">
        <f>ClientiBanca[[#This Row],[Prestito]]+ClientiBanca[[#This Row],[Mutuo]]</f>
        <v>39200</v>
      </c>
      <c r="L2679" t="str">
        <f>IF(ClientiBanca[[#This Row],[Reddito annuo]]&gt;=70000,"si","no")</f>
        <v>no</v>
      </c>
    </row>
    <row r="2680" spans="1:12">
      <c r="A2680">
        <v>102679</v>
      </c>
      <c r="B2680">
        <v>71</v>
      </c>
      <c r="C2680" s="2">
        <v>79200</v>
      </c>
      <c r="D2680" t="s">
        <v>21</v>
      </c>
      <c r="E2680" s="2">
        <v>61800</v>
      </c>
      <c r="F2680" s="2">
        <v>0</v>
      </c>
      <c r="G2680" t="s">
        <v>26</v>
      </c>
      <c r="H2680" t="s">
        <v>20</v>
      </c>
      <c r="I2680" t="s">
        <v>18</v>
      </c>
      <c r="J2680" s="3">
        <v>45296</v>
      </c>
      <c r="K2680" s="4">
        <f>ClientiBanca[[#This Row],[Prestito]]+ClientiBanca[[#This Row],[Mutuo]]</f>
        <v>61800</v>
      </c>
      <c r="L2680" t="str">
        <f>IF(ClientiBanca[[#This Row],[Reddito annuo]]&gt;=70000,"si","no")</f>
        <v>si</v>
      </c>
    </row>
    <row r="2681" spans="1:12">
      <c r="A2681">
        <v>102680</v>
      </c>
      <c r="B2681">
        <v>71</v>
      </c>
      <c r="C2681" s="2">
        <v>63000</v>
      </c>
      <c r="D2681" t="s">
        <v>12</v>
      </c>
      <c r="E2681" s="2">
        <v>0</v>
      </c>
      <c r="F2681" s="2">
        <v>333000</v>
      </c>
      <c r="G2681" t="s">
        <v>28</v>
      </c>
      <c r="H2681" t="s">
        <v>20</v>
      </c>
      <c r="I2681" t="s">
        <v>18</v>
      </c>
      <c r="J2681" s="3">
        <v>46031</v>
      </c>
      <c r="K2681" s="4">
        <f>ClientiBanca[[#This Row],[Prestito]]+ClientiBanca[[#This Row],[Mutuo]]</f>
        <v>333000</v>
      </c>
      <c r="L2681" t="str">
        <f>IF(ClientiBanca[[#This Row],[Reddito annuo]]&gt;=70000,"si","no")</f>
        <v>no</v>
      </c>
    </row>
    <row r="2682" spans="1:12">
      <c r="A2682">
        <v>102681</v>
      </c>
      <c r="B2682">
        <v>73</v>
      </c>
      <c r="C2682" s="2">
        <v>22600</v>
      </c>
      <c r="D2682" t="s">
        <v>21</v>
      </c>
      <c r="E2682" s="2">
        <v>0</v>
      </c>
      <c r="F2682" s="2">
        <v>0</v>
      </c>
      <c r="G2682" t="s">
        <v>24</v>
      </c>
      <c r="H2682" t="s">
        <v>25</v>
      </c>
      <c r="I2682" t="s">
        <v>18</v>
      </c>
      <c r="J2682" s="3">
        <v>46104</v>
      </c>
      <c r="K2682" s="4">
        <f>ClientiBanca[[#This Row],[Prestito]]+ClientiBanca[[#This Row],[Mutuo]]</f>
        <v>0</v>
      </c>
      <c r="L2682" t="str">
        <f>IF(ClientiBanca[[#This Row],[Reddito annuo]]&gt;=70000,"si","no")</f>
        <v>no</v>
      </c>
    </row>
    <row r="2683" spans="1:12">
      <c r="A2683">
        <v>102682</v>
      </c>
      <c r="B2683">
        <v>50</v>
      </c>
      <c r="C2683" s="2">
        <v>57700</v>
      </c>
      <c r="D2683" t="s">
        <v>22</v>
      </c>
      <c r="E2683" s="2">
        <v>0</v>
      </c>
      <c r="F2683" s="2">
        <v>316000</v>
      </c>
      <c r="G2683" t="s">
        <v>26</v>
      </c>
      <c r="H2683" t="s">
        <v>20</v>
      </c>
      <c r="I2683" t="s">
        <v>18</v>
      </c>
      <c r="J2683" s="3">
        <v>45423</v>
      </c>
      <c r="K2683" s="4">
        <f>ClientiBanca[[#This Row],[Prestito]]+ClientiBanca[[#This Row],[Mutuo]]</f>
        <v>316000</v>
      </c>
      <c r="L2683" t="str">
        <f>IF(ClientiBanca[[#This Row],[Reddito annuo]]&gt;=70000,"si","no")</f>
        <v>no</v>
      </c>
    </row>
    <row r="2684" spans="1:12">
      <c r="A2684">
        <v>102683</v>
      </c>
      <c r="B2684">
        <v>64</v>
      </c>
      <c r="C2684" s="2">
        <v>78700</v>
      </c>
      <c r="D2684" t="s">
        <v>12</v>
      </c>
      <c r="E2684" s="2">
        <v>0</v>
      </c>
      <c r="F2684" s="2">
        <v>279000</v>
      </c>
      <c r="G2684" t="s">
        <v>27</v>
      </c>
      <c r="H2684" t="s">
        <v>20</v>
      </c>
      <c r="I2684" t="s">
        <v>18</v>
      </c>
      <c r="J2684" s="3">
        <v>46221</v>
      </c>
      <c r="K2684" s="4">
        <f>ClientiBanca[[#This Row],[Prestito]]+ClientiBanca[[#This Row],[Mutuo]]</f>
        <v>279000</v>
      </c>
      <c r="L2684" t="str">
        <f>IF(ClientiBanca[[#This Row],[Reddito annuo]]&gt;=70000,"si","no")</f>
        <v>si</v>
      </c>
    </row>
    <row r="2685" spans="1:12">
      <c r="A2685">
        <v>102684</v>
      </c>
      <c r="B2685">
        <v>25</v>
      </c>
      <c r="C2685" s="2">
        <v>37800</v>
      </c>
      <c r="D2685" t="s">
        <v>21</v>
      </c>
      <c r="E2685" s="2">
        <v>47200</v>
      </c>
      <c r="F2685" s="2">
        <v>0</v>
      </c>
      <c r="G2685" t="s">
        <v>26</v>
      </c>
      <c r="H2685" t="s">
        <v>14</v>
      </c>
      <c r="I2685" t="s">
        <v>18</v>
      </c>
      <c r="J2685" s="3">
        <v>46201</v>
      </c>
      <c r="K2685" s="4">
        <f>ClientiBanca[[#This Row],[Prestito]]+ClientiBanca[[#This Row],[Mutuo]]</f>
        <v>47200</v>
      </c>
      <c r="L2685" t="str">
        <f>IF(ClientiBanca[[#This Row],[Reddito annuo]]&gt;=70000,"si","no")</f>
        <v>no</v>
      </c>
    </row>
    <row r="2686" spans="1:12">
      <c r="A2686">
        <v>102685</v>
      </c>
      <c r="B2686">
        <v>63</v>
      </c>
      <c r="C2686" s="2">
        <v>111200</v>
      </c>
      <c r="D2686" t="s">
        <v>21</v>
      </c>
      <c r="E2686" s="2">
        <v>59000</v>
      </c>
      <c r="F2686" s="2">
        <v>0</v>
      </c>
      <c r="G2686" t="s">
        <v>28</v>
      </c>
      <c r="H2686" t="s">
        <v>25</v>
      </c>
      <c r="I2686" t="s">
        <v>15</v>
      </c>
      <c r="J2686" s="3">
        <v>45925</v>
      </c>
      <c r="K2686" s="4">
        <f>ClientiBanca[[#This Row],[Prestito]]+ClientiBanca[[#This Row],[Mutuo]]</f>
        <v>59000</v>
      </c>
      <c r="L2686" t="str">
        <f>IF(ClientiBanca[[#This Row],[Reddito annuo]]&gt;=70000,"si","no")</f>
        <v>si</v>
      </c>
    </row>
    <row r="2687" spans="1:12">
      <c r="A2687">
        <v>102686</v>
      </c>
      <c r="B2687">
        <v>73</v>
      </c>
      <c r="C2687" s="2">
        <v>103300</v>
      </c>
      <c r="D2687" t="s">
        <v>12</v>
      </c>
      <c r="E2687" s="2">
        <v>15000</v>
      </c>
      <c r="F2687" s="2">
        <v>0</v>
      </c>
      <c r="G2687" t="s">
        <v>28</v>
      </c>
      <c r="H2687" t="s">
        <v>20</v>
      </c>
      <c r="I2687" t="s">
        <v>18</v>
      </c>
      <c r="J2687" s="3">
        <v>45916</v>
      </c>
      <c r="K2687" s="4">
        <f>ClientiBanca[[#This Row],[Prestito]]+ClientiBanca[[#This Row],[Mutuo]]</f>
        <v>15000</v>
      </c>
      <c r="L2687" t="str">
        <f>IF(ClientiBanca[[#This Row],[Reddito annuo]]&gt;=70000,"si","no")</f>
        <v>si</v>
      </c>
    </row>
    <row r="2688" spans="1:12">
      <c r="A2688">
        <v>102687</v>
      </c>
      <c r="B2688">
        <v>47</v>
      </c>
      <c r="C2688" s="2">
        <v>50000</v>
      </c>
      <c r="D2688" t="s">
        <v>21</v>
      </c>
      <c r="E2688" s="2">
        <v>0</v>
      </c>
      <c r="F2688" s="2">
        <v>0</v>
      </c>
      <c r="G2688" t="s">
        <v>27</v>
      </c>
      <c r="H2688" t="s">
        <v>17</v>
      </c>
      <c r="I2688" t="s">
        <v>18</v>
      </c>
      <c r="J2688" s="3">
        <v>46032</v>
      </c>
      <c r="K2688" s="4">
        <f>ClientiBanca[[#This Row],[Prestito]]+ClientiBanca[[#This Row],[Mutuo]]</f>
        <v>0</v>
      </c>
      <c r="L2688" t="str">
        <f>IF(ClientiBanca[[#This Row],[Reddito annuo]]&gt;=70000,"si","no")</f>
        <v>no</v>
      </c>
    </row>
    <row r="2689" spans="1:12">
      <c r="A2689">
        <v>102688</v>
      </c>
      <c r="B2689">
        <v>63</v>
      </c>
      <c r="C2689" s="2">
        <v>51700</v>
      </c>
      <c r="D2689" t="s">
        <v>22</v>
      </c>
      <c r="E2689" s="2">
        <v>52600</v>
      </c>
      <c r="F2689" s="2">
        <v>234000</v>
      </c>
      <c r="G2689" t="s">
        <v>19</v>
      </c>
      <c r="H2689" t="s">
        <v>20</v>
      </c>
      <c r="I2689" t="s">
        <v>18</v>
      </c>
      <c r="J2689" s="3">
        <v>46151</v>
      </c>
      <c r="K2689" s="4">
        <f>ClientiBanca[[#This Row],[Prestito]]+ClientiBanca[[#This Row],[Mutuo]]</f>
        <v>286600</v>
      </c>
      <c r="L2689" t="str">
        <f>IF(ClientiBanca[[#This Row],[Reddito annuo]]&gt;=70000,"si","no")</f>
        <v>no</v>
      </c>
    </row>
    <row r="2690" spans="1:12">
      <c r="A2690">
        <v>102689</v>
      </c>
      <c r="B2690">
        <v>38</v>
      </c>
      <c r="C2690" s="2">
        <v>106700</v>
      </c>
      <c r="D2690" t="s">
        <v>22</v>
      </c>
      <c r="E2690" s="2">
        <v>47300</v>
      </c>
      <c r="F2690" s="2">
        <v>199000</v>
      </c>
      <c r="G2690" t="s">
        <v>23</v>
      </c>
      <c r="H2690" t="s">
        <v>14</v>
      </c>
      <c r="I2690" t="s">
        <v>18</v>
      </c>
      <c r="J2690" s="3">
        <v>46149</v>
      </c>
      <c r="K2690" s="4">
        <f>ClientiBanca[[#This Row],[Prestito]]+ClientiBanca[[#This Row],[Mutuo]]</f>
        <v>246300</v>
      </c>
      <c r="L2690" t="str">
        <f>IF(ClientiBanca[[#This Row],[Reddito annuo]]&gt;=70000,"si","no")</f>
        <v>si</v>
      </c>
    </row>
    <row r="2691" spans="1:12">
      <c r="A2691">
        <v>102690</v>
      </c>
      <c r="B2691">
        <v>25</v>
      </c>
      <c r="C2691" s="2">
        <v>65600</v>
      </c>
      <c r="D2691" t="s">
        <v>12</v>
      </c>
      <c r="E2691" s="2">
        <v>41200</v>
      </c>
      <c r="F2691" s="2">
        <v>89000</v>
      </c>
      <c r="G2691" t="s">
        <v>26</v>
      </c>
      <c r="H2691" t="s">
        <v>17</v>
      </c>
      <c r="I2691" t="s">
        <v>18</v>
      </c>
      <c r="J2691" s="3">
        <v>45343</v>
      </c>
      <c r="K2691" s="4">
        <f>ClientiBanca[[#This Row],[Prestito]]+ClientiBanca[[#This Row],[Mutuo]]</f>
        <v>130200</v>
      </c>
      <c r="L2691" t="str">
        <f>IF(ClientiBanca[[#This Row],[Reddito annuo]]&gt;=70000,"si","no")</f>
        <v>no</v>
      </c>
    </row>
    <row r="2692" spans="1:12">
      <c r="A2692">
        <v>102691</v>
      </c>
      <c r="B2692">
        <v>68</v>
      </c>
      <c r="C2692" s="2">
        <v>35500</v>
      </c>
      <c r="D2692" t="s">
        <v>21</v>
      </c>
      <c r="E2692" s="2">
        <v>14700</v>
      </c>
      <c r="F2692" s="2">
        <v>0</v>
      </c>
      <c r="G2692" t="s">
        <v>19</v>
      </c>
      <c r="H2692" t="s">
        <v>20</v>
      </c>
      <c r="I2692" t="s">
        <v>18</v>
      </c>
      <c r="J2692" s="3">
        <v>45336</v>
      </c>
      <c r="K2692" s="4">
        <f>ClientiBanca[[#This Row],[Prestito]]+ClientiBanca[[#This Row],[Mutuo]]</f>
        <v>14700</v>
      </c>
      <c r="L2692" t="str">
        <f>IF(ClientiBanca[[#This Row],[Reddito annuo]]&gt;=70000,"si","no")</f>
        <v>no</v>
      </c>
    </row>
    <row r="2693" spans="1:12">
      <c r="A2693">
        <v>102692</v>
      </c>
      <c r="B2693">
        <v>24</v>
      </c>
      <c r="C2693" s="2">
        <v>52900</v>
      </c>
      <c r="D2693" t="s">
        <v>22</v>
      </c>
      <c r="E2693" s="2">
        <v>5500</v>
      </c>
      <c r="F2693" s="2">
        <v>0</v>
      </c>
      <c r="G2693" t="s">
        <v>24</v>
      </c>
      <c r="H2693" t="s">
        <v>17</v>
      </c>
      <c r="I2693" t="s">
        <v>18</v>
      </c>
      <c r="J2693" s="3">
        <v>46026</v>
      </c>
      <c r="K2693" s="4">
        <f>ClientiBanca[[#This Row],[Prestito]]+ClientiBanca[[#This Row],[Mutuo]]</f>
        <v>5500</v>
      </c>
      <c r="L2693" t="str">
        <f>IF(ClientiBanca[[#This Row],[Reddito annuo]]&gt;=70000,"si","no")</f>
        <v>no</v>
      </c>
    </row>
    <row r="2694" spans="1:12">
      <c r="A2694">
        <v>102693</v>
      </c>
      <c r="B2694">
        <v>33</v>
      </c>
      <c r="C2694" s="2">
        <v>72900</v>
      </c>
      <c r="D2694" t="s">
        <v>22</v>
      </c>
      <c r="E2694" s="2">
        <v>0</v>
      </c>
      <c r="F2694" s="2">
        <v>0</v>
      </c>
      <c r="G2694" t="s">
        <v>23</v>
      </c>
      <c r="H2694" t="s">
        <v>20</v>
      </c>
      <c r="I2694" t="s">
        <v>18</v>
      </c>
      <c r="J2694" s="3">
        <v>45587</v>
      </c>
      <c r="K2694" s="4">
        <f>ClientiBanca[[#This Row],[Prestito]]+ClientiBanca[[#This Row],[Mutuo]]</f>
        <v>0</v>
      </c>
      <c r="L2694" t="str">
        <f>IF(ClientiBanca[[#This Row],[Reddito annuo]]&gt;=70000,"si","no")</f>
        <v>si</v>
      </c>
    </row>
    <row r="2695" spans="1:12">
      <c r="A2695">
        <v>102694</v>
      </c>
      <c r="B2695">
        <v>52</v>
      </c>
      <c r="C2695" s="2">
        <v>59800</v>
      </c>
      <c r="D2695" t="s">
        <v>21</v>
      </c>
      <c r="E2695" s="2">
        <v>13200</v>
      </c>
      <c r="F2695" s="2">
        <v>166000</v>
      </c>
      <c r="G2695" t="s">
        <v>16</v>
      </c>
      <c r="H2695" t="s">
        <v>17</v>
      </c>
      <c r="I2695" t="s">
        <v>18</v>
      </c>
      <c r="J2695" s="3">
        <v>45550</v>
      </c>
      <c r="K2695" s="4">
        <f>ClientiBanca[[#This Row],[Prestito]]+ClientiBanca[[#This Row],[Mutuo]]</f>
        <v>179200</v>
      </c>
      <c r="L2695" t="str">
        <f>IF(ClientiBanca[[#This Row],[Reddito annuo]]&gt;=70000,"si","no")</f>
        <v>no</v>
      </c>
    </row>
    <row r="2696" spans="1:12">
      <c r="A2696">
        <v>102695</v>
      </c>
      <c r="B2696">
        <v>44</v>
      </c>
      <c r="C2696" s="2">
        <v>43600</v>
      </c>
      <c r="D2696" t="s">
        <v>22</v>
      </c>
      <c r="E2696" s="2">
        <v>29000</v>
      </c>
      <c r="F2696" s="2">
        <v>0</v>
      </c>
      <c r="G2696" t="s">
        <v>26</v>
      </c>
      <c r="H2696" t="s">
        <v>14</v>
      </c>
      <c r="I2696" t="s">
        <v>18</v>
      </c>
      <c r="J2696" s="3">
        <v>45451</v>
      </c>
      <c r="K2696" s="4">
        <f>ClientiBanca[[#This Row],[Prestito]]+ClientiBanca[[#This Row],[Mutuo]]</f>
        <v>29000</v>
      </c>
      <c r="L2696" t="str">
        <f>IF(ClientiBanca[[#This Row],[Reddito annuo]]&gt;=70000,"si","no")</f>
        <v>no</v>
      </c>
    </row>
    <row r="2697" spans="1:12">
      <c r="A2697">
        <v>102696</v>
      </c>
      <c r="B2697">
        <v>21</v>
      </c>
      <c r="C2697" s="2">
        <v>95100</v>
      </c>
      <c r="D2697" t="s">
        <v>21</v>
      </c>
      <c r="E2697" s="2">
        <v>0</v>
      </c>
      <c r="F2697" s="2">
        <v>0</v>
      </c>
      <c r="G2697" t="s">
        <v>24</v>
      </c>
      <c r="H2697" t="s">
        <v>17</v>
      </c>
      <c r="I2697" t="s">
        <v>18</v>
      </c>
      <c r="J2697" s="3">
        <v>45709</v>
      </c>
      <c r="K2697" s="4">
        <f>ClientiBanca[[#This Row],[Prestito]]+ClientiBanca[[#This Row],[Mutuo]]</f>
        <v>0</v>
      </c>
      <c r="L2697" t="str">
        <f>IF(ClientiBanca[[#This Row],[Reddito annuo]]&gt;=70000,"si","no")</f>
        <v>si</v>
      </c>
    </row>
    <row r="2698" spans="1:12">
      <c r="A2698">
        <v>102697</v>
      </c>
      <c r="B2698">
        <v>47</v>
      </c>
      <c r="C2698" s="2">
        <v>50900</v>
      </c>
      <c r="D2698" t="s">
        <v>12</v>
      </c>
      <c r="E2698" s="2">
        <v>28000</v>
      </c>
      <c r="F2698" s="2">
        <v>0</v>
      </c>
      <c r="G2698" t="s">
        <v>24</v>
      </c>
      <c r="H2698" t="s">
        <v>25</v>
      </c>
      <c r="I2698" t="s">
        <v>18</v>
      </c>
      <c r="J2698" s="3">
        <v>45423</v>
      </c>
      <c r="K2698" s="4">
        <f>ClientiBanca[[#This Row],[Prestito]]+ClientiBanca[[#This Row],[Mutuo]]</f>
        <v>28000</v>
      </c>
      <c r="L2698" t="str">
        <f>IF(ClientiBanca[[#This Row],[Reddito annuo]]&gt;=70000,"si","no")</f>
        <v>no</v>
      </c>
    </row>
    <row r="2699" spans="1:12">
      <c r="A2699">
        <v>102698</v>
      </c>
      <c r="B2699">
        <v>38</v>
      </c>
      <c r="C2699" s="2">
        <v>20700</v>
      </c>
      <c r="D2699" t="s">
        <v>12</v>
      </c>
      <c r="E2699" s="2">
        <v>25900</v>
      </c>
      <c r="F2699" s="2">
        <v>0</v>
      </c>
      <c r="G2699" t="s">
        <v>27</v>
      </c>
      <c r="H2699" t="s">
        <v>14</v>
      </c>
      <c r="I2699" t="s">
        <v>18</v>
      </c>
      <c r="J2699" s="3">
        <v>45380</v>
      </c>
      <c r="K2699" s="4">
        <f>ClientiBanca[[#This Row],[Prestito]]+ClientiBanca[[#This Row],[Mutuo]]</f>
        <v>25900</v>
      </c>
      <c r="L2699" t="str">
        <f>IF(ClientiBanca[[#This Row],[Reddito annuo]]&gt;=70000,"si","no")</f>
        <v>no</v>
      </c>
    </row>
    <row r="2700" spans="1:12">
      <c r="A2700">
        <v>102699</v>
      </c>
      <c r="B2700">
        <v>39</v>
      </c>
      <c r="C2700" s="2">
        <v>72700</v>
      </c>
      <c r="D2700" t="s">
        <v>21</v>
      </c>
      <c r="E2700" s="2">
        <v>13000</v>
      </c>
      <c r="F2700" s="2">
        <v>275000</v>
      </c>
      <c r="G2700" t="s">
        <v>26</v>
      </c>
      <c r="H2700" t="s">
        <v>20</v>
      </c>
      <c r="I2700" t="s">
        <v>18</v>
      </c>
      <c r="J2700" s="3">
        <v>46190</v>
      </c>
      <c r="K2700" s="4">
        <f>ClientiBanca[[#This Row],[Prestito]]+ClientiBanca[[#This Row],[Mutuo]]</f>
        <v>288000</v>
      </c>
      <c r="L2700" t="str">
        <f>IF(ClientiBanca[[#This Row],[Reddito annuo]]&gt;=70000,"si","no")</f>
        <v>si</v>
      </c>
    </row>
    <row r="2701" spans="1:12">
      <c r="A2701">
        <v>102700</v>
      </c>
      <c r="B2701">
        <v>27</v>
      </c>
      <c r="C2701" s="2">
        <v>53100</v>
      </c>
      <c r="D2701" t="s">
        <v>12</v>
      </c>
      <c r="E2701" s="2">
        <v>0</v>
      </c>
      <c r="F2701" s="2">
        <v>0</v>
      </c>
      <c r="G2701" t="s">
        <v>23</v>
      </c>
      <c r="H2701" t="s">
        <v>25</v>
      </c>
      <c r="I2701" t="s">
        <v>18</v>
      </c>
      <c r="J2701" s="3">
        <v>45619</v>
      </c>
      <c r="K2701" s="4">
        <f>ClientiBanca[[#This Row],[Prestito]]+ClientiBanca[[#This Row],[Mutuo]]</f>
        <v>0</v>
      </c>
      <c r="L2701" t="str">
        <f>IF(ClientiBanca[[#This Row],[Reddito annuo]]&gt;=70000,"si","no")</f>
        <v>no</v>
      </c>
    </row>
    <row r="2702" spans="1:12">
      <c r="A2702">
        <v>102701</v>
      </c>
      <c r="B2702">
        <v>46</v>
      </c>
      <c r="C2702" s="2">
        <v>90900</v>
      </c>
      <c r="D2702" t="s">
        <v>22</v>
      </c>
      <c r="E2702" s="2">
        <v>47300</v>
      </c>
      <c r="F2702" s="2">
        <v>0</v>
      </c>
      <c r="G2702" t="s">
        <v>23</v>
      </c>
      <c r="H2702" t="s">
        <v>17</v>
      </c>
      <c r="I2702" t="s">
        <v>18</v>
      </c>
      <c r="J2702" s="3">
        <v>45351</v>
      </c>
      <c r="K2702" s="4">
        <f>ClientiBanca[[#This Row],[Prestito]]+ClientiBanca[[#This Row],[Mutuo]]</f>
        <v>47300</v>
      </c>
      <c r="L2702" t="str">
        <f>IF(ClientiBanca[[#This Row],[Reddito annuo]]&gt;=70000,"si","no")</f>
        <v>si</v>
      </c>
    </row>
    <row r="2703" spans="1:12">
      <c r="A2703">
        <v>102702</v>
      </c>
      <c r="B2703">
        <v>23</v>
      </c>
      <c r="C2703" s="2">
        <v>77700</v>
      </c>
      <c r="D2703" t="s">
        <v>12</v>
      </c>
      <c r="E2703" s="2">
        <v>39400</v>
      </c>
      <c r="F2703" s="2">
        <v>0</v>
      </c>
      <c r="G2703" t="s">
        <v>28</v>
      </c>
      <c r="H2703" t="s">
        <v>17</v>
      </c>
      <c r="I2703" t="s">
        <v>18</v>
      </c>
      <c r="J2703" s="3">
        <v>46120</v>
      </c>
      <c r="K2703" s="4">
        <f>ClientiBanca[[#This Row],[Prestito]]+ClientiBanca[[#This Row],[Mutuo]]</f>
        <v>39400</v>
      </c>
      <c r="L2703" t="str">
        <f>IF(ClientiBanca[[#This Row],[Reddito annuo]]&gt;=70000,"si","no")</f>
        <v>si</v>
      </c>
    </row>
    <row r="2704" spans="1:12">
      <c r="A2704">
        <v>102703</v>
      </c>
      <c r="B2704">
        <v>39</v>
      </c>
      <c r="C2704" s="2">
        <v>92000</v>
      </c>
      <c r="D2704" t="s">
        <v>12</v>
      </c>
      <c r="E2704" s="2">
        <v>35200</v>
      </c>
      <c r="F2704" s="2">
        <v>0</v>
      </c>
      <c r="G2704" t="s">
        <v>23</v>
      </c>
      <c r="H2704" t="s">
        <v>20</v>
      </c>
      <c r="I2704" t="s">
        <v>18</v>
      </c>
      <c r="J2704" s="3">
        <v>45358</v>
      </c>
      <c r="K2704" s="4">
        <f>ClientiBanca[[#This Row],[Prestito]]+ClientiBanca[[#This Row],[Mutuo]]</f>
        <v>35200</v>
      </c>
      <c r="L2704" t="str">
        <f>IF(ClientiBanca[[#This Row],[Reddito annuo]]&gt;=70000,"si","no")</f>
        <v>si</v>
      </c>
    </row>
    <row r="2705" spans="1:12">
      <c r="A2705">
        <v>102704</v>
      </c>
      <c r="B2705">
        <v>41</v>
      </c>
      <c r="C2705" s="2">
        <v>62900</v>
      </c>
      <c r="D2705" t="s">
        <v>22</v>
      </c>
      <c r="E2705" s="2">
        <v>0</v>
      </c>
      <c r="F2705" s="2">
        <v>0</v>
      </c>
      <c r="G2705" t="s">
        <v>27</v>
      </c>
      <c r="H2705" t="s">
        <v>17</v>
      </c>
      <c r="I2705" t="s">
        <v>18</v>
      </c>
      <c r="J2705" s="3">
        <v>45527</v>
      </c>
      <c r="K2705" s="4">
        <f>ClientiBanca[[#This Row],[Prestito]]+ClientiBanca[[#This Row],[Mutuo]]</f>
        <v>0</v>
      </c>
      <c r="L2705" t="str">
        <f>IF(ClientiBanca[[#This Row],[Reddito annuo]]&gt;=70000,"si","no")</f>
        <v>no</v>
      </c>
    </row>
    <row r="2706" spans="1:12">
      <c r="A2706">
        <v>102705</v>
      </c>
      <c r="B2706">
        <v>23</v>
      </c>
      <c r="C2706" s="2">
        <v>102500</v>
      </c>
      <c r="D2706" t="s">
        <v>12</v>
      </c>
      <c r="E2706" s="2">
        <v>29200</v>
      </c>
      <c r="F2706" s="2">
        <v>276000</v>
      </c>
      <c r="G2706" t="s">
        <v>16</v>
      </c>
      <c r="H2706" t="s">
        <v>20</v>
      </c>
      <c r="I2706" t="s">
        <v>18</v>
      </c>
      <c r="J2706" s="3">
        <v>45317</v>
      </c>
      <c r="K2706" s="4">
        <f>ClientiBanca[[#This Row],[Prestito]]+ClientiBanca[[#This Row],[Mutuo]]</f>
        <v>305200</v>
      </c>
      <c r="L2706" t="str">
        <f>IF(ClientiBanca[[#This Row],[Reddito annuo]]&gt;=70000,"si","no")</f>
        <v>si</v>
      </c>
    </row>
    <row r="2707" spans="1:12">
      <c r="A2707">
        <v>102706</v>
      </c>
      <c r="B2707">
        <v>52</v>
      </c>
      <c r="C2707" s="2">
        <v>84400</v>
      </c>
      <c r="D2707" t="s">
        <v>21</v>
      </c>
      <c r="E2707" s="2">
        <v>0</v>
      </c>
      <c r="F2707" s="2">
        <v>0</v>
      </c>
      <c r="G2707" t="s">
        <v>16</v>
      </c>
      <c r="H2707" t="s">
        <v>17</v>
      </c>
      <c r="I2707" t="s">
        <v>18</v>
      </c>
      <c r="J2707" s="3">
        <v>45649</v>
      </c>
      <c r="K2707" s="4">
        <f>ClientiBanca[[#This Row],[Prestito]]+ClientiBanca[[#This Row],[Mutuo]]</f>
        <v>0</v>
      </c>
      <c r="L2707" t="str">
        <f>IF(ClientiBanca[[#This Row],[Reddito annuo]]&gt;=70000,"si","no")</f>
        <v>si</v>
      </c>
    </row>
    <row r="2708" spans="1:12">
      <c r="A2708">
        <v>102707</v>
      </c>
      <c r="B2708">
        <v>74</v>
      </c>
      <c r="C2708" s="2">
        <v>117500</v>
      </c>
      <c r="D2708" t="s">
        <v>12</v>
      </c>
      <c r="E2708" s="2">
        <v>31400</v>
      </c>
      <c r="F2708" s="2">
        <v>0</v>
      </c>
      <c r="G2708" t="s">
        <v>26</v>
      </c>
      <c r="H2708" t="s">
        <v>17</v>
      </c>
      <c r="I2708" t="s">
        <v>18</v>
      </c>
      <c r="J2708" s="3">
        <v>46184</v>
      </c>
      <c r="K2708" s="4">
        <f>ClientiBanca[[#This Row],[Prestito]]+ClientiBanca[[#This Row],[Mutuo]]</f>
        <v>31400</v>
      </c>
      <c r="L2708" t="str">
        <f>IF(ClientiBanca[[#This Row],[Reddito annuo]]&gt;=70000,"si","no")</f>
        <v>si</v>
      </c>
    </row>
    <row r="2709" spans="1:12">
      <c r="A2709">
        <v>102708</v>
      </c>
      <c r="B2709">
        <v>42</v>
      </c>
      <c r="C2709" s="2">
        <v>100400</v>
      </c>
      <c r="D2709" t="s">
        <v>21</v>
      </c>
      <c r="E2709" s="2">
        <v>0</v>
      </c>
      <c r="F2709" s="2">
        <v>0</v>
      </c>
      <c r="G2709" t="s">
        <v>13</v>
      </c>
      <c r="H2709" t="s">
        <v>20</v>
      </c>
      <c r="I2709" t="s">
        <v>18</v>
      </c>
      <c r="J2709" s="3">
        <v>45649</v>
      </c>
      <c r="K2709" s="4">
        <f>ClientiBanca[[#This Row],[Prestito]]+ClientiBanca[[#This Row],[Mutuo]]</f>
        <v>0</v>
      </c>
      <c r="L2709" t="str">
        <f>IF(ClientiBanca[[#This Row],[Reddito annuo]]&gt;=70000,"si","no")</f>
        <v>si</v>
      </c>
    </row>
    <row r="2710" spans="1:12">
      <c r="A2710">
        <v>102709</v>
      </c>
      <c r="B2710">
        <v>63</v>
      </c>
      <c r="C2710" s="2">
        <v>63300</v>
      </c>
      <c r="D2710" t="s">
        <v>21</v>
      </c>
      <c r="E2710" s="2">
        <v>0</v>
      </c>
      <c r="F2710" s="2">
        <v>0</v>
      </c>
      <c r="G2710" t="s">
        <v>16</v>
      </c>
      <c r="H2710" t="s">
        <v>17</v>
      </c>
      <c r="I2710" t="s">
        <v>18</v>
      </c>
      <c r="J2710" s="3">
        <v>45499</v>
      </c>
      <c r="K2710" s="4">
        <f>ClientiBanca[[#This Row],[Prestito]]+ClientiBanca[[#This Row],[Mutuo]]</f>
        <v>0</v>
      </c>
      <c r="L2710" t="str">
        <f>IF(ClientiBanca[[#This Row],[Reddito annuo]]&gt;=70000,"si","no")</f>
        <v>no</v>
      </c>
    </row>
    <row r="2711" spans="1:12">
      <c r="A2711">
        <v>102710</v>
      </c>
      <c r="B2711">
        <v>58</v>
      </c>
      <c r="C2711" s="2">
        <v>56200</v>
      </c>
      <c r="D2711" t="s">
        <v>12</v>
      </c>
      <c r="E2711" s="2">
        <v>0</v>
      </c>
      <c r="F2711" s="2">
        <v>227000</v>
      </c>
      <c r="G2711" t="s">
        <v>13</v>
      </c>
      <c r="H2711" t="s">
        <v>14</v>
      </c>
      <c r="I2711" t="s">
        <v>18</v>
      </c>
      <c r="J2711" s="3">
        <v>45435</v>
      </c>
      <c r="K2711" s="4">
        <f>ClientiBanca[[#This Row],[Prestito]]+ClientiBanca[[#This Row],[Mutuo]]</f>
        <v>227000</v>
      </c>
      <c r="L2711" t="str">
        <f>IF(ClientiBanca[[#This Row],[Reddito annuo]]&gt;=70000,"si","no")</f>
        <v>no</v>
      </c>
    </row>
    <row r="2712" spans="1:12">
      <c r="A2712">
        <v>102711</v>
      </c>
      <c r="B2712">
        <v>62</v>
      </c>
      <c r="C2712" s="2">
        <v>54500</v>
      </c>
      <c r="D2712" t="s">
        <v>21</v>
      </c>
      <c r="E2712" s="2">
        <v>0</v>
      </c>
      <c r="F2712" s="2">
        <v>0</v>
      </c>
      <c r="G2712" t="s">
        <v>19</v>
      </c>
      <c r="H2712" t="s">
        <v>17</v>
      </c>
      <c r="I2712" t="s">
        <v>18</v>
      </c>
      <c r="J2712" s="3">
        <v>46067</v>
      </c>
      <c r="K2712" s="4">
        <f>ClientiBanca[[#This Row],[Prestito]]+ClientiBanca[[#This Row],[Mutuo]]</f>
        <v>0</v>
      </c>
      <c r="L2712" t="str">
        <f>IF(ClientiBanca[[#This Row],[Reddito annuo]]&gt;=70000,"si","no")</f>
        <v>no</v>
      </c>
    </row>
    <row r="2713" spans="1:12">
      <c r="A2713">
        <v>102712</v>
      </c>
      <c r="B2713">
        <v>66</v>
      </c>
      <c r="C2713" s="2">
        <v>34700</v>
      </c>
      <c r="D2713" t="s">
        <v>12</v>
      </c>
      <c r="E2713" s="2">
        <v>43400</v>
      </c>
      <c r="F2713" s="2">
        <v>207000</v>
      </c>
      <c r="G2713" t="s">
        <v>16</v>
      </c>
      <c r="H2713" t="s">
        <v>14</v>
      </c>
      <c r="I2713" t="s">
        <v>18</v>
      </c>
      <c r="J2713" s="3">
        <v>45835</v>
      </c>
      <c r="K2713" s="4">
        <f>ClientiBanca[[#This Row],[Prestito]]+ClientiBanca[[#This Row],[Mutuo]]</f>
        <v>250400</v>
      </c>
      <c r="L2713" t="str">
        <f>IF(ClientiBanca[[#This Row],[Reddito annuo]]&gt;=70000,"si","no")</f>
        <v>no</v>
      </c>
    </row>
    <row r="2714" spans="1:12">
      <c r="A2714">
        <v>102713</v>
      </c>
      <c r="B2714">
        <v>54</v>
      </c>
      <c r="C2714" s="2">
        <v>86800</v>
      </c>
      <c r="D2714" t="s">
        <v>21</v>
      </c>
      <c r="E2714" s="2">
        <v>0</v>
      </c>
      <c r="F2714" s="2">
        <v>0</v>
      </c>
      <c r="G2714" t="s">
        <v>19</v>
      </c>
      <c r="H2714" t="s">
        <v>20</v>
      </c>
      <c r="I2714" t="s">
        <v>18</v>
      </c>
      <c r="J2714" s="3">
        <v>46038</v>
      </c>
      <c r="K2714" s="4">
        <f>ClientiBanca[[#This Row],[Prestito]]+ClientiBanca[[#This Row],[Mutuo]]</f>
        <v>0</v>
      </c>
      <c r="L2714" t="str">
        <f>IF(ClientiBanca[[#This Row],[Reddito annuo]]&gt;=70000,"si","no")</f>
        <v>si</v>
      </c>
    </row>
    <row r="2715" spans="1:12">
      <c r="A2715">
        <v>102714</v>
      </c>
      <c r="B2715">
        <v>61</v>
      </c>
      <c r="C2715" s="2">
        <v>52900</v>
      </c>
      <c r="D2715" t="s">
        <v>12</v>
      </c>
      <c r="E2715" s="2">
        <v>31500</v>
      </c>
      <c r="F2715" s="2">
        <v>0</v>
      </c>
      <c r="G2715" t="s">
        <v>24</v>
      </c>
      <c r="H2715" t="s">
        <v>20</v>
      </c>
      <c r="I2715" t="s">
        <v>18</v>
      </c>
      <c r="J2715" s="3">
        <v>45746</v>
      </c>
      <c r="K2715" s="4">
        <f>ClientiBanca[[#This Row],[Prestito]]+ClientiBanca[[#This Row],[Mutuo]]</f>
        <v>31500</v>
      </c>
      <c r="L2715" t="str">
        <f>IF(ClientiBanca[[#This Row],[Reddito annuo]]&gt;=70000,"si","no")</f>
        <v>no</v>
      </c>
    </row>
    <row r="2716" spans="1:12">
      <c r="A2716">
        <v>102715</v>
      </c>
      <c r="B2716">
        <v>52</v>
      </c>
      <c r="C2716" s="2">
        <v>89200</v>
      </c>
      <c r="D2716" t="s">
        <v>12</v>
      </c>
      <c r="E2716" s="2">
        <v>45500</v>
      </c>
      <c r="F2716" s="2">
        <v>0</v>
      </c>
      <c r="G2716" t="s">
        <v>16</v>
      </c>
      <c r="H2716" t="s">
        <v>20</v>
      </c>
      <c r="I2716" t="s">
        <v>18</v>
      </c>
      <c r="J2716" s="3">
        <v>46128</v>
      </c>
      <c r="K2716" s="4">
        <f>ClientiBanca[[#This Row],[Prestito]]+ClientiBanca[[#This Row],[Mutuo]]</f>
        <v>45500</v>
      </c>
      <c r="L2716" t="str">
        <f>IF(ClientiBanca[[#This Row],[Reddito annuo]]&gt;=70000,"si","no")</f>
        <v>si</v>
      </c>
    </row>
    <row r="2717" spans="1:12">
      <c r="A2717">
        <v>102716</v>
      </c>
      <c r="B2717">
        <v>40</v>
      </c>
      <c r="C2717" s="2">
        <v>39300</v>
      </c>
      <c r="D2717" t="s">
        <v>12</v>
      </c>
      <c r="E2717" s="2">
        <v>44700</v>
      </c>
      <c r="F2717" s="2">
        <v>0</v>
      </c>
      <c r="G2717" t="s">
        <v>27</v>
      </c>
      <c r="H2717" t="s">
        <v>17</v>
      </c>
      <c r="I2717" t="s">
        <v>18</v>
      </c>
      <c r="J2717" s="3">
        <v>45539</v>
      </c>
      <c r="K2717" s="4">
        <f>ClientiBanca[[#This Row],[Prestito]]+ClientiBanca[[#This Row],[Mutuo]]</f>
        <v>44700</v>
      </c>
      <c r="L2717" t="str">
        <f>IF(ClientiBanca[[#This Row],[Reddito annuo]]&gt;=70000,"si","no")</f>
        <v>no</v>
      </c>
    </row>
    <row r="2718" spans="1:12">
      <c r="A2718">
        <v>102717</v>
      </c>
      <c r="B2718">
        <v>71</v>
      </c>
      <c r="C2718" s="2">
        <v>48000</v>
      </c>
      <c r="D2718" t="s">
        <v>12</v>
      </c>
      <c r="E2718" s="2">
        <v>25400</v>
      </c>
      <c r="F2718" s="2">
        <v>0</v>
      </c>
      <c r="G2718" t="s">
        <v>28</v>
      </c>
      <c r="H2718" t="s">
        <v>20</v>
      </c>
      <c r="I2718" t="s">
        <v>18</v>
      </c>
      <c r="J2718" s="3">
        <v>45909</v>
      </c>
      <c r="K2718" s="4">
        <f>ClientiBanca[[#This Row],[Prestito]]+ClientiBanca[[#This Row],[Mutuo]]</f>
        <v>25400</v>
      </c>
      <c r="L2718" t="str">
        <f>IF(ClientiBanca[[#This Row],[Reddito annuo]]&gt;=70000,"si","no")</f>
        <v>no</v>
      </c>
    </row>
    <row r="2719" spans="1:12">
      <c r="A2719">
        <v>102718</v>
      </c>
      <c r="B2719">
        <v>73</v>
      </c>
      <c r="C2719" s="2">
        <v>59500</v>
      </c>
      <c r="D2719" t="s">
        <v>21</v>
      </c>
      <c r="E2719" s="2">
        <v>18300</v>
      </c>
      <c r="F2719" s="2">
        <v>0</v>
      </c>
      <c r="G2719" t="s">
        <v>27</v>
      </c>
      <c r="H2719" t="s">
        <v>17</v>
      </c>
      <c r="I2719" t="s">
        <v>18</v>
      </c>
      <c r="J2719" s="3">
        <v>46232</v>
      </c>
      <c r="K2719" s="4">
        <f>ClientiBanca[[#This Row],[Prestito]]+ClientiBanca[[#This Row],[Mutuo]]</f>
        <v>18300</v>
      </c>
      <c r="L2719" t="str">
        <f>IF(ClientiBanca[[#This Row],[Reddito annuo]]&gt;=70000,"si","no")</f>
        <v>no</v>
      </c>
    </row>
    <row r="2720" spans="1:12">
      <c r="A2720">
        <v>102719</v>
      </c>
      <c r="B2720">
        <v>65</v>
      </c>
      <c r="C2720" s="2">
        <v>105900</v>
      </c>
      <c r="D2720" t="s">
        <v>21</v>
      </c>
      <c r="E2720" s="2">
        <v>0</v>
      </c>
      <c r="F2720" s="2">
        <v>351000</v>
      </c>
      <c r="G2720" t="s">
        <v>16</v>
      </c>
      <c r="H2720" t="s">
        <v>20</v>
      </c>
      <c r="I2720" t="s">
        <v>18</v>
      </c>
      <c r="J2720" s="3">
        <v>45856</v>
      </c>
      <c r="K2720" s="4">
        <f>ClientiBanca[[#This Row],[Prestito]]+ClientiBanca[[#This Row],[Mutuo]]</f>
        <v>351000</v>
      </c>
      <c r="L2720" t="str">
        <f>IF(ClientiBanca[[#This Row],[Reddito annuo]]&gt;=70000,"si","no")</f>
        <v>si</v>
      </c>
    </row>
    <row r="2721" spans="1:12">
      <c r="A2721">
        <v>102720</v>
      </c>
      <c r="B2721">
        <v>57</v>
      </c>
      <c r="C2721" s="2">
        <v>40500</v>
      </c>
      <c r="D2721" t="s">
        <v>21</v>
      </c>
      <c r="E2721" s="2">
        <v>0</v>
      </c>
      <c r="F2721" s="2">
        <v>0</v>
      </c>
      <c r="G2721" t="s">
        <v>19</v>
      </c>
      <c r="H2721" t="s">
        <v>14</v>
      </c>
      <c r="I2721" t="s">
        <v>18</v>
      </c>
      <c r="J2721" s="3">
        <v>45651</v>
      </c>
      <c r="K2721" s="4">
        <f>ClientiBanca[[#This Row],[Prestito]]+ClientiBanca[[#This Row],[Mutuo]]</f>
        <v>0</v>
      </c>
      <c r="L2721" t="str">
        <f>IF(ClientiBanca[[#This Row],[Reddito annuo]]&gt;=70000,"si","no")</f>
        <v>no</v>
      </c>
    </row>
    <row r="2722" spans="1:12">
      <c r="A2722">
        <v>102721</v>
      </c>
      <c r="B2722">
        <v>71</v>
      </c>
      <c r="C2722" s="2">
        <v>33800</v>
      </c>
      <c r="D2722" t="s">
        <v>12</v>
      </c>
      <c r="E2722" s="2">
        <v>14700</v>
      </c>
      <c r="F2722" s="2">
        <v>0</v>
      </c>
      <c r="G2722" t="s">
        <v>16</v>
      </c>
      <c r="H2722" t="s">
        <v>20</v>
      </c>
      <c r="I2722" t="s">
        <v>18</v>
      </c>
      <c r="J2722" s="3">
        <v>45661</v>
      </c>
      <c r="K2722" s="4">
        <f>ClientiBanca[[#This Row],[Prestito]]+ClientiBanca[[#This Row],[Mutuo]]</f>
        <v>14700</v>
      </c>
      <c r="L2722" t="str">
        <f>IF(ClientiBanca[[#This Row],[Reddito annuo]]&gt;=70000,"si","no")</f>
        <v>no</v>
      </c>
    </row>
    <row r="2723" spans="1:12">
      <c r="A2723">
        <v>102722</v>
      </c>
      <c r="B2723">
        <v>69</v>
      </c>
      <c r="C2723" s="2">
        <v>28800</v>
      </c>
      <c r="D2723" t="s">
        <v>12</v>
      </c>
      <c r="E2723" s="2">
        <v>22000</v>
      </c>
      <c r="F2723" s="2">
        <v>0</v>
      </c>
      <c r="G2723" t="s">
        <v>24</v>
      </c>
      <c r="H2723" t="s">
        <v>17</v>
      </c>
      <c r="I2723" t="s">
        <v>18</v>
      </c>
      <c r="J2723" s="3">
        <v>46147</v>
      </c>
      <c r="K2723" s="4">
        <f>ClientiBanca[[#This Row],[Prestito]]+ClientiBanca[[#This Row],[Mutuo]]</f>
        <v>22000</v>
      </c>
      <c r="L2723" t="str">
        <f>IF(ClientiBanca[[#This Row],[Reddito annuo]]&gt;=70000,"si","no")</f>
        <v>no</v>
      </c>
    </row>
    <row r="2724" spans="1:12">
      <c r="A2724">
        <v>102723</v>
      </c>
      <c r="B2724">
        <v>51</v>
      </c>
      <c r="C2724" s="2">
        <v>49900</v>
      </c>
      <c r="D2724" t="s">
        <v>21</v>
      </c>
      <c r="E2724" s="2">
        <v>20300</v>
      </c>
      <c r="F2724" s="2">
        <v>135000</v>
      </c>
      <c r="G2724" t="s">
        <v>23</v>
      </c>
      <c r="H2724" t="s">
        <v>20</v>
      </c>
      <c r="I2724" t="s">
        <v>18</v>
      </c>
      <c r="J2724" s="3">
        <v>46190</v>
      </c>
      <c r="K2724" s="4">
        <f>ClientiBanca[[#This Row],[Prestito]]+ClientiBanca[[#This Row],[Mutuo]]</f>
        <v>155300</v>
      </c>
      <c r="L2724" t="str">
        <f>IF(ClientiBanca[[#This Row],[Reddito annuo]]&gt;=70000,"si","no")</f>
        <v>no</v>
      </c>
    </row>
    <row r="2725" spans="1:12">
      <c r="A2725">
        <v>102724</v>
      </c>
      <c r="B2725">
        <v>29</v>
      </c>
      <c r="C2725" s="2">
        <v>49300</v>
      </c>
      <c r="D2725" t="s">
        <v>21</v>
      </c>
      <c r="E2725" s="2">
        <v>27900</v>
      </c>
      <c r="F2725" s="2">
        <v>0</v>
      </c>
      <c r="G2725" t="s">
        <v>28</v>
      </c>
      <c r="H2725" t="s">
        <v>20</v>
      </c>
      <c r="I2725" t="s">
        <v>18</v>
      </c>
      <c r="J2725" s="3">
        <v>45315</v>
      </c>
      <c r="K2725" s="4">
        <f>ClientiBanca[[#This Row],[Prestito]]+ClientiBanca[[#This Row],[Mutuo]]</f>
        <v>27900</v>
      </c>
      <c r="L2725" t="str">
        <f>IF(ClientiBanca[[#This Row],[Reddito annuo]]&gt;=70000,"si","no")</f>
        <v>no</v>
      </c>
    </row>
    <row r="2726" spans="1:12">
      <c r="A2726">
        <v>102725</v>
      </c>
      <c r="B2726">
        <v>45</v>
      </c>
      <c r="C2726" s="2">
        <v>72200</v>
      </c>
      <c r="D2726" t="s">
        <v>12</v>
      </c>
      <c r="E2726" s="2">
        <v>18000</v>
      </c>
      <c r="F2726" s="2">
        <v>147000</v>
      </c>
      <c r="G2726" t="s">
        <v>23</v>
      </c>
      <c r="H2726" t="s">
        <v>14</v>
      </c>
      <c r="I2726" t="s">
        <v>18</v>
      </c>
      <c r="J2726" s="3">
        <v>45308</v>
      </c>
      <c r="K2726" s="4">
        <f>ClientiBanca[[#This Row],[Prestito]]+ClientiBanca[[#This Row],[Mutuo]]</f>
        <v>165000</v>
      </c>
      <c r="L2726" t="str">
        <f>IF(ClientiBanca[[#This Row],[Reddito annuo]]&gt;=70000,"si","no")</f>
        <v>si</v>
      </c>
    </row>
    <row r="2727" spans="1:12">
      <c r="A2727">
        <v>102726</v>
      </c>
      <c r="B2727">
        <v>44</v>
      </c>
      <c r="C2727" s="2">
        <v>39300</v>
      </c>
      <c r="D2727" t="s">
        <v>21</v>
      </c>
      <c r="E2727" s="2">
        <v>0</v>
      </c>
      <c r="F2727" s="2">
        <v>0</v>
      </c>
      <c r="G2727" t="s">
        <v>23</v>
      </c>
      <c r="H2727" t="s">
        <v>20</v>
      </c>
      <c r="I2727" t="s">
        <v>18</v>
      </c>
      <c r="J2727" s="3">
        <v>45431</v>
      </c>
      <c r="K2727" s="4">
        <f>ClientiBanca[[#This Row],[Prestito]]+ClientiBanca[[#This Row],[Mutuo]]</f>
        <v>0</v>
      </c>
      <c r="L2727" t="str">
        <f>IF(ClientiBanca[[#This Row],[Reddito annuo]]&gt;=70000,"si","no")</f>
        <v>no</v>
      </c>
    </row>
    <row r="2728" spans="1:12">
      <c r="A2728">
        <v>102727</v>
      </c>
      <c r="B2728">
        <v>71</v>
      </c>
      <c r="C2728" s="2">
        <v>44700</v>
      </c>
      <c r="D2728" t="s">
        <v>21</v>
      </c>
      <c r="E2728" s="2">
        <v>47200</v>
      </c>
      <c r="F2728" s="2">
        <v>0</v>
      </c>
      <c r="G2728" t="s">
        <v>28</v>
      </c>
      <c r="H2728" t="s">
        <v>17</v>
      </c>
      <c r="I2728" t="s">
        <v>18</v>
      </c>
      <c r="J2728" s="3">
        <v>46103</v>
      </c>
      <c r="K2728" s="4">
        <f>ClientiBanca[[#This Row],[Prestito]]+ClientiBanca[[#This Row],[Mutuo]]</f>
        <v>47200</v>
      </c>
      <c r="L2728" t="str">
        <f>IF(ClientiBanca[[#This Row],[Reddito annuo]]&gt;=70000,"si","no")</f>
        <v>no</v>
      </c>
    </row>
    <row r="2729" spans="1:12">
      <c r="A2729">
        <v>102728</v>
      </c>
      <c r="B2729">
        <v>67</v>
      </c>
      <c r="C2729" s="2">
        <v>70000</v>
      </c>
      <c r="D2729" t="s">
        <v>22</v>
      </c>
      <c r="E2729" s="2">
        <v>24700</v>
      </c>
      <c r="F2729" s="2">
        <v>0</v>
      </c>
      <c r="G2729" t="s">
        <v>13</v>
      </c>
      <c r="H2729" t="s">
        <v>14</v>
      </c>
      <c r="I2729" t="s">
        <v>18</v>
      </c>
      <c r="J2729" s="3">
        <v>45604</v>
      </c>
      <c r="K2729" s="4">
        <f>ClientiBanca[[#This Row],[Prestito]]+ClientiBanca[[#This Row],[Mutuo]]</f>
        <v>24700</v>
      </c>
      <c r="L2729" t="str">
        <f>IF(ClientiBanca[[#This Row],[Reddito annuo]]&gt;=70000,"si","no")</f>
        <v>si</v>
      </c>
    </row>
    <row r="2730" spans="1:12">
      <c r="A2730">
        <v>102729</v>
      </c>
      <c r="B2730">
        <v>45</v>
      </c>
      <c r="C2730" s="2">
        <v>106900</v>
      </c>
      <c r="D2730" t="s">
        <v>22</v>
      </c>
      <c r="E2730" s="2">
        <v>28800</v>
      </c>
      <c r="F2730" s="2">
        <v>0</v>
      </c>
      <c r="G2730" t="s">
        <v>28</v>
      </c>
      <c r="H2730" t="s">
        <v>20</v>
      </c>
      <c r="I2730" t="s">
        <v>18</v>
      </c>
      <c r="J2730" s="3">
        <v>45847</v>
      </c>
      <c r="K2730" s="4">
        <f>ClientiBanca[[#This Row],[Prestito]]+ClientiBanca[[#This Row],[Mutuo]]</f>
        <v>28800</v>
      </c>
      <c r="L2730" t="str">
        <f>IF(ClientiBanca[[#This Row],[Reddito annuo]]&gt;=70000,"si","no")</f>
        <v>si</v>
      </c>
    </row>
    <row r="2731" spans="1:12">
      <c r="A2731">
        <v>102730</v>
      </c>
      <c r="B2731">
        <v>51</v>
      </c>
      <c r="C2731" s="2">
        <v>84400</v>
      </c>
      <c r="D2731" t="s">
        <v>21</v>
      </c>
      <c r="E2731" s="2">
        <v>70500</v>
      </c>
      <c r="F2731" s="2">
        <v>174000</v>
      </c>
      <c r="G2731" t="s">
        <v>13</v>
      </c>
      <c r="H2731" t="s">
        <v>20</v>
      </c>
      <c r="I2731" t="s">
        <v>18</v>
      </c>
      <c r="J2731" s="3">
        <v>46209</v>
      </c>
      <c r="K2731" s="4">
        <f>ClientiBanca[[#This Row],[Prestito]]+ClientiBanca[[#This Row],[Mutuo]]</f>
        <v>244500</v>
      </c>
      <c r="L2731" t="str">
        <f>IF(ClientiBanca[[#This Row],[Reddito annuo]]&gt;=70000,"si","no")</f>
        <v>si</v>
      </c>
    </row>
    <row r="2732" spans="1:12">
      <c r="A2732">
        <v>102731</v>
      </c>
      <c r="B2732">
        <v>55</v>
      </c>
      <c r="C2732" s="2">
        <v>114400</v>
      </c>
      <c r="D2732" t="s">
        <v>12</v>
      </c>
      <c r="E2732" s="2">
        <v>68600</v>
      </c>
      <c r="F2732" s="2">
        <v>0</v>
      </c>
      <c r="G2732" t="s">
        <v>26</v>
      </c>
      <c r="H2732" t="s">
        <v>17</v>
      </c>
      <c r="I2732" t="s">
        <v>18</v>
      </c>
      <c r="J2732" s="3">
        <v>45867</v>
      </c>
      <c r="K2732" s="4">
        <f>ClientiBanca[[#This Row],[Prestito]]+ClientiBanca[[#This Row],[Mutuo]]</f>
        <v>68600</v>
      </c>
      <c r="L2732" t="str">
        <f>IF(ClientiBanca[[#This Row],[Reddito annuo]]&gt;=70000,"si","no")</f>
        <v>si</v>
      </c>
    </row>
    <row r="2733" spans="1:12">
      <c r="A2733">
        <v>102732</v>
      </c>
      <c r="B2733">
        <v>67</v>
      </c>
      <c r="C2733" s="2">
        <v>92300</v>
      </c>
      <c r="D2733" t="s">
        <v>12</v>
      </c>
      <c r="E2733" s="2">
        <v>0</v>
      </c>
      <c r="F2733" s="2">
        <v>0</v>
      </c>
      <c r="G2733" t="s">
        <v>16</v>
      </c>
      <c r="H2733" t="s">
        <v>17</v>
      </c>
      <c r="I2733" t="s">
        <v>18</v>
      </c>
      <c r="J2733" s="3">
        <v>46167</v>
      </c>
      <c r="K2733" s="4">
        <f>ClientiBanca[[#This Row],[Prestito]]+ClientiBanca[[#This Row],[Mutuo]]</f>
        <v>0</v>
      </c>
      <c r="L2733" t="str">
        <f>IF(ClientiBanca[[#This Row],[Reddito annuo]]&gt;=70000,"si","no")</f>
        <v>si</v>
      </c>
    </row>
    <row r="2734" spans="1:12">
      <c r="A2734">
        <v>102733</v>
      </c>
      <c r="B2734">
        <v>46</v>
      </c>
      <c r="C2734" s="2">
        <v>89300</v>
      </c>
      <c r="D2734" t="s">
        <v>21</v>
      </c>
      <c r="E2734" s="2">
        <v>0</v>
      </c>
      <c r="F2734" s="2">
        <v>0</v>
      </c>
      <c r="G2734" t="s">
        <v>19</v>
      </c>
      <c r="H2734" t="s">
        <v>20</v>
      </c>
      <c r="I2734" t="s">
        <v>18</v>
      </c>
      <c r="J2734" s="3">
        <v>45322</v>
      </c>
      <c r="K2734" s="4">
        <f>ClientiBanca[[#This Row],[Prestito]]+ClientiBanca[[#This Row],[Mutuo]]</f>
        <v>0</v>
      </c>
      <c r="L2734" t="str">
        <f>IF(ClientiBanca[[#This Row],[Reddito annuo]]&gt;=70000,"si","no")</f>
        <v>si</v>
      </c>
    </row>
    <row r="2735" spans="1:12">
      <c r="A2735">
        <v>102734</v>
      </c>
      <c r="B2735">
        <v>75</v>
      </c>
      <c r="C2735" s="2">
        <v>72400</v>
      </c>
      <c r="D2735" t="s">
        <v>21</v>
      </c>
      <c r="E2735" s="2">
        <v>32100</v>
      </c>
      <c r="F2735" s="2">
        <v>0</v>
      </c>
      <c r="G2735" t="s">
        <v>26</v>
      </c>
      <c r="H2735" t="s">
        <v>20</v>
      </c>
      <c r="I2735" t="s">
        <v>18</v>
      </c>
      <c r="J2735" s="3">
        <v>45958</v>
      </c>
      <c r="K2735" s="4">
        <f>ClientiBanca[[#This Row],[Prestito]]+ClientiBanca[[#This Row],[Mutuo]]</f>
        <v>32100</v>
      </c>
      <c r="L2735" t="str">
        <f>IF(ClientiBanca[[#This Row],[Reddito annuo]]&gt;=70000,"si","no")</f>
        <v>si</v>
      </c>
    </row>
    <row r="2736" spans="1:12">
      <c r="A2736">
        <v>102735</v>
      </c>
      <c r="B2736">
        <v>46</v>
      </c>
      <c r="C2736" s="2">
        <v>82500</v>
      </c>
      <c r="D2736" t="s">
        <v>12</v>
      </c>
      <c r="E2736" s="2">
        <v>57100</v>
      </c>
      <c r="F2736" s="2">
        <v>158000</v>
      </c>
      <c r="G2736" t="s">
        <v>16</v>
      </c>
      <c r="H2736" t="s">
        <v>25</v>
      </c>
      <c r="I2736" t="s">
        <v>18</v>
      </c>
      <c r="J2736" s="3">
        <v>46179</v>
      </c>
      <c r="K2736" s="4">
        <f>ClientiBanca[[#This Row],[Prestito]]+ClientiBanca[[#This Row],[Mutuo]]</f>
        <v>215100</v>
      </c>
      <c r="L2736" t="str">
        <f>IF(ClientiBanca[[#This Row],[Reddito annuo]]&gt;=70000,"si","no")</f>
        <v>si</v>
      </c>
    </row>
    <row r="2737" spans="1:12">
      <c r="A2737">
        <v>102736</v>
      </c>
      <c r="B2737">
        <v>54</v>
      </c>
      <c r="C2737" s="2">
        <v>27200</v>
      </c>
      <c r="D2737" t="s">
        <v>21</v>
      </c>
      <c r="E2737" s="2">
        <v>0</v>
      </c>
      <c r="F2737" s="2">
        <v>0</v>
      </c>
      <c r="G2737" t="s">
        <v>27</v>
      </c>
      <c r="H2737" t="s">
        <v>17</v>
      </c>
      <c r="I2737" t="s">
        <v>18</v>
      </c>
      <c r="J2737" s="3">
        <v>46030</v>
      </c>
      <c r="K2737" s="4">
        <f>ClientiBanca[[#This Row],[Prestito]]+ClientiBanca[[#This Row],[Mutuo]]</f>
        <v>0</v>
      </c>
      <c r="L2737" t="str">
        <f>IF(ClientiBanca[[#This Row],[Reddito annuo]]&gt;=70000,"si","no")</f>
        <v>no</v>
      </c>
    </row>
    <row r="2738" spans="1:12">
      <c r="A2738">
        <v>102737</v>
      </c>
      <c r="B2738">
        <v>22</v>
      </c>
      <c r="C2738" s="2">
        <v>66900</v>
      </c>
      <c r="D2738" t="s">
        <v>12</v>
      </c>
      <c r="E2738" s="2">
        <v>17300</v>
      </c>
      <c r="F2738" s="2">
        <v>0</v>
      </c>
      <c r="G2738" t="s">
        <v>27</v>
      </c>
      <c r="H2738" t="s">
        <v>17</v>
      </c>
      <c r="I2738" t="s">
        <v>18</v>
      </c>
      <c r="J2738" s="3">
        <v>46231</v>
      </c>
      <c r="K2738" s="4">
        <f>ClientiBanca[[#This Row],[Prestito]]+ClientiBanca[[#This Row],[Mutuo]]</f>
        <v>17300</v>
      </c>
      <c r="L2738" t="str">
        <f>IF(ClientiBanca[[#This Row],[Reddito annuo]]&gt;=70000,"si","no")</f>
        <v>no</v>
      </c>
    </row>
    <row r="2739" spans="1:12">
      <c r="A2739">
        <v>102738</v>
      </c>
      <c r="B2739">
        <v>68</v>
      </c>
      <c r="C2739" s="2">
        <v>67500</v>
      </c>
      <c r="D2739" t="s">
        <v>21</v>
      </c>
      <c r="E2739" s="2">
        <v>31900</v>
      </c>
      <c r="F2739" s="2">
        <v>0</v>
      </c>
      <c r="G2739" t="s">
        <v>28</v>
      </c>
      <c r="H2739" t="s">
        <v>14</v>
      </c>
      <c r="I2739" t="s">
        <v>18</v>
      </c>
      <c r="J2739" s="3">
        <v>45896</v>
      </c>
      <c r="K2739" s="4">
        <f>ClientiBanca[[#This Row],[Prestito]]+ClientiBanca[[#This Row],[Mutuo]]</f>
        <v>31900</v>
      </c>
      <c r="L2739" t="str">
        <f>IF(ClientiBanca[[#This Row],[Reddito annuo]]&gt;=70000,"si","no")</f>
        <v>no</v>
      </c>
    </row>
    <row r="2740" spans="1:12">
      <c r="A2740">
        <v>102739</v>
      </c>
      <c r="B2740">
        <v>40</v>
      </c>
      <c r="C2740" s="2">
        <v>45200</v>
      </c>
      <c r="D2740" t="s">
        <v>12</v>
      </c>
      <c r="E2740" s="2">
        <v>41500</v>
      </c>
      <c r="F2740" s="2">
        <v>0</v>
      </c>
      <c r="G2740" t="s">
        <v>23</v>
      </c>
      <c r="H2740" t="s">
        <v>17</v>
      </c>
      <c r="I2740" t="s">
        <v>15</v>
      </c>
      <c r="J2740" s="3">
        <v>45723</v>
      </c>
      <c r="K2740" s="4">
        <f>ClientiBanca[[#This Row],[Prestito]]+ClientiBanca[[#This Row],[Mutuo]]</f>
        <v>41500</v>
      </c>
      <c r="L2740" t="str">
        <f>IF(ClientiBanca[[#This Row],[Reddito annuo]]&gt;=70000,"si","no")</f>
        <v>no</v>
      </c>
    </row>
    <row r="2741" spans="1:12">
      <c r="A2741">
        <v>102740</v>
      </c>
      <c r="B2741">
        <v>28</v>
      </c>
      <c r="C2741" s="2">
        <v>49000</v>
      </c>
      <c r="D2741" t="s">
        <v>22</v>
      </c>
      <c r="E2741" s="2">
        <v>9400</v>
      </c>
      <c r="F2741" s="2">
        <v>255000</v>
      </c>
      <c r="G2741" t="s">
        <v>27</v>
      </c>
      <c r="H2741" t="s">
        <v>20</v>
      </c>
      <c r="I2741" t="s">
        <v>18</v>
      </c>
      <c r="J2741" s="3">
        <v>45965</v>
      </c>
      <c r="K2741" s="4">
        <f>ClientiBanca[[#This Row],[Prestito]]+ClientiBanca[[#This Row],[Mutuo]]</f>
        <v>264400</v>
      </c>
      <c r="L2741" t="str">
        <f>IF(ClientiBanca[[#This Row],[Reddito annuo]]&gt;=70000,"si","no")</f>
        <v>no</v>
      </c>
    </row>
    <row r="2742" spans="1:12">
      <c r="A2742">
        <v>102741</v>
      </c>
      <c r="B2742">
        <v>31</v>
      </c>
      <c r="C2742" s="2">
        <v>110000</v>
      </c>
      <c r="D2742" t="s">
        <v>21</v>
      </c>
      <c r="E2742" s="2">
        <v>20000</v>
      </c>
      <c r="F2742" s="2">
        <v>329000</v>
      </c>
      <c r="G2742" t="s">
        <v>26</v>
      </c>
      <c r="H2742" t="s">
        <v>17</v>
      </c>
      <c r="I2742" t="s">
        <v>18</v>
      </c>
      <c r="J2742" s="3">
        <v>45992</v>
      </c>
      <c r="K2742" s="4">
        <f>ClientiBanca[[#This Row],[Prestito]]+ClientiBanca[[#This Row],[Mutuo]]</f>
        <v>349000</v>
      </c>
      <c r="L2742" t="str">
        <f>IF(ClientiBanca[[#This Row],[Reddito annuo]]&gt;=70000,"si","no")</f>
        <v>si</v>
      </c>
    </row>
    <row r="2743" spans="1:12">
      <c r="A2743">
        <v>102742</v>
      </c>
      <c r="B2743">
        <v>34</v>
      </c>
      <c r="C2743" s="2">
        <v>88400</v>
      </c>
      <c r="D2743" t="s">
        <v>12</v>
      </c>
      <c r="E2743" s="2">
        <v>57400</v>
      </c>
      <c r="F2743" s="2">
        <v>0</v>
      </c>
      <c r="G2743" t="s">
        <v>13</v>
      </c>
      <c r="H2743" t="s">
        <v>17</v>
      </c>
      <c r="I2743" t="s">
        <v>18</v>
      </c>
      <c r="J2743" s="3">
        <v>45394</v>
      </c>
      <c r="K2743" s="4">
        <f>ClientiBanca[[#This Row],[Prestito]]+ClientiBanca[[#This Row],[Mutuo]]</f>
        <v>57400</v>
      </c>
      <c r="L2743" t="str">
        <f>IF(ClientiBanca[[#This Row],[Reddito annuo]]&gt;=70000,"si","no")</f>
        <v>si</v>
      </c>
    </row>
    <row r="2744" spans="1:12">
      <c r="A2744">
        <v>102743</v>
      </c>
      <c r="B2744">
        <v>27</v>
      </c>
      <c r="C2744" s="2">
        <v>37600</v>
      </c>
      <c r="D2744" t="s">
        <v>12</v>
      </c>
      <c r="E2744" s="2">
        <v>22200</v>
      </c>
      <c r="F2744" s="2">
        <v>0</v>
      </c>
      <c r="G2744" t="s">
        <v>16</v>
      </c>
      <c r="H2744" t="s">
        <v>17</v>
      </c>
      <c r="I2744" t="s">
        <v>18</v>
      </c>
      <c r="J2744" s="3">
        <v>46128</v>
      </c>
      <c r="K2744" s="4">
        <f>ClientiBanca[[#This Row],[Prestito]]+ClientiBanca[[#This Row],[Mutuo]]</f>
        <v>22200</v>
      </c>
      <c r="L2744" t="str">
        <f>IF(ClientiBanca[[#This Row],[Reddito annuo]]&gt;=70000,"si","no")</f>
        <v>no</v>
      </c>
    </row>
    <row r="2745" spans="1:12">
      <c r="A2745">
        <v>102744</v>
      </c>
      <c r="B2745">
        <v>36</v>
      </c>
      <c r="C2745" s="2">
        <v>38000</v>
      </c>
      <c r="D2745" t="s">
        <v>21</v>
      </c>
      <c r="E2745" s="2">
        <v>47500</v>
      </c>
      <c r="F2745" s="2">
        <v>0</v>
      </c>
      <c r="G2745" t="s">
        <v>19</v>
      </c>
      <c r="H2745" t="s">
        <v>20</v>
      </c>
      <c r="I2745" t="s">
        <v>18</v>
      </c>
      <c r="J2745" s="3">
        <v>45664</v>
      </c>
      <c r="K2745" s="4">
        <f>ClientiBanca[[#This Row],[Prestito]]+ClientiBanca[[#This Row],[Mutuo]]</f>
        <v>47500</v>
      </c>
      <c r="L2745" t="str">
        <f>IF(ClientiBanca[[#This Row],[Reddito annuo]]&gt;=70000,"si","no")</f>
        <v>no</v>
      </c>
    </row>
    <row r="2746" spans="1:12">
      <c r="A2746">
        <v>102745</v>
      </c>
      <c r="B2746">
        <v>51</v>
      </c>
      <c r="C2746" s="2">
        <v>42500</v>
      </c>
      <c r="D2746" t="s">
        <v>21</v>
      </c>
      <c r="E2746" s="2">
        <v>25800</v>
      </c>
      <c r="F2746" s="2">
        <v>0</v>
      </c>
      <c r="G2746" t="s">
        <v>13</v>
      </c>
      <c r="H2746" t="s">
        <v>17</v>
      </c>
      <c r="I2746" t="s">
        <v>18</v>
      </c>
      <c r="J2746" s="3">
        <v>45333</v>
      </c>
      <c r="K2746" s="4">
        <f>ClientiBanca[[#This Row],[Prestito]]+ClientiBanca[[#This Row],[Mutuo]]</f>
        <v>25800</v>
      </c>
      <c r="L2746" t="str">
        <f>IF(ClientiBanca[[#This Row],[Reddito annuo]]&gt;=70000,"si","no")</f>
        <v>no</v>
      </c>
    </row>
    <row r="2747" spans="1:12">
      <c r="A2747">
        <v>102746</v>
      </c>
      <c r="B2747">
        <v>71</v>
      </c>
      <c r="C2747" s="2">
        <v>67500</v>
      </c>
      <c r="D2747" t="s">
        <v>22</v>
      </c>
      <c r="E2747" s="2">
        <v>20200</v>
      </c>
      <c r="F2747" s="2">
        <v>203000</v>
      </c>
      <c r="G2747" t="s">
        <v>26</v>
      </c>
      <c r="H2747" t="s">
        <v>17</v>
      </c>
      <c r="I2747" t="s">
        <v>18</v>
      </c>
      <c r="J2747" s="3">
        <v>46065</v>
      </c>
      <c r="K2747" s="4">
        <f>ClientiBanca[[#This Row],[Prestito]]+ClientiBanca[[#This Row],[Mutuo]]</f>
        <v>223200</v>
      </c>
      <c r="L2747" t="str">
        <f>IF(ClientiBanca[[#This Row],[Reddito annuo]]&gt;=70000,"si","no")</f>
        <v>no</v>
      </c>
    </row>
    <row r="2748" spans="1:12">
      <c r="A2748">
        <v>102747</v>
      </c>
      <c r="B2748">
        <v>63</v>
      </c>
      <c r="C2748" s="2">
        <v>42300</v>
      </c>
      <c r="D2748" t="s">
        <v>21</v>
      </c>
      <c r="E2748" s="2">
        <v>51400</v>
      </c>
      <c r="F2748" s="2">
        <v>0</v>
      </c>
      <c r="G2748" t="s">
        <v>24</v>
      </c>
      <c r="H2748" t="s">
        <v>14</v>
      </c>
      <c r="I2748" t="s">
        <v>15</v>
      </c>
      <c r="J2748" s="3">
        <v>45758</v>
      </c>
      <c r="K2748" s="4">
        <f>ClientiBanca[[#This Row],[Prestito]]+ClientiBanca[[#This Row],[Mutuo]]</f>
        <v>51400</v>
      </c>
      <c r="L2748" t="str">
        <f>IF(ClientiBanca[[#This Row],[Reddito annuo]]&gt;=70000,"si","no")</f>
        <v>no</v>
      </c>
    </row>
    <row r="2749" spans="1:12">
      <c r="A2749">
        <v>102748</v>
      </c>
      <c r="B2749">
        <v>32</v>
      </c>
      <c r="C2749" s="2">
        <v>43900</v>
      </c>
      <c r="D2749" t="s">
        <v>21</v>
      </c>
      <c r="E2749" s="2">
        <v>54900</v>
      </c>
      <c r="F2749" s="2">
        <v>0</v>
      </c>
      <c r="G2749" t="s">
        <v>19</v>
      </c>
      <c r="H2749" t="s">
        <v>14</v>
      </c>
      <c r="I2749" t="s">
        <v>18</v>
      </c>
      <c r="J2749" s="3">
        <v>45725</v>
      </c>
      <c r="K2749" s="4">
        <f>ClientiBanca[[#This Row],[Prestito]]+ClientiBanca[[#This Row],[Mutuo]]</f>
        <v>54900</v>
      </c>
      <c r="L2749" t="str">
        <f>IF(ClientiBanca[[#This Row],[Reddito annuo]]&gt;=70000,"si","no")</f>
        <v>no</v>
      </c>
    </row>
    <row r="2750" spans="1:12">
      <c r="A2750">
        <v>102749</v>
      </c>
      <c r="B2750">
        <v>66</v>
      </c>
      <c r="C2750" s="2">
        <v>77600</v>
      </c>
      <c r="D2750" t="s">
        <v>22</v>
      </c>
      <c r="E2750" s="2">
        <v>29700</v>
      </c>
      <c r="F2750" s="2">
        <v>0</v>
      </c>
      <c r="G2750" t="s">
        <v>24</v>
      </c>
      <c r="H2750" t="s">
        <v>17</v>
      </c>
      <c r="I2750" t="s">
        <v>15</v>
      </c>
      <c r="J2750" s="3">
        <v>45555</v>
      </c>
      <c r="K2750" s="4">
        <f>ClientiBanca[[#This Row],[Prestito]]+ClientiBanca[[#This Row],[Mutuo]]</f>
        <v>29700</v>
      </c>
      <c r="L2750" t="str">
        <f>IF(ClientiBanca[[#This Row],[Reddito annuo]]&gt;=70000,"si","no")</f>
        <v>si</v>
      </c>
    </row>
    <row r="2751" spans="1:12">
      <c r="A2751">
        <v>102750</v>
      </c>
      <c r="B2751">
        <v>53</v>
      </c>
      <c r="C2751" s="2">
        <v>35800</v>
      </c>
      <c r="D2751" t="s">
        <v>22</v>
      </c>
      <c r="E2751" s="2">
        <v>27900</v>
      </c>
      <c r="F2751" s="2">
        <v>235000</v>
      </c>
      <c r="G2751" t="s">
        <v>27</v>
      </c>
      <c r="H2751" t="s">
        <v>17</v>
      </c>
      <c r="I2751" t="s">
        <v>18</v>
      </c>
      <c r="J2751" s="3">
        <v>45909</v>
      </c>
      <c r="K2751" s="4">
        <f>ClientiBanca[[#This Row],[Prestito]]+ClientiBanca[[#This Row],[Mutuo]]</f>
        <v>262900</v>
      </c>
      <c r="L2751" t="str">
        <f>IF(ClientiBanca[[#This Row],[Reddito annuo]]&gt;=70000,"si","no")</f>
        <v>no</v>
      </c>
    </row>
    <row r="2752" spans="1:12">
      <c r="A2752">
        <v>102751</v>
      </c>
      <c r="B2752">
        <v>73</v>
      </c>
      <c r="C2752" s="2">
        <v>55100</v>
      </c>
      <c r="D2752" t="s">
        <v>21</v>
      </c>
      <c r="E2752" s="2">
        <v>0</v>
      </c>
      <c r="F2752" s="2">
        <v>0</v>
      </c>
      <c r="G2752" t="s">
        <v>19</v>
      </c>
      <c r="H2752" t="s">
        <v>25</v>
      </c>
      <c r="I2752" t="s">
        <v>18</v>
      </c>
      <c r="J2752" s="3">
        <v>45738</v>
      </c>
      <c r="K2752" s="4">
        <f>ClientiBanca[[#This Row],[Prestito]]+ClientiBanca[[#This Row],[Mutuo]]</f>
        <v>0</v>
      </c>
      <c r="L2752" t="str">
        <f>IF(ClientiBanca[[#This Row],[Reddito annuo]]&gt;=70000,"si","no")</f>
        <v>no</v>
      </c>
    </row>
    <row r="2753" spans="1:12">
      <c r="A2753">
        <v>102752</v>
      </c>
      <c r="B2753">
        <v>67</v>
      </c>
      <c r="C2753" s="2">
        <v>59400</v>
      </c>
      <c r="D2753" t="s">
        <v>21</v>
      </c>
      <c r="E2753" s="2">
        <v>47300</v>
      </c>
      <c r="F2753" s="2">
        <v>0</v>
      </c>
      <c r="G2753" t="s">
        <v>24</v>
      </c>
      <c r="H2753" t="s">
        <v>14</v>
      </c>
      <c r="I2753" t="s">
        <v>18</v>
      </c>
      <c r="J2753" s="3">
        <v>45985</v>
      </c>
      <c r="K2753" s="4">
        <f>ClientiBanca[[#This Row],[Prestito]]+ClientiBanca[[#This Row],[Mutuo]]</f>
        <v>47300</v>
      </c>
      <c r="L2753" t="str">
        <f>IF(ClientiBanca[[#This Row],[Reddito annuo]]&gt;=70000,"si","no")</f>
        <v>no</v>
      </c>
    </row>
    <row r="2754" spans="1:12">
      <c r="A2754">
        <v>102753</v>
      </c>
      <c r="B2754">
        <v>65</v>
      </c>
      <c r="C2754" s="2">
        <v>77800</v>
      </c>
      <c r="D2754" t="s">
        <v>21</v>
      </c>
      <c r="E2754" s="2">
        <v>13900</v>
      </c>
      <c r="F2754" s="2">
        <v>273000</v>
      </c>
      <c r="G2754" t="s">
        <v>26</v>
      </c>
      <c r="H2754" t="s">
        <v>17</v>
      </c>
      <c r="I2754" t="s">
        <v>18</v>
      </c>
      <c r="J2754" s="3">
        <v>45835</v>
      </c>
      <c r="K2754" s="4">
        <f>ClientiBanca[[#This Row],[Prestito]]+ClientiBanca[[#This Row],[Mutuo]]</f>
        <v>286900</v>
      </c>
      <c r="L2754" t="str">
        <f>IF(ClientiBanca[[#This Row],[Reddito annuo]]&gt;=70000,"si","no")</f>
        <v>si</v>
      </c>
    </row>
    <row r="2755" spans="1:12">
      <c r="A2755">
        <v>102754</v>
      </c>
      <c r="B2755">
        <v>55</v>
      </c>
      <c r="C2755" s="2">
        <v>62000</v>
      </c>
      <c r="D2755" t="s">
        <v>21</v>
      </c>
      <c r="E2755" s="2">
        <v>59200</v>
      </c>
      <c r="F2755" s="2">
        <v>167000</v>
      </c>
      <c r="G2755" t="s">
        <v>24</v>
      </c>
      <c r="H2755" t="s">
        <v>20</v>
      </c>
      <c r="I2755" t="s">
        <v>18</v>
      </c>
      <c r="J2755" s="3">
        <v>46127</v>
      </c>
      <c r="K2755" s="4">
        <f>ClientiBanca[[#This Row],[Prestito]]+ClientiBanca[[#This Row],[Mutuo]]</f>
        <v>226200</v>
      </c>
      <c r="L2755" t="str">
        <f>IF(ClientiBanca[[#This Row],[Reddito annuo]]&gt;=70000,"si","no")</f>
        <v>no</v>
      </c>
    </row>
    <row r="2756" spans="1:12">
      <c r="A2756">
        <v>102755</v>
      </c>
      <c r="B2756">
        <v>35</v>
      </c>
      <c r="C2756" s="2">
        <v>53100</v>
      </c>
      <c r="D2756" t="s">
        <v>21</v>
      </c>
      <c r="E2756" s="2">
        <v>0</v>
      </c>
      <c r="F2756" s="2">
        <v>143000</v>
      </c>
      <c r="G2756" t="s">
        <v>23</v>
      </c>
      <c r="H2756" t="s">
        <v>20</v>
      </c>
      <c r="I2756" t="s">
        <v>18</v>
      </c>
      <c r="J2756" s="3">
        <v>45553</v>
      </c>
      <c r="K2756" s="4">
        <f>ClientiBanca[[#This Row],[Prestito]]+ClientiBanca[[#This Row],[Mutuo]]</f>
        <v>143000</v>
      </c>
      <c r="L2756" t="str">
        <f>IF(ClientiBanca[[#This Row],[Reddito annuo]]&gt;=70000,"si","no")</f>
        <v>no</v>
      </c>
    </row>
    <row r="2757" spans="1:12">
      <c r="A2757">
        <v>102756</v>
      </c>
      <c r="B2757">
        <v>28</v>
      </c>
      <c r="C2757" s="2">
        <v>57800</v>
      </c>
      <c r="D2757" t="s">
        <v>12</v>
      </c>
      <c r="E2757" s="2">
        <v>31900</v>
      </c>
      <c r="F2757" s="2">
        <v>0</v>
      </c>
      <c r="G2757" t="s">
        <v>13</v>
      </c>
      <c r="H2757" t="s">
        <v>20</v>
      </c>
      <c r="I2757" t="s">
        <v>18</v>
      </c>
      <c r="J2757" s="3">
        <v>45896</v>
      </c>
      <c r="K2757" s="4">
        <f>ClientiBanca[[#This Row],[Prestito]]+ClientiBanca[[#This Row],[Mutuo]]</f>
        <v>31900</v>
      </c>
      <c r="L2757" t="str">
        <f>IF(ClientiBanca[[#This Row],[Reddito annuo]]&gt;=70000,"si","no")</f>
        <v>no</v>
      </c>
    </row>
    <row r="2758" spans="1:12">
      <c r="A2758">
        <v>102757</v>
      </c>
      <c r="B2758">
        <v>21</v>
      </c>
      <c r="C2758" s="2">
        <v>80200</v>
      </c>
      <c r="D2758" t="s">
        <v>12</v>
      </c>
      <c r="E2758" s="2">
        <v>12900</v>
      </c>
      <c r="F2758" s="2">
        <v>0</v>
      </c>
      <c r="G2758" t="s">
        <v>23</v>
      </c>
      <c r="H2758" t="s">
        <v>17</v>
      </c>
      <c r="I2758" t="s">
        <v>18</v>
      </c>
      <c r="J2758" s="3">
        <v>46196</v>
      </c>
      <c r="K2758" s="4">
        <f>ClientiBanca[[#This Row],[Prestito]]+ClientiBanca[[#This Row],[Mutuo]]</f>
        <v>12900</v>
      </c>
      <c r="L2758" t="str">
        <f>IF(ClientiBanca[[#This Row],[Reddito annuo]]&gt;=70000,"si","no")</f>
        <v>si</v>
      </c>
    </row>
    <row r="2759" spans="1:12">
      <c r="A2759">
        <v>102758</v>
      </c>
      <c r="B2759">
        <v>59</v>
      </c>
      <c r="C2759" s="2">
        <v>51400</v>
      </c>
      <c r="D2759" t="s">
        <v>22</v>
      </c>
      <c r="E2759" s="2">
        <v>9300</v>
      </c>
      <c r="F2759" s="2">
        <v>0</v>
      </c>
      <c r="G2759" t="s">
        <v>24</v>
      </c>
      <c r="H2759" t="s">
        <v>17</v>
      </c>
      <c r="I2759" t="s">
        <v>18</v>
      </c>
      <c r="J2759" s="3">
        <v>45787</v>
      </c>
      <c r="K2759" s="4">
        <f>ClientiBanca[[#This Row],[Prestito]]+ClientiBanca[[#This Row],[Mutuo]]</f>
        <v>9300</v>
      </c>
      <c r="L2759" t="str">
        <f>IF(ClientiBanca[[#This Row],[Reddito annuo]]&gt;=70000,"si","no")</f>
        <v>no</v>
      </c>
    </row>
    <row r="2760" spans="1:12">
      <c r="A2760">
        <v>102759</v>
      </c>
      <c r="B2760">
        <v>27</v>
      </c>
      <c r="C2760" s="2">
        <v>73700</v>
      </c>
      <c r="D2760" t="s">
        <v>21</v>
      </c>
      <c r="E2760" s="2">
        <v>16400</v>
      </c>
      <c r="F2760" s="2">
        <v>0</v>
      </c>
      <c r="G2760" t="s">
        <v>28</v>
      </c>
      <c r="H2760" t="s">
        <v>17</v>
      </c>
      <c r="I2760" t="s">
        <v>18</v>
      </c>
      <c r="J2760" s="3">
        <v>46093</v>
      </c>
      <c r="K2760" s="4">
        <f>ClientiBanca[[#This Row],[Prestito]]+ClientiBanca[[#This Row],[Mutuo]]</f>
        <v>16400</v>
      </c>
      <c r="L2760" t="str">
        <f>IF(ClientiBanca[[#This Row],[Reddito annuo]]&gt;=70000,"si","no")</f>
        <v>si</v>
      </c>
    </row>
    <row r="2761" spans="1:12">
      <c r="A2761">
        <v>102760</v>
      </c>
      <c r="B2761">
        <v>41</v>
      </c>
      <c r="C2761" s="2">
        <v>86600</v>
      </c>
      <c r="D2761" t="s">
        <v>22</v>
      </c>
      <c r="E2761" s="2">
        <v>17100</v>
      </c>
      <c r="F2761" s="2">
        <v>193000</v>
      </c>
      <c r="G2761" t="s">
        <v>13</v>
      </c>
      <c r="H2761" t="s">
        <v>17</v>
      </c>
      <c r="I2761" t="s">
        <v>18</v>
      </c>
      <c r="J2761" s="3">
        <v>45792</v>
      </c>
      <c r="K2761" s="4">
        <f>ClientiBanca[[#This Row],[Prestito]]+ClientiBanca[[#This Row],[Mutuo]]</f>
        <v>210100</v>
      </c>
      <c r="L2761" t="str">
        <f>IF(ClientiBanca[[#This Row],[Reddito annuo]]&gt;=70000,"si","no")</f>
        <v>si</v>
      </c>
    </row>
    <row r="2762" spans="1:12">
      <c r="A2762">
        <v>102761</v>
      </c>
      <c r="B2762">
        <v>34</v>
      </c>
      <c r="C2762" s="2">
        <v>87900</v>
      </c>
      <c r="D2762" t="s">
        <v>21</v>
      </c>
      <c r="E2762" s="2">
        <v>36600</v>
      </c>
      <c r="F2762" s="2">
        <v>0</v>
      </c>
      <c r="G2762" t="s">
        <v>13</v>
      </c>
      <c r="H2762" t="s">
        <v>17</v>
      </c>
      <c r="I2762" t="s">
        <v>18</v>
      </c>
      <c r="J2762" s="3">
        <v>45987</v>
      </c>
      <c r="K2762" s="4">
        <f>ClientiBanca[[#This Row],[Prestito]]+ClientiBanca[[#This Row],[Mutuo]]</f>
        <v>36600</v>
      </c>
      <c r="L2762" t="str">
        <f>IF(ClientiBanca[[#This Row],[Reddito annuo]]&gt;=70000,"si","no")</f>
        <v>si</v>
      </c>
    </row>
    <row r="2763" spans="1:12">
      <c r="A2763">
        <v>102762</v>
      </c>
      <c r="B2763">
        <v>49</v>
      </c>
      <c r="C2763" s="2">
        <v>55400</v>
      </c>
      <c r="D2763" t="s">
        <v>21</v>
      </c>
      <c r="E2763" s="2">
        <v>0</v>
      </c>
      <c r="F2763" s="2">
        <v>0</v>
      </c>
      <c r="G2763" t="s">
        <v>28</v>
      </c>
      <c r="H2763" t="s">
        <v>17</v>
      </c>
      <c r="I2763" t="s">
        <v>18</v>
      </c>
      <c r="J2763" s="3">
        <v>45744</v>
      </c>
      <c r="K2763" s="4">
        <f>ClientiBanca[[#This Row],[Prestito]]+ClientiBanca[[#This Row],[Mutuo]]</f>
        <v>0</v>
      </c>
      <c r="L2763" t="str">
        <f>IF(ClientiBanca[[#This Row],[Reddito annuo]]&gt;=70000,"si","no")</f>
        <v>no</v>
      </c>
    </row>
    <row r="2764" spans="1:12">
      <c r="A2764">
        <v>102763</v>
      </c>
      <c r="B2764">
        <v>61</v>
      </c>
      <c r="C2764" s="2">
        <v>46500</v>
      </c>
      <c r="D2764" t="s">
        <v>22</v>
      </c>
      <c r="E2764" s="2">
        <v>0</v>
      </c>
      <c r="F2764" s="2">
        <v>0</v>
      </c>
      <c r="G2764" t="s">
        <v>13</v>
      </c>
      <c r="H2764" t="s">
        <v>17</v>
      </c>
      <c r="I2764" t="s">
        <v>18</v>
      </c>
      <c r="J2764" s="3">
        <v>45493</v>
      </c>
      <c r="K2764" s="4">
        <f>ClientiBanca[[#This Row],[Prestito]]+ClientiBanca[[#This Row],[Mutuo]]</f>
        <v>0</v>
      </c>
      <c r="L2764" t="str">
        <f>IF(ClientiBanca[[#This Row],[Reddito annuo]]&gt;=70000,"si","no")</f>
        <v>no</v>
      </c>
    </row>
    <row r="2765" spans="1:12">
      <c r="A2765">
        <v>102764</v>
      </c>
      <c r="B2765">
        <v>23</v>
      </c>
      <c r="C2765" s="2">
        <v>44300</v>
      </c>
      <c r="D2765" t="s">
        <v>21</v>
      </c>
      <c r="E2765" s="2">
        <v>55400</v>
      </c>
      <c r="F2765" s="2">
        <v>278000</v>
      </c>
      <c r="G2765" t="s">
        <v>16</v>
      </c>
      <c r="H2765" t="s">
        <v>14</v>
      </c>
      <c r="I2765" t="s">
        <v>18</v>
      </c>
      <c r="J2765" s="3">
        <v>45865</v>
      </c>
      <c r="K2765" s="4">
        <f>ClientiBanca[[#This Row],[Prestito]]+ClientiBanca[[#This Row],[Mutuo]]</f>
        <v>333400</v>
      </c>
      <c r="L2765" t="str">
        <f>IF(ClientiBanca[[#This Row],[Reddito annuo]]&gt;=70000,"si","no")</f>
        <v>no</v>
      </c>
    </row>
    <row r="2766" spans="1:12">
      <c r="A2766">
        <v>102765</v>
      </c>
      <c r="B2766">
        <v>51</v>
      </c>
      <c r="C2766" s="2">
        <v>63800</v>
      </c>
      <c r="D2766" t="s">
        <v>21</v>
      </c>
      <c r="E2766" s="2">
        <v>70500</v>
      </c>
      <c r="F2766" s="2">
        <v>0</v>
      </c>
      <c r="G2766" t="s">
        <v>27</v>
      </c>
      <c r="H2766" t="s">
        <v>20</v>
      </c>
      <c r="I2766" t="s">
        <v>18</v>
      </c>
      <c r="J2766" s="3">
        <v>45701</v>
      </c>
      <c r="K2766" s="4">
        <f>ClientiBanca[[#This Row],[Prestito]]+ClientiBanca[[#This Row],[Mutuo]]</f>
        <v>70500</v>
      </c>
      <c r="L2766" t="str">
        <f>IF(ClientiBanca[[#This Row],[Reddito annuo]]&gt;=70000,"si","no")</f>
        <v>no</v>
      </c>
    </row>
    <row r="2767" spans="1:12">
      <c r="A2767">
        <v>102766</v>
      </c>
      <c r="B2767">
        <v>48</v>
      </c>
      <c r="C2767" s="2">
        <v>81500</v>
      </c>
      <c r="D2767" t="s">
        <v>21</v>
      </c>
      <c r="E2767" s="2">
        <v>10200</v>
      </c>
      <c r="F2767" s="2">
        <v>280000</v>
      </c>
      <c r="G2767" t="s">
        <v>23</v>
      </c>
      <c r="H2767" t="s">
        <v>20</v>
      </c>
      <c r="I2767" t="s">
        <v>18</v>
      </c>
      <c r="J2767" s="3">
        <v>45762</v>
      </c>
      <c r="K2767" s="4">
        <f>ClientiBanca[[#This Row],[Prestito]]+ClientiBanca[[#This Row],[Mutuo]]</f>
        <v>290200</v>
      </c>
      <c r="L2767" t="str">
        <f>IF(ClientiBanca[[#This Row],[Reddito annuo]]&gt;=70000,"si","no")</f>
        <v>si</v>
      </c>
    </row>
    <row r="2768" spans="1:12">
      <c r="A2768">
        <v>102767</v>
      </c>
      <c r="B2768">
        <v>63</v>
      </c>
      <c r="C2768" s="2">
        <v>49800</v>
      </c>
      <c r="D2768" t="s">
        <v>12</v>
      </c>
      <c r="E2768" s="2">
        <v>48200</v>
      </c>
      <c r="F2768" s="2">
        <v>0</v>
      </c>
      <c r="G2768" t="s">
        <v>16</v>
      </c>
      <c r="H2768" t="s">
        <v>17</v>
      </c>
      <c r="I2768" t="s">
        <v>18</v>
      </c>
      <c r="J2768" s="3">
        <v>45369</v>
      </c>
      <c r="K2768" s="4">
        <f>ClientiBanca[[#This Row],[Prestito]]+ClientiBanca[[#This Row],[Mutuo]]</f>
        <v>48200</v>
      </c>
      <c r="L2768" t="str">
        <f>IF(ClientiBanca[[#This Row],[Reddito annuo]]&gt;=70000,"si","no")</f>
        <v>no</v>
      </c>
    </row>
    <row r="2769" spans="1:12">
      <c r="A2769">
        <v>102768</v>
      </c>
      <c r="B2769">
        <v>35</v>
      </c>
      <c r="C2769" s="2">
        <v>89100</v>
      </c>
      <c r="D2769" t="s">
        <v>12</v>
      </c>
      <c r="E2769" s="2">
        <v>12000</v>
      </c>
      <c r="F2769" s="2">
        <v>0</v>
      </c>
      <c r="G2769" t="s">
        <v>19</v>
      </c>
      <c r="H2769" t="s">
        <v>20</v>
      </c>
      <c r="I2769" t="s">
        <v>18</v>
      </c>
      <c r="J2769" s="3">
        <v>45676</v>
      </c>
      <c r="K2769" s="4">
        <f>ClientiBanca[[#This Row],[Prestito]]+ClientiBanca[[#This Row],[Mutuo]]</f>
        <v>12000</v>
      </c>
      <c r="L2769" t="str">
        <f>IF(ClientiBanca[[#This Row],[Reddito annuo]]&gt;=70000,"si","no")</f>
        <v>si</v>
      </c>
    </row>
    <row r="2770" spans="1:12">
      <c r="A2770">
        <v>102769</v>
      </c>
      <c r="B2770">
        <v>23</v>
      </c>
      <c r="C2770" s="2">
        <v>34400</v>
      </c>
      <c r="D2770" t="s">
        <v>21</v>
      </c>
      <c r="E2770" s="2">
        <v>13800</v>
      </c>
      <c r="F2770" s="2">
        <v>0</v>
      </c>
      <c r="G2770" t="s">
        <v>24</v>
      </c>
      <c r="H2770" t="s">
        <v>17</v>
      </c>
      <c r="I2770" t="s">
        <v>18</v>
      </c>
      <c r="J2770" s="3">
        <v>45324</v>
      </c>
      <c r="K2770" s="4">
        <f>ClientiBanca[[#This Row],[Prestito]]+ClientiBanca[[#This Row],[Mutuo]]</f>
        <v>13800</v>
      </c>
      <c r="L2770" t="str">
        <f>IF(ClientiBanca[[#This Row],[Reddito annuo]]&gt;=70000,"si","no")</f>
        <v>no</v>
      </c>
    </row>
    <row r="2771" spans="1:12">
      <c r="A2771">
        <v>102770</v>
      </c>
      <c r="B2771">
        <v>69</v>
      </c>
      <c r="C2771" s="2">
        <v>63400</v>
      </c>
      <c r="D2771" t="s">
        <v>21</v>
      </c>
      <c r="E2771" s="2">
        <v>0</v>
      </c>
      <c r="F2771" s="2">
        <v>0</v>
      </c>
      <c r="G2771" t="s">
        <v>16</v>
      </c>
      <c r="H2771" t="s">
        <v>17</v>
      </c>
      <c r="I2771" t="s">
        <v>18</v>
      </c>
      <c r="J2771" s="3">
        <v>46033</v>
      </c>
      <c r="K2771" s="4">
        <f>ClientiBanca[[#This Row],[Prestito]]+ClientiBanca[[#This Row],[Mutuo]]</f>
        <v>0</v>
      </c>
      <c r="L2771" t="str">
        <f>IF(ClientiBanca[[#This Row],[Reddito annuo]]&gt;=70000,"si","no")</f>
        <v>no</v>
      </c>
    </row>
    <row r="2772" spans="1:12">
      <c r="A2772">
        <v>102771</v>
      </c>
      <c r="B2772">
        <v>69</v>
      </c>
      <c r="C2772" s="2">
        <v>70200</v>
      </c>
      <c r="D2772" t="s">
        <v>21</v>
      </c>
      <c r="E2772" s="2">
        <v>0</v>
      </c>
      <c r="F2772" s="2">
        <v>0</v>
      </c>
      <c r="G2772" t="s">
        <v>13</v>
      </c>
      <c r="H2772" t="s">
        <v>17</v>
      </c>
      <c r="I2772" t="s">
        <v>18</v>
      </c>
      <c r="J2772" s="3">
        <v>46010</v>
      </c>
      <c r="K2772" s="4">
        <f>ClientiBanca[[#This Row],[Prestito]]+ClientiBanca[[#This Row],[Mutuo]]</f>
        <v>0</v>
      </c>
      <c r="L2772" t="str">
        <f>IF(ClientiBanca[[#This Row],[Reddito annuo]]&gt;=70000,"si","no")</f>
        <v>si</v>
      </c>
    </row>
    <row r="2773" spans="1:12">
      <c r="A2773">
        <v>102772</v>
      </c>
      <c r="B2773">
        <v>50</v>
      </c>
      <c r="C2773" s="2">
        <v>120300</v>
      </c>
      <c r="D2773" t="s">
        <v>12</v>
      </c>
      <c r="E2773" s="2">
        <v>31800</v>
      </c>
      <c r="F2773" s="2">
        <v>0</v>
      </c>
      <c r="G2773" t="s">
        <v>26</v>
      </c>
      <c r="H2773" t="s">
        <v>17</v>
      </c>
      <c r="I2773" t="s">
        <v>18</v>
      </c>
      <c r="J2773" s="3">
        <v>45480</v>
      </c>
      <c r="K2773" s="4">
        <f>ClientiBanca[[#This Row],[Prestito]]+ClientiBanca[[#This Row],[Mutuo]]</f>
        <v>31800</v>
      </c>
      <c r="L2773" t="str">
        <f>IF(ClientiBanca[[#This Row],[Reddito annuo]]&gt;=70000,"si","no")</f>
        <v>si</v>
      </c>
    </row>
    <row r="2774" spans="1:12">
      <c r="A2774">
        <v>102773</v>
      </c>
      <c r="B2774">
        <v>22</v>
      </c>
      <c r="C2774" s="2">
        <v>28700</v>
      </c>
      <c r="D2774" t="s">
        <v>21</v>
      </c>
      <c r="E2774" s="2">
        <v>35900</v>
      </c>
      <c r="F2774" s="2">
        <v>105000</v>
      </c>
      <c r="G2774" t="s">
        <v>28</v>
      </c>
      <c r="H2774" t="s">
        <v>25</v>
      </c>
      <c r="I2774" t="s">
        <v>18</v>
      </c>
      <c r="J2774" s="3">
        <v>45736</v>
      </c>
      <c r="K2774" s="4">
        <f>ClientiBanca[[#This Row],[Prestito]]+ClientiBanca[[#This Row],[Mutuo]]</f>
        <v>140900</v>
      </c>
      <c r="L2774" t="str">
        <f>IF(ClientiBanca[[#This Row],[Reddito annuo]]&gt;=70000,"si","no")</f>
        <v>no</v>
      </c>
    </row>
    <row r="2775" spans="1:12">
      <c r="A2775">
        <v>102774</v>
      </c>
      <c r="B2775">
        <v>35</v>
      </c>
      <c r="C2775" s="2">
        <v>45100</v>
      </c>
      <c r="D2775" t="s">
        <v>21</v>
      </c>
      <c r="E2775" s="2">
        <v>0</v>
      </c>
      <c r="F2775" s="2">
        <v>0</v>
      </c>
      <c r="G2775" t="s">
        <v>19</v>
      </c>
      <c r="H2775" t="s">
        <v>20</v>
      </c>
      <c r="I2775" t="s">
        <v>18</v>
      </c>
      <c r="J2775" s="3">
        <v>45513</v>
      </c>
      <c r="K2775" s="4">
        <f>ClientiBanca[[#This Row],[Prestito]]+ClientiBanca[[#This Row],[Mutuo]]</f>
        <v>0</v>
      </c>
      <c r="L2775" t="str">
        <f>IF(ClientiBanca[[#This Row],[Reddito annuo]]&gt;=70000,"si","no")</f>
        <v>no</v>
      </c>
    </row>
    <row r="2776" spans="1:12">
      <c r="A2776">
        <v>102775</v>
      </c>
      <c r="B2776">
        <v>49</v>
      </c>
      <c r="C2776" s="2">
        <v>22200</v>
      </c>
      <c r="D2776" t="s">
        <v>21</v>
      </c>
      <c r="E2776" s="2">
        <v>0</v>
      </c>
      <c r="F2776" s="2">
        <v>0</v>
      </c>
      <c r="G2776" t="s">
        <v>13</v>
      </c>
      <c r="H2776" t="s">
        <v>14</v>
      </c>
      <c r="I2776" t="s">
        <v>18</v>
      </c>
      <c r="J2776" s="3">
        <v>46109</v>
      </c>
      <c r="K2776" s="4">
        <f>ClientiBanca[[#This Row],[Prestito]]+ClientiBanca[[#This Row],[Mutuo]]</f>
        <v>0</v>
      </c>
      <c r="L2776" t="str">
        <f>IF(ClientiBanca[[#This Row],[Reddito annuo]]&gt;=70000,"si","no")</f>
        <v>no</v>
      </c>
    </row>
    <row r="2777" spans="1:12">
      <c r="A2777">
        <v>102776</v>
      </c>
      <c r="B2777">
        <v>61</v>
      </c>
      <c r="C2777" s="2">
        <v>47200</v>
      </c>
      <c r="D2777" t="s">
        <v>21</v>
      </c>
      <c r="E2777" s="2">
        <v>40000</v>
      </c>
      <c r="F2777" s="2">
        <v>187000</v>
      </c>
      <c r="G2777" t="s">
        <v>19</v>
      </c>
      <c r="H2777" t="s">
        <v>17</v>
      </c>
      <c r="I2777" t="s">
        <v>18</v>
      </c>
      <c r="J2777" s="3">
        <v>45482</v>
      </c>
      <c r="K2777" s="4">
        <f>ClientiBanca[[#This Row],[Prestito]]+ClientiBanca[[#This Row],[Mutuo]]</f>
        <v>227000</v>
      </c>
      <c r="L2777" t="str">
        <f>IF(ClientiBanca[[#This Row],[Reddito annuo]]&gt;=70000,"si","no")</f>
        <v>no</v>
      </c>
    </row>
    <row r="2778" spans="1:12">
      <c r="A2778">
        <v>102777</v>
      </c>
      <c r="B2778">
        <v>49</v>
      </c>
      <c r="C2778" s="2">
        <v>54900</v>
      </c>
      <c r="D2778" t="s">
        <v>21</v>
      </c>
      <c r="E2778" s="2">
        <v>49000</v>
      </c>
      <c r="F2778" s="2">
        <v>0</v>
      </c>
      <c r="G2778" t="s">
        <v>16</v>
      </c>
      <c r="H2778" t="s">
        <v>14</v>
      </c>
      <c r="I2778" t="s">
        <v>18</v>
      </c>
      <c r="J2778" s="3">
        <v>45538</v>
      </c>
      <c r="K2778" s="4">
        <f>ClientiBanca[[#This Row],[Prestito]]+ClientiBanca[[#This Row],[Mutuo]]</f>
        <v>49000</v>
      </c>
      <c r="L2778" t="str">
        <f>IF(ClientiBanca[[#This Row],[Reddito annuo]]&gt;=70000,"si","no")</f>
        <v>no</v>
      </c>
    </row>
    <row r="2779" spans="1:12">
      <c r="A2779">
        <v>102778</v>
      </c>
      <c r="B2779">
        <v>57</v>
      </c>
      <c r="C2779" s="2">
        <v>50200</v>
      </c>
      <c r="D2779" t="s">
        <v>21</v>
      </c>
      <c r="E2779" s="2">
        <v>0</v>
      </c>
      <c r="F2779" s="2">
        <v>0</v>
      </c>
      <c r="G2779" t="s">
        <v>16</v>
      </c>
      <c r="H2779" t="s">
        <v>14</v>
      </c>
      <c r="I2779" t="s">
        <v>18</v>
      </c>
      <c r="J2779" s="3">
        <v>45743</v>
      </c>
      <c r="K2779" s="4">
        <f>ClientiBanca[[#This Row],[Prestito]]+ClientiBanca[[#This Row],[Mutuo]]</f>
        <v>0</v>
      </c>
      <c r="L2779" t="str">
        <f>IF(ClientiBanca[[#This Row],[Reddito annuo]]&gt;=70000,"si","no")</f>
        <v>no</v>
      </c>
    </row>
    <row r="2780" spans="1:12">
      <c r="A2780">
        <v>102779</v>
      </c>
      <c r="B2780">
        <v>54</v>
      </c>
      <c r="C2780" s="2">
        <v>42300</v>
      </c>
      <c r="D2780" t="s">
        <v>21</v>
      </c>
      <c r="E2780" s="2">
        <v>19100</v>
      </c>
      <c r="F2780" s="2">
        <v>218000</v>
      </c>
      <c r="G2780" t="s">
        <v>28</v>
      </c>
      <c r="H2780" t="s">
        <v>14</v>
      </c>
      <c r="I2780" t="s">
        <v>18</v>
      </c>
      <c r="J2780" s="3">
        <v>45339</v>
      </c>
      <c r="K2780" s="4">
        <f>ClientiBanca[[#This Row],[Prestito]]+ClientiBanca[[#This Row],[Mutuo]]</f>
        <v>237100</v>
      </c>
      <c r="L2780" t="str">
        <f>IF(ClientiBanca[[#This Row],[Reddito annuo]]&gt;=70000,"si","no")</f>
        <v>no</v>
      </c>
    </row>
    <row r="2781" spans="1:12">
      <c r="A2781">
        <v>102780</v>
      </c>
      <c r="B2781">
        <v>30</v>
      </c>
      <c r="C2781" s="2">
        <v>78400</v>
      </c>
      <c r="D2781" t="s">
        <v>21</v>
      </c>
      <c r="E2781" s="2">
        <v>47700</v>
      </c>
      <c r="F2781" s="2">
        <v>0</v>
      </c>
      <c r="G2781" t="s">
        <v>16</v>
      </c>
      <c r="H2781" t="s">
        <v>25</v>
      </c>
      <c r="I2781" t="s">
        <v>18</v>
      </c>
      <c r="J2781" s="3">
        <v>46098</v>
      </c>
      <c r="K2781" s="4">
        <f>ClientiBanca[[#This Row],[Prestito]]+ClientiBanca[[#This Row],[Mutuo]]</f>
        <v>47700</v>
      </c>
      <c r="L2781" t="str">
        <f>IF(ClientiBanca[[#This Row],[Reddito annuo]]&gt;=70000,"si","no")</f>
        <v>si</v>
      </c>
    </row>
    <row r="2782" spans="1:12">
      <c r="A2782">
        <v>102781</v>
      </c>
      <c r="B2782">
        <v>45</v>
      </c>
      <c r="C2782" s="2">
        <v>96400</v>
      </c>
      <c r="D2782" t="s">
        <v>21</v>
      </c>
      <c r="E2782" s="2">
        <v>48400</v>
      </c>
      <c r="F2782" s="2">
        <v>354000</v>
      </c>
      <c r="G2782" t="s">
        <v>13</v>
      </c>
      <c r="H2782" t="s">
        <v>20</v>
      </c>
      <c r="I2782" t="s">
        <v>18</v>
      </c>
      <c r="J2782" s="3">
        <v>46089</v>
      </c>
      <c r="K2782" s="4">
        <f>ClientiBanca[[#This Row],[Prestito]]+ClientiBanca[[#This Row],[Mutuo]]</f>
        <v>402400</v>
      </c>
      <c r="L2782" t="str">
        <f>IF(ClientiBanca[[#This Row],[Reddito annuo]]&gt;=70000,"si","no")</f>
        <v>si</v>
      </c>
    </row>
    <row r="2783" spans="1:12">
      <c r="A2783">
        <v>102782</v>
      </c>
      <c r="B2783">
        <v>26</v>
      </c>
      <c r="C2783" s="2">
        <v>74200</v>
      </c>
      <c r="D2783" t="s">
        <v>21</v>
      </c>
      <c r="E2783" s="2">
        <v>27100</v>
      </c>
      <c r="F2783" s="2">
        <v>0</v>
      </c>
      <c r="G2783" t="s">
        <v>23</v>
      </c>
      <c r="H2783" t="s">
        <v>20</v>
      </c>
      <c r="I2783" t="s">
        <v>18</v>
      </c>
      <c r="J2783" s="3">
        <v>45836</v>
      </c>
      <c r="K2783" s="4">
        <f>ClientiBanca[[#This Row],[Prestito]]+ClientiBanca[[#This Row],[Mutuo]]</f>
        <v>27100</v>
      </c>
      <c r="L2783" t="str">
        <f>IF(ClientiBanca[[#This Row],[Reddito annuo]]&gt;=70000,"si","no")</f>
        <v>si</v>
      </c>
    </row>
    <row r="2784" spans="1:12">
      <c r="A2784">
        <v>102783</v>
      </c>
      <c r="B2784">
        <v>67</v>
      </c>
      <c r="C2784" s="2">
        <v>54500</v>
      </c>
      <c r="D2784" t="s">
        <v>22</v>
      </c>
      <c r="E2784" s="2">
        <v>32600</v>
      </c>
      <c r="F2784" s="2">
        <v>0</v>
      </c>
      <c r="G2784" t="s">
        <v>16</v>
      </c>
      <c r="H2784" t="s">
        <v>17</v>
      </c>
      <c r="I2784" t="s">
        <v>18</v>
      </c>
      <c r="J2784" s="3">
        <v>45870</v>
      </c>
      <c r="K2784" s="4">
        <f>ClientiBanca[[#This Row],[Prestito]]+ClientiBanca[[#This Row],[Mutuo]]</f>
        <v>32600</v>
      </c>
      <c r="L2784" t="str">
        <f>IF(ClientiBanca[[#This Row],[Reddito annuo]]&gt;=70000,"si","no")</f>
        <v>no</v>
      </c>
    </row>
    <row r="2785" spans="1:12">
      <c r="A2785">
        <v>102784</v>
      </c>
      <c r="B2785">
        <v>44</v>
      </c>
      <c r="C2785" s="2">
        <v>66700</v>
      </c>
      <c r="D2785" t="s">
        <v>22</v>
      </c>
      <c r="E2785" s="2">
        <v>0</v>
      </c>
      <c r="F2785" s="2">
        <v>219000</v>
      </c>
      <c r="G2785" t="s">
        <v>23</v>
      </c>
      <c r="H2785" t="s">
        <v>20</v>
      </c>
      <c r="I2785" t="s">
        <v>18</v>
      </c>
      <c r="J2785" s="3">
        <v>45576</v>
      </c>
      <c r="K2785" s="4">
        <f>ClientiBanca[[#This Row],[Prestito]]+ClientiBanca[[#This Row],[Mutuo]]</f>
        <v>219000</v>
      </c>
      <c r="L2785" t="str">
        <f>IF(ClientiBanca[[#This Row],[Reddito annuo]]&gt;=70000,"si","no")</f>
        <v>no</v>
      </c>
    </row>
    <row r="2786" spans="1:12">
      <c r="A2786">
        <v>102785</v>
      </c>
      <c r="B2786">
        <v>54</v>
      </c>
      <c r="C2786" s="2">
        <v>42300</v>
      </c>
      <c r="D2786" t="s">
        <v>12</v>
      </c>
      <c r="E2786" s="2">
        <v>0</v>
      </c>
      <c r="F2786" s="2">
        <v>0</v>
      </c>
      <c r="G2786" t="s">
        <v>23</v>
      </c>
      <c r="H2786" t="s">
        <v>14</v>
      </c>
      <c r="I2786" t="s">
        <v>18</v>
      </c>
      <c r="J2786" s="3">
        <v>45372</v>
      </c>
      <c r="K2786" s="4">
        <f>ClientiBanca[[#This Row],[Prestito]]+ClientiBanca[[#This Row],[Mutuo]]</f>
        <v>0</v>
      </c>
      <c r="L2786" t="str">
        <f>IF(ClientiBanca[[#This Row],[Reddito annuo]]&gt;=70000,"si","no")</f>
        <v>no</v>
      </c>
    </row>
    <row r="2787" spans="1:12">
      <c r="A2787">
        <v>102786</v>
      </c>
      <c r="B2787">
        <v>68</v>
      </c>
      <c r="C2787" s="2">
        <v>49600</v>
      </c>
      <c r="D2787" t="s">
        <v>22</v>
      </c>
      <c r="E2787" s="2">
        <v>0</v>
      </c>
      <c r="F2787" s="2">
        <v>356000</v>
      </c>
      <c r="G2787" t="s">
        <v>13</v>
      </c>
      <c r="H2787" t="s">
        <v>17</v>
      </c>
      <c r="I2787" t="s">
        <v>18</v>
      </c>
      <c r="J2787" s="3">
        <v>45463</v>
      </c>
      <c r="K2787" s="4">
        <f>ClientiBanca[[#This Row],[Prestito]]+ClientiBanca[[#This Row],[Mutuo]]</f>
        <v>356000</v>
      </c>
      <c r="L2787" t="str">
        <f>IF(ClientiBanca[[#This Row],[Reddito annuo]]&gt;=70000,"si","no")</f>
        <v>no</v>
      </c>
    </row>
    <row r="2788" spans="1:12">
      <c r="A2788">
        <v>102787</v>
      </c>
      <c r="B2788">
        <v>50</v>
      </c>
      <c r="C2788" s="2">
        <v>104700</v>
      </c>
      <c r="D2788" t="s">
        <v>21</v>
      </c>
      <c r="E2788" s="2">
        <v>22500</v>
      </c>
      <c r="F2788" s="2">
        <v>162000</v>
      </c>
      <c r="G2788" t="s">
        <v>16</v>
      </c>
      <c r="H2788" t="s">
        <v>17</v>
      </c>
      <c r="I2788" t="s">
        <v>18</v>
      </c>
      <c r="J2788" s="3">
        <v>45884</v>
      </c>
      <c r="K2788" s="4">
        <f>ClientiBanca[[#This Row],[Prestito]]+ClientiBanca[[#This Row],[Mutuo]]</f>
        <v>184500</v>
      </c>
      <c r="L2788" t="str">
        <f>IF(ClientiBanca[[#This Row],[Reddito annuo]]&gt;=70000,"si","no")</f>
        <v>si</v>
      </c>
    </row>
    <row r="2789" spans="1:12">
      <c r="A2789">
        <v>102788</v>
      </c>
      <c r="B2789">
        <v>26</v>
      </c>
      <c r="C2789" s="2">
        <v>32800</v>
      </c>
      <c r="D2789" t="s">
        <v>21</v>
      </c>
      <c r="E2789" s="2">
        <v>16900</v>
      </c>
      <c r="F2789" s="2">
        <v>0</v>
      </c>
      <c r="G2789" t="s">
        <v>23</v>
      </c>
      <c r="H2789" t="s">
        <v>20</v>
      </c>
      <c r="I2789" t="s">
        <v>18</v>
      </c>
      <c r="J2789" s="3">
        <v>45749</v>
      </c>
      <c r="K2789" s="4">
        <f>ClientiBanca[[#This Row],[Prestito]]+ClientiBanca[[#This Row],[Mutuo]]</f>
        <v>16900</v>
      </c>
      <c r="L2789" t="str">
        <f>IF(ClientiBanca[[#This Row],[Reddito annuo]]&gt;=70000,"si","no")</f>
        <v>no</v>
      </c>
    </row>
    <row r="2790" spans="1:12">
      <c r="A2790">
        <v>102789</v>
      </c>
      <c r="B2790">
        <v>64</v>
      </c>
      <c r="C2790" s="2">
        <v>65900</v>
      </c>
      <c r="D2790" t="s">
        <v>22</v>
      </c>
      <c r="E2790" s="2">
        <v>10700</v>
      </c>
      <c r="F2790" s="2">
        <v>0</v>
      </c>
      <c r="G2790" t="s">
        <v>19</v>
      </c>
      <c r="H2790" t="s">
        <v>17</v>
      </c>
      <c r="I2790" t="s">
        <v>18</v>
      </c>
      <c r="J2790" s="3">
        <v>46038</v>
      </c>
      <c r="K2790" s="4">
        <f>ClientiBanca[[#This Row],[Prestito]]+ClientiBanca[[#This Row],[Mutuo]]</f>
        <v>10700</v>
      </c>
      <c r="L2790" t="str">
        <f>IF(ClientiBanca[[#This Row],[Reddito annuo]]&gt;=70000,"si","no")</f>
        <v>no</v>
      </c>
    </row>
    <row r="2791" spans="1:12">
      <c r="A2791">
        <v>102790</v>
      </c>
      <c r="B2791">
        <v>70</v>
      </c>
      <c r="C2791" s="2">
        <v>89900</v>
      </c>
      <c r="D2791" t="s">
        <v>12</v>
      </c>
      <c r="E2791" s="2">
        <v>38200</v>
      </c>
      <c r="F2791" s="2">
        <v>0</v>
      </c>
      <c r="G2791" t="s">
        <v>28</v>
      </c>
      <c r="H2791" t="s">
        <v>17</v>
      </c>
      <c r="I2791" t="s">
        <v>18</v>
      </c>
      <c r="J2791" s="3">
        <v>45457</v>
      </c>
      <c r="K2791" s="4">
        <f>ClientiBanca[[#This Row],[Prestito]]+ClientiBanca[[#This Row],[Mutuo]]</f>
        <v>38200</v>
      </c>
      <c r="L2791" t="str">
        <f>IF(ClientiBanca[[#This Row],[Reddito annuo]]&gt;=70000,"si","no")</f>
        <v>si</v>
      </c>
    </row>
    <row r="2792" spans="1:12">
      <c r="A2792">
        <v>102791</v>
      </c>
      <c r="B2792">
        <v>75</v>
      </c>
      <c r="C2792" s="2">
        <v>37000</v>
      </c>
      <c r="D2792" t="s">
        <v>21</v>
      </c>
      <c r="E2792" s="2">
        <v>36400</v>
      </c>
      <c r="F2792" s="2">
        <v>0</v>
      </c>
      <c r="G2792" t="s">
        <v>19</v>
      </c>
      <c r="H2792" t="s">
        <v>25</v>
      </c>
      <c r="I2792" t="s">
        <v>18</v>
      </c>
      <c r="J2792" s="3">
        <v>46047</v>
      </c>
      <c r="K2792" s="4">
        <f>ClientiBanca[[#This Row],[Prestito]]+ClientiBanca[[#This Row],[Mutuo]]</f>
        <v>36400</v>
      </c>
      <c r="L2792" t="str">
        <f>IF(ClientiBanca[[#This Row],[Reddito annuo]]&gt;=70000,"si","no")</f>
        <v>no</v>
      </c>
    </row>
    <row r="2793" spans="1:12">
      <c r="A2793">
        <v>102792</v>
      </c>
      <c r="B2793">
        <v>26</v>
      </c>
      <c r="C2793" s="2">
        <v>63600</v>
      </c>
      <c r="D2793" t="s">
        <v>12</v>
      </c>
      <c r="E2793" s="2">
        <v>70600</v>
      </c>
      <c r="F2793" s="2">
        <v>0</v>
      </c>
      <c r="G2793" t="s">
        <v>16</v>
      </c>
      <c r="H2793" t="s">
        <v>20</v>
      </c>
      <c r="I2793" t="s">
        <v>18</v>
      </c>
      <c r="J2793" s="3">
        <v>46112</v>
      </c>
      <c r="K2793" s="4">
        <f>ClientiBanca[[#This Row],[Prestito]]+ClientiBanca[[#This Row],[Mutuo]]</f>
        <v>70600</v>
      </c>
      <c r="L2793" t="str">
        <f>IF(ClientiBanca[[#This Row],[Reddito annuo]]&gt;=70000,"si","no")</f>
        <v>no</v>
      </c>
    </row>
    <row r="2794" spans="1:12">
      <c r="A2794">
        <v>102793</v>
      </c>
      <c r="B2794">
        <v>63</v>
      </c>
      <c r="C2794" s="2">
        <v>92100</v>
      </c>
      <c r="D2794" t="s">
        <v>22</v>
      </c>
      <c r="E2794" s="2">
        <v>60400</v>
      </c>
      <c r="F2794" s="2">
        <v>189000</v>
      </c>
      <c r="G2794" t="s">
        <v>13</v>
      </c>
      <c r="H2794" t="s">
        <v>20</v>
      </c>
      <c r="I2794" t="s">
        <v>18</v>
      </c>
      <c r="J2794" s="3">
        <v>45667</v>
      </c>
      <c r="K2794" s="4">
        <f>ClientiBanca[[#This Row],[Prestito]]+ClientiBanca[[#This Row],[Mutuo]]</f>
        <v>249400</v>
      </c>
      <c r="L2794" t="str">
        <f>IF(ClientiBanca[[#This Row],[Reddito annuo]]&gt;=70000,"si","no")</f>
        <v>si</v>
      </c>
    </row>
    <row r="2795" spans="1:12">
      <c r="A2795">
        <v>102794</v>
      </c>
      <c r="B2795">
        <v>73</v>
      </c>
      <c r="C2795" s="2">
        <v>50100</v>
      </c>
      <c r="D2795" t="s">
        <v>12</v>
      </c>
      <c r="E2795" s="2">
        <v>0</v>
      </c>
      <c r="F2795" s="2">
        <v>0</v>
      </c>
      <c r="G2795" t="s">
        <v>13</v>
      </c>
      <c r="H2795" t="s">
        <v>17</v>
      </c>
      <c r="I2795" t="s">
        <v>18</v>
      </c>
      <c r="J2795" s="3">
        <v>45604</v>
      </c>
      <c r="K2795" s="4">
        <f>ClientiBanca[[#This Row],[Prestito]]+ClientiBanca[[#This Row],[Mutuo]]</f>
        <v>0</v>
      </c>
      <c r="L2795" t="str">
        <f>IF(ClientiBanca[[#This Row],[Reddito annuo]]&gt;=70000,"si","no")</f>
        <v>no</v>
      </c>
    </row>
    <row r="2796" spans="1:12">
      <c r="A2796">
        <v>102795</v>
      </c>
      <c r="B2796">
        <v>58</v>
      </c>
      <c r="C2796" s="2">
        <v>53800</v>
      </c>
      <c r="D2796" t="s">
        <v>21</v>
      </c>
      <c r="E2796" s="2">
        <v>12000</v>
      </c>
      <c r="F2796" s="2">
        <v>0</v>
      </c>
      <c r="G2796" t="s">
        <v>23</v>
      </c>
      <c r="H2796" t="s">
        <v>17</v>
      </c>
      <c r="I2796" t="s">
        <v>18</v>
      </c>
      <c r="J2796" s="3">
        <v>45896</v>
      </c>
      <c r="K2796" s="4">
        <f>ClientiBanca[[#This Row],[Prestito]]+ClientiBanca[[#This Row],[Mutuo]]</f>
        <v>12000</v>
      </c>
      <c r="L2796" t="str">
        <f>IF(ClientiBanca[[#This Row],[Reddito annuo]]&gt;=70000,"si","no")</f>
        <v>no</v>
      </c>
    </row>
    <row r="2797" spans="1:12">
      <c r="A2797">
        <v>102796</v>
      </c>
      <c r="B2797">
        <v>61</v>
      </c>
      <c r="C2797" s="2">
        <v>65700</v>
      </c>
      <c r="D2797" t="s">
        <v>12</v>
      </c>
      <c r="E2797" s="2">
        <v>78200</v>
      </c>
      <c r="F2797" s="2">
        <v>103000</v>
      </c>
      <c r="G2797" t="s">
        <v>23</v>
      </c>
      <c r="H2797" t="s">
        <v>17</v>
      </c>
      <c r="I2797" t="s">
        <v>15</v>
      </c>
      <c r="J2797" s="3">
        <v>45370</v>
      </c>
      <c r="K2797" s="4">
        <f>ClientiBanca[[#This Row],[Prestito]]+ClientiBanca[[#This Row],[Mutuo]]</f>
        <v>181200</v>
      </c>
      <c r="L2797" t="str">
        <f>IF(ClientiBanca[[#This Row],[Reddito annuo]]&gt;=70000,"si","no")</f>
        <v>no</v>
      </c>
    </row>
    <row r="2798" spans="1:12">
      <c r="A2798">
        <v>102797</v>
      </c>
      <c r="B2798">
        <v>47</v>
      </c>
      <c r="C2798" s="2">
        <v>120600</v>
      </c>
      <c r="D2798" t="s">
        <v>21</v>
      </c>
      <c r="E2798" s="2">
        <v>0</v>
      </c>
      <c r="F2798" s="2">
        <v>0</v>
      </c>
      <c r="G2798" t="s">
        <v>13</v>
      </c>
      <c r="H2798" t="s">
        <v>20</v>
      </c>
      <c r="I2798" t="s">
        <v>18</v>
      </c>
      <c r="J2798" s="3">
        <v>46113</v>
      </c>
      <c r="K2798" s="4">
        <f>ClientiBanca[[#This Row],[Prestito]]+ClientiBanca[[#This Row],[Mutuo]]</f>
        <v>0</v>
      </c>
      <c r="L2798" t="str">
        <f>IF(ClientiBanca[[#This Row],[Reddito annuo]]&gt;=70000,"si","no")</f>
        <v>si</v>
      </c>
    </row>
    <row r="2799" spans="1:12">
      <c r="A2799">
        <v>102798</v>
      </c>
      <c r="B2799">
        <v>64</v>
      </c>
      <c r="C2799" s="2">
        <v>40900</v>
      </c>
      <c r="D2799" t="s">
        <v>22</v>
      </c>
      <c r="E2799" s="2">
        <v>0</v>
      </c>
      <c r="F2799" s="2">
        <v>0</v>
      </c>
      <c r="G2799" t="s">
        <v>28</v>
      </c>
      <c r="H2799" t="s">
        <v>14</v>
      </c>
      <c r="I2799" t="s">
        <v>18</v>
      </c>
      <c r="J2799" s="3">
        <v>45831</v>
      </c>
      <c r="K2799" s="4">
        <f>ClientiBanca[[#This Row],[Prestito]]+ClientiBanca[[#This Row],[Mutuo]]</f>
        <v>0</v>
      </c>
      <c r="L2799" t="str">
        <f>IF(ClientiBanca[[#This Row],[Reddito annuo]]&gt;=70000,"si","no")</f>
        <v>no</v>
      </c>
    </row>
    <row r="2800" spans="1:12">
      <c r="A2800">
        <v>102799</v>
      </c>
      <c r="B2800">
        <v>41</v>
      </c>
      <c r="C2800" s="2">
        <v>45000</v>
      </c>
      <c r="D2800" t="s">
        <v>21</v>
      </c>
      <c r="E2800" s="2">
        <v>0</v>
      </c>
      <c r="F2800" s="2">
        <v>0</v>
      </c>
      <c r="G2800" t="s">
        <v>27</v>
      </c>
      <c r="H2800" t="s">
        <v>20</v>
      </c>
      <c r="I2800" t="s">
        <v>18</v>
      </c>
      <c r="J2800" s="3">
        <v>45980</v>
      </c>
      <c r="K2800" s="4">
        <f>ClientiBanca[[#This Row],[Prestito]]+ClientiBanca[[#This Row],[Mutuo]]</f>
        <v>0</v>
      </c>
      <c r="L2800" t="str">
        <f>IF(ClientiBanca[[#This Row],[Reddito annuo]]&gt;=70000,"si","no")</f>
        <v>no</v>
      </c>
    </row>
    <row r="2801" spans="1:12">
      <c r="A2801">
        <v>102800</v>
      </c>
      <c r="B2801">
        <v>30</v>
      </c>
      <c r="C2801" s="2">
        <v>67300</v>
      </c>
      <c r="D2801" t="s">
        <v>12</v>
      </c>
      <c r="E2801" s="2">
        <v>52400</v>
      </c>
      <c r="F2801" s="2">
        <v>0</v>
      </c>
      <c r="G2801" t="s">
        <v>19</v>
      </c>
      <c r="H2801" t="s">
        <v>17</v>
      </c>
      <c r="I2801" t="s">
        <v>18</v>
      </c>
      <c r="J2801" s="3">
        <v>46132</v>
      </c>
      <c r="K2801" s="4">
        <f>ClientiBanca[[#This Row],[Prestito]]+ClientiBanca[[#This Row],[Mutuo]]</f>
        <v>52400</v>
      </c>
      <c r="L2801" t="str">
        <f>IF(ClientiBanca[[#This Row],[Reddito annuo]]&gt;=70000,"si","no")</f>
        <v>no</v>
      </c>
    </row>
    <row r="2802" spans="1:12">
      <c r="A2802">
        <v>102801</v>
      </c>
      <c r="B2802">
        <v>75</v>
      </c>
      <c r="C2802" s="2">
        <v>43100</v>
      </c>
      <c r="D2802" t="s">
        <v>12</v>
      </c>
      <c r="E2802" s="2">
        <v>50900</v>
      </c>
      <c r="F2802" s="2">
        <v>0</v>
      </c>
      <c r="G2802" t="s">
        <v>28</v>
      </c>
      <c r="H2802" t="s">
        <v>14</v>
      </c>
      <c r="I2802" t="s">
        <v>18</v>
      </c>
      <c r="J2802" s="3">
        <v>45515</v>
      </c>
      <c r="K2802" s="4">
        <f>ClientiBanca[[#This Row],[Prestito]]+ClientiBanca[[#This Row],[Mutuo]]</f>
        <v>50900</v>
      </c>
      <c r="L2802" t="str">
        <f>IF(ClientiBanca[[#This Row],[Reddito annuo]]&gt;=70000,"si","no")</f>
        <v>no</v>
      </c>
    </row>
    <row r="2803" spans="1:12">
      <c r="A2803">
        <v>102802</v>
      </c>
      <c r="B2803">
        <v>58</v>
      </c>
      <c r="C2803" s="2">
        <v>69800</v>
      </c>
      <c r="D2803" t="s">
        <v>21</v>
      </c>
      <c r="E2803" s="2">
        <v>74300</v>
      </c>
      <c r="F2803" s="2">
        <v>0</v>
      </c>
      <c r="G2803" t="s">
        <v>28</v>
      </c>
      <c r="H2803" t="s">
        <v>14</v>
      </c>
      <c r="I2803" t="s">
        <v>15</v>
      </c>
      <c r="J2803" s="3">
        <v>45906</v>
      </c>
      <c r="K2803" s="4">
        <f>ClientiBanca[[#This Row],[Prestito]]+ClientiBanca[[#This Row],[Mutuo]]</f>
        <v>74300</v>
      </c>
      <c r="L2803" t="str">
        <f>IF(ClientiBanca[[#This Row],[Reddito annuo]]&gt;=70000,"si","no")</f>
        <v>no</v>
      </c>
    </row>
    <row r="2804" spans="1:12">
      <c r="A2804">
        <v>102803</v>
      </c>
      <c r="B2804">
        <v>64</v>
      </c>
      <c r="C2804" s="2">
        <v>79400</v>
      </c>
      <c r="D2804" t="s">
        <v>21</v>
      </c>
      <c r="E2804" s="2">
        <v>0</v>
      </c>
      <c r="F2804" s="2">
        <v>267000</v>
      </c>
      <c r="G2804" t="s">
        <v>26</v>
      </c>
      <c r="H2804" t="s">
        <v>14</v>
      </c>
      <c r="I2804" t="s">
        <v>18</v>
      </c>
      <c r="J2804" s="3">
        <v>46180</v>
      </c>
      <c r="K2804" s="4">
        <f>ClientiBanca[[#This Row],[Prestito]]+ClientiBanca[[#This Row],[Mutuo]]</f>
        <v>267000</v>
      </c>
      <c r="L2804" t="str">
        <f>IF(ClientiBanca[[#This Row],[Reddito annuo]]&gt;=70000,"si","no")</f>
        <v>si</v>
      </c>
    </row>
    <row r="2805" spans="1:12">
      <c r="A2805">
        <v>102804</v>
      </c>
      <c r="B2805">
        <v>46</v>
      </c>
      <c r="C2805" s="2">
        <v>98300</v>
      </c>
      <c r="D2805" t="s">
        <v>22</v>
      </c>
      <c r="E2805" s="2">
        <v>46600</v>
      </c>
      <c r="F2805" s="2">
        <v>146000</v>
      </c>
      <c r="G2805" t="s">
        <v>27</v>
      </c>
      <c r="H2805" t="s">
        <v>20</v>
      </c>
      <c r="I2805" t="s">
        <v>18</v>
      </c>
      <c r="J2805" s="3">
        <v>45530</v>
      </c>
      <c r="K2805" s="4">
        <f>ClientiBanca[[#This Row],[Prestito]]+ClientiBanca[[#This Row],[Mutuo]]</f>
        <v>192600</v>
      </c>
      <c r="L2805" t="str">
        <f>IF(ClientiBanca[[#This Row],[Reddito annuo]]&gt;=70000,"si","no")</f>
        <v>si</v>
      </c>
    </row>
    <row r="2806" spans="1:12">
      <c r="A2806">
        <v>102805</v>
      </c>
      <c r="B2806">
        <v>56</v>
      </c>
      <c r="C2806" s="2">
        <v>67100</v>
      </c>
      <c r="D2806" t="s">
        <v>21</v>
      </c>
      <c r="E2806" s="2">
        <v>19200</v>
      </c>
      <c r="F2806" s="2">
        <v>0</v>
      </c>
      <c r="G2806" t="s">
        <v>26</v>
      </c>
      <c r="H2806" t="s">
        <v>17</v>
      </c>
      <c r="I2806" t="s">
        <v>18</v>
      </c>
      <c r="J2806" s="3">
        <v>45690</v>
      </c>
      <c r="K2806" s="4">
        <f>ClientiBanca[[#This Row],[Prestito]]+ClientiBanca[[#This Row],[Mutuo]]</f>
        <v>19200</v>
      </c>
      <c r="L2806" t="str">
        <f>IF(ClientiBanca[[#This Row],[Reddito annuo]]&gt;=70000,"si","no")</f>
        <v>no</v>
      </c>
    </row>
    <row r="2807" spans="1:12">
      <c r="A2807">
        <v>102806</v>
      </c>
      <c r="B2807">
        <v>33</v>
      </c>
      <c r="C2807" s="2">
        <v>83000</v>
      </c>
      <c r="D2807" t="s">
        <v>12</v>
      </c>
      <c r="E2807" s="2">
        <v>52000</v>
      </c>
      <c r="F2807" s="2">
        <v>0</v>
      </c>
      <c r="G2807" t="s">
        <v>16</v>
      </c>
      <c r="H2807" t="s">
        <v>17</v>
      </c>
      <c r="I2807" t="s">
        <v>18</v>
      </c>
      <c r="J2807" s="3">
        <v>46085</v>
      </c>
      <c r="K2807" s="4">
        <f>ClientiBanca[[#This Row],[Prestito]]+ClientiBanca[[#This Row],[Mutuo]]</f>
        <v>52000</v>
      </c>
      <c r="L2807" t="str">
        <f>IF(ClientiBanca[[#This Row],[Reddito annuo]]&gt;=70000,"si","no")</f>
        <v>si</v>
      </c>
    </row>
    <row r="2808" spans="1:12">
      <c r="A2808">
        <v>102807</v>
      </c>
      <c r="B2808">
        <v>59</v>
      </c>
      <c r="C2808" s="2">
        <v>29100</v>
      </c>
      <c r="D2808" t="s">
        <v>12</v>
      </c>
      <c r="E2808" s="2">
        <v>23700</v>
      </c>
      <c r="F2808" s="2">
        <v>0</v>
      </c>
      <c r="G2808" t="s">
        <v>28</v>
      </c>
      <c r="H2808" t="s">
        <v>20</v>
      </c>
      <c r="I2808" t="s">
        <v>18</v>
      </c>
      <c r="J2808" s="3">
        <v>46038</v>
      </c>
      <c r="K2808" s="4">
        <f>ClientiBanca[[#This Row],[Prestito]]+ClientiBanca[[#This Row],[Mutuo]]</f>
        <v>23700</v>
      </c>
      <c r="L2808" t="str">
        <f>IF(ClientiBanca[[#This Row],[Reddito annuo]]&gt;=70000,"si","no")</f>
        <v>no</v>
      </c>
    </row>
    <row r="2809" spans="1:12">
      <c r="A2809">
        <v>102808</v>
      </c>
      <c r="B2809">
        <v>22</v>
      </c>
      <c r="C2809" s="2">
        <v>64300</v>
      </c>
      <c r="D2809" t="s">
        <v>12</v>
      </c>
      <c r="E2809" s="2">
        <v>17700</v>
      </c>
      <c r="F2809" s="2">
        <v>204000</v>
      </c>
      <c r="G2809" t="s">
        <v>23</v>
      </c>
      <c r="H2809" t="s">
        <v>17</v>
      </c>
      <c r="I2809" t="s">
        <v>18</v>
      </c>
      <c r="J2809" s="3">
        <v>46239</v>
      </c>
      <c r="K2809" s="4">
        <f>ClientiBanca[[#This Row],[Prestito]]+ClientiBanca[[#This Row],[Mutuo]]</f>
        <v>221700</v>
      </c>
      <c r="L2809" t="str">
        <f>IF(ClientiBanca[[#This Row],[Reddito annuo]]&gt;=70000,"si","no")</f>
        <v>no</v>
      </c>
    </row>
    <row r="2810" spans="1:12">
      <c r="A2810">
        <v>102809</v>
      </c>
      <c r="B2810">
        <v>25</v>
      </c>
      <c r="C2810" s="2">
        <v>54300</v>
      </c>
      <c r="D2810" t="s">
        <v>12</v>
      </c>
      <c r="E2810" s="2">
        <v>19100</v>
      </c>
      <c r="F2810" s="2">
        <v>0</v>
      </c>
      <c r="G2810" t="s">
        <v>28</v>
      </c>
      <c r="H2810" t="s">
        <v>20</v>
      </c>
      <c r="I2810" t="s">
        <v>18</v>
      </c>
      <c r="J2810" s="3">
        <v>45321</v>
      </c>
      <c r="K2810" s="4">
        <f>ClientiBanca[[#This Row],[Prestito]]+ClientiBanca[[#This Row],[Mutuo]]</f>
        <v>19100</v>
      </c>
      <c r="L2810" t="str">
        <f>IF(ClientiBanca[[#This Row],[Reddito annuo]]&gt;=70000,"si","no")</f>
        <v>no</v>
      </c>
    </row>
    <row r="2811" spans="1:12">
      <c r="A2811">
        <v>102810</v>
      </c>
      <c r="B2811">
        <v>50</v>
      </c>
      <c r="C2811" s="2">
        <v>74900</v>
      </c>
      <c r="D2811" t="s">
        <v>21</v>
      </c>
      <c r="E2811" s="2">
        <v>46900</v>
      </c>
      <c r="F2811" s="2">
        <v>0</v>
      </c>
      <c r="G2811" t="s">
        <v>24</v>
      </c>
      <c r="H2811" t="s">
        <v>17</v>
      </c>
      <c r="I2811" t="s">
        <v>18</v>
      </c>
      <c r="J2811" s="3">
        <v>45953</v>
      </c>
      <c r="K2811" s="4">
        <f>ClientiBanca[[#This Row],[Prestito]]+ClientiBanca[[#This Row],[Mutuo]]</f>
        <v>46900</v>
      </c>
      <c r="L2811" t="str">
        <f>IF(ClientiBanca[[#This Row],[Reddito annuo]]&gt;=70000,"si","no")</f>
        <v>si</v>
      </c>
    </row>
    <row r="2812" spans="1:12">
      <c r="A2812">
        <v>102811</v>
      </c>
      <c r="B2812">
        <v>30</v>
      </c>
      <c r="C2812" s="2">
        <v>78900</v>
      </c>
      <c r="D2812" t="s">
        <v>22</v>
      </c>
      <c r="E2812" s="2">
        <v>40700</v>
      </c>
      <c r="F2812" s="2">
        <v>0</v>
      </c>
      <c r="G2812" t="s">
        <v>23</v>
      </c>
      <c r="H2812" t="s">
        <v>17</v>
      </c>
      <c r="I2812" t="s">
        <v>18</v>
      </c>
      <c r="J2812" s="3">
        <v>45981</v>
      </c>
      <c r="K2812" s="4">
        <f>ClientiBanca[[#This Row],[Prestito]]+ClientiBanca[[#This Row],[Mutuo]]</f>
        <v>40700</v>
      </c>
      <c r="L2812" t="str">
        <f>IF(ClientiBanca[[#This Row],[Reddito annuo]]&gt;=70000,"si","no")</f>
        <v>si</v>
      </c>
    </row>
    <row r="2813" spans="1:12">
      <c r="A2813">
        <v>102812</v>
      </c>
      <c r="B2813">
        <v>35</v>
      </c>
      <c r="C2813" s="2">
        <v>40300</v>
      </c>
      <c r="D2813" t="s">
        <v>21</v>
      </c>
      <c r="E2813" s="2">
        <v>50400</v>
      </c>
      <c r="F2813" s="2">
        <v>217000</v>
      </c>
      <c r="G2813" t="s">
        <v>26</v>
      </c>
      <c r="H2813" t="s">
        <v>17</v>
      </c>
      <c r="I2813" t="s">
        <v>18</v>
      </c>
      <c r="J2813" s="3">
        <v>46071</v>
      </c>
      <c r="K2813" s="4">
        <f>ClientiBanca[[#This Row],[Prestito]]+ClientiBanca[[#This Row],[Mutuo]]</f>
        <v>267400</v>
      </c>
      <c r="L2813" t="str">
        <f>IF(ClientiBanca[[#This Row],[Reddito annuo]]&gt;=70000,"si","no")</f>
        <v>no</v>
      </c>
    </row>
    <row r="2814" spans="1:12">
      <c r="A2814">
        <v>102813</v>
      </c>
      <c r="B2814">
        <v>55</v>
      </c>
      <c r="C2814" s="2">
        <v>94600</v>
      </c>
      <c r="D2814" t="s">
        <v>21</v>
      </c>
      <c r="E2814" s="2">
        <v>44100</v>
      </c>
      <c r="F2814" s="2">
        <v>165000</v>
      </c>
      <c r="G2814" t="s">
        <v>19</v>
      </c>
      <c r="H2814" t="s">
        <v>20</v>
      </c>
      <c r="I2814" t="s">
        <v>18</v>
      </c>
      <c r="J2814" s="3">
        <v>45741</v>
      </c>
      <c r="K2814" s="4">
        <f>ClientiBanca[[#This Row],[Prestito]]+ClientiBanca[[#This Row],[Mutuo]]</f>
        <v>209100</v>
      </c>
      <c r="L2814" t="str">
        <f>IF(ClientiBanca[[#This Row],[Reddito annuo]]&gt;=70000,"si","no")</f>
        <v>si</v>
      </c>
    </row>
    <row r="2815" spans="1:12">
      <c r="A2815">
        <v>102814</v>
      </c>
      <c r="B2815">
        <v>46</v>
      </c>
      <c r="C2815" s="2">
        <v>50000</v>
      </c>
      <c r="D2815" t="s">
        <v>22</v>
      </c>
      <c r="E2815" s="2">
        <v>44200</v>
      </c>
      <c r="F2815" s="2">
        <v>0</v>
      </c>
      <c r="G2815" t="s">
        <v>13</v>
      </c>
      <c r="H2815" t="s">
        <v>25</v>
      </c>
      <c r="I2815" t="s">
        <v>18</v>
      </c>
      <c r="J2815" s="3">
        <v>45572</v>
      </c>
      <c r="K2815" s="4">
        <f>ClientiBanca[[#This Row],[Prestito]]+ClientiBanca[[#This Row],[Mutuo]]</f>
        <v>44200</v>
      </c>
      <c r="L2815" t="str">
        <f>IF(ClientiBanca[[#This Row],[Reddito annuo]]&gt;=70000,"si","no")</f>
        <v>no</v>
      </c>
    </row>
    <row r="2816" spans="1:12">
      <c r="A2816">
        <v>102815</v>
      </c>
      <c r="B2816">
        <v>20</v>
      </c>
      <c r="C2816" s="2">
        <v>68200</v>
      </c>
      <c r="D2816" t="s">
        <v>12</v>
      </c>
      <c r="E2816" s="2">
        <v>33400</v>
      </c>
      <c r="F2816" s="2">
        <v>216000</v>
      </c>
      <c r="G2816" t="s">
        <v>13</v>
      </c>
      <c r="H2816" t="s">
        <v>14</v>
      </c>
      <c r="I2816" t="s">
        <v>18</v>
      </c>
      <c r="J2816" s="3">
        <v>45619</v>
      </c>
      <c r="K2816" s="4">
        <f>ClientiBanca[[#This Row],[Prestito]]+ClientiBanca[[#This Row],[Mutuo]]</f>
        <v>249400</v>
      </c>
      <c r="L2816" t="str">
        <f>IF(ClientiBanca[[#This Row],[Reddito annuo]]&gt;=70000,"si","no")</f>
        <v>no</v>
      </c>
    </row>
    <row r="2817" spans="1:12">
      <c r="A2817">
        <v>102816</v>
      </c>
      <c r="B2817">
        <v>39</v>
      </c>
      <c r="C2817" s="2">
        <v>89200</v>
      </c>
      <c r="D2817" t="s">
        <v>21</v>
      </c>
      <c r="E2817" s="2">
        <v>0</v>
      </c>
      <c r="F2817" s="2">
        <v>0</v>
      </c>
      <c r="G2817" t="s">
        <v>27</v>
      </c>
      <c r="H2817" t="s">
        <v>17</v>
      </c>
      <c r="I2817" t="s">
        <v>18</v>
      </c>
      <c r="J2817" s="3">
        <v>46136</v>
      </c>
      <c r="K2817" s="4">
        <f>ClientiBanca[[#This Row],[Prestito]]+ClientiBanca[[#This Row],[Mutuo]]</f>
        <v>0</v>
      </c>
      <c r="L2817" t="str">
        <f>IF(ClientiBanca[[#This Row],[Reddito annuo]]&gt;=70000,"si","no")</f>
        <v>si</v>
      </c>
    </row>
    <row r="2818" spans="1:12">
      <c r="A2818">
        <v>102817</v>
      </c>
      <c r="B2818">
        <v>31</v>
      </c>
      <c r="C2818" s="2">
        <v>52200</v>
      </c>
      <c r="D2818" t="s">
        <v>21</v>
      </c>
      <c r="E2818" s="2">
        <v>0</v>
      </c>
      <c r="F2818" s="2">
        <v>0</v>
      </c>
      <c r="G2818" t="s">
        <v>27</v>
      </c>
      <c r="H2818" t="s">
        <v>17</v>
      </c>
      <c r="I2818" t="s">
        <v>18</v>
      </c>
      <c r="J2818" s="3">
        <v>45617</v>
      </c>
      <c r="K2818" s="4">
        <f>ClientiBanca[[#This Row],[Prestito]]+ClientiBanca[[#This Row],[Mutuo]]</f>
        <v>0</v>
      </c>
      <c r="L2818" t="str">
        <f>IF(ClientiBanca[[#This Row],[Reddito annuo]]&gt;=70000,"si","no")</f>
        <v>no</v>
      </c>
    </row>
    <row r="2819" spans="1:12">
      <c r="A2819">
        <v>102818</v>
      </c>
      <c r="B2819">
        <v>44</v>
      </c>
      <c r="C2819" s="2">
        <v>48100</v>
      </c>
      <c r="D2819" t="s">
        <v>21</v>
      </c>
      <c r="E2819" s="2">
        <v>0</v>
      </c>
      <c r="F2819" s="2">
        <v>0</v>
      </c>
      <c r="G2819" t="s">
        <v>24</v>
      </c>
      <c r="H2819" t="s">
        <v>20</v>
      </c>
      <c r="I2819" t="s">
        <v>18</v>
      </c>
      <c r="J2819" s="3">
        <v>45470</v>
      </c>
      <c r="K2819" s="4">
        <f>ClientiBanca[[#This Row],[Prestito]]+ClientiBanca[[#This Row],[Mutuo]]</f>
        <v>0</v>
      </c>
      <c r="L2819" t="str">
        <f>IF(ClientiBanca[[#This Row],[Reddito annuo]]&gt;=70000,"si","no")</f>
        <v>no</v>
      </c>
    </row>
    <row r="2820" spans="1:12">
      <c r="A2820">
        <v>102819</v>
      </c>
      <c r="B2820">
        <v>35</v>
      </c>
      <c r="C2820" s="2">
        <v>58400</v>
      </c>
      <c r="D2820" t="s">
        <v>12</v>
      </c>
      <c r="E2820" s="2">
        <v>43900</v>
      </c>
      <c r="F2820" s="2">
        <v>0</v>
      </c>
      <c r="G2820" t="s">
        <v>24</v>
      </c>
      <c r="H2820" t="s">
        <v>14</v>
      </c>
      <c r="I2820" t="s">
        <v>18</v>
      </c>
      <c r="J2820" s="3">
        <v>45531</v>
      </c>
      <c r="K2820" s="4">
        <f>ClientiBanca[[#This Row],[Prestito]]+ClientiBanca[[#This Row],[Mutuo]]</f>
        <v>43900</v>
      </c>
      <c r="L2820" t="str">
        <f>IF(ClientiBanca[[#This Row],[Reddito annuo]]&gt;=70000,"si","no")</f>
        <v>no</v>
      </c>
    </row>
    <row r="2821" spans="1:12">
      <c r="A2821">
        <v>102820</v>
      </c>
      <c r="B2821">
        <v>34</v>
      </c>
      <c r="C2821" s="2">
        <v>62500</v>
      </c>
      <c r="D2821" t="s">
        <v>21</v>
      </c>
      <c r="E2821" s="2">
        <v>57600</v>
      </c>
      <c r="F2821" s="2">
        <v>0</v>
      </c>
      <c r="G2821" t="s">
        <v>23</v>
      </c>
      <c r="H2821" t="s">
        <v>17</v>
      </c>
      <c r="I2821" t="s">
        <v>15</v>
      </c>
      <c r="J2821" s="3">
        <v>45928</v>
      </c>
      <c r="K2821" s="4">
        <f>ClientiBanca[[#This Row],[Prestito]]+ClientiBanca[[#This Row],[Mutuo]]</f>
        <v>57600</v>
      </c>
      <c r="L2821" t="str">
        <f>IF(ClientiBanca[[#This Row],[Reddito annuo]]&gt;=70000,"si","no")</f>
        <v>no</v>
      </c>
    </row>
    <row r="2822" spans="1:12">
      <c r="A2822">
        <v>102821</v>
      </c>
      <c r="B2822">
        <v>70</v>
      </c>
      <c r="C2822" s="2">
        <v>42900</v>
      </c>
      <c r="D2822" t="s">
        <v>12</v>
      </c>
      <c r="E2822" s="2">
        <v>43200</v>
      </c>
      <c r="F2822" s="2">
        <v>0</v>
      </c>
      <c r="G2822" t="s">
        <v>26</v>
      </c>
      <c r="H2822" t="s">
        <v>20</v>
      </c>
      <c r="I2822" t="s">
        <v>18</v>
      </c>
      <c r="J2822" s="3">
        <v>45473</v>
      </c>
      <c r="K2822" s="4">
        <f>ClientiBanca[[#This Row],[Prestito]]+ClientiBanca[[#This Row],[Mutuo]]</f>
        <v>43200</v>
      </c>
      <c r="L2822" t="str">
        <f>IF(ClientiBanca[[#This Row],[Reddito annuo]]&gt;=70000,"si","no")</f>
        <v>no</v>
      </c>
    </row>
    <row r="2823" spans="1:12">
      <c r="A2823">
        <v>102822</v>
      </c>
      <c r="B2823">
        <v>52</v>
      </c>
      <c r="C2823" s="2">
        <v>79800</v>
      </c>
      <c r="D2823" t="s">
        <v>21</v>
      </c>
      <c r="E2823" s="2">
        <v>54900</v>
      </c>
      <c r="F2823" s="2">
        <v>0</v>
      </c>
      <c r="G2823" t="s">
        <v>23</v>
      </c>
      <c r="H2823" t="s">
        <v>14</v>
      </c>
      <c r="I2823" t="s">
        <v>18</v>
      </c>
      <c r="J2823" s="3">
        <v>45775</v>
      </c>
      <c r="K2823" s="4">
        <f>ClientiBanca[[#This Row],[Prestito]]+ClientiBanca[[#This Row],[Mutuo]]</f>
        <v>54900</v>
      </c>
      <c r="L2823" t="str">
        <f>IF(ClientiBanca[[#This Row],[Reddito annuo]]&gt;=70000,"si","no")</f>
        <v>si</v>
      </c>
    </row>
    <row r="2824" spans="1:12">
      <c r="A2824">
        <v>102823</v>
      </c>
      <c r="B2824">
        <v>43</v>
      </c>
      <c r="C2824" s="2">
        <v>34600</v>
      </c>
      <c r="D2824" t="s">
        <v>22</v>
      </c>
      <c r="E2824" s="2">
        <v>30200</v>
      </c>
      <c r="F2824" s="2">
        <v>0</v>
      </c>
      <c r="G2824" t="s">
        <v>27</v>
      </c>
      <c r="H2824" t="s">
        <v>17</v>
      </c>
      <c r="I2824" t="s">
        <v>18</v>
      </c>
      <c r="J2824" s="3">
        <v>45662</v>
      </c>
      <c r="K2824" s="4">
        <f>ClientiBanca[[#This Row],[Prestito]]+ClientiBanca[[#This Row],[Mutuo]]</f>
        <v>30200</v>
      </c>
      <c r="L2824" t="str">
        <f>IF(ClientiBanca[[#This Row],[Reddito annuo]]&gt;=70000,"si","no")</f>
        <v>no</v>
      </c>
    </row>
    <row r="2825" spans="1:12">
      <c r="A2825">
        <v>102824</v>
      </c>
      <c r="B2825">
        <v>71</v>
      </c>
      <c r="C2825" s="2">
        <v>46200</v>
      </c>
      <c r="D2825" t="s">
        <v>21</v>
      </c>
      <c r="E2825" s="2">
        <v>0</v>
      </c>
      <c r="F2825" s="2">
        <v>349000</v>
      </c>
      <c r="G2825" t="s">
        <v>24</v>
      </c>
      <c r="H2825" t="s">
        <v>17</v>
      </c>
      <c r="I2825" t="s">
        <v>18</v>
      </c>
      <c r="J2825" s="3">
        <v>45643</v>
      </c>
      <c r="K2825" s="4">
        <f>ClientiBanca[[#This Row],[Prestito]]+ClientiBanca[[#This Row],[Mutuo]]</f>
        <v>349000</v>
      </c>
      <c r="L2825" t="str">
        <f>IF(ClientiBanca[[#This Row],[Reddito annuo]]&gt;=70000,"si","no")</f>
        <v>no</v>
      </c>
    </row>
    <row r="2826" spans="1:12">
      <c r="A2826">
        <v>102825</v>
      </c>
      <c r="B2826">
        <v>21</v>
      </c>
      <c r="C2826" s="2">
        <v>56400</v>
      </c>
      <c r="D2826" t="s">
        <v>21</v>
      </c>
      <c r="E2826" s="2">
        <v>0</v>
      </c>
      <c r="F2826" s="2">
        <v>309000</v>
      </c>
      <c r="G2826" t="s">
        <v>24</v>
      </c>
      <c r="H2826" t="s">
        <v>25</v>
      </c>
      <c r="I2826" t="s">
        <v>18</v>
      </c>
      <c r="J2826" s="3">
        <v>46165</v>
      </c>
      <c r="K2826" s="4">
        <f>ClientiBanca[[#This Row],[Prestito]]+ClientiBanca[[#This Row],[Mutuo]]</f>
        <v>309000</v>
      </c>
      <c r="L2826" t="str">
        <f>IF(ClientiBanca[[#This Row],[Reddito annuo]]&gt;=70000,"si","no")</f>
        <v>no</v>
      </c>
    </row>
    <row r="2827" spans="1:12">
      <c r="A2827">
        <v>102826</v>
      </c>
      <c r="B2827">
        <v>55</v>
      </c>
      <c r="C2827" s="2">
        <v>69900</v>
      </c>
      <c r="D2827" t="s">
        <v>22</v>
      </c>
      <c r="E2827" s="2">
        <v>0</v>
      </c>
      <c r="F2827" s="2">
        <v>0</v>
      </c>
      <c r="G2827" t="s">
        <v>26</v>
      </c>
      <c r="H2827" t="s">
        <v>14</v>
      </c>
      <c r="I2827" t="s">
        <v>18</v>
      </c>
      <c r="J2827" s="3">
        <v>46235</v>
      </c>
      <c r="K2827" s="4">
        <f>ClientiBanca[[#This Row],[Prestito]]+ClientiBanca[[#This Row],[Mutuo]]</f>
        <v>0</v>
      </c>
      <c r="L2827" t="str">
        <f>IF(ClientiBanca[[#This Row],[Reddito annuo]]&gt;=70000,"si","no")</f>
        <v>no</v>
      </c>
    </row>
    <row r="2828" spans="1:12">
      <c r="A2828">
        <v>102827</v>
      </c>
      <c r="B2828">
        <v>50</v>
      </c>
      <c r="C2828" s="2">
        <v>90700</v>
      </c>
      <c r="D2828" t="s">
        <v>22</v>
      </c>
      <c r="E2828" s="2">
        <v>29700</v>
      </c>
      <c r="F2828" s="2">
        <v>0</v>
      </c>
      <c r="G2828" t="s">
        <v>16</v>
      </c>
      <c r="H2828" t="s">
        <v>20</v>
      </c>
      <c r="I2828" t="s">
        <v>18</v>
      </c>
      <c r="J2828" s="3">
        <v>45907</v>
      </c>
      <c r="K2828" s="4">
        <f>ClientiBanca[[#This Row],[Prestito]]+ClientiBanca[[#This Row],[Mutuo]]</f>
        <v>29700</v>
      </c>
      <c r="L2828" t="str">
        <f>IF(ClientiBanca[[#This Row],[Reddito annuo]]&gt;=70000,"si","no")</f>
        <v>si</v>
      </c>
    </row>
    <row r="2829" spans="1:12">
      <c r="A2829">
        <v>102828</v>
      </c>
      <c r="B2829">
        <v>26</v>
      </c>
      <c r="C2829" s="2">
        <v>90200</v>
      </c>
      <c r="D2829" t="s">
        <v>21</v>
      </c>
      <c r="E2829" s="2">
        <v>21500</v>
      </c>
      <c r="F2829" s="2">
        <v>219000</v>
      </c>
      <c r="G2829" t="s">
        <v>23</v>
      </c>
      <c r="H2829" t="s">
        <v>20</v>
      </c>
      <c r="I2829" t="s">
        <v>18</v>
      </c>
      <c r="J2829" s="3">
        <v>46109</v>
      </c>
      <c r="K2829" s="4">
        <f>ClientiBanca[[#This Row],[Prestito]]+ClientiBanca[[#This Row],[Mutuo]]</f>
        <v>240500</v>
      </c>
      <c r="L2829" t="str">
        <f>IF(ClientiBanca[[#This Row],[Reddito annuo]]&gt;=70000,"si","no")</f>
        <v>si</v>
      </c>
    </row>
    <row r="2830" spans="1:12">
      <c r="A2830">
        <v>102829</v>
      </c>
      <c r="B2830">
        <v>57</v>
      </c>
      <c r="C2830" s="2">
        <v>49400</v>
      </c>
      <c r="D2830" t="s">
        <v>21</v>
      </c>
      <c r="E2830" s="2">
        <v>31300</v>
      </c>
      <c r="F2830" s="2">
        <v>0</v>
      </c>
      <c r="G2830" t="s">
        <v>26</v>
      </c>
      <c r="H2830" t="s">
        <v>14</v>
      </c>
      <c r="I2830" t="s">
        <v>18</v>
      </c>
      <c r="J2830" s="3">
        <v>45703</v>
      </c>
      <c r="K2830" s="4">
        <f>ClientiBanca[[#This Row],[Prestito]]+ClientiBanca[[#This Row],[Mutuo]]</f>
        <v>31300</v>
      </c>
      <c r="L2830" t="str">
        <f>IF(ClientiBanca[[#This Row],[Reddito annuo]]&gt;=70000,"si","no")</f>
        <v>no</v>
      </c>
    </row>
    <row r="2831" spans="1:12">
      <c r="A2831">
        <v>102830</v>
      </c>
      <c r="B2831">
        <v>62</v>
      </c>
      <c r="C2831" s="2">
        <v>51700</v>
      </c>
      <c r="D2831" t="s">
        <v>22</v>
      </c>
      <c r="E2831" s="2">
        <v>39000</v>
      </c>
      <c r="F2831" s="2">
        <v>0</v>
      </c>
      <c r="G2831" t="s">
        <v>26</v>
      </c>
      <c r="H2831" t="s">
        <v>17</v>
      </c>
      <c r="I2831" t="s">
        <v>18</v>
      </c>
      <c r="J2831" s="3">
        <v>45401</v>
      </c>
      <c r="K2831" s="4">
        <f>ClientiBanca[[#This Row],[Prestito]]+ClientiBanca[[#This Row],[Mutuo]]</f>
        <v>39000</v>
      </c>
      <c r="L2831" t="str">
        <f>IF(ClientiBanca[[#This Row],[Reddito annuo]]&gt;=70000,"si","no")</f>
        <v>no</v>
      </c>
    </row>
    <row r="2832" spans="1:12">
      <c r="A2832">
        <v>102831</v>
      </c>
      <c r="B2832">
        <v>49</v>
      </c>
      <c r="C2832" s="2">
        <v>75600</v>
      </c>
      <c r="D2832" t="s">
        <v>22</v>
      </c>
      <c r="E2832" s="2">
        <v>60600</v>
      </c>
      <c r="F2832" s="2">
        <v>0</v>
      </c>
      <c r="G2832" t="s">
        <v>27</v>
      </c>
      <c r="H2832" t="s">
        <v>20</v>
      </c>
      <c r="I2832" t="s">
        <v>18</v>
      </c>
      <c r="J2832" s="3">
        <v>45742</v>
      </c>
      <c r="K2832" s="4">
        <f>ClientiBanca[[#This Row],[Prestito]]+ClientiBanca[[#This Row],[Mutuo]]</f>
        <v>60600</v>
      </c>
      <c r="L2832" t="str">
        <f>IF(ClientiBanca[[#This Row],[Reddito annuo]]&gt;=70000,"si","no")</f>
        <v>si</v>
      </c>
    </row>
    <row r="2833" spans="1:12">
      <c r="A2833">
        <v>102832</v>
      </c>
      <c r="B2833">
        <v>25</v>
      </c>
      <c r="C2833" s="2">
        <v>32700</v>
      </c>
      <c r="D2833" t="s">
        <v>22</v>
      </c>
      <c r="E2833" s="2">
        <v>35100</v>
      </c>
      <c r="F2833" s="2">
        <v>0</v>
      </c>
      <c r="G2833" t="s">
        <v>28</v>
      </c>
      <c r="H2833" t="s">
        <v>20</v>
      </c>
      <c r="I2833" t="s">
        <v>18</v>
      </c>
      <c r="J2833" s="3">
        <v>46141</v>
      </c>
      <c r="K2833" s="4">
        <f>ClientiBanca[[#This Row],[Prestito]]+ClientiBanca[[#This Row],[Mutuo]]</f>
        <v>35100</v>
      </c>
      <c r="L2833" t="str">
        <f>IF(ClientiBanca[[#This Row],[Reddito annuo]]&gt;=70000,"si","no")</f>
        <v>no</v>
      </c>
    </row>
    <row r="2834" spans="1:12">
      <c r="A2834">
        <v>102833</v>
      </c>
      <c r="B2834">
        <v>42</v>
      </c>
      <c r="C2834" s="2">
        <v>54300</v>
      </c>
      <c r="D2834" t="s">
        <v>12</v>
      </c>
      <c r="E2834" s="2">
        <v>25300</v>
      </c>
      <c r="F2834" s="2">
        <v>0</v>
      </c>
      <c r="G2834" t="s">
        <v>16</v>
      </c>
      <c r="H2834" t="s">
        <v>25</v>
      </c>
      <c r="I2834" t="s">
        <v>18</v>
      </c>
      <c r="J2834" s="3">
        <v>45685</v>
      </c>
      <c r="K2834" s="4">
        <f>ClientiBanca[[#This Row],[Prestito]]+ClientiBanca[[#This Row],[Mutuo]]</f>
        <v>25300</v>
      </c>
      <c r="L2834" t="str">
        <f>IF(ClientiBanca[[#This Row],[Reddito annuo]]&gt;=70000,"si","no")</f>
        <v>no</v>
      </c>
    </row>
    <row r="2835" spans="1:12">
      <c r="A2835">
        <v>102834</v>
      </c>
      <c r="B2835">
        <v>51</v>
      </c>
      <c r="C2835" s="2">
        <v>72300</v>
      </c>
      <c r="D2835" t="s">
        <v>21</v>
      </c>
      <c r="E2835" s="2">
        <v>0</v>
      </c>
      <c r="F2835" s="2">
        <v>0</v>
      </c>
      <c r="G2835" t="s">
        <v>23</v>
      </c>
      <c r="H2835" t="s">
        <v>20</v>
      </c>
      <c r="I2835" t="s">
        <v>18</v>
      </c>
      <c r="J2835" s="3">
        <v>45504</v>
      </c>
      <c r="K2835" s="4">
        <f>ClientiBanca[[#This Row],[Prestito]]+ClientiBanca[[#This Row],[Mutuo]]</f>
        <v>0</v>
      </c>
      <c r="L2835" t="str">
        <f>IF(ClientiBanca[[#This Row],[Reddito annuo]]&gt;=70000,"si","no")</f>
        <v>si</v>
      </c>
    </row>
    <row r="2836" spans="1:12">
      <c r="A2836">
        <v>102835</v>
      </c>
      <c r="B2836">
        <v>43</v>
      </c>
      <c r="C2836" s="2">
        <v>68100</v>
      </c>
      <c r="D2836" t="s">
        <v>12</v>
      </c>
      <c r="E2836" s="2">
        <v>34700</v>
      </c>
      <c r="F2836" s="2">
        <v>374000</v>
      </c>
      <c r="G2836" t="s">
        <v>26</v>
      </c>
      <c r="H2836" t="s">
        <v>17</v>
      </c>
      <c r="I2836" t="s">
        <v>18</v>
      </c>
      <c r="J2836" s="3">
        <v>45953</v>
      </c>
      <c r="K2836" s="4">
        <f>ClientiBanca[[#This Row],[Prestito]]+ClientiBanca[[#This Row],[Mutuo]]</f>
        <v>408700</v>
      </c>
      <c r="L2836" t="str">
        <f>IF(ClientiBanca[[#This Row],[Reddito annuo]]&gt;=70000,"si","no")</f>
        <v>no</v>
      </c>
    </row>
    <row r="2837" spans="1:12">
      <c r="A2837">
        <v>102836</v>
      </c>
      <c r="B2837">
        <v>41</v>
      </c>
      <c r="C2837" s="2">
        <v>83600</v>
      </c>
      <c r="D2837" t="s">
        <v>21</v>
      </c>
      <c r="E2837" s="2">
        <v>53600</v>
      </c>
      <c r="F2837" s="2">
        <v>177000</v>
      </c>
      <c r="G2837" t="s">
        <v>27</v>
      </c>
      <c r="H2837" t="s">
        <v>20</v>
      </c>
      <c r="I2837" t="s">
        <v>18</v>
      </c>
      <c r="J2837" s="3">
        <v>46214</v>
      </c>
      <c r="K2837" s="4">
        <f>ClientiBanca[[#This Row],[Prestito]]+ClientiBanca[[#This Row],[Mutuo]]</f>
        <v>230600</v>
      </c>
      <c r="L2837" t="str">
        <f>IF(ClientiBanca[[#This Row],[Reddito annuo]]&gt;=70000,"si","no")</f>
        <v>si</v>
      </c>
    </row>
    <row r="2838" spans="1:12">
      <c r="A2838">
        <v>102837</v>
      </c>
      <c r="B2838">
        <v>36</v>
      </c>
      <c r="C2838" s="2">
        <v>98800</v>
      </c>
      <c r="D2838" t="s">
        <v>12</v>
      </c>
      <c r="E2838" s="2">
        <v>32100</v>
      </c>
      <c r="F2838" s="2">
        <v>0</v>
      </c>
      <c r="G2838" t="s">
        <v>24</v>
      </c>
      <c r="H2838" t="s">
        <v>14</v>
      </c>
      <c r="I2838" t="s">
        <v>18</v>
      </c>
      <c r="J2838" s="3">
        <v>45419</v>
      </c>
      <c r="K2838" s="4">
        <f>ClientiBanca[[#This Row],[Prestito]]+ClientiBanca[[#This Row],[Mutuo]]</f>
        <v>32100</v>
      </c>
      <c r="L2838" t="str">
        <f>IF(ClientiBanca[[#This Row],[Reddito annuo]]&gt;=70000,"si","no")</f>
        <v>si</v>
      </c>
    </row>
    <row r="2839" spans="1:12">
      <c r="A2839">
        <v>102838</v>
      </c>
      <c r="B2839">
        <v>39</v>
      </c>
      <c r="C2839" s="2">
        <v>109900</v>
      </c>
      <c r="D2839" t="s">
        <v>22</v>
      </c>
      <c r="E2839" s="2">
        <v>78800</v>
      </c>
      <c r="F2839" s="2">
        <v>0</v>
      </c>
      <c r="G2839" t="s">
        <v>23</v>
      </c>
      <c r="H2839" t="s">
        <v>17</v>
      </c>
      <c r="I2839" t="s">
        <v>18</v>
      </c>
      <c r="J2839" s="3">
        <v>45794</v>
      </c>
      <c r="K2839" s="4">
        <f>ClientiBanca[[#This Row],[Prestito]]+ClientiBanca[[#This Row],[Mutuo]]</f>
        <v>78800</v>
      </c>
      <c r="L2839" t="str">
        <f>IF(ClientiBanca[[#This Row],[Reddito annuo]]&gt;=70000,"si","no")</f>
        <v>si</v>
      </c>
    </row>
    <row r="2840" spans="1:12">
      <c r="A2840">
        <v>102839</v>
      </c>
      <c r="B2840">
        <v>47</v>
      </c>
      <c r="C2840" s="2">
        <v>79800</v>
      </c>
      <c r="D2840" t="s">
        <v>12</v>
      </c>
      <c r="E2840" s="2">
        <v>0</v>
      </c>
      <c r="F2840" s="2">
        <v>0</v>
      </c>
      <c r="G2840" t="s">
        <v>13</v>
      </c>
      <c r="H2840" t="s">
        <v>17</v>
      </c>
      <c r="I2840" t="s">
        <v>18</v>
      </c>
      <c r="J2840" s="3">
        <v>46070</v>
      </c>
      <c r="K2840" s="4">
        <f>ClientiBanca[[#This Row],[Prestito]]+ClientiBanca[[#This Row],[Mutuo]]</f>
        <v>0</v>
      </c>
      <c r="L2840" t="str">
        <f>IF(ClientiBanca[[#This Row],[Reddito annuo]]&gt;=70000,"si","no")</f>
        <v>si</v>
      </c>
    </row>
    <row r="2841" spans="1:12">
      <c r="A2841">
        <v>102840</v>
      </c>
      <c r="B2841">
        <v>68</v>
      </c>
      <c r="C2841" s="2">
        <v>44000</v>
      </c>
      <c r="D2841" t="s">
        <v>12</v>
      </c>
      <c r="E2841" s="2">
        <v>50900</v>
      </c>
      <c r="F2841" s="2">
        <v>0</v>
      </c>
      <c r="G2841" t="s">
        <v>27</v>
      </c>
      <c r="H2841" t="s">
        <v>14</v>
      </c>
      <c r="I2841" t="s">
        <v>18</v>
      </c>
      <c r="J2841" s="3">
        <v>45816</v>
      </c>
      <c r="K2841" s="4">
        <f>ClientiBanca[[#This Row],[Prestito]]+ClientiBanca[[#This Row],[Mutuo]]</f>
        <v>50900</v>
      </c>
      <c r="L2841" t="str">
        <f>IF(ClientiBanca[[#This Row],[Reddito annuo]]&gt;=70000,"si","no")</f>
        <v>no</v>
      </c>
    </row>
    <row r="2842" spans="1:12">
      <c r="A2842">
        <v>102841</v>
      </c>
      <c r="B2842">
        <v>42</v>
      </c>
      <c r="C2842" s="2">
        <v>42400</v>
      </c>
      <c r="D2842" t="s">
        <v>12</v>
      </c>
      <c r="E2842" s="2">
        <v>51800</v>
      </c>
      <c r="F2842" s="2">
        <v>0</v>
      </c>
      <c r="G2842" t="s">
        <v>24</v>
      </c>
      <c r="H2842" t="s">
        <v>17</v>
      </c>
      <c r="I2842" t="s">
        <v>18</v>
      </c>
      <c r="J2842" s="3">
        <v>45907</v>
      </c>
      <c r="K2842" s="4">
        <f>ClientiBanca[[#This Row],[Prestito]]+ClientiBanca[[#This Row],[Mutuo]]</f>
        <v>51800</v>
      </c>
      <c r="L2842" t="str">
        <f>IF(ClientiBanca[[#This Row],[Reddito annuo]]&gt;=70000,"si","no")</f>
        <v>no</v>
      </c>
    </row>
    <row r="2843" spans="1:12">
      <c r="A2843">
        <v>102842</v>
      </c>
      <c r="B2843">
        <v>41</v>
      </c>
      <c r="C2843" s="2">
        <v>33000</v>
      </c>
      <c r="D2843" t="s">
        <v>12</v>
      </c>
      <c r="E2843" s="2">
        <v>3500</v>
      </c>
      <c r="F2843" s="2">
        <v>0</v>
      </c>
      <c r="G2843" t="s">
        <v>19</v>
      </c>
      <c r="H2843" t="s">
        <v>20</v>
      </c>
      <c r="I2843" t="s">
        <v>18</v>
      </c>
      <c r="J2843" s="3">
        <v>46017</v>
      </c>
      <c r="K2843" s="4">
        <f>ClientiBanca[[#This Row],[Prestito]]+ClientiBanca[[#This Row],[Mutuo]]</f>
        <v>3500</v>
      </c>
      <c r="L2843" t="str">
        <f>IF(ClientiBanca[[#This Row],[Reddito annuo]]&gt;=70000,"si","no")</f>
        <v>no</v>
      </c>
    </row>
    <row r="2844" spans="1:12">
      <c r="A2844">
        <v>102843</v>
      </c>
      <c r="B2844">
        <v>51</v>
      </c>
      <c r="C2844" s="2">
        <v>57000</v>
      </c>
      <c r="D2844" t="s">
        <v>12</v>
      </c>
      <c r="E2844" s="2">
        <v>0</v>
      </c>
      <c r="F2844" s="2">
        <v>153000</v>
      </c>
      <c r="G2844" t="s">
        <v>19</v>
      </c>
      <c r="H2844" t="s">
        <v>17</v>
      </c>
      <c r="I2844" t="s">
        <v>18</v>
      </c>
      <c r="J2844" s="3">
        <v>45344</v>
      </c>
      <c r="K2844" s="4">
        <f>ClientiBanca[[#This Row],[Prestito]]+ClientiBanca[[#This Row],[Mutuo]]</f>
        <v>153000</v>
      </c>
      <c r="L2844" t="str">
        <f>IF(ClientiBanca[[#This Row],[Reddito annuo]]&gt;=70000,"si","no")</f>
        <v>no</v>
      </c>
    </row>
    <row r="2845" spans="1:12">
      <c r="A2845">
        <v>102844</v>
      </c>
      <c r="B2845">
        <v>32</v>
      </c>
      <c r="C2845" s="2">
        <v>80100</v>
      </c>
      <c r="D2845" t="s">
        <v>21</v>
      </c>
      <c r="E2845" s="2">
        <v>22500</v>
      </c>
      <c r="F2845" s="2">
        <v>0</v>
      </c>
      <c r="G2845" t="s">
        <v>26</v>
      </c>
      <c r="H2845" t="s">
        <v>20</v>
      </c>
      <c r="I2845" t="s">
        <v>18</v>
      </c>
      <c r="J2845" s="3">
        <v>45678</v>
      </c>
      <c r="K2845" s="4">
        <f>ClientiBanca[[#This Row],[Prestito]]+ClientiBanca[[#This Row],[Mutuo]]</f>
        <v>22500</v>
      </c>
      <c r="L2845" t="str">
        <f>IF(ClientiBanca[[#This Row],[Reddito annuo]]&gt;=70000,"si","no")</f>
        <v>si</v>
      </c>
    </row>
    <row r="2846" spans="1:12">
      <c r="A2846">
        <v>102845</v>
      </c>
      <c r="B2846">
        <v>67</v>
      </c>
      <c r="C2846" s="2">
        <v>79300</v>
      </c>
      <c r="D2846" t="s">
        <v>21</v>
      </c>
      <c r="E2846" s="2">
        <v>12100</v>
      </c>
      <c r="F2846" s="2">
        <v>0</v>
      </c>
      <c r="G2846" t="s">
        <v>23</v>
      </c>
      <c r="H2846" t="s">
        <v>20</v>
      </c>
      <c r="I2846" t="s">
        <v>18</v>
      </c>
      <c r="J2846" s="3">
        <v>45723</v>
      </c>
      <c r="K2846" s="4">
        <f>ClientiBanca[[#This Row],[Prestito]]+ClientiBanca[[#This Row],[Mutuo]]</f>
        <v>12100</v>
      </c>
      <c r="L2846" t="str">
        <f>IF(ClientiBanca[[#This Row],[Reddito annuo]]&gt;=70000,"si","no")</f>
        <v>si</v>
      </c>
    </row>
    <row r="2847" spans="1:12">
      <c r="A2847">
        <v>102846</v>
      </c>
      <c r="B2847">
        <v>25</v>
      </c>
      <c r="C2847" s="2">
        <v>58200</v>
      </c>
      <c r="D2847" t="s">
        <v>22</v>
      </c>
      <c r="E2847" s="2">
        <v>0</v>
      </c>
      <c r="F2847" s="2">
        <v>0</v>
      </c>
      <c r="G2847" t="s">
        <v>23</v>
      </c>
      <c r="H2847" t="s">
        <v>14</v>
      </c>
      <c r="I2847" t="s">
        <v>18</v>
      </c>
      <c r="J2847" s="3">
        <v>46199</v>
      </c>
      <c r="K2847" s="4">
        <f>ClientiBanca[[#This Row],[Prestito]]+ClientiBanca[[#This Row],[Mutuo]]</f>
        <v>0</v>
      </c>
      <c r="L2847" t="str">
        <f>IF(ClientiBanca[[#This Row],[Reddito annuo]]&gt;=70000,"si","no")</f>
        <v>no</v>
      </c>
    </row>
    <row r="2848" spans="1:12">
      <c r="A2848">
        <v>102847</v>
      </c>
      <c r="B2848">
        <v>48</v>
      </c>
      <c r="C2848" s="2">
        <v>47000</v>
      </c>
      <c r="D2848" t="s">
        <v>22</v>
      </c>
      <c r="E2848" s="2">
        <v>58800</v>
      </c>
      <c r="F2848" s="2">
        <v>190000</v>
      </c>
      <c r="G2848" t="s">
        <v>24</v>
      </c>
      <c r="H2848" t="s">
        <v>17</v>
      </c>
      <c r="I2848" t="s">
        <v>18</v>
      </c>
      <c r="J2848" s="3">
        <v>45747</v>
      </c>
      <c r="K2848" s="4">
        <f>ClientiBanca[[#This Row],[Prestito]]+ClientiBanca[[#This Row],[Mutuo]]</f>
        <v>248800</v>
      </c>
      <c r="L2848" t="str">
        <f>IF(ClientiBanca[[#This Row],[Reddito annuo]]&gt;=70000,"si","no")</f>
        <v>no</v>
      </c>
    </row>
    <row r="2849" spans="1:12">
      <c r="A2849">
        <v>102848</v>
      </c>
      <c r="B2849">
        <v>54</v>
      </c>
      <c r="C2849" s="2">
        <v>47700</v>
      </c>
      <c r="D2849" t="s">
        <v>21</v>
      </c>
      <c r="E2849" s="2">
        <v>59600</v>
      </c>
      <c r="F2849" s="2">
        <v>0</v>
      </c>
      <c r="G2849" t="s">
        <v>28</v>
      </c>
      <c r="H2849" t="s">
        <v>14</v>
      </c>
      <c r="I2849" t="s">
        <v>18</v>
      </c>
      <c r="J2849" s="3">
        <v>45799</v>
      </c>
      <c r="K2849" s="4">
        <f>ClientiBanca[[#This Row],[Prestito]]+ClientiBanca[[#This Row],[Mutuo]]</f>
        <v>59600</v>
      </c>
      <c r="L2849" t="str">
        <f>IF(ClientiBanca[[#This Row],[Reddito annuo]]&gt;=70000,"si","no")</f>
        <v>no</v>
      </c>
    </row>
    <row r="2850" spans="1:12">
      <c r="A2850">
        <v>102849</v>
      </c>
      <c r="B2850">
        <v>69</v>
      </c>
      <c r="C2850" s="2">
        <v>92700</v>
      </c>
      <c r="D2850" t="s">
        <v>12</v>
      </c>
      <c r="E2850" s="2">
        <v>42900</v>
      </c>
      <c r="F2850" s="2">
        <v>0</v>
      </c>
      <c r="G2850" t="s">
        <v>19</v>
      </c>
      <c r="H2850" t="s">
        <v>20</v>
      </c>
      <c r="I2850" t="s">
        <v>18</v>
      </c>
      <c r="J2850" s="3">
        <v>45486</v>
      </c>
      <c r="K2850" s="4">
        <f>ClientiBanca[[#This Row],[Prestito]]+ClientiBanca[[#This Row],[Mutuo]]</f>
        <v>42900</v>
      </c>
      <c r="L2850" t="str">
        <f>IF(ClientiBanca[[#This Row],[Reddito annuo]]&gt;=70000,"si","no")</f>
        <v>si</v>
      </c>
    </row>
    <row r="2851" spans="1:12">
      <c r="A2851">
        <v>102850</v>
      </c>
      <c r="B2851">
        <v>48</v>
      </c>
      <c r="C2851" s="2">
        <v>80400</v>
      </c>
      <c r="D2851" t="s">
        <v>12</v>
      </c>
      <c r="E2851" s="2">
        <v>0</v>
      </c>
      <c r="F2851" s="2">
        <v>0</v>
      </c>
      <c r="G2851" t="s">
        <v>23</v>
      </c>
      <c r="H2851" t="s">
        <v>20</v>
      </c>
      <c r="I2851" t="s">
        <v>18</v>
      </c>
      <c r="J2851" s="3">
        <v>45768</v>
      </c>
      <c r="K2851" s="4">
        <f>ClientiBanca[[#This Row],[Prestito]]+ClientiBanca[[#This Row],[Mutuo]]</f>
        <v>0</v>
      </c>
      <c r="L2851" t="str">
        <f>IF(ClientiBanca[[#This Row],[Reddito annuo]]&gt;=70000,"si","no")</f>
        <v>si</v>
      </c>
    </row>
    <row r="2852" spans="1:12">
      <c r="A2852">
        <v>102851</v>
      </c>
      <c r="B2852">
        <v>46</v>
      </c>
      <c r="C2852" s="2">
        <v>64000</v>
      </c>
      <c r="D2852" t="s">
        <v>21</v>
      </c>
      <c r="E2852" s="2">
        <v>16500</v>
      </c>
      <c r="F2852" s="2">
        <v>0</v>
      </c>
      <c r="G2852" t="s">
        <v>28</v>
      </c>
      <c r="H2852" t="s">
        <v>17</v>
      </c>
      <c r="I2852" t="s">
        <v>18</v>
      </c>
      <c r="J2852" s="3">
        <v>45607</v>
      </c>
      <c r="K2852" s="4">
        <f>ClientiBanca[[#This Row],[Prestito]]+ClientiBanca[[#This Row],[Mutuo]]</f>
        <v>16500</v>
      </c>
      <c r="L2852" t="str">
        <f>IF(ClientiBanca[[#This Row],[Reddito annuo]]&gt;=70000,"si","no")</f>
        <v>no</v>
      </c>
    </row>
    <row r="2853" spans="1:12">
      <c r="A2853">
        <v>102852</v>
      </c>
      <c r="B2853">
        <v>58</v>
      </c>
      <c r="C2853" s="2">
        <v>56100</v>
      </c>
      <c r="D2853" t="s">
        <v>21</v>
      </c>
      <c r="E2853" s="2">
        <v>24200</v>
      </c>
      <c r="F2853" s="2">
        <v>0</v>
      </c>
      <c r="G2853" t="s">
        <v>23</v>
      </c>
      <c r="H2853" t="s">
        <v>17</v>
      </c>
      <c r="I2853" t="s">
        <v>18</v>
      </c>
      <c r="J2853" s="3">
        <v>45928</v>
      </c>
      <c r="K2853" s="4">
        <f>ClientiBanca[[#This Row],[Prestito]]+ClientiBanca[[#This Row],[Mutuo]]</f>
        <v>24200</v>
      </c>
      <c r="L2853" t="str">
        <f>IF(ClientiBanca[[#This Row],[Reddito annuo]]&gt;=70000,"si","no")</f>
        <v>no</v>
      </c>
    </row>
    <row r="2854" spans="1:12">
      <c r="A2854">
        <v>102853</v>
      </c>
      <c r="B2854">
        <v>57</v>
      </c>
      <c r="C2854" s="2">
        <v>30500</v>
      </c>
      <c r="D2854" t="s">
        <v>21</v>
      </c>
      <c r="E2854" s="2">
        <v>37900</v>
      </c>
      <c r="F2854" s="2">
        <v>0</v>
      </c>
      <c r="G2854" t="s">
        <v>27</v>
      </c>
      <c r="H2854" t="s">
        <v>14</v>
      </c>
      <c r="I2854" t="s">
        <v>18</v>
      </c>
      <c r="J2854" s="3">
        <v>45657</v>
      </c>
      <c r="K2854" s="4">
        <f>ClientiBanca[[#This Row],[Prestito]]+ClientiBanca[[#This Row],[Mutuo]]</f>
        <v>37900</v>
      </c>
      <c r="L2854" t="str">
        <f>IF(ClientiBanca[[#This Row],[Reddito annuo]]&gt;=70000,"si","no")</f>
        <v>no</v>
      </c>
    </row>
    <row r="2855" spans="1:12">
      <c r="A2855">
        <v>102854</v>
      </c>
      <c r="B2855">
        <v>66</v>
      </c>
      <c r="C2855" s="2">
        <v>60200</v>
      </c>
      <c r="D2855" t="s">
        <v>21</v>
      </c>
      <c r="E2855" s="2">
        <v>21700</v>
      </c>
      <c r="F2855" s="2">
        <v>0</v>
      </c>
      <c r="G2855" t="s">
        <v>19</v>
      </c>
      <c r="H2855" t="s">
        <v>17</v>
      </c>
      <c r="I2855" t="s">
        <v>18</v>
      </c>
      <c r="J2855" s="3">
        <v>45543</v>
      </c>
      <c r="K2855" s="4">
        <f>ClientiBanca[[#This Row],[Prestito]]+ClientiBanca[[#This Row],[Mutuo]]</f>
        <v>21700</v>
      </c>
      <c r="L2855" t="str">
        <f>IF(ClientiBanca[[#This Row],[Reddito annuo]]&gt;=70000,"si","no")</f>
        <v>no</v>
      </c>
    </row>
    <row r="2856" spans="1:12">
      <c r="A2856">
        <v>102855</v>
      </c>
      <c r="B2856">
        <v>41</v>
      </c>
      <c r="C2856" s="2">
        <v>108700</v>
      </c>
      <c r="D2856" t="s">
        <v>22</v>
      </c>
      <c r="E2856" s="2">
        <v>0</v>
      </c>
      <c r="F2856" s="2">
        <v>190000</v>
      </c>
      <c r="G2856" t="s">
        <v>27</v>
      </c>
      <c r="H2856" t="s">
        <v>17</v>
      </c>
      <c r="I2856" t="s">
        <v>18</v>
      </c>
      <c r="J2856" s="3">
        <v>46229</v>
      </c>
      <c r="K2856" s="4">
        <f>ClientiBanca[[#This Row],[Prestito]]+ClientiBanca[[#This Row],[Mutuo]]</f>
        <v>190000</v>
      </c>
      <c r="L2856" t="str">
        <f>IF(ClientiBanca[[#This Row],[Reddito annuo]]&gt;=70000,"si","no")</f>
        <v>si</v>
      </c>
    </row>
    <row r="2857" spans="1:12">
      <c r="A2857">
        <v>102856</v>
      </c>
      <c r="B2857">
        <v>62</v>
      </c>
      <c r="C2857" s="2">
        <v>81600</v>
      </c>
      <c r="D2857" t="s">
        <v>22</v>
      </c>
      <c r="E2857" s="2">
        <v>31900</v>
      </c>
      <c r="F2857" s="2">
        <v>0</v>
      </c>
      <c r="G2857" t="s">
        <v>13</v>
      </c>
      <c r="H2857" t="s">
        <v>20</v>
      </c>
      <c r="I2857" t="s">
        <v>18</v>
      </c>
      <c r="J2857" s="3">
        <v>46126</v>
      </c>
      <c r="K2857" s="4">
        <f>ClientiBanca[[#This Row],[Prestito]]+ClientiBanca[[#This Row],[Mutuo]]</f>
        <v>31900</v>
      </c>
      <c r="L2857" t="str">
        <f>IF(ClientiBanca[[#This Row],[Reddito annuo]]&gt;=70000,"si","no")</f>
        <v>si</v>
      </c>
    </row>
    <row r="2858" spans="1:12">
      <c r="A2858">
        <v>102857</v>
      </c>
      <c r="B2858">
        <v>39</v>
      </c>
      <c r="C2858" s="2">
        <v>66000</v>
      </c>
      <c r="D2858" t="s">
        <v>12</v>
      </c>
      <c r="E2858" s="2">
        <v>29500</v>
      </c>
      <c r="F2858" s="2">
        <v>253000</v>
      </c>
      <c r="G2858" t="s">
        <v>16</v>
      </c>
      <c r="H2858" t="s">
        <v>14</v>
      </c>
      <c r="I2858" t="s">
        <v>18</v>
      </c>
      <c r="J2858" s="3">
        <v>45380</v>
      </c>
      <c r="K2858" s="4">
        <f>ClientiBanca[[#This Row],[Prestito]]+ClientiBanca[[#This Row],[Mutuo]]</f>
        <v>282500</v>
      </c>
      <c r="L2858" t="str">
        <f>IF(ClientiBanca[[#This Row],[Reddito annuo]]&gt;=70000,"si","no")</f>
        <v>no</v>
      </c>
    </row>
    <row r="2859" spans="1:12">
      <c r="A2859">
        <v>102858</v>
      </c>
      <c r="B2859">
        <v>55</v>
      </c>
      <c r="C2859" s="2">
        <v>34500</v>
      </c>
      <c r="D2859" t="s">
        <v>22</v>
      </c>
      <c r="E2859" s="2">
        <v>43100</v>
      </c>
      <c r="F2859" s="2">
        <v>0</v>
      </c>
      <c r="G2859" t="s">
        <v>26</v>
      </c>
      <c r="H2859" t="s">
        <v>17</v>
      </c>
      <c r="I2859" t="s">
        <v>18</v>
      </c>
      <c r="J2859" s="3">
        <v>46039</v>
      </c>
      <c r="K2859" s="4">
        <f>ClientiBanca[[#This Row],[Prestito]]+ClientiBanca[[#This Row],[Mutuo]]</f>
        <v>43100</v>
      </c>
      <c r="L2859" t="str">
        <f>IF(ClientiBanca[[#This Row],[Reddito annuo]]&gt;=70000,"si","no")</f>
        <v>no</v>
      </c>
    </row>
    <row r="2860" spans="1:12">
      <c r="A2860">
        <v>102859</v>
      </c>
      <c r="B2860">
        <v>39</v>
      </c>
      <c r="C2860" s="2">
        <v>57800</v>
      </c>
      <c r="D2860" t="s">
        <v>21</v>
      </c>
      <c r="E2860" s="2">
        <v>42400</v>
      </c>
      <c r="F2860" s="2">
        <v>0</v>
      </c>
      <c r="G2860" t="s">
        <v>28</v>
      </c>
      <c r="H2860" t="s">
        <v>17</v>
      </c>
      <c r="I2860" t="s">
        <v>18</v>
      </c>
      <c r="J2860" s="3">
        <v>45764</v>
      </c>
      <c r="K2860" s="4">
        <f>ClientiBanca[[#This Row],[Prestito]]+ClientiBanca[[#This Row],[Mutuo]]</f>
        <v>42400</v>
      </c>
      <c r="L2860" t="str">
        <f>IF(ClientiBanca[[#This Row],[Reddito annuo]]&gt;=70000,"si","no")</f>
        <v>no</v>
      </c>
    </row>
    <row r="2861" spans="1:12">
      <c r="A2861">
        <v>102860</v>
      </c>
      <c r="B2861">
        <v>66</v>
      </c>
      <c r="C2861" s="2">
        <v>65900</v>
      </c>
      <c r="D2861" t="s">
        <v>21</v>
      </c>
      <c r="E2861" s="2">
        <v>52800</v>
      </c>
      <c r="F2861" s="2">
        <v>0</v>
      </c>
      <c r="G2861" t="s">
        <v>24</v>
      </c>
      <c r="H2861" t="s">
        <v>17</v>
      </c>
      <c r="I2861" t="s">
        <v>15</v>
      </c>
      <c r="J2861" s="3">
        <v>45673</v>
      </c>
      <c r="K2861" s="4">
        <f>ClientiBanca[[#This Row],[Prestito]]+ClientiBanca[[#This Row],[Mutuo]]</f>
        <v>52800</v>
      </c>
      <c r="L2861" t="str">
        <f>IF(ClientiBanca[[#This Row],[Reddito annuo]]&gt;=70000,"si","no")</f>
        <v>no</v>
      </c>
    </row>
    <row r="2862" spans="1:12">
      <c r="A2862">
        <v>102861</v>
      </c>
      <c r="B2862">
        <v>65</v>
      </c>
      <c r="C2862" s="2">
        <v>36900</v>
      </c>
      <c r="D2862" t="s">
        <v>21</v>
      </c>
      <c r="E2862" s="2">
        <v>0</v>
      </c>
      <c r="F2862" s="2">
        <v>0</v>
      </c>
      <c r="G2862" t="s">
        <v>27</v>
      </c>
      <c r="H2862" t="s">
        <v>17</v>
      </c>
      <c r="I2862" t="s">
        <v>18</v>
      </c>
      <c r="J2862" s="3">
        <v>45925</v>
      </c>
      <c r="K2862" s="4">
        <f>ClientiBanca[[#This Row],[Prestito]]+ClientiBanca[[#This Row],[Mutuo]]</f>
        <v>0</v>
      </c>
      <c r="L2862" t="str">
        <f>IF(ClientiBanca[[#This Row],[Reddito annuo]]&gt;=70000,"si","no")</f>
        <v>no</v>
      </c>
    </row>
    <row r="2863" spans="1:12">
      <c r="A2863">
        <v>102862</v>
      </c>
      <c r="B2863">
        <v>24</v>
      </c>
      <c r="C2863" s="2">
        <v>45500</v>
      </c>
      <c r="D2863" t="s">
        <v>21</v>
      </c>
      <c r="E2863" s="2">
        <v>20200</v>
      </c>
      <c r="F2863" s="2">
        <v>0</v>
      </c>
      <c r="G2863" t="s">
        <v>24</v>
      </c>
      <c r="H2863" t="s">
        <v>17</v>
      </c>
      <c r="I2863" t="s">
        <v>18</v>
      </c>
      <c r="J2863" s="3">
        <v>46167</v>
      </c>
      <c r="K2863" s="4">
        <f>ClientiBanca[[#This Row],[Prestito]]+ClientiBanca[[#This Row],[Mutuo]]</f>
        <v>20200</v>
      </c>
      <c r="L2863" t="str">
        <f>IF(ClientiBanca[[#This Row],[Reddito annuo]]&gt;=70000,"si","no")</f>
        <v>no</v>
      </c>
    </row>
    <row r="2864" spans="1:12">
      <c r="A2864">
        <v>102863</v>
      </c>
      <c r="B2864">
        <v>21</v>
      </c>
      <c r="C2864" s="2">
        <v>47900</v>
      </c>
      <c r="D2864" t="s">
        <v>22</v>
      </c>
      <c r="E2864" s="2">
        <v>41100</v>
      </c>
      <c r="F2864" s="2">
        <v>0</v>
      </c>
      <c r="G2864" t="s">
        <v>24</v>
      </c>
      <c r="H2864" t="s">
        <v>20</v>
      </c>
      <c r="I2864" t="s">
        <v>18</v>
      </c>
      <c r="J2864" s="3">
        <v>45360</v>
      </c>
      <c r="K2864" s="4">
        <f>ClientiBanca[[#This Row],[Prestito]]+ClientiBanca[[#This Row],[Mutuo]]</f>
        <v>41100</v>
      </c>
      <c r="L2864" t="str">
        <f>IF(ClientiBanca[[#This Row],[Reddito annuo]]&gt;=70000,"si","no")</f>
        <v>no</v>
      </c>
    </row>
    <row r="2865" spans="1:12">
      <c r="A2865">
        <v>102864</v>
      </c>
      <c r="B2865">
        <v>33</v>
      </c>
      <c r="C2865" s="2">
        <v>95000</v>
      </c>
      <c r="D2865" t="s">
        <v>12</v>
      </c>
      <c r="E2865" s="2">
        <v>23800</v>
      </c>
      <c r="F2865" s="2">
        <v>0</v>
      </c>
      <c r="G2865" t="s">
        <v>23</v>
      </c>
      <c r="H2865" t="s">
        <v>20</v>
      </c>
      <c r="I2865" t="s">
        <v>18</v>
      </c>
      <c r="J2865" s="3">
        <v>45384</v>
      </c>
      <c r="K2865" s="4">
        <f>ClientiBanca[[#This Row],[Prestito]]+ClientiBanca[[#This Row],[Mutuo]]</f>
        <v>23800</v>
      </c>
      <c r="L2865" t="str">
        <f>IF(ClientiBanca[[#This Row],[Reddito annuo]]&gt;=70000,"si","no")</f>
        <v>si</v>
      </c>
    </row>
    <row r="2866" spans="1:12">
      <c r="A2866">
        <v>102865</v>
      </c>
      <c r="B2866">
        <v>36</v>
      </c>
      <c r="C2866" s="2">
        <v>56600</v>
      </c>
      <c r="D2866" t="s">
        <v>12</v>
      </c>
      <c r="E2866" s="2">
        <v>21600</v>
      </c>
      <c r="F2866" s="2">
        <v>0</v>
      </c>
      <c r="G2866" t="s">
        <v>26</v>
      </c>
      <c r="H2866" t="s">
        <v>14</v>
      </c>
      <c r="I2866" t="s">
        <v>15</v>
      </c>
      <c r="J2866" s="3">
        <v>45627</v>
      </c>
      <c r="K2866" s="4">
        <f>ClientiBanca[[#This Row],[Prestito]]+ClientiBanca[[#This Row],[Mutuo]]</f>
        <v>21600</v>
      </c>
      <c r="L2866" t="str">
        <f>IF(ClientiBanca[[#This Row],[Reddito annuo]]&gt;=70000,"si","no")</f>
        <v>no</v>
      </c>
    </row>
    <row r="2867" spans="1:12">
      <c r="A2867">
        <v>102866</v>
      </c>
      <c r="B2867">
        <v>58</v>
      </c>
      <c r="C2867" s="2">
        <v>44700</v>
      </c>
      <c r="D2867" t="s">
        <v>21</v>
      </c>
      <c r="E2867" s="2">
        <v>0</v>
      </c>
      <c r="F2867" s="2">
        <v>0</v>
      </c>
      <c r="G2867" t="s">
        <v>24</v>
      </c>
      <c r="H2867" t="s">
        <v>25</v>
      </c>
      <c r="I2867" t="s">
        <v>18</v>
      </c>
      <c r="J2867" s="3">
        <v>45523</v>
      </c>
      <c r="K2867" s="4">
        <f>ClientiBanca[[#This Row],[Prestito]]+ClientiBanca[[#This Row],[Mutuo]]</f>
        <v>0</v>
      </c>
      <c r="L2867" t="str">
        <f>IF(ClientiBanca[[#This Row],[Reddito annuo]]&gt;=70000,"si","no")</f>
        <v>no</v>
      </c>
    </row>
    <row r="2868" spans="1:12">
      <c r="A2868">
        <v>102867</v>
      </c>
      <c r="B2868">
        <v>70</v>
      </c>
      <c r="C2868" s="2">
        <v>60100</v>
      </c>
      <c r="D2868" t="s">
        <v>12</v>
      </c>
      <c r="E2868" s="2">
        <v>0</v>
      </c>
      <c r="F2868" s="2">
        <v>0</v>
      </c>
      <c r="G2868" t="s">
        <v>16</v>
      </c>
      <c r="H2868" t="s">
        <v>17</v>
      </c>
      <c r="I2868" t="s">
        <v>18</v>
      </c>
      <c r="J2868" s="3">
        <v>46239</v>
      </c>
      <c r="K2868" s="4">
        <f>ClientiBanca[[#This Row],[Prestito]]+ClientiBanca[[#This Row],[Mutuo]]</f>
        <v>0</v>
      </c>
      <c r="L2868" t="str">
        <f>IF(ClientiBanca[[#This Row],[Reddito annuo]]&gt;=70000,"si","no")</f>
        <v>no</v>
      </c>
    </row>
    <row r="2869" spans="1:12">
      <c r="A2869">
        <v>102868</v>
      </c>
      <c r="B2869">
        <v>75</v>
      </c>
      <c r="C2869" s="2">
        <v>93500</v>
      </c>
      <c r="D2869" t="s">
        <v>21</v>
      </c>
      <c r="E2869" s="2">
        <v>13300</v>
      </c>
      <c r="F2869" s="2">
        <v>181000</v>
      </c>
      <c r="G2869" t="s">
        <v>23</v>
      </c>
      <c r="H2869" t="s">
        <v>20</v>
      </c>
      <c r="I2869" t="s">
        <v>18</v>
      </c>
      <c r="J2869" s="3">
        <v>45674</v>
      </c>
      <c r="K2869" s="4">
        <f>ClientiBanca[[#This Row],[Prestito]]+ClientiBanca[[#This Row],[Mutuo]]</f>
        <v>194300</v>
      </c>
      <c r="L2869" t="str">
        <f>IF(ClientiBanca[[#This Row],[Reddito annuo]]&gt;=70000,"si","no")</f>
        <v>si</v>
      </c>
    </row>
    <row r="2870" spans="1:12">
      <c r="A2870">
        <v>102869</v>
      </c>
      <c r="B2870">
        <v>32</v>
      </c>
      <c r="C2870" s="2">
        <v>45000</v>
      </c>
      <c r="D2870" t="s">
        <v>22</v>
      </c>
      <c r="E2870" s="2">
        <v>24300</v>
      </c>
      <c r="F2870" s="2">
        <v>0</v>
      </c>
      <c r="G2870" t="s">
        <v>19</v>
      </c>
      <c r="H2870" t="s">
        <v>20</v>
      </c>
      <c r="I2870" t="s">
        <v>18</v>
      </c>
      <c r="J2870" s="3">
        <v>45831</v>
      </c>
      <c r="K2870" s="4">
        <f>ClientiBanca[[#This Row],[Prestito]]+ClientiBanca[[#This Row],[Mutuo]]</f>
        <v>24300</v>
      </c>
      <c r="L2870" t="str">
        <f>IF(ClientiBanca[[#This Row],[Reddito annuo]]&gt;=70000,"si","no")</f>
        <v>no</v>
      </c>
    </row>
    <row r="2871" spans="1:12">
      <c r="A2871">
        <v>102870</v>
      </c>
      <c r="B2871">
        <v>69</v>
      </c>
      <c r="C2871" s="2">
        <v>62500</v>
      </c>
      <c r="D2871" t="s">
        <v>12</v>
      </c>
      <c r="E2871" s="2">
        <v>33100</v>
      </c>
      <c r="F2871" s="2">
        <v>0</v>
      </c>
      <c r="G2871" t="s">
        <v>19</v>
      </c>
      <c r="H2871" t="s">
        <v>14</v>
      </c>
      <c r="I2871" t="s">
        <v>18</v>
      </c>
      <c r="J2871" s="3">
        <v>45351</v>
      </c>
      <c r="K2871" s="4">
        <f>ClientiBanca[[#This Row],[Prestito]]+ClientiBanca[[#This Row],[Mutuo]]</f>
        <v>33100</v>
      </c>
      <c r="L2871" t="str">
        <f>IF(ClientiBanca[[#This Row],[Reddito annuo]]&gt;=70000,"si","no")</f>
        <v>no</v>
      </c>
    </row>
    <row r="2872" spans="1:12">
      <c r="A2872">
        <v>102871</v>
      </c>
      <c r="B2872">
        <v>71</v>
      </c>
      <c r="C2872" s="2">
        <v>65500</v>
      </c>
      <c r="D2872" t="s">
        <v>21</v>
      </c>
      <c r="E2872" s="2">
        <v>0</v>
      </c>
      <c r="F2872" s="2">
        <v>0</v>
      </c>
      <c r="G2872" t="s">
        <v>13</v>
      </c>
      <c r="H2872" t="s">
        <v>14</v>
      </c>
      <c r="I2872" t="s">
        <v>18</v>
      </c>
      <c r="J2872" s="3">
        <v>45859</v>
      </c>
      <c r="K2872" s="4">
        <f>ClientiBanca[[#This Row],[Prestito]]+ClientiBanca[[#This Row],[Mutuo]]</f>
        <v>0</v>
      </c>
      <c r="L2872" t="str">
        <f>IF(ClientiBanca[[#This Row],[Reddito annuo]]&gt;=70000,"si","no")</f>
        <v>no</v>
      </c>
    </row>
    <row r="2873" spans="1:12">
      <c r="A2873">
        <v>102872</v>
      </c>
      <c r="B2873">
        <v>44</v>
      </c>
      <c r="C2873" s="2">
        <v>48800</v>
      </c>
      <c r="D2873" t="s">
        <v>12</v>
      </c>
      <c r="E2873" s="2">
        <v>0</v>
      </c>
      <c r="F2873" s="2">
        <v>0</v>
      </c>
      <c r="G2873" t="s">
        <v>13</v>
      </c>
      <c r="H2873" t="s">
        <v>17</v>
      </c>
      <c r="I2873" t="s">
        <v>18</v>
      </c>
      <c r="J2873" s="3">
        <v>45645</v>
      </c>
      <c r="K2873" s="4">
        <f>ClientiBanca[[#This Row],[Prestito]]+ClientiBanca[[#This Row],[Mutuo]]</f>
        <v>0</v>
      </c>
      <c r="L2873" t="str">
        <f>IF(ClientiBanca[[#This Row],[Reddito annuo]]&gt;=70000,"si","no")</f>
        <v>no</v>
      </c>
    </row>
    <row r="2874" spans="1:12">
      <c r="A2874">
        <v>102873</v>
      </c>
      <c r="B2874">
        <v>68</v>
      </c>
      <c r="C2874" s="2">
        <v>68900</v>
      </c>
      <c r="D2874" t="s">
        <v>21</v>
      </c>
      <c r="E2874" s="2">
        <v>59600</v>
      </c>
      <c r="F2874" s="2">
        <v>0</v>
      </c>
      <c r="G2874" t="s">
        <v>26</v>
      </c>
      <c r="H2874" t="s">
        <v>17</v>
      </c>
      <c r="I2874" t="s">
        <v>18</v>
      </c>
      <c r="J2874" s="3">
        <v>45385</v>
      </c>
      <c r="K2874" s="4">
        <f>ClientiBanca[[#This Row],[Prestito]]+ClientiBanca[[#This Row],[Mutuo]]</f>
        <v>59600</v>
      </c>
      <c r="L2874" t="str">
        <f>IF(ClientiBanca[[#This Row],[Reddito annuo]]&gt;=70000,"si","no")</f>
        <v>no</v>
      </c>
    </row>
    <row r="2875" spans="1:12">
      <c r="A2875">
        <v>102874</v>
      </c>
      <c r="B2875">
        <v>55</v>
      </c>
      <c r="C2875" s="2">
        <v>97300</v>
      </c>
      <c r="D2875" t="s">
        <v>12</v>
      </c>
      <c r="E2875" s="2">
        <v>0</v>
      </c>
      <c r="F2875" s="2">
        <v>0</v>
      </c>
      <c r="G2875" t="s">
        <v>13</v>
      </c>
      <c r="H2875" t="s">
        <v>17</v>
      </c>
      <c r="I2875" t="s">
        <v>18</v>
      </c>
      <c r="J2875" s="3">
        <v>46178</v>
      </c>
      <c r="K2875" s="4">
        <f>ClientiBanca[[#This Row],[Prestito]]+ClientiBanca[[#This Row],[Mutuo]]</f>
        <v>0</v>
      </c>
      <c r="L2875" t="str">
        <f>IF(ClientiBanca[[#This Row],[Reddito annuo]]&gt;=70000,"si","no")</f>
        <v>si</v>
      </c>
    </row>
    <row r="2876" spans="1:12">
      <c r="A2876">
        <v>102875</v>
      </c>
      <c r="B2876">
        <v>44</v>
      </c>
      <c r="C2876" s="2">
        <v>40500</v>
      </c>
      <c r="D2876" t="s">
        <v>21</v>
      </c>
      <c r="E2876" s="2">
        <v>50600</v>
      </c>
      <c r="F2876" s="2">
        <v>0</v>
      </c>
      <c r="G2876" t="s">
        <v>24</v>
      </c>
      <c r="H2876" t="s">
        <v>20</v>
      </c>
      <c r="I2876" t="s">
        <v>18</v>
      </c>
      <c r="J2876" s="3">
        <v>45670</v>
      </c>
      <c r="K2876" s="4">
        <f>ClientiBanca[[#This Row],[Prestito]]+ClientiBanca[[#This Row],[Mutuo]]</f>
        <v>50600</v>
      </c>
      <c r="L2876" t="str">
        <f>IF(ClientiBanca[[#This Row],[Reddito annuo]]&gt;=70000,"si","no")</f>
        <v>no</v>
      </c>
    </row>
    <row r="2877" spans="1:12">
      <c r="A2877">
        <v>102876</v>
      </c>
      <c r="B2877">
        <v>56</v>
      </c>
      <c r="C2877" s="2">
        <v>57300</v>
      </c>
      <c r="D2877" t="s">
        <v>22</v>
      </c>
      <c r="E2877" s="2">
        <v>0</v>
      </c>
      <c r="F2877" s="2">
        <v>0</v>
      </c>
      <c r="G2877" t="s">
        <v>13</v>
      </c>
      <c r="H2877" t="s">
        <v>20</v>
      </c>
      <c r="I2877" t="s">
        <v>18</v>
      </c>
      <c r="J2877" s="3">
        <v>45819</v>
      </c>
      <c r="K2877" s="4">
        <f>ClientiBanca[[#This Row],[Prestito]]+ClientiBanca[[#This Row],[Mutuo]]</f>
        <v>0</v>
      </c>
      <c r="L2877" t="str">
        <f>IF(ClientiBanca[[#This Row],[Reddito annuo]]&gt;=70000,"si","no")</f>
        <v>no</v>
      </c>
    </row>
    <row r="2878" spans="1:12">
      <c r="A2878">
        <v>102877</v>
      </c>
      <c r="B2878">
        <v>40</v>
      </c>
      <c r="C2878" s="2">
        <v>38400</v>
      </c>
      <c r="D2878" t="s">
        <v>22</v>
      </c>
      <c r="E2878" s="2">
        <v>48000</v>
      </c>
      <c r="F2878" s="2">
        <v>0</v>
      </c>
      <c r="G2878" t="s">
        <v>16</v>
      </c>
      <c r="H2878" t="s">
        <v>20</v>
      </c>
      <c r="I2878" t="s">
        <v>18</v>
      </c>
      <c r="J2878" s="3">
        <v>45632</v>
      </c>
      <c r="K2878" s="4">
        <f>ClientiBanca[[#This Row],[Prestito]]+ClientiBanca[[#This Row],[Mutuo]]</f>
        <v>48000</v>
      </c>
      <c r="L2878" t="str">
        <f>IF(ClientiBanca[[#This Row],[Reddito annuo]]&gt;=70000,"si","no")</f>
        <v>no</v>
      </c>
    </row>
    <row r="2879" spans="1:12">
      <c r="A2879">
        <v>102878</v>
      </c>
      <c r="B2879">
        <v>61</v>
      </c>
      <c r="C2879" s="2">
        <v>50400</v>
      </c>
      <c r="D2879" t="s">
        <v>21</v>
      </c>
      <c r="E2879" s="2">
        <v>11400</v>
      </c>
      <c r="F2879" s="2">
        <v>0</v>
      </c>
      <c r="G2879" t="s">
        <v>23</v>
      </c>
      <c r="H2879" t="s">
        <v>20</v>
      </c>
      <c r="I2879" t="s">
        <v>18</v>
      </c>
      <c r="J2879" s="3">
        <v>45302</v>
      </c>
      <c r="K2879" s="4">
        <f>ClientiBanca[[#This Row],[Prestito]]+ClientiBanca[[#This Row],[Mutuo]]</f>
        <v>11400</v>
      </c>
      <c r="L2879" t="str">
        <f>IF(ClientiBanca[[#This Row],[Reddito annuo]]&gt;=70000,"si","no")</f>
        <v>no</v>
      </c>
    </row>
    <row r="2880" spans="1:12">
      <c r="A2880">
        <v>102879</v>
      </c>
      <c r="B2880">
        <v>48</v>
      </c>
      <c r="C2880" s="2">
        <v>55800</v>
      </c>
      <c r="D2880" t="s">
        <v>21</v>
      </c>
      <c r="E2880" s="2">
        <v>64000</v>
      </c>
      <c r="F2880" s="2">
        <v>0</v>
      </c>
      <c r="G2880" t="s">
        <v>16</v>
      </c>
      <c r="H2880" t="s">
        <v>17</v>
      </c>
      <c r="I2880" t="s">
        <v>18</v>
      </c>
      <c r="J2880" s="3">
        <v>45971</v>
      </c>
      <c r="K2880" s="4">
        <f>ClientiBanca[[#This Row],[Prestito]]+ClientiBanca[[#This Row],[Mutuo]]</f>
        <v>64000</v>
      </c>
      <c r="L2880" t="str">
        <f>IF(ClientiBanca[[#This Row],[Reddito annuo]]&gt;=70000,"si","no")</f>
        <v>no</v>
      </c>
    </row>
    <row r="2881" spans="1:12">
      <c r="A2881">
        <v>102880</v>
      </c>
      <c r="B2881">
        <v>69</v>
      </c>
      <c r="C2881" s="2">
        <v>47700</v>
      </c>
      <c r="D2881" t="s">
        <v>21</v>
      </c>
      <c r="E2881" s="2">
        <v>0</v>
      </c>
      <c r="F2881" s="2">
        <v>0</v>
      </c>
      <c r="G2881" t="s">
        <v>23</v>
      </c>
      <c r="H2881" t="s">
        <v>14</v>
      </c>
      <c r="I2881" t="s">
        <v>18</v>
      </c>
      <c r="J2881" s="3">
        <v>45604</v>
      </c>
      <c r="K2881" s="4">
        <f>ClientiBanca[[#This Row],[Prestito]]+ClientiBanca[[#This Row],[Mutuo]]</f>
        <v>0</v>
      </c>
      <c r="L2881" t="str">
        <f>IF(ClientiBanca[[#This Row],[Reddito annuo]]&gt;=70000,"si","no")</f>
        <v>no</v>
      </c>
    </row>
    <row r="2882" spans="1:12">
      <c r="A2882">
        <v>102881</v>
      </c>
      <c r="B2882">
        <v>40</v>
      </c>
      <c r="C2882" s="2">
        <v>119100</v>
      </c>
      <c r="D2882" t="s">
        <v>21</v>
      </c>
      <c r="E2882" s="2">
        <v>0</v>
      </c>
      <c r="F2882" s="2">
        <v>0</v>
      </c>
      <c r="G2882" t="s">
        <v>24</v>
      </c>
      <c r="H2882" t="s">
        <v>17</v>
      </c>
      <c r="I2882" t="s">
        <v>18</v>
      </c>
      <c r="J2882" s="3">
        <v>45392</v>
      </c>
      <c r="K2882" s="4">
        <f>ClientiBanca[[#This Row],[Prestito]]+ClientiBanca[[#This Row],[Mutuo]]</f>
        <v>0</v>
      </c>
      <c r="L2882" t="str">
        <f>IF(ClientiBanca[[#This Row],[Reddito annuo]]&gt;=70000,"si","no")</f>
        <v>si</v>
      </c>
    </row>
    <row r="2883" spans="1:12">
      <c r="A2883">
        <v>102882</v>
      </c>
      <c r="B2883">
        <v>29</v>
      </c>
      <c r="C2883" s="2">
        <v>53500</v>
      </c>
      <c r="D2883" t="s">
        <v>12</v>
      </c>
      <c r="E2883" s="2">
        <v>0</v>
      </c>
      <c r="F2883" s="2">
        <v>138000</v>
      </c>
      <c r="G2883" t="s">
        <v>16</v>
      </c>
      <c r="H2883" t="s">
        <v>17</v>
      </c>
      <c r="I2883" t="s">
        <v>18</v>
      </c>
      <c r="J2883" s="3">
        <v>45376</v>
      </c>
      <c r="K2883" s="4">
        <f>ClientiBanca[[#This Row],[Prestito]]+ClientiBanca[[#This Row],[Mutuo]]</f>
        <v>138000</v>
      </c>
      <c r="L2883" t="str">
        <f>IF(ClientiBanca[[#This Row],[Reddito annuo]]&gt;=70000,"si","no")</f>
        <v>no</v>
      </c>
    </row>
    <row r="2884" spans="1:12">
      <c r="A2884">
        <v>102883</v>
      </c>
      <c r="B2884">
        <v>59</v>
      </c>
      <c r="C2884" s="2">
        <v>101500</v>
      </c>
      <c r="D2884" t="s">
        <v>12</v>
      </c>
      <c r="E2884" s="2">
        <v>76600</v>
      </c>
      <c r="F2884" s="2">
        <v>0</v>
      </c>
      <c r="G2884" t="s">
        <v>16</v>
      </c>
      <c r="H2884" t="s">
        <v>25</v>
      </c>
      <c r="I2884" t="s">
        <v>18</v>
      </c>
      <c r="J2884" s="3">
        <v>45922</v>
      </c>
      <c r="K2884" s="4">
        <f>ClientiBanca[[#This Row],[Prestito]]+ClientiBanca[[#This Row],[Mutuo]]</f>
        <v>76600</v>
      </c>
      <c r="L2884" t="str">
        <f>IF(ClientiBanca[[#This Row],[Reddito annuo]]&gt;=70000,"si","no")</f>
        <v>si</v>
      </c>
    </row>
    <row r="2885" spans="1:12">
      <c r="A2885">
        <v>102884</v>
      </c>
      <c r="B2885">
        <v>25</v>
      </c>
      <c r="C2885" s="2">
        <v>24800</v>
      </c>
      <c r="D2885" t="s">
        <v>22</v>
      </c>
      <c r="E2885" s="2">
        <v>0</v>
      </c>
      <c r="F2885" s="2">
        <v>0</v>
      </c>
      <c r="G2885" t="s">
        <v>24</v>
      </c>
      <c r="H2885" t="s">
        <v>17</v>
      </c>
      <c r="I2885" t="s">
        <v>18</v>
      </c>
      <c r="J2885" s="3">
        <v>45548</v>
      </c>
      <c r="K2885" s="4">
        <f>ClientiBanca[[#This Row],[Prestito]]+ClientiBanca[[#This Row],[Mutuo]]</f>
        <v>0</v>
      </c>
      <c r="L2885" t="str">
        <f>IF(ClientiBanca[[#This Row],[Reddito annuo]]&gt;=70000,"si","no")</f>
        <v>no</v>
      </c>
    </row>
    <row r="2886" spans="1:12">
      <c r="A2886">
        <v>102885</v>
      </c>
      <c r="B2886">
        <v>28</v>
      </c>
      <c r="C2886" s="2">
        <v>85600</v>
      </c>
      <c r="D2886" t="s">
        <v>21</v>
      </c>
      <c r="E2886" s="2">
        <v>29200</v>
      </c>
      <c r="F2886" s="2">
        <v>0</v>
      </c>
      <c r="G2886" t="s">
        <v>24</v>
      </c>
      <c r="H2886" t="s">
        <v>20</v>
      </c>
      <c r="I2886" t="s">
        <v>18</v>
      </c>
      <c r="J2886" s="3">
        <v>46122</v>
      </c>
      <c r="K2886" s="4">
        <f>ClientiBanca[[#This Row],[Prestito]]+ClientiBanca[[#This Row],[Mutuo]]</f>
        <v>29200</v>
      </c>
      <c r="L2886" t="str">
        <f>IF(ClientiBanca[[#This Row],[Reddito annuo]]&gt;=70000,"si","no")</f>
        <v>si</v>
      </c>
    </row>
    <row r="2887" spans="1:12">
      <c r="A2887">
        <v>102886</v>
      </c>
      <c r="B2887">
        <v>51</v>
      </c>
      <c r="C2887" s="2">
        <v>50300</v>
      </c>
      <c r="D2887" t="s">
        <v>12</v>
      </c>
      <c r="E2887" s="2">
        <v>52800</v>
      </c>
      <c r="F2887" s="2">
        <v>0</v>
      </c>
      <c r="G2887" t="s">
        <v>16</v>
      </c>
      <c r="H2887" t="s">
        <v>25</v>
      </c>
      <c r="I2887" t="s">
        <v>15</v>
      </c>
      <c r="J2887" s="3">
        <v>45490</v>
      </c>
      <c r="K2887" s="4">
        <f>ClientiBanca[[#This Row],[Prestito]]+ClientiBanca[[#This Row],[Mutuo]]</f>
        <v>52800</v>
      </c>
      <c r="L2887" t="str">
        <f>IF(ClientiBanca[[#This Row],[Reddito annuo]]&gt;=70000,"si","no")</f>
        <v>no</v>
      </c>
    </row>
    <row r="2888" spans="1:12">
      <c r="A2888">
        <v>102887</v>
      </c>
      <c r="B2888">
        <v>60</v>
      </c>
      <c r="C2888" s="2">
        <v>45200</v>
      </c>
      <c r="D2888" t="s">
        <v>12</v>
      </c>
      <c r="E2888" s="2">
        <v>0</v>
      </c>
      <c r="F2888" s="2">
        <v>72000</v>
      </c>
      <c r="G2888" t="s">
        <v>19</v>
      </c>
      <c r="H2888" t="s">
        <v>17</v>
      </c>
      <c r="I2888" t="s">
        <v>18</v>
      </c>
      <c r="J2888" s="3">
        <v>45434</v>
      </c>
      <c r="K2888" s="4">
        <f>ClientiBanca[[#This Row],[Prestito]]+ClientiBanca[[#This Row],[Mutuo]]</f>
        <v>72000</v>
      </c>
      <c r="L2888" t="str">
        <f>IF(ClientiBanca[[#This Row],[Reddito annuo]]&gt;=70000,"si","no")</f>
        <v>no</v>
      </c>
    </row>
    <row r="2889" spans="1:12">
      <c r="A2889">
        <v>102888</v>
      </c>
      <c r="B2889">
        <v>62</v>
      </c>
      <c r="C2889" s="2">
        <v>85600</v>
      </c>
      <c r="D2889" t="s">
        <v>12</v>
      </c>
      <c r="E2889" s="2">
        <v>0</v>
      </c>
      <c r="F2889" s="2">
        <v>0</v>
      </c>
      <c r="G2889" t="s">
        <v>28</v>
      </c>
      <c r="H2889" t="s">
        <v>20</v>
      </c>
      <c r="I2889" t="s">
        <v>18</v>
      </c>
      <c r="J2889" s="3">
        <v>45427</v>
      </c>
      <c r="K2889" s="4">
        <f>ClientiBanca[[#This Row],[Prestito]]+ClientiBanca[[#This Row],[Mutuo]]</f>
        <v>0</v>
      </c>
      <c r="L2889" t="str">
        <f>IF(ClientiBanca[[#This Row],[Reddito annuo]]&gt;=70000,"si","no")</f>
        <v>si</v>
      </c>
    </row>
    <row r="2890" spans="1:12">
      <c r="A2890">
        <v>102889</v>
      </c>
      <c r="B2890">
        <v>55</v>
      </c>
      <c r="C2890" s="2">
        <v>69400</v>
      </c>
      <c r="D2890" t="s">
        <v>21</v>
      </c>
      <c r="E2890" s="2">
        <v>16300</v>
      </c>
      <c r="F2890" s="2">
        <v>241000</v>
      </c>
      <c r="G2890" t="s">
        <v>28</v>
      </c>
      <c r="H2890" t="s">
        <v>14</v>
      </c>
      <c r="I2890" t="s">
        <v>18</v>
      </c>
      <c r="J2890" s="3">
        <v>45639</v>
      </c>
      <c r="K2890" s="4">
        <f>ClientiBanca[[#This Row],[Prestito]]+ClientiBanca[[#This Row],[Mutuo]]</f>
        <v>257300</v>
      </c>
      <c r="L2890" t="str">
        <f>IF(ClientiBanca[[#This Row],[Reddito annuo]]&gt;=70000,"si","no")</f>
        <v>no</v>
      </c>
    </row>
    <row r="2891" spans="1:12">
      <c r="A2891">
        <v>102890</v>
      </c>
      <c r="B2891">
        <v>59</v>
      </c>
      <c r="C2891" s="2">
        <v>59300</v>
      </c>
      <c r="D2891" t="s">
        <v>21</v>
      </c>
      <c r="E2891" s="2">
        <v>0</v>
      </c>
      <c r="F2891" s="2">
        <v>0</v>
      </c>
      <c r="G2891" t="s">
        <v>13</v>
      </c>
      <c r="H2891" t="s">
        <v>20</v>
      </c>
      <c r="I2891" t="s">
        <v>18</v>
      </c>
      <c r="J2891" s="3">
        <v>45650</v>
      </c>
      <c r="K2891" s="4">
        <f>ClientiBanca[[#This Row],[Prestito]]+ClientiBanca[[#This Row],[Mutuo]]</f>
        <v>0</v>
      </c>
      <c r="L2891" t="str">
        <f>IF(ClientiBanca[[#This Row],[Reddito annuo]]&gt;=70000,"si","no")</f>
        <v>no</v>
      </c>
    </row>
    <row r="2892" spans="1:12">
      <c r="A2892">
        <v>102891</v>
      </c>
      <c r="B2892">
        <v>25</v>
      </c>
      <c r="C2892" s="2">
        <v>46700</v>
      </c>
      <c r="D2892" t="s">
        <v>21</v>
      </c>
      <c r="E2892" s="2">
        <v>9900</v>
      </c>
      <c r="F2892" s="2">
        <v>0</v>
      </c>
      <c r="G2892" t="s">
        <v>27</v>
      </c>
      <c r="H2892" t="s">
        <v>17</v>
      </c>
      <c r="I2892" t="s">
        <v>18</v>
      </c>
      <c r="J2892" s="3">
        <v>45938</v>
      </c>
      <c r="K2892" s="4">
        <f>ClientiBanca[[#This Row],[Prestito]]+ClientiBanca[[#This Row],[Mutuo]]</f>
        <v>9900</v>
      </c>
      <c r="L2892" t="str">
        <f>IF(ClientiBanca[[#This Row],[Reddito annuo]]&gt;=70000,"si","no")</f>
        <v>no</v>
      </c>
    </row>
    <row r="2893" spans="1:12">
      <c r="A2893">
        <v>102892</v>
      </c>
      <c r="B2893">
        <v>53</v>
      </c>
      <c r="C2893" s="2">
        <v>53100</v>
      </c>
      <c r="D2893" t="s">
        <v>12</v>
      </c>
      <c r="E2893" s="2">
        <v>36700</v>
      </c>
      <c r="F2893" s="2">
        <v>344000</v>
      </c>
      <c r="G2893" t="s">
        <v>24</v>
      </c>
      <c r="H2893" t="s">
        <v>20</v>
      </c>
      <c r="I2893" t="s">
        <v>18</v>
      </c>
      <c r="J2893" s="3">
        <v>45659</v>
      </c>
      <c r="K2893" s="4">
        <f>ClientiBanca[[#This Row],[Prestito]]+ClientiBanca[[#This Row],[Mutuo]]</f>
        <v>380700</v>
      </c>
      <c r="L2893" t="str">
        <f>IF(ClientiBanca[[#This Row],[Reddito annuo]]&gt;=70000,"si","no")</f>
        <v>no</v>
      </c>
    </row>
    <row r="2894" spans="1:12">
      <c r="A2894">
        <v>102893</v>
      </c>
      <c r="B2894">
        <v>74</v>
      </c>
      <c r="C2894" s="2">
        <v>47000</v>
      </c>
      <c r="D2894" t="s">
        <v>21</v>
      </c>
      <c r="E2894" s="2">
        <v>54800</v>
      </c>
      <c r="F2894" s="2">
        <v>0</v>
      </c>
      <c r="G2894" t="s">
        <v>19</v>
      </c>
      <c r="H2894" t="s">
        <v>20</v>
      </c>
      <c r="I2894" t="s">
        <v>18</v>
      </c>
      <c r="J2894" s="3">
        <v>45555</v>
      </c>
      <c r="K2894" s="4">
        <f>ClientiBanca[[#This Row],[Prestito]]+ClientiBanca[[#This Row],[Mutuo]]</f>
        <v>54800</v>
      </c>
      <c r="L2894" t="str">
        <f>IF(ClientiBanca[[#This Row],[Reddito annuo]]&gt;=70000,"si","no")</f>
        <v>no</v>
      </c>
    </row>
    <row r="2895" spans="1:12">
      <c r="A2895">
        <v>102894</v>
      </c>
      <c r="B2895">
        <v>75</v>
      </c>
      <c r="C2895" s="2">
        <v>33000</v>
      </c>
      <c r="D2895" t="s">
        <v>12</v>
      </c>
      <c r="E2895" s="2">
        <v>0</v>
      </c>
      <c r="F2895" s="2">
        <v>0</v>
      </c>
      <c r="G2895" t="s">
        <v>16</v>
      </c>
      <c r="H2895" t="s">
        <v>17</v>
      </c>
      <c r="I2895" t="s">
        <v>18</v>
      </c>
      <c r="J2895" s="3">
        <v>45996</v>
      </c>
      <c r="K2895" s="4">
        <f>ClientiBanca[[#This Row],[Prestito]]+ClientiBanca[[#This Row],[Mutuo]]</f>
        <v>0</v>
      </c>
      <c r="L2895" t="str">
        <f>IF(ClientiBanca[[#This Row],[Reddito annuo]]&gt;=70000,"si","no")</f>
        <v>no</v>
      </c>
    </row>
    <row r="2896" spans="1:12">
      <c r="A2896">
        <v>102895</v>
      </c>
      <c r="B2896">
        <v>36</v>
      </c>
      <c r="C2896" s="2">
        <v>41400</v>
      </c>
      <c r="D2896" t="s">
        <v>21</v>
      </c>
      <c r="E2896" s="2">
        <v>41400</v>
      </c>
      <c r="F2896" s="2">
        <v>0</v>
      </c>
      <c r="G2896" t="s">
        <v>24</v>
      </c>
      <c r="H2896" t="s">
        <v>17</v>
      </c>
      <c r="I2896" t="s">
        <v>18</v>
      </c>
      <c r="J2896" s="3">
        <v>45835</v>
      </c>
      <c r="K2896" s="4">
        <f>ClientiBanca[[#This Row],[Prestito]]+ClientiBanca[[#This Row],[Mutuo]]</f>
        <v>41400</v>
      </c>
      <c r="L2896" t="str">
        <f>IF(ClientiBanca[[#This Row],[Reddito annuo]]&gt;=70000,"si","no")</f>
        <v>no</v>
      </c>
    </row>
    <row r="2897" spans="1:12">
      <c r="A2897">
        <v>102896</v>
      </c>
      <c r="B2897">
        <v>52</v>
      </c>
      <c r="C2897" s="2">
        <v>103100</v>
      </c>
      <c r="D2897" t="s">
        <v>21</v>
      </c>
      <c r="E2897" s="2">
        <v>0</v>
      </c>
      <c r="F2897" s="2">
        <v>0</v>
      </c>
      <c r="G2897" t="s">
        <v>23</v>
      </c>
      <c r="H2897" t="s">
        <v>20</v>
      </c>
      <c r="I2897" t="s">
        <v>18</v>
      </c>
      <c r="J2897" s="3">
        <v>45690</v>
      </c>
      <c r="K2897" s="4">
        <f>ClientiBanca[[#This Row],[Prestito]]+ClientiBanca[[#This Row],[Mutuo]]</f>
        <v>0</v>
      </c>
      <c r="L2897" t="str">
        <f>IF(ClientiBanca[[#This Row],[Reddito annuo]]&gt;=70000,"si","no")</f>
        <v>si</v>
      </c>
    </row>
    <row r="2898" spans="1:12">
      <c r="A2898">
        <v>102897</v>
      </c>
      <c r="B2898">
        <v>62</v>
      </c>
      <c r="C2898" s="2">
        <v>109900</v>
      </c>
      <c r="D2898" t="s">
        <v>21</v>
      </c>
      <c r="E2898" s="2">
        <v>68600</v>
      </c>
      <c r="F2898" s="2">
        <v>0</v>
      </c>
      <c r="G2898" t="s">
        <v>27</v>
      </c>
      <c r="H2898" t="s">
        <v>14</v>
      </c>
      <c r="I2898" t="s">
        <v>18</v>
      </c>
      <c r="J2898" s="3">
        <v>46110</v>
      </c>
      <c r="K2898" s="4">
        <f>ClientiBanca[[#This Row],[Prestito]]+ClientiBanca[[#This Row],[Mutuo]]</f>
        <v>68600</v>
      </c>
      <c r="L2898" t="str">
        <f>IF(ClientiBanca[[#This Row],[Reddito annuo]]&gt;=70000,"si","no")</f>
        <v>si</v>
      </c>
    </row>
    <row r="2899" spans="1:12">
      <c r="A2899">
        <v>102898</v>
      </c>
      <c r="B2899">
        <v>66</v>
      </c>
      <c r="C2899" s="2">
        <v>93900</v>
      </c>
      <c r="D2899" t="s">
        <v>12</v>
      </c>
      <c r="E2899" s="2">
        <v>22400</v>
      </c>
      <c r="F2899" s="2">
        <v>0</v>
      </c>
      <c r="G2899" t="s">
        <v>26</v>
      </c>
      <c r="H2899" t="s">
        <v>17</v>
      </c>
      <c r="I2899" t="s">
        <v>18</v>
      </c>
      <c r="J2899" s="3">
        <v>46195</v>
      </c>
      <c r="K2899" s="4">
        <f>ClientiBanca[[#This Row],[Prestito]]+ClientiBanca[[#This Row],[Mutuo]]</f>
        <v>22400</v>
      </c>
      <c r="L2899" t="str">
        <f>IF(ClientiBanca[[#This Row],[Reddito annuo]]&gt;=70000,"si","no")</f>
        <v>si</v>
      </c>
    </row>
    <row r="2900" spans="1:12">
      <c r="A2900">
        <v>102899</v>
      </c>
      <c r="B2900">
        <v>25</v>
      </c>
      <c r="C2900" s="2">
        <v>80700</v>
      </c>
      <c r="D2900" t="s">
        <v>12</v>
      </c>
      <c r="E2900" s="2">
        <v>6800</v>
      </c>
      <c r="F2900" s="2">
        <v>0</v>
      </c>
      <c r="G2900" t="s">
        <v>26</v>
      </c>
      <c r="H2900" t="s">
        <v>14</v>
      </c>
      <c r="I2900" t="s">
        <v>18</v>
      </c>
      <c r="J2900" s="3">
        <v>46108</v>
      </c>
      <c r="K2900" s="4">
        <f>ClientiBanca[[#This Row],[Prestito]]+ClientiBanca[[#This Row],[Mutuo]]</f>
        <v>6800</v>
      </c>
      <c r="L2900" t="str">
        <f>IF(ClientiBanca[[#This Row],[Reddito annuo]]&gt;=70000,"si","no")</f>
        <v>si</v>
      </c>
    </row>
    <row r="2901" spans="1:12">
      <c r="A2901">
        <v>102900</v>
      </c>
      <c r="B2901">
        <v>68</v>
      </c>
      <c r="C2901" s="2">
        <v>48300</v>
      </c>
      <c r="D2901" t="s">
        <v>21</v>
      </c>
      <c r="E2901" s="2">
        <v>47700</v>
      </c>
      <c r="F2901" s="2">
        <v>0</v>
      </c>
      <c r="G2901" t="s">
        <v>13</v>
      </c>
      <c r="H2901" t="s">
        <v>17</v>
      </c>
      <c r="I2901" t="s">
        <v>18</v>
      </c>
      <c r="J2901" s="3">
        <v>45557</v>
      </c>
      <c r="K2901" s="4">
        <f>ClientiBanca[[#This Row],[Prestito]]+ClientiBanca[[#This Row],[Mutuo]]</f>
        <v>47700</v>
      </c>
      <c r="L2901" t="str">
        <f>IF(ClientiBanca[[#This Row],[Reddito annuo]]&gt;=70000,"si","no")</f>
        <v>no</v>
      </c>
    </row>
    <row r="2902" spans="1:12">
      <c r="A2902">
        <v>102901</v>
      </c>
      <c r="B2902">
        <v>49</v>
      </c>
      <c r="C2902" s="2">
        <v>86600</v>
      </c>
      <c r="D2902" t="s">
        <v>12</v>
      </c>
      <c r="E2902" s="2">
        <v>0</v>
      </c>
      <c r="F2902" s="2">
        <v>196000</v>
      </c>
      <c r="G2902" t="s">
        <v>23</v>
      </c>
      <c r="H2902" t="s">
        <v>17</v>
      </c>
      <c r="I2902" t="s">
        <v>18</v>
      </c>
      <c r="J2902" s="3">
        <v>46195</v>
      </c>
      <c r="K2902" s="4">
        <f>ClientiBanca[[#This Row],[Prestito]]+ClientiBanca[[#This Row],[Mutuo]]</f>
        <v>196000</v>
      </c>
      <c r="L2902" t="str">
        <f>IF(ClientiBanca[[#This Row],[Reddito annuo]]&gt;=70000,"si","no")</f>
        <v>si</v>
      </c>
    </row>
    <row r="2903" spans="1:12">
      <c r="A2903">
        <v>102902</v>
      </c>
      <c r="B2903">
        <v>25</v>
      </c>
      <c r="C2903" s="2">
        <v>109500</v>
      </c>
      <c r="D2903" t="s">
        <v>21</v>
      </c>
      <c r="E2903" s="2">
        <v>10900</v>
      </c>
      <c r="F2903" s="2">
        <v>0</v>
      </c>
      <c r="G2903" t="s">
        <v>23</v>
      </c>
      <c r="H2903" t="s">
        <v>20</v>
      </c>
      <c r="I2903" t="s">
        <v>18</v>
      </c>
      <c r="J2903" s="3">
        <v>45797</v>
      </c>
      <c r="K2903" s="4">
        <f>ClientiBanca[[#This Row],[Prestito]]+ClientiBanca[[#This Row],[Mutuo]]</f>
        <v>10900</v>
      </c>
      <c r="L2903" t="str">
        <f>IF(ClientiBanca[[#This Row],[Reddito annuo]]&gt;=70000,"si","no")</f>
        <v>si</v>
      </c>
    </row>
    <row r="2904" spans="1:12">
      <c r="A2904">
        <v>102903</v>
      </c>
      <c r="B2904">
        <v>20</v>
      </c>
      <c r="C2904" s="2">
        <v>86500</v>
      </c>
      <c r="D2904" t="s">
        <v>21</v>
      </c>
      <c r="E2904" s="2">
        <v>34700</v>
      </c>
      <c r="F2904" s="2">
        <v>0</v>
      </c>
      <c r="G2904" t="s">
        <v>16</v>
      </c>
      <c r="H2904" t="s">
        <v>14</v>
      </c>
      <c r="I2904" t="s">
        <v>18</v>
      </c>
      <c r="J2904" s="3">
        <v>45997</v>
      </c>
      <c r="K2904" s="4">
        <f>ClientiBanca[[#This Row],[Prestito]]+ClientiBanca[[#This Row],[Mutuo]]</f>
        <v>34700</v>
      </c>
      <c r="L2904" t="str">
        <f>IF(ClientiBanca[[#This Row],[Reddito annuo]]&gt;=70000,"si","no")</f>
        <v>si</v>
      </c>
    </row>
    <row r="2905" spans="1:12">
      <c r="A2905">
        <v>102904</v>
      </c>
      <c r="B2905">
        <v>62</v>
      </c>
      <c r="C2905" s="2">
        <v>38000</v>
      </c>
      <c r="D2905" t="s">
        <v>22</v>
      </c>
      <c r="E2905" s="2">
        <v>43800</v>
      </c>
      <c r="F2905" s="2">
        <v>0</v>
      </c>
      <c r="G2905" t="s">
        <v>24</v>
      </c>
      <c r="H2905" t="s">
        <v>25</v>
      </c>
      <c r="I2905" t="s">
        <v>15</v>
      </c>
      <c r="J2905" s="3">
        <v>46219</v>
      </c>
      <c r="K2905" s="4">
        <f>ClientiBanca[[#This Row],[Prestito]]+ClientiBanca[[#This Row],[Mutuo]]</f>
        <v>43800</v>
      </c>
      <c r="L2905" t="str">
        <f>IF(ClientiBanca[[#This Row],[Reddito annuo]]&gt;=70000,"si","no")</f>
        <v>no</v>
      </c>
    </row>
    <row r="2906" spans="1:12">
      <c r="A2906">
        <v>102905</v>
      </c>
      <c r="B2906">
        <v>30</v>
      </c>
      <c r="C2906" s="2">
        <v>77200</v>
      </c>
      <c r="D2906" t="s">
        <v>22</v>
      </c>
      <c r="E2906" s="2">
        <v>0</v>
      </c>
      <c r="F2906" s="2">
        <v>153000</v>
      </c>
      <c r="G2906" t="s">
        <v>23</v>
      </c>
      <c r="H2906" t="s">
        <v>20</v>
      </c>
      <c r="I2906" t="s">
        <v>18</v>
      </c>
      <c r="J2906" s="3">
        <v>45334</v>
      </c>
      <c r="K2906" s="4">
        <f>ClientiBanca[[#This Row],[Prestito]]+ClientiBanca[[#This Row],[Mutuo]]</f>
        <v>153000</v>
      </c>
      <c r="L2906" t="str">
        <f>IF(ClientiBanca[[#This Row],[Reddito annuo]]&gt;=70000,"si","no")</f>
        <v>si</v>
      </c>
    </row>
    <row r="2907" spans="1:12">
      <c r="A2907">
        <v>102906</v>
      </c>
      <c r="B2907">
        <v>47</v>
      </c>
      <c r="C2907" s="2">
        <v>98300</v>
      </c>
      <c r="D2907" t="s">
        <v>12</v>
      </c>
      <c r="E2907" s="2">
        <v>48400</v>
      </c>
      <c r="F2907" s="2">
        <v>0</v>
      </c>
      <c r="G2907" t="s">
        <v>16</v>
      </c>
      <c r="H2907" t="s">
        <v>20</v>
      </c>
      <c r="I2907" t="s">
        <v>18</v>
      </c>
      <c r="J2907" s="3">
        <v>45799</v>
      </c>
      <c r="K2907" s="4">
        <f>ClientiBanca[[#This Row],[Prestito]]+ClientiBanca[[#This Row],[Mutuo]]</f>
        <v>48400</v>
      </c>
      <c r="L2907" t="str">
        <f>IF(ClientiBanca[[#This Row],[Reddito annuo]]&gt;=70000,"si","no")</f>
        <v>si</v>
      </c>
    </row>
    <row r="2908" spans="1:12">
      <c r="A2908">
        <v>102907</v>
      </c>
      <c r="B2908">
        <v>52</v>
      </c>
      <c r="C2908" s="2">
        <v>25000</v>
      </c>
      <c r="D2908" t="s">
        <v>22</v>
      </c>
      <c r="E2908" s="2">
        <v>31200</v>
      </c>
      <c r="F2908" s="2">
        <v>0</v>
      </c>
      <c r="G2908" t="s">
        <v>26</v>
      </c>
      <c r="H2908" t="s">
        <v>14</v>
      </c>
      <c r="I2908" t="s">
        <v>18</v>
      </c>
      <c r="J2908" s="3">
        <v>46142</v>
      </c>
      <c r="K2908" s="4">
        <f>ClientiBanca[[#This Row],[Prestito]]+ClientiBanca[[#This Row],[Mutuo]]</f>
        <v>31200</v>
      </c>
      <c r="L2908" t="str">
        <f>IF(ClientiBanca[[#This Row],[Reddito annuo]]&gt;=70000,"si","no")</f>
        <v>no</v>
      </c>
    </row>
    <row r="2909" spans="1:12">
      <c r="A2909">
        <v>102908</v>
      </c>
      <c r="B2909">
        <v>56</v>
      </c>
      <c r="C2909" s="2">
        <v>58100</v>
      </c>
      <c r="D2909" t="s">
        <v>21</v>
      </c>
      <c r="E2909" s="2">
        <v>42000</v>
      </c>
      <c r="F2909" s="2">
        <v>203000</v>
      </c>
      <c r="G2909" t="s">
        <v>19</v>
      </c>
      <c r="H2909" t="s">
        <v>17</v>
      </c>
      <c r="I2909" t="s">
        <v>18</v>
      </c>
      <c r="J2909" s="3">
        <v>45906</v>
      </c>
      <c r="K2909" s="4">
        <f>ClientiBanca[[#This Row],[Prestito]]+ClientiBanca[[#This Row],[Mutuo]]</f>
        <v>245000</v>
      </c>
      <c r="L2909" t="str">
        <f>IF(ClientiBanca[[#This Row],[Reddito annuo]]&gt;=70000,"si","no")</f>
        <v>no</v>
      </c>
    </row>
    <row r="2910" spans="1:12">
      <c r="A2910">
        <v>102909</v>
      </c>
      <c r="B2910">
        <v>60</v>
      </c>
      <c r="C2910" s="2">
        <v>38700</v>
      </c>
      <c r="D2910" t="s">
        <v>12</v>
      </c>
      <c r="E2910" s="2">
        <v>22200</v>
      </c>
      <c r="F2910" s="2">
        <v>0</v>
      </c>
      <c r="G2910" t="s">
        <v>26</v>
      </c>
      <c r="H2910" t="s">
        <v>20</v>
      </c>
      <c r="I2910" t="s">
        <v>18</v>
      </c>
      <c r="J2910" s="3">
        <v>46014</v>
      </c>
      <c r="K2910" s="4">
        <f>ClientiBanca[[#This Row],[Prestito]]+ClientiBanca[[#This Row],[Mutuo]]</f>
        <v>22200</v>
      </c>
      <c r="L2910" t="str">
        <f>IF(ClientiBanca[[#This Row],[Reddito annuo]]&gt;=70000,"si","no")</f>
        <v>no</v>
      </c>
    </row>
    <row r="2911" spans="1:12">
      <c r="A2911">
        <v>102910</v>
      </c>
      <c r="B2911">
        <v>60</v>
      </c>
      <c r="C2911" s="2">
        <v>46400</v>
      </c>
      <c r="D2911" t="s">
        <v>12</v>
      </c>
      <c r="E2911" s="2">
        <v>58000</v>
      </c>
      <c r="F2911" s="2">
        <v>196000</v>
      </c>
      <c r="G2911" t="s">
        <v>13</v>
      </c>
      <c r="H2911" t="s">
        <v>14</v>
      </c>
      <c r="I2911" t="s">
        <v>18</v>
      </c>
      <c r="J2911" s="3">
        <v>46100</v>
      </c>
      <c r="K2911" s="4">
        <f>ClientiBanca[[#This Row],[Prestito]]+ClientiBanca[[#This Row],[Mutuo]]</f>
        <v>254000</v>
      </c>
      <c r="L2911" t="str">
        <f>IF(ClientiBanca[[#This Row],[Reddito annuo]]&gt;=70000,"si","no")</f>
        <v>no</v>
      </c>
    </row>
    <row r="2912" spans="1:12">
      <c r="A2912">
        <v>102911</v>
      </c>
      <c r="B2912">
        <v>59</v>
      </c>
      <c r="C2912" s="2">
        <v>68700</v>
      </c>
      <c r="D2912" t="s">
        <v>21</v>
      </c>
      <c r="E2912" s="2">
        <v>21900</v>
      </c>
      <c r="F2912" s="2">
        <v>0</v>
      </c>
      <c r="G2912" t="s">
        <v>19</v>
      </c>
      <c r="H2912" t="s">
        <v>20</v>
      </c>
      <c r="I2912" t="s">
        <v>18</v>
      </c>
      <c r="J2912" s="3">
        <v>45948</v>
      </c>
      <c r="K2912" s="4">
        <f>ClientiBanca[[#This Row],[Prestito]]+ClientiBanca[[#This Row],[Mutuo]]</f>
        <v>21900</v>
      </c>
      <c r="L2912" t="str">
        <f>IF(ClientiBanca[[#This Row],[Reddito annuo]]&gt;=70000,"si","no")</f>
        <v>no</v>
      </c>
    </row>
    <row r="2913" spans="1:12">
      <c r="A2913">
        <v>102912</v>
      </c>
      <c r="B2913">
        <v>47</v>
      </c>
      <c r="C2913" s="2">
        <v>47600</v>
      </c>
      <c r="D2913" t="s">
        <v>21</v>
      </c>
      <c r="E2913" s="2">
        <v>35400</v>
      </c>
      <c r="F2913" s="2">
        <v>0</v>
      </c>
      <c r="G2913" t="s">
        <v>27</v>
      </c>
      <c r="H2913" t="s">
        <v>14</v>
      </c>
      <c r="I2913" t="s">
        <v>15</v>
      </c>
      <c r="J2913" s="3">
        <v>45503</v>
      </c>
      <c r="K2913" s="4">
        <f>ClientiBanca[[#This Row],[Prestito]]+ClientiBanca[[#This Row],[Mutuo]]</f>
        <v>35400</v>
      </c>
      <c r="L2913" t="str">
        <f>IF(ClientiBanca[[#This Row],[Reddito annuo]]&gt;=70000,"si","no")</f>
        <v>no</v>
      </c>
    </row>
    <row r="2914" spans="1:12">
      <c r="A2914">
        <v>102913</v>
      </c>
      <c r="B2914">
        <v>42</v>
      </c>
      <c r="C2914" s="2">
        <v>79000</v>
      </c>
      <c r="D2914" t="s">
        <v>12</v>
      </c>
      <c r="E2914" s="2">
        <v>14500</v>
      </c>
      <c r="F2914" s="2">
        <v>0</v>
      </c>
      <c r="G2914" t="s">
        <v>27</v>
      </c>
      <c r="H2914" t="s">
        <v>20</v>
      </c>
      <c r="I2914" t="s">
        <v>18</v>
      </c>
      <c r="J2914" s="3">
        <v>45881</v>
      </c>
      <c r="K2914" s="4">
        <f>ClientiBanca[[#This Row],[Prestito]]+ClientiBanca[[#This Row],[Mutuo]]</f>
        <v>14500</v>
      </c>
      <c r="L2914" t="str">
        <f>IF(ClientiBanca[[#This Row],[Reddito annuo]]&gt;=70000,"si","no")</f>
        <v>si</v>
      </c>
    </row>
    <row r="2915" spans="1:12">
      <c r="A2915">
        <v>102914</v>
      </c>
      <c r="B2915">
        <v>50</v>
      </c>
      <c r="C2915" s="2">
        <v>71500</v>
      </c>
      <c r="D2915" t="s">
        <v>21</v>
      </c>
      <c r="E2915" s="2">
        <v>0</v>
      </c>
      <c r="F2915" s="2">
        <v>213000</v>
      </c>
      <c r="G2915" t="s">
        <v>23</v>
      </c>
      <c r="H2915" t="s">
        <v>17</v>
      </c>
      <c r="I2915" t="s">
        <v>18</v>
      </c>
      <c r="J2915" s="3">
        <v>45970</v>
      </c>
      <c r="K2915" s="4">
        <f>ClientiBanca[[#This Row],[Prestito]]+ClientiBanca[[#This Row],[Mutuo]]</f>
        <v>213000</v>
      </c>
      <c r="L2915" t="str">
        <f>IF(ClientiBanca[[#This Row],[Reddito annuo]]&gt;=70000,"si","no")</f>
        <v>si</v>
      </c>
    </row>
    <row r="2916" spans="1:12">
      <c r="A2916">
        <v>102915</v>
      </c>
      <c r="B2916">
        <v>58</v>
      </c>
      <c r="C2916" s="2">
        <v>39200</v>
      </c>
      <c r="D2916" t="s">
        <v>21</v>
      </c>
      <c r="E2916" s="2">
        <v>37700</v>
      </c>
      <c r="F2916" s="2">
        <v>0</v>
      </c>
      <c r="G2916" t="s">
        <v>26</v>
      </c>
      <c r="H2916" t="s">
        <v>17</v>
      </c>
      <c r="I2916" t="s">
        <v>18</v>
      </c>
      <c r="J2916" s="3">
        <v>45376</v>
      </c>
      <c r="K2916" s="4">
        <f>ClientiBanca[[#This Row],[Prestito]]+ClientiBanca[[#This Row],[Mutuo]]</f>
        <v>37700</v>
      </c>
      <c r="L2916" t="str">
        <f>IF(ClientiBanca[[#This Row],[Reddito annuo]]&gt;=70000,"si","no")</f>
        <v>no</v>
      </c>
    </row>
    <row r="2917" spans="1:12">
      <c r="A2917">
        <v>102916</v>
      </c>
      <c r="B2917">
        <v>71</v>
      </c>
      <c r="C2917" s="2">
        <v>69900</v>
      </c>
      <c r="D2917" t="s">
        <v>12</v>
      </c>
      <c r="E2917" s="2">
        <v>5400</v>
      </c>
      <c r="F2917" s="2">
        <v>330000</v>
      </c>
      <c r="G2917" t="s">
        <v>27</v>
      </c>
      <c r="H2917" t="s">
        <v>20</v>
      </c>
      <c r="I2917" t="s">
        <v>18</v>
      </c>
      <c r="J2917" s="3">
        <v>46183</v>
      </c>
      <c r="K2917" s="4">
        <f>ClientiBanca[[#This Row],[Prestito]]+ClientiBanca[[#This Row],[Mutuo]]</f>
        <v>335400</v>
      </c>
      <c r="L2917" t="str">
        <f>IF(ClientiBanca[[#This Row],[Reddito annuo]]&gt;=70000,"si","no")</f>
        <v>no</v>
      </c>
    </row>
    <row r="2918" spans="1:12">
      <c r="A2918">
        <v>102917</v>
      </c>
      <c r="B2918">
        <v>34</v>
      </c>
      <c r="C2918" s="2">
        <v>55600</v>
      </c>
      <c r="D2918" t="s">
        <v>21</v>
      </c>
      <c r="E2918" s="2">
        <v>0</v>
      </c>
      <c r="F2918" s="2">
        <v>0</v>
      </c>
      <c r="G2918" t="s">
        <v>16</v>
      </c>
      <c r="H2918" t="s">
        <v>25</v>
      </c>
      <c r="I2918" t="s">
        <v>18</v>
      </c>
      <c r="J2918" s="3">
        <v>45789</v>
      </c>
      <c r="K2918" s="4">
        <f>ClientiBanca[[#This Row],[Prestito]]+ClientiBanca[[#This Row],[Mutuo]]</f>
        <v>0</v>
      </c>
      <c r="L2918" t="str">
        <f>IF(ClientiBanca[[#This Row],[Reddito annuo]]&gt;=70000,"si","no")</f>
        <v>no</v>
      </c>
    </row>
    <row r="2919" spans="1:12">
      <c r="A2919">
        <v>102918</v>
      </c>
      <c r="B2919">
        <v>26</v>
      </c>
      <c r="C2919" s="2">
        <v>103500</v>
      </c>
      <c r="D2919" t="s">
        <v>21</v>
      </c>
      <c r="E2919" s="2">
        <v>62500</v>
      </c>
      <c r="F2919" s="2">
        <v>0</v>
      </c>
      <c r="G2919" t="s">
        <v>24</v>
      </c>
      <c r="H2919" t="s">
        <v>14</v>
      </c>
      <c r="I2919" t="s">
        <v>15</v>
      </c>
      <c r="J2919" s="3">
        <v>46203</v>
      </c>
      <c r="K2919" s="4">
        <f>ClientiBanca[[#This Row],[Prestito]]+ClientiBanca[[#This Row],[Mutuo]]</f>
        <v>62500</v>
      </c>
      <c r="L2919" t="str">
        <f>IF(ClientiBanca[[#This Row],[Reddito annuo]]&gt;=70000,"si","no")</f>
        <v>si</v>
      </c>
    </row>
    <row r="2920" spans="1:12">
      <c r="A2920">
        <v>102919</v>
      </c>
      <c r="B2920">
        <v>47</v>
      </c>
      <c r="C2920" s="2">
        <v>58700</v>
      </c>
      <c r="D2920" t="s">
        <v>21</v>
      </c>
      <c r="E2920" s="2">
        <v>0</v>
      </c>
      <c r="F2920" s="2">
        <v>0</v>
      </c>
      <c r="G2920" t="s">
        <v>24</v>
      </c>
      <c r="H2920" t="s">
        <v>17</v>
      </c>
      <c r="I2920" t="s">
        <v>18</v>
      </c>
      <c r="J2920" s="3">
        <v>45341</v>
      </c>
      <c r="K2920" s="4">
        <f>ClientiBanca[[#This Row],[Prestito]]+ClientiBanca[[#This Row],[Mutuo]]</f>
        <v>0</v>
      </c>
      <c r="L2920" t="str">
        <f>IF(ClientiBanca[[#This Row],[Reddito annuo]]&gt;=70000,"si","no")</f>
        <v>no</v>
      </c>
    </row>
    <row r="2921" spans="1:12">
      <c r="A2921">
        <v>102920</v>
      </c>
      <c r="B2921">
        <v>60</v>
      </c>
      <c r="C2921" s="2">
        <v>48900</v>
      </c>
      <c r="D2921" t="s">
        <v>21</v>
      </c>
      <c r="E2921" s="2">
        <v>0</v>
      </c>
      <c r="F2921" s="2">
        <v>0</v>
      </c>
      <c r="G2921" t="s">
        <v>26</v>
      </c>
      <c r="H2921" t="s">
        <v>17</v>
      </c>
      <c r="I2921" t="s">
        <v>18</v>
      </c>
      <c r="J2921" s="3">
        <v>45356</v>
      </c>
      <c r="K2921" s="4">
        <f>ClientiBanca[[#This Row],[Prestito]]+ClientiBanca[[#This Row],[Mutuo]]</f>
        <v>0</v>
      </c>
      <c r="L2921" t="str">
        <f>IF(ClientiBanca[[#This Row],[Reddito annuo]]&gt;=70000,"si","no")</f>
        <v>no</v>
      </c>
    </row>
    <row r="2922" spans="1:12">
      <c r="A2922">
        <v>102921</v>
      </c>
      <c r="B2922">
        <v>26</v>
      </c>
      <c r="C2922" s="2">
        <v>67200</v>
      </c>
      <c r="D2922" t="s">
        <v>21</v>
      </c>
      <c r="E2922" s="2">
        <v>79200</v>
      </c>
      <c r="F2922" s="2">
        <v>0</v>
      </c>
      <c r="G2922" t="s">
        <v>24</v>
      </c>
      <c r="H2922" t="s">
        <v>14</v>
      </c>
      <c r="I2922" t="s">
        <v>18</v>
      </c>
      <c r="J2922" s="3">
        <v>45335</v>
      </c>
      <c r="K2922" s="4">
        <f>ClientiBanca[[#This Row],[Prestito]]+ClientiBanca[[#This Row],[Mutuo]]</f>
        <v>79200</v>
      </c>
      <c r="L2922" t="str">
        <f>IF(ClientiBanca[[#This Row],[Reddito annuo]]&gt;=70000,"si","no")</f>
        <v>no</v>
      </c>
    </row>
    <row r="2923" spans="1:12">
      <c r="A2923">
        <v>102922</v>
      </c>
      <c r="B2923">
        <v>30</v>
      </c>
      <c r="C2923" s="2">
        <v>116400</v>
      </c>
      <c r="D2923" t="s">
        <v>22</v>
      </c>
      <c r="E2923" s="2">
        <v>0</v>
      </c>
      <c r="F2923" s="2">
        <v>0</v>
      </c>
      <c r="G2923" t="s">
        <v>23</v>
      </c>
      <c r="H2923" t="s">
        <v>17</v>
      </c>
      <c r="I2923" t="s">
        <v>18</v>
      </c>
      <c r="J2923" s="3">
        <v>46173</v>
      </c>
      <c r="K2923" s="4">
        <f>ClientiBanca[[#This Row],[Prestito]]+ClientiBanca[[#This Row],[Mutuo]]</f>
        <v>0</v>
      </c>
      <c r="L2923" t="str">
        <f>IF(ClientiBanca[[#This Row],[Reddito annuo]]&gt;=70000,"si","no")</f>
        <v>si</v>
      </c>
    </row>
    <row r="2924" spans="1:12">
      <c r="A2924">
        <v>102923</v>
      </c>
      <c r="B2924">
        <v>21</v>
      </c>
      <c r="C2924" s="2">
        <v>73300</v>
      </c>
      <c r="D2924" t="s">
        <v>21</v>
      </c>
      <c r="E2924" s="2">
        <v>0</v>
      </c>
      <c r="F2924" s="2">
        <v>0</v>
      </c>
      <c r="G2924" t="s">
        <v>13</v>
      </c>
      <c r="H2924" t="s">
        <v>14</v>
      </c>
      <c r="I2924" t="s">
        <v>18</v>
      </c>
      <c r="J2924" s="3">
        <v>45687</v>
      </c>
      <c r="K2924" s="4">
        <f>ClientiBanca[[#This Row],[Prestito]]+ClientiBanca[[#This Row],[Mutuo]]</f>
        <v>0</v>
      </c>
      <c r="L2924" t="str">
        <f>IF(ClientiBanca[[#This Row],[Reddito annuo]]&gt;=70000,"si","no")</f>
        <v>si</v>
      </c>
    </row>
    <row r="2925" spans="1:12">
      <c r="A2925">
        <v>102924</v>
      </c>
      <c r="B2925">
        <v>31</v>
      </c>
      <c r="C2925" s="2">
        <v>54200</v>
      </c>
      <c r="D2925" t="s">
        <v>21</v>
      </c>
      <c r="E2925" s="2">
        <v>28200</v>
      </c>
      <c r="F2925" s="2">
        <v>0</v>
      </c>
      <c r="G2925" t="s">
        <v>26</v>
      </c>
      <c r="H2925" t="s">
        <v>20</v>
      </c>
      <c r="I2925" t="s">
        <v>18</v>
      </c>
      <c r="J2925" s="3">
        <v>45748</v>
      </c>
      <c r="K2925" s="4">
        <f>ClientiBanca[[#This Row],[Prestito]]+ClientiBanca[[#This Row],[Mutuo]]</f>
        <v>28200</v>
      </c>
      <c r="L2925" t="str">
        <f>IF(ClientiBanca[[#This Row],[Reddito annuo]]&gt;=70000,"si","no")</f>
        <v>no</v>
      </c>
    </row>
    <row r="2926" spans="1:12">
      <c r="A2926">
        <v>102925</v>
      </c>
      <c r="B2926">
        <v>55</v>
      </c>
      <c r="C2926" s="2">
        <v>68000</v>
      </c>
      <c r="D2926" t="s">
        <v>22</v>
      </c>
      <c r="E2926" s="2">
        <v>0</v>
      </c>
      <c r="F2926" s="2">
        <v>0</v>
      </c>
      <c r="G2926" t="s">
        <v>13</v>
      </c>
      <c r="H2926" t="s">
        <v>17</v>
      </c>
      <c r="I2926" t="s">
        <v>18</v>
      </c>
      <c r="J2926" s="3">
        <v>46207</v>
      </c>
      <c r="K2926" s="4">
        <f>ClientiBanca[[#This Row],[Prestito]]+ClientiBanca[[#This Row],[Mutuo]]</f>
        <v>0</v>
      </c>
      <c r="L2926" t="str">
        <f>IF(ClientiBanca[[#This Row],[Reddito annuo]]&gt;=70000,"si","no")</f>
        <v>no</v>
      </c>
    </row>
    <row r="2927" spans="1:12">
      <c r="A2927">
        <v>102926</v>
      </c>
      <c r="B2927">
        <v>56</v>
      </c>
      <c r="C2927" s="2">
        <v>75300</v>
      </c>
      <c r="D2927" t="s">
        <v>22</v>
      </c>
      <c r="E2927" s="2">
        <v>11500</v>
      </c>
      <c r="F2927" s="2">
        <v>0</v>
      </c>
      <c r="G2927" t="s">
        <v>19</v>
      </c>
      <c r="H2927" t="s">
        <v>20</v>
      </c>
      <c r="I2927" t="s">
        <v>18</v>
      </c>
      <c r="J2927" s="3">
        <v>45996</v>
      </c>
      <c r="K2927" s="4">
        <f>ClientiBanca[[#This Row],[Prestito]]+ClientiBanca[[#This Row],[Mutuo]]</f>
        <v>11500</v>
      </c>
      <c r="L2927" t="str">
        <f>IF(ClientiBanca[[#This Row],[Reddito annuo]]&gt;=70000,"si","no")</f>
        <v>si</v>
      </c>
    </row>
    <row r="2928" spans="1:12">
      <c r="A2928">
        <v>102927</v>
      </c>
      <c r="B2928">
        <v>37</v>
      </c>
      <c r="C2928" s="2">
        <v>46900</v>
      </c>
      <c r="D2928" t="s">
        <v>12</v>
      </c>
      <c r="E2928" s="2">
        <v>17300</v>
      </c>
      <c r="F2928" s="2">
        <v>123000</v>
      </c>
      <c r="G2928" t="s">
        <v>26</v>
      </c>
      <c r="H2928" t="s">
        <v>17</v>
      </c>
      <c r="I2928" t="s">
        <v>18</v>
      </c>
      <c r="J2928" s="3">
        <v>46069</v>
      </c>
      <c r="K2928" s="4">
        <f>ClientiBanca[[#This Row],[Prestito]]+ClientiBanca[[#This Row],[Mutuo]]</f>
        <v>140300</v>
      </c>
      <c r="L2928" t="str">
        <f>IF(ClientiBanca[[#This Row],[Reddito annuo]]&gt;=70000,"si","no")</f>
        <v>no</v>
      </c>
    </row>
    <row r="2929" spans="1:12">
      <c r="A2929">
        <v>102928</v>
      </c>
      <c r="B2929">
        <v>63</v>
      </c>
      <c r="C2929" s="2">
        <v>81400</v>
      </c>
      <c r="D2929" t="s">
        <v>12</v>
      </c>
      <c r="E2929" s="2">
        <v>43800</v>
      </c>
      <c r="F2929" s="2">
        <v>0</v>
      </c>
      <c r="G2929" t="s">
        <v>28</v>
      </c>
      <c r="H2929" t="s">
        <v>20</v>
      </c>
      <c r="I2929" t="s">
        <v>18</v>
      </c>
      <c r="J2929" s="3">
        <v>46090</v>
      </c>
      <c r="K2929" s="4">
        <f>ClientiBanca[[#This Row],[Prestito]]+ClientiBanca[[#This Row],[Mutuo]]</f>
        <v>43800</v>
      </c>
      <c r="L2929" t="str">
        <f>IF(ClientiBanca[[#This Row],[Reddito annuo]]&gt;=70000,"si","no")</f>
        <v>si</v>
      </c>
    </row>
    <row r="2930" spans="1:12">
      <c r="A2930">
        <v>102929</v>
      </c>
      <c r="B2930">
        <v>40</v>
      </c>
      <c r="C2930" s="2">
        <v>65800</v>
      </c>
      <c r="D2930" t="s">
        <v>21</v>
      </c>
      <c r="E2930" s="2">
        <v>24700</v>
      </c>
      <c r="F2930" s="2">
        <v>0</v>
      </c>
      <c r="G2930" t="s">
        <v>26</v>
      </c>
      <c r="H2930" t="s">
        <v>17</v>
      </c>
      <c r="I2930" t="s">
        <v>18</v>
      </c>
      <c r="J2930" s="3">
        <v>45945</v>
      </c>
      <c r="K2930" s="4">
        <f>ClientiBanca[[#This Row],[Prestito]]+ClientiBanca[[#This Row],[Mutuo]]</f>
        <v>24700</v>
      </c>
      <c r="L2930" t="str">
        <f>IF(ClientiBanca[[#This Row],[Reddito annuo]]&gt;=70000,"si","no")</f>
        <v>no</v>
      </c>
    </row>
    <row r="2931" spans="1:12">
      <c r="A2931">
        <v>102930</v>
      </c>
      <c r="B2931">
        <v>73</v>
      </c>
      <c r="C2931" s="2">
        <v>47300</v>
      </c>
      <c r="D2931" t="s">
        <v>22</v>
      </c>
      <c r="E2931" s="2">
        <v>32100</v>
      </c>
      <c r="F2931" s="2">
        <v>0</v>
      </c>
      <c r="G2931" t="s">
        <v>19</v>
      </c>
      <c r="H2931" t="s">
        <v>14</v>
      </c>
      <c r="I2931" t="s">
        <v>18</v>
      </c>
      <c r="J2931" s="3">
        <v>45470</v>
      </c>
      <c r="K2931" s="4">
        <f>ClientiBanca[[#This Row],[Prestito]]+ClientiBanca[[#This Row],[Mutuo]]</f>
        <v>32100</v>
      </c>
      <c r="L2931" t="str">
        <f>IF(ClientiBanca[[#This Row],[Reddito annuo]]&gt;=70000,"si","no")</f>
        <v>no</v>
      </c>
    </row>
    <row r="2932" spans="1:12">
      <c r="A2932">
        <v>102931</v>
      </c>
      <c r="B2932">
        <v>29</v>
      </c>
      <c r="C2932" s="2">
        <v>78000</v>
      </c>
      <c r="D2932" t="s">
        <v>22</v>
      </c>
      <c r="E2932" s="2">
        <v>40400</v>
      </c>
      <c r="F2932" s="2">
        <v>0</v>
      </c>
      <c r="G2932" t="s">
        <v>28</v>
      </c>
      <c r="H2932" t="s">
        <v>20</v>
      </c>
      <c r="I2932" t="s">
        <v>18</v>
      </c>
      <c r="J2932" s="3">
        <v>45538</v>
      </c>
      <c r="K2932" s="4">
        <f>ClientiBanca[[#This Row],[Prestito]]+ClientiBanca[[#This Row],[Mutuo]]</f>
        <v>40400</v>
      </c>
      <c r="L2932" t="str">
        <f>IF(ClientiBanca[[#This Row],[Reddito annuo]]&gt;=70000,"si","no")</f>
        <v>si</v>
      </c>
    </row>
    <row r="2933" spans="1:12">
      <c r="A2933">
        <v>102932</v>
      </c>
      <c r="B2933">
        <v>39</v>
      </c>
      <c r="C2933" s="2">
        <v>93500</v>
      </c>
      <c r="D2933" t="s">
        <v>21</v>
      </c>
      <c r="E2933" s="2">
        <v>31700</v>
      </c>
      <c r="F2933" s="2">
        <v>105000</v>
      </c>
      <c r="G2933" t="s">
        <v>27</v>
      </c>
      <c r="H2933" t="s">
        <v>20</v>
      </c>
      <c r="I2933" t="s">
        <v>18</v>
      </c>
      <c r="J2933" s="3">
        <v>45950</v>
      </c>
      <c r="K2933" s="4">
        <f>ClientiBanca[[#This Row],[Prestito]]+ClientiBanca[[#This Row],[Mutuo]]</f>
        <v>136700</v>
      </c>
      <c r="L2933" t="str">
        <f>IF(ClientiBanca[[#This Row],[Reddito annuo]]&gt;=70000,"si","no")</f>
        <v>si</v>
      </c>
    </row>
    <row r="2934" spans="1:12">
      <c r="A2934">
        <v>102933</v>
      </c>
      <c r="B2934">
        <v>36</v>
      </c>
      <c r="C2934" s="2">
        <v>57200</v>
      </c>
      <c r="D2934" t="s">
        <v>22</v>
      </c>
      <c r="E2934" s="2">
        <v>0</v>
      </c>
      <c r="F2934" s="2">
        <v>0</v>
      </c>
      <c r="G2934" t="s">
        <v>26</v>
      </c>
      <c r="H2934" t="s">
        <v>20</v>
      </c>
      <c r="I2934" t="s">
        <v>18</v>
      </c>
      <c r="J2934" s="3">
        <v>45365</v>
      </c>
      <c r="K2934" s="4">
        <f>ClientiBanca[[#This Row],[Prestito]]+ClientiBanca[[#This Row],[Mutuo]]</f>
        <v>0</v>
      </c>
      <c r="L2934" t="str">
        <f>IF(ClientiBanca[[#This Row],[Reddito annuo]]&gt;=70000,"si","no")</f>
        <v>no</v>
      </c>
    </row>
    <row r="2935" spans="1:12">
      <c r="A2935">
        <v>102934</v>
      </c>
      <c r="B2935">
        <v>72</v>
      </c>
      <c r="C2935" s="2">
        <v>97700</v>
      </c>
      <c r="D2935" t="s">
        <v>21</v>
      </c>
      <c r="E2935" s="2">
        <v>15700</v>
      </c>
      <c r="F2935" s="2">
        <v>0</v>
      </c>
      <c r="G2935" t="s">
        <v>19</v>
      </c>
      <c r="H2935" t="s">
        <v>20</v>
      </c>
      <c r="I2935" t="s">
        <v>18</v>
      </c>
      <c r="J2935" s="3">
        <v>45702</v>
      </c>
      <c r="K2935" s="4">
        <f>ClientiBanca[[#This Row],[Prestito]]+ClientiBanca[[#This Row],[Mutuo]]</f>
        <v>15700</v>
      </c>
      <c r="L2935" t="str">
        <f>IF(ClientiBanca[[#This Row],[Reddito annuo]]&gt;=70000,"si","no")</f>
        <v>si</v>
      </c>
    </row>
    <row r="2936" spans="1:12">
      <c r="A2936">
        <v>102935</v>
      </c>
      <c r="B2936">
        <v>36</v>
      </c>
      <c r="C2936" s="2">
        <v>34700</v>
      </c>
      <c r="D2936" t="s">
        <v>21</v>
      </c>
      <c r="E2936" s="2">
        <v>43400</v>
      </c>
      <c r="F2936" s="2">
        <v>0</v>
      </c>
      <c r="G2936" t="s">
        <v>13</v>
      </c>
      <c r="H2936" t="s">
        <v>17</v>
      </c>
      <c r="I2936" t="s">
        <v>18</v>
      </c>
      <c r="J2936" s="3">
        <v>45956</v>
      </c>
      <c r="K2936" s="4">
        <f>ClientiBanca[[#This Row],[Prestito]]+ClientiBanca[[#This Row],[Mutuo]]</f>
        <v>43400</v>
      </c>
      <c r="L2936" t="str">
        <f>IF(ClientiBanca[[#This Row],[Reddito annuo]]&gt;=70000,"si","no")</f>
        <v>no</v>
      </c>
    </row>
    <row r="2937" spans="1:12">
      <c r="A2937">
        <v>102936</v>
      </c>
      <c r="B2937">
        <v>43</v>
      </c>
      <c r="C2937" s="2">
        <v>57600</v>
      </c>
      <c r="D2937" t="s">
        <v>12</v>
      </c>
      <c r="E2937" s="2">
        <v>20500</v>
      </c>
      <c r="F2937" s="2">
        <v>181000</v>
      </c>
      <c r="G2937" t="s">
        <v>19</v>
      </c>
      <c r="H2937" t="s">
        <v>17</v>
      </c>
      <c r="I2937" t="s">
        <v>15</v>
      </c>
      <c r="J2937" s="3">
        <v>46085</v>
      </c>
      <c r="K2937" s="4">
        <f>ClientiBanca[[#This Row],[Prestito]]+ClientiBanca[[#This Row],[Mutuo]]</f>
        <v>201500</v>
      </c>
      <c r="L2937" t="str">
        <f>IF(ClientiBanca[[#This Row],[Reddito annuo]]&gt;=70000,"si","no")</f>
        <v>no</v>
      </c>
    </row>
    <row r="2938" spans="1:12">
      <c r="A2938">
        <v>102937</v>
      </c>
      <c r="B2938">
        <v>63</v>
      </c>
      <c r="C2938" s="2">
        <v>80300</v>
      </c>
      <c r="D2938" t="s">
        <v>12</v>
      </c>
      <c r="E2938" s="2">
        <v>0</v>
      </c>
      <c r="F2938" s="2">
        <v>0</v>
      </c>
      <c r="G2938" t="s">
        <v>26</v>
      </c>
      <c r="H2938" t="s">
        <v>14</v>
      </c>
      <c r="I2938" t="s">
        <v>18</v>
      </c>
      <c r="J2938" s="3">
        <v>45662</v>
      </c>
      <c r="K2938" s="4">
        <f>ClientiBanca[[#This Row],[Prestito]]+ClientiBanca[[#This Row],[Mutuo]]</f>
        <v>0</v>
      </c>
      <c r="L2938" t="str">
        <f>IF(ClientiBanca[[#This Row],[Reddito annuo]]&gt;=70000,"si","no")</f>
        <v>si</v>
      </c>
    </row>
    <row r="2939" spans="1:12">
      <c r="A2939">
        <v>102938</v>
      </c>
      <c r="B2939">
        <v>52</v>
      </c>
      <c r="C2939" s="2">
        <v>34200</v>
      </c>
      <c r="D2939" t="s">
        <v>21</v>
      </c>
      <c r="E2939" s="2">
        <v>42800</v>
      </c>
      <c r="F2939" s="2">
        <v>0</v>
      </c>
      <c r="G2939" t="s">
        <v>26</v>
      </c>
      <c r="H2939" t="s">
        <v>14</v>
      </c>
      <c r="I2939" t="s">
        <v>18</v>
      </c>
      <c r="J2939" s="3">
        <v>45490</v>
      </c>
      <c r="K2939" s="4">
        <f>ClientiBanca[[#This Row],[Prestito]]+ClientiBanca[[#This Row],[Mutuo]]</f>
        <v>42800</v>
      </c>
      <c r="L2939" t="str">
        <f>IF(ClientiBanca[[#This Row],[Reddito annuo]]&gt;=70000,"si","no")</f>
        <v>no</v>
      </c>
    </row>
    <row r="2940" spans="1:12">
      <c r="A2940">
        <v>102939</v>
      </c>
      <c r="B2940">
        <v>46</v>
      </c>
      <c r="C2940" s="2">
        <v>39200</v>
      </c>
      <c r="D2940" t="s">
        <v>21</v>
      </c>
      <c r="E2940" s="2">
        <v>0</v>
      </c>
      <c r="F2940" s="2">
        <v>0</v>
      </c>
      <c r="G2940" t="s">
        <v>26</v>
      </c>
      <c r="H2940" t="s">
        <v>17</v>
      </c>
      <c r="I2940" t="s">
        <v>18</v>
      </c>
      <c r="J2940" s="3">
        <v>45599</v>
      </c>
      <c r="K2940" s="4">
        <f>ClientiBanca[[#This Row],[Prestito]]+ClientiBanca[[#This Row],[Mutuo]]</f>
        <v>0</v>
      </c>
      <c r="L2940" t="str">
        <f>IF(ClientiBanca[[#This Row],[Reddito annuo]]&gt;=70000,"si","no")</f>
        <v>no</v>
      </c>
    </row>
    <row r="2941" spans="1:12">
      <c r="A2941">
        <v>102940</v>
      </c>
      <c r="B2941">
        <v>21</v>
      </c>
      <c r="C2941" s="2">
        <v>57400</v>
      </c>
      <c r="D2941" t="s">
        <v>21</v>
      </c>
      <c r="E2941" s="2">
        <v>0</v>
      </c>
      <c r="F2941" s="2">
        <v>0</v>
      </c>
      <c r="G2941" t="s">
        <v>28</v>
      </c>
      <c r="H2941" t="s">
        <v>17</v>
      </c>
      <c r="I2941" t="s">
        <v>18</v>
      </c>
      <c r="J2941" s="3">
        <v>45390</v>
      </c>
      <c r="K2941" s="4">
        <f>ClientiBanca[[#This Row],[Prestito]]+ClientiBanca[[#This Row],[Mutuo]]</f>
        <v>0</v>
      </c>
      <c r="L2941" t="str">
        <f>IF(ClientiBanca[[#This Row],[Reddito annuo]]&gt;=70000,"si","no")</f>
        <v>no</v>
      </c>
    </row>
    <row r="2942" spans="1:12">
      <c r="A2942">
        <v>102941</v>
      </c>
      <c r="B2942">
        <v>36</v>
      </c>
      <c r="C2942" s="2">
        <v>78400</v>
      </c>
      <c r="D2942" t="s">
        <v>21</v>
      </c>
      <c r="E2942" s="2">
        <v>47900</v>
      </c>
      <c r="F2942" s="2">
        <v>0</v>
      </c>
      <c r="G2942" t="s">
        <v>23</v>
      </c>
      <c r="H2942" t="s">
        <v>25</v>
      </c>
      <c r="I2942" t="s">
        <v>15</v>
      </c>
      <c r="J2942" s="3">
        <v>45649</v>
      </c>
      <c r="K2942" s="4">
        <f>ClientiBanca[[#This Row],[Prestito]]+ClientiBanca[[#This Row],[Mutuo]]</f>
        <v>47900</v>
      </c>
      <c r="L2942" t="str">
        <f>IF(ClientiBanca[[#This Row],[Reddito annuo]]&gt;=70000,"si","no")</f>
        <v>si</v>
      </c>
    </row>
    <row r="2943" spans="1:12">
      <c r="A2943">
        <v>102942</v>
      </c>
      <c r="B2943">
        <v>65</v>
      </c>
      <c r="C2943" s="2">
        <v>48100</v>
      </c>
      <c r="D2943" t="s">
        <v>21</v>
      </c>
      <c r="E2943" s="2">
        <v>47300</v>
      </c>
      <c r="F2943" s="2">
        <v>0</v>
      </c>
      <c r="G2943" t="s">
        <v>26</v>
      </c>
      <c r="H2943" t="s">
        <v>17</v>
      </c>
      <c r="I2943" t="s">
        <v>18</v>
      </c>
      <c r="J2943" s="3">
        <v>45329</v>
      </c>
      <c r="K2943" s="4">
        <f>ClientiBanca[[#This Row],[Prestito]]+ClientiBanca[[#This Row],[Mutuo]]</f>
        <v>47300</v>
      </c>
      <c r="L2943" t="str">
        <f>IF(ClientiBanca[[#This Row],[Reddito annuo]]&gt;=70000,"si","no")</f>
        <v>no</v>
      </c>
    </row>
    <row r="2944" spans="1:12">
      <c r="A2944">
        <v>102943</v>
      </c>
      <c r="B2944">
        <v>27</v>
      </c>
      <c r="C2944" s="2">
        <v>57100</v>
      </c>
      <c r="D2944" t="s">
        <v>21</v>
      </c>
      <c r="E2944" s="2">
        <v>0</v>
      </c>
      <c r="F2944" s="2">
        <v>116000</v>
      </c>
      <c r="G2944" t="s">
        <v>19</v>
      </c>
      <c r="H2944" t="s">
        <v>17</v>
      </c>
      <c r="I2944" t="s">
        <v>18</v>
      </c>
      <c r="J2944" s="3">
        <v>45323</v>
      </c>
      <c r="K2944" s="4">
        <f>ClientiBanca[[#This Row],[Prestito]]+ClientiBanca[[#This Row],[Mutuo]]</f>
        <v>116000</v>
      </c>
      <c r="L2944" t="str">
        <f>IF(ClientiBanca[[#This Row],[Reddito annuo]]&gt;=70000,"si","no")</f>
        <v>no</v>
      </c>
    </row>
    <row r="2945" spans="1:12">
      <c r="A2945">
        <v>102944</v>
      </c>
      <c r="B2945">
        <v>62</v>
      </c>
      <c r="C2945" s="2">
        <v>91100</v>
      </c>
      <c r="D2945" t="s">
        <v>12</v>
      </c>
      <c r="E2945" s="2">
        <v>9000</v>
      </c>
      <c r="F2945" s="2">
        <v>0</v>
      </c>
      <c r="G2945" t="s">
        <v>26</v>
      </c>
      <c r="H2945" t="s">
        <v>17</v>
      </c>
      <c r="I2945" t="s">
        <v>18</v>
      </c>
      <c r="J2945" s="3">
        <v>45734</v>
      </c>
      <c r="K2945" s="4">
        <f>ClientiBanca[[#This Row],[Prestito]]+ClientiBanca[[#This Row],[Mutuo]]</f>
        <v>9000</v>
      </c>
      <c r="L2945" t="str">
        <f>IF(ClientiBanca[[#This Row],[Reddito annuo]]&gt;=70000,"si","no")</f>
        <v>si</v>
      </c>
    </row>
    <row r="2946" spans="1:12">
      <c r="A2946">
        <v>102945</v>
      </c>
      <c r="B2946">
        <v>64</v>
      </c>
      <c r="C2946" s="2">
        <v>67000</v>
      </c>
      <c r="D2946" t="s">
        <v>22</v>
      </c>
      <c r="E2946" s="2">
        <v>45000</v>
      </c>
      <c r="F2946" s="2">
        <v>0</v>
      </c>
      <c r="G2946" t="s">
        <v>24</v>
      </c>
      <c r="H2946" t="s">
        <v>20</v>
      </c>
      <c r="I2946" t="s">
        <v>18</v>
      </c>
      <c r="J2946" s="3">
        <v>45884</v>
      </c>
      <c r="K2946" s="4">
        <f>ClientiBanca[[#This Row],[Prestito]]+ClientiBanca[[#This Row],[Mutuo]]</f>
        <v>45000</v>
      </c>
      <c r="L2946" t="str">
        <f>IF(ClientiBanca[[#This Row],[Reddito annuo]]&gt;=70000,"si","no")</f>
        <v>no</v>
      </c>
    </row>
    <row r="2947" spans="1:12">
      <c r="A2947">
        <v>102946</v>
      </c>
      <c r="B2947">
        <v>71</v>
      </c>
      <c r="C2947" s="2">
        <v>83500</v>
      </c>
      <c r="D2947" t="s">
        <v>12</v>
      </c>
      <c r="E2947" s="2">
        <v>0</v>
      </c>
      <c r="F2947" s="2">
        <v>0</v>
      </c>
      <c r="G2947" t="s">
        <v>16</v>
      </c>
      <c r="H2947" t="s">
        <v>20</v>
      </c>
      <c r="I2947" t="s">
        <v>18</v>
      </c>
      <c r="J2947" s="3">
        <v>45985</v>
      </c>
      <c r="K2947" s="4">
        <f>ClientiBanca[[#This Row],[Prestito]]+ClientiBanca[[#This Row],[Mutuo]]</f>
        <v>0</v>
      </c>
      <c r="L2947" t="str">
        <f>IF(ClientiBanca[[#This Row],[Reddito annuo]]&gt;=70000,"si","no")</f>
        <v>si</v>
      </c>
    </row>
    <row r="2948" spans="1:12">
      <c r="A2948">
        <v>102947</v>
      </c>
      <c r="B2948">
        <v>35</v>
      </c>
      <c r="C2948" s="2">
        <v>50100</v>
      </c>
      <c r="D2948" t="s">
        <v>21</v>
      </c>
      <c r="E2948" s="2">
        <v>62600</v>
      </c>
      <c r="F2948" s="2">
        <v>0</v>
      </c>
      <c r="G2948" t="s">
        <v>19</v>
      </c>
      <c r="H2948" t="s">
        <v>17</v>
      </c>
      <c r="I2948" t="s">
        <v>18</v>
      </c>
      <c r="J2948" s="3">
        <v>45338</v>
      </c>
      <c r="K2948" s="4">
        <f>ClientiBanca[[#This Row],[Prestito]]+ClientiBanca[[#This Row],[Mutuo]]</f>
        <v>62600</v>
      </c>
      <c r="L2948" t="str">
        <f>IF(ClientiBanca[[#This Row],[Reddito annuo]]&gt;=70000,"si","no")</f>
        <v>no</v>
      </c>
    </row>
    <row r="2949" spans="1:12">
      <c r="A2949">
        <v>102948</v>
      </c>
      <c r="B2949">
        <v>51</v>
      </c>
      <c r="C2949" s="2">
        <v>30500</v>
      </c>
      <c r="D2949" t="s">
        <v>21</v>
      </c>
      <c r="E2949" s="2">
        <v>19400</v>
      </c>
      <c r="F2949" s="2">
        <v>0</v>
      </c>
      <c r="G2949" t="s">
        <v>23</v>
      </c>
      <c r="H2949" t="s">
        <v>17</v>
      </c>
      <c r="I2949" t="s">
        <v>18</v>
      </c>
      <c r="J2949" s="3">
        <v>45401</v>
      </c>
      <c r="K2949" s="4">
        <f>ClientiBanca[[#This Row],[Prestito]]+ClientiBanca[[#This Row],[Mutuo]]</f>
        <v>19400</v>
      </c>
      <c r="L2949" t="str">
        <f>IF(ClientiBanca[[#This Row],[Reddito annuo]]&gt;=70000,"si","no")</f>
        <v>no</v>
      </c>
    </row>
    <row r="2950" spans="1:12">
      <c r="A2950">
        <v>102949</v>
      </c>
      <c r="B2950">
        <v>68</v>
      </c>
      <c r="C2950" s="2">
        <v>40800</v>
      </c>
      <c r="D2950" t="s">
        <v>21</v>
      </c>
      <c r="E2950" s="2">
        <v>10100</v>
      </c>
      <c r="F2950" s="2">
        <v>0</v>
      </c>
      <c r="G2950" t="s">
        <v>26</v>
      </c>
      <c r="H2950" t="s">
        <v>17</v>
      </c>
      <c r="I2950" t="s">
        <v>18</v>
      </c>
      <c r="J2950" s="3">
        <v>45921</v>
      </c>
      <c r="K2950" s="4">
        <f>ClientiBanca[[#This Row],[Prestito]]+ClientiBanca[[#This Row],[Mutuo]]</f>
        <v>10100</v>
      </c>
      <c r="L2950" t="str">
        <f>IF(ClientiBanca[[#This Row],[Reddito annuo]]&gt;=70000,"si","no")</f>
        <v>no</v>
      </c>
    </row>
    <row r="2951" spans="1:12">
      <c r="A2951">
        <v>102950</v>
      </c>
      <c r="B2951">
        <v>34</v>
      </c>
      <c r="C2951" s="2">
        <v>55200</v>
      </c>
      <c r="D2951" t="s">
        <v>22</v>
      </c>
      <c r="E2951" s="2">
        <v>0</v>
      </c>
      <c r="F2951" s="2">
        <v>0</v>
      </c>
      <c r="G2951" t="s">
        <v>16</v>
      </c>
      <c r="H2951" t="s">
        <v>17</v>
      </c>
      <c r="I2951" t="s">
        <v>18</v>
      </c>
      <c r="J2951" s="3">
        <v>46131</v>
      </c>
      <c r="K2951" s="4">
        <f>ClientiBanca[[#This Row],[Prestito]]+ClientiBanca[[#This Row],[Mutuo]]</f>
        <v>0</v>
      </c>
      <c r="L2951" t="str">
        <f>IF(ClientiBanca[[#This Row],[Reddito annuo]]&gt;=70000,"si","no")</f>
        <v>no</v>
      </c>
    </row>
    <row r="2952" spans="1:12">
      <c r="A2952">
        <v>102951</v>
      </c>
      <c r="B2952">
        <v>24</v>
      </c>
      <c r="C2952" s="2">
        <v>108000</v>
      </c>
      <c r="D2952" t="s">
        <v>21</v>
      </c>
      <c r="E2952" s="2">
        <v>0</v>
      </c>
      <c r="F2952" s="2">
        <v>275000</v>
      </c>
      <c r="G2952" t="s">
        <v>27</v>
      </c>
      <c r="H2952" t="s">
        <v>17</v>
      </c>
      <c r="I2952" t="s">
        <v>18</v>
      </c>
      <c r="J2952" s="3">
        <v>46228</v>
      </c>
      <c r="K2952" s="4">
        <f>ClientiBanca[[#This Row],[Prestito]]+ClientiBanca[[#This Row],[Mutuo]]</f>
        <v>275000</v>
      </c>
      <c r="L2952" t="str">
        <f>IF(ClientiBanca[[#This Row],[Reddito annuo]]&gt;=70000,"si","no")</f>
        <v>si</v>
      </c>
    </row>
    <row r="2953" spans="1:12">
      <c r="A2953">
        <v>102952</v>
      </c>
      <c r="B2953">
        <v>49</v>
      </c>
      <c r="C2953" s="2">
        <v>73300</v>
      </c>
      <c r="D2953" t="s">
        <v>21</v>
      </c>
      <c r="E2953" s="2">
        <v>41500</v>
      </c>
      <c r="F2953" s="2">
        <v>0</v>
      </c>
      <c r="G2953" t="s">
        <v>24</v>
      </c>
      <c r="H2953" t="s">
        <v>17</v>
      </c>
      <c r="I2953" t="s">
        <v>15</v>
      </c>
      <c r="J2953" s="3">
        <v>45470</v>
      </c>
      <c r="K2953" s="4">
        <f>ClientiBanca[[#This Row],[Prestito]]+ClientiBanca[[#This Row],[Mutuo]]</f>
        <v>41500</v>
      </c>
      <c r="L2953" t="str">
        <f>IF(ClientiBanca[[#This Row],[Reddito annuo]]&gt;=70000,"si","no")</f>
        <v>si</v>
      </c>
    </row>
    <row r="2954" spans="1:12">
      <c r="A2954">
        <v>102953</v>
      </c>
      <c r="B2954">
        <v>74</v>
      </c>
      <c r="C2954" s="2">
        <v>49500</v>
      </c>
      <c r="D2954" t="s">
        <v>22</v>
      </c>
      <c r="E2954" s="2">
        <v>20500</v>
      </c>
      <c r="F2954" s="2">
        <v>0</v>
      </c>
      <c r="G2954" t="s">
        <v>26</v>
      </c>
      <c r="H2954" t="s">
        <v>17</v>
      </c>
      <c r="I2954" t="s">
        <v>18</v>
      </c>
      <c r="J2954" s="3">
        <v>45436</v>
      </c>
      <c r="K2954" s="4">
        <f>ClientiBanca[[#This Row],[Prestito]]+ClientiBanca[[#This Row],[Mutuo]]</f>
        <v>20500</v>
      </c>
      <c r="L2954" t="str">
        <f>IF(ClientiBanca[[#This Row],[Reddito annuo]]&gt;=70000,"si","no")</f>
        <v>no</v>
      </c>
    </row>
    <row r="2955" spans="1:12">
      <c r="A2955">
        <v>102954</v>
      </c>
      <c r="B2955">
        <v>52</v>
      </c>
      <c r="C2955" s="2">
        <v>93400</v>
      </c>
      <c r="D2955" t="s">
        <v>12</v>
      </c>
      <c r="E2955" s="2">
        <v>38600</v>
      </c>
      <c r="F2955" s="2">
        <v>131000</v>
      </c>
      <c r="G2955" t="s">
        <v>24</v>
      </c>
      <c r="H2955" t="s">
        <v>14</v>
      </c>
      <c r="I2955" t="s">
        <v>18</v>
      </c>
      <c r="J2955" s="3">
        <v>45462</v>
      </c>
      <c r="K2955" s="4">
        <f>ClientiBanca[[#This Row],[Prestito]]+ClientiBanca[[#This Row],[Mutuo]]</f>
        <v>169600</v>
      </c>
      <c r="L2955" t="str">
        <f>IF(ClientiBanca[[#This Row],[Reddito annuo]]&gt;=70000,"si","no")</f>
        <v>si</v>
      </c>
    </row>
    <row r="2956" spans="1:12">
      <c r="A2956">
        <v>102955</v>
      </c>
      <c r="B2956">
        <v>24</v>
      </c>
      <c r="C2956" s="2">
        <v>44800</v>
      </c>
      <c r="D2956" t="s">
        <v>12</v>
      </c>
      <c r="E2956" s="2">
        <v>17000</v>
      </c>
      <c r="F2956" s="2">
        <v>0</v>
      </c>
      <c r="G2956" t="s">
        <v>13</v>
      </c>
      <c r="H2956" t="s">
        <v>14</v>
      </c>
      <c r="I2956" t="s">
        <v>18</v>
      </c>
      <c r="J2956" s="3">
        <v>45851</v>
      </c>
      <c r="K2956" s="4">
        <f>ClientiBanca[[#This Row],[Prestito]]+ClientiBanca[[#This Row],[Mutuo]]</f>
        <v>17000</v>
      </c>
      <c r="L2956" t="str">
        <f>IF(ClientiBanca[[#This Row],[Reddito annuo]]&gt;=70000,"si","no")</f>
        <v>no</v>
      </c>
    </row>
    <row r="2957" spans="1:12">
      <c r="A2957">
        <v>102956</v>
      </c>
      <c r="B2957">
        <v>56</v>
      </c>
      <c r="C2957" s="2">
        <v>86300</v>
      </c>
      <c r="D2957" t="s">
        <v>21</v>
      </c>
      <c r="E2957" s="2">
        <v>40800</v>
      </c>
      <c r="F2957" s="2">
        <v>0</v>
      </c>
      <c r="G2957" t="s">
        <v>19</v>
      </c>
      <c r="H2957" t="s">
        <v>20</v>
      </c>
      <c r="I2957" t="s">
        <v>18</v>
      </c>
      <c r="J2957" s="3">
        <v>45936</v>
      </c>
      <c r="K2957" s="4">
        <f>ClientiBanca[[#This Row],[Prestito]]+ClientiBanca[[#This Row],[Mutuo]]</f>
        <v>40800</v>
      </c>
      <c r="L2957" t="str">
        <f>IF(ClientiBanca[[#This Row],[Reddito annuo]]&gt;=70000,"si","no")</f>
        <v>si</v>
      </c>
    </row>
    <row r="2958" spans="1:12">
      <c r="A2958">
        <v>102957</v>
      </c>
      <c r="B2958">
        <v>37</v>
      </c>
      <c r="C2958" s="2">
        <v>51700</v>
      </c>
      <c r="D2958" t="s">
        <v>21</v>
      </c>
      <c r="E2958" s="2">
        <v>27100</v>
      </c>
      <c r="F2958" s="2">
        <v>0</v>
      </c>
      <c r="G2958" t="s">
        <v>26</v>
      </c>
      <c r="H2958" t="s">
        <v>20</v>
      </c>
      <c r="I2958" t="s">
        <v>18</v>
      </c>
      <c r="J2958" s="3">
        <v>45825</v>
      </c>
      <c r="K2958" s="4">
        <f>ClientiBanca[[#This Row],[Prestito]]+ClientiBanca[[#This Row],[Mutuo]]</f>
        <v>27100</v>
      </c>
      <c r="L2958" t="str">
        <f>IF(ClientiBanca[[#This Row],[Reddito annuo]]&gt;=70000,"si","no")</f>
        <v>no</v>
      </c>
    </row>
    <row r="2959" spans="1:12">
      <c r="A2959">
        <v>102958</v>
      </c>
      <c r="B2959">
        <v>26</v>
      </c>
      <c r="C2959" s="2">
        <v>85300</v>
      </c>
      <c r="D2959" t="s">
        <v>12</v>
      </c>
      <c r="E2959" s="2">
        <v>51400</v>
      </c>
      <c r="F2959" s="2">
        <v>0</v>
      </c>
      <c r="G2959" t="s">
        <v>13</v>
      </c>
      <c r="H2959" t="s">
        <v>20</v>
      </c>
      <c r="I2959" t="s">
        <v>18</v>
      </c>
      <c r="J2959" s="3">
        <v>45484</v>
      </c>
      <c r="K2959" s="4">
        <f>ClientiBanca[[#This Row],[Prestito]]+ClientiBanca[[#This Row],[Mutuo]]</f>
        <v>51400</v>
      </c>
      <c r="L2959" t="str">
        <f>IF(ClientiBanca[[#This Row],[Reddito annuo]]&gt;=70000,"si","no")</f>
        <v>si</v>
      </c>
    </row>
    <row r="2960" spans="1:12">
      <c r="A2960">
        <v>102959</v>
      </c>
      <c r="B2960">
        <v>52</v>
      </c>
      <c r="C2960" s="2">
        <v>111800</v>
      </c>
      <c r="D2960" t="s">
        <v>12</v>
      </c>
      <c r="E2960" s="2">
        <v>19100</v>
      </c>
      <c r="F2960" s="2">
        <v>0</v>
      </c>
      <c r="G2960" t="s">
        <v>13</v>
      </c>
      <c r="H2960" t="s">
        <v>17</v>
      </c>
      <c r="I2960" t="s">
        <v>18</v>
      </c>
      <c r="J2960" s="3">
        <v>46149</v>
      </c>
      <c r="K2960" s="4">
        <f>ClientiBanca[[#This Row],[Prestito]]+ClientiBanca[[#This Row],[Mutuo]]</f>
        <v>19100</v>
      </c>
      <c r="L2960" t="str">
        <f>IF(ClientiBanca[[#This Row],[Reddito annuo]]&gt;=70000,"si","no")</f>
        <v>si</v>
      </c>
    </row>
    <row r="2961" spans="1:12">
      <c r="A2961">
        <v>102960</v>
      </c>
      <c r="B2961">
        <v>66</v>
      </c>
      <c r="C2961" s="2">
        <v>55000</v>
      </c>
      <c r="D2961" t="s">
        <v>21</v>
      </c>
      <c r="E2961" s="2">
        <v>52500</v>
      </c>
      <c r="F2961" s="2">
        <v>0</v>
      </c>
      <c r="G2961" t="s">
        <v>28</v>
      </c>
      <c r="H2961" t="s">
        <v>14</v>
      </c>
      <c r="I2961" t="s">
        <v>18</v>
      </c>
      <c r="J2961" s="3">
        <v>45978</v>
      </c>
      <c r="K2961" s="4">
        <f>ClientiBanca[[#This Row],[Prestito]]+ClientiBanca[[#This Row],[Mutuo]]</f>
        <v>52500</v>
      </c>
      <c r="L2961" t="str">
        <f>IF(ClientiBanca[[#This Row],[Reddito annuo]]&gt;=70000,"si","no")</f>
        <v>no</v>
      </c>
    </row>
    <row r="2962" spans="1:12">
      <c r="A2962">
        <v>102961</v>
      </c>
      <c r="B2962">
        <v>28</v>
      </c>
      <c r="C2962" s="2">
        <v>39100</v>
      </c>
      <c r="D2962" t="s">
        <v>22</v>
      </c>
      <c r="E2962" s="2">
        <v>35000</v>
      </c>
      <c r="F2962" s="2">
        <v>0</v>
      </c>
      <c r="G2962" t="s">
        <v>19</v>
      </c>
      <c r="H2962" t="s">
        <v>17</v>
      </c>
      <c r="I2962" t="s">
        <v>18</v>
      </c>
      <c r="J2962" s="3">
        <v>45391</v>
      </c>
      <c r="K2962" s="4">
        <f>ClientiBanca[[#This Row],[Prestito]]+ClientiBanca[[#This Row],[Mutuo]]</f>
        <v>35000</v>
      </c>
      <c r="L2962" t="str">
        <f>IF(ClientiBanca[[#This Row],[Reddito annuo]]&gt;=70000,"si","no")</f>
        <v>no</v>
      </c>
    </row>
    <row r="2963" spans="1:12">
      <c r="A2963">
        <v>102962</v>
      </c>
      <c r="B2963">
        <v>27</v>
      </c>
      <c r="C2963" s="2">
        <v>40300</v>
      </c>
      <c r="D2963" t="s">
        <v>21</v>
      </c>
      <c r="E2963" s="2">
        <v>27800</v>
      </c>
      <c r="F2963" s="2">
        <v>0</v>
      </c>
      <c r="G2963" t="s">
        <v>28</v>
      </c>
      <c r="H2963" t="s">
        <v>25</v>
      </c>
      <c r="I2963" t="s">
        <v>18</v>
      </c>
      <c r="J2963" s="3">
        <v>45590</v>
      </c>
      <c r="K2963" s="4">
        <f>ClientiBanca[[#This Row],[Prestito]]+ClientiBanca[[#This Row],[Mutuo]]</f>
        <v>27800</v>
      </c>
      <c r="L2963" t="str">
        <f>IF(ClientiBanca[[#This Row],[Reddito annuo]]&gt;=70000,"si","no")</f>
        <v>no</v>
      </c>
    </row>
    <row r="2964" spans="1:12">
      <c r="A2964">
        <v>102963</v>
      </c>
      <c r="B2964">
        <v>49</v>
      </c>
      <c r="C2964" s="2">
        <v>99900</v>
      </c>
      <c r="D2964" t="s">
        <v>21</v>
      </c>
      <c r="E2964" s="2">
        <v>82600</v>
      </c>
      <c r="F2964" s="2">
        <v>0</v>
      </c>
      <c r="G2964" t="s">
        <v>28</v>
      </c>
      <c r="H2964" t="s">
        <v>20</v>
      </c>
      <c r="I2964" t="s">
        <v>18</v>
      </c>
      <c r="J2964" s="3">
        <v>45534</v>
      </c>
      <c r="K2964" s="4">
        <f>ClientiBanca[[#This Row],[Prestito]]+ClientiBanca[[#This Row],[Mutuo]]</f>
        <v>82600</v>
      </c>
      <c r="L2964" t="str">
        <f>IF(ClientiBanca[[#This Row],[Reddito annuo]]&gt;=70000,"si","no")</f>
        <v>si</v>
      </c>
    </row>
    <row r="2965" spans="1:12">
      <c r="A2965">
        <v>102964</v>
      </c>
      <c r="B2965">
        <v>69</v>
      </c>
      <c r="C2965" s="2">
        <v>57400</v>
      </c>
      <c r="D2965" t="s">
        <v>21</v>
      </c>
      <c r="E2965" s="2">
        <v>3900</v>
      </c>
      <c r="F2965" s="2">
        <v>0</v>
      </c>
      <c r="G2965" t="s">
        <v>28</v>
      </c>
      <c r="H2965" t="s">
        <v>17</v>
      </c>
      <c r="I2965" t="s">
        <v>18</v>
      </c>
      <c r="J2965" s="3">
        <v>45718</v>
      </c>
      <c r="K2965" s="4">
        <f>ClientiBanca[[#This Row],[Prestito]]+ClientiBanca[[#This Row],[Mutuo]]</f>
        <v>3900</v>
      </c>
      <c r="L2965" t="str">
        <f>IF(ClientiBanca[[#This Row],[Reddito annuo]]&gt;=70000,"si","no")</f>
        <v>no</v>
      </c>
    </row>
    <row r="2966" spans="1:12">
      <c r="A2966">
        <v>102965</v>
      </c>
      <c r="B2966">
        <v>31</v>
      </c>
      <c r="C2966" s="2">
        <v>109800</v>
      </c>
      <c r="D2966" t="s">
        <v>21</v>
      </c>
      <c r="E2966" s="2">
        <v>36300</v>
      </c>
      <c r="F2966" s="2">
        <v>0</v>
      </c>
      <c r="G2966" t="s">
        <v>16</v>
      </c>
      <c r="H2966" t="s">
        <v>17</v>
      </c>
      <c r="I2966" t="s">
        <v>18</v>
      </c>
      <c r="J2966" s="3">
        <v>45397</v>
      </c>
      <c r="K2966" s="4">
        <f>ClientiBanca[[#This Row],[Prestito]]+ClientiBanca[[#This Row],[Mutuo]]</f>
        <v>36300</v>
      </c>
      <c r="L2966" t="str">
        <f>IF(ClientiBanca[[#This Row],[Reddito annuo]]&gt;=70000,"si","no")</f>
        <v>si</v>
      </c>
    </row>
    <row r="2967" spans="1:12">
      <c r="A2967">
        <v>102966</v>
      </c>
      <c r="B2967">
        <v>52</v>
      </c>
      <c r="C2967" s="2">
        <v>52500</v>
      </c>
      <c r="D2967" t="s">
        <v>12</v>
      </c>
      <c r="E2967" s="2">
        <v>63100</v>
      </c>
      <c r="F2967" s="2">
        <v>0</v>
      </c>
      <c r="G2967" t="s">
        <v>16</v>
      </c>
      <c r="H2967" t="s">
        <v>14</v>
      </c>
      <c r="I2967" t="s">
        <v>18</v>
      </c>
      <c r="J2967" s="3">
        <v>46106</v>
      </c>
      <c r="K2967" s="4">
        <f>ClientiBanca[[#This Row],[Prestito]]+ClientiBanca[[#This Row],[Mutuo]]</f>
        <v>63100</v>
      </c>
      <c r="L2967" t="str">
        <f>IF(ClientiBanca[[#This Row],[Reddito annuo]]&gt;=70000,"si","no")</f>
        <v>no</v>
      </c>
    </row>
    <row r="2968" spans="1:12">
      <c r="A2968">
        <v>102967</v>
      </c>
      <c r="B2968">
        <v>45</v>
      </c>
      <c r="C2968" s="2">
        <v>44400</v>
      </c>
      <c r="D2968" t="s">
        <v>21</v>
      </c>
      <c r="E2968" s="2">
        <v>39000</v>
      </c>
      <c r="F2968" s="2">
        <v>98000</v>
      </c>
      <c r="G2968" t="s">
        <v>23</v>
      </c>
      <c r="H2968" t="s">
        <v>14</v>
      </c>
      <c r="I2968" t="s">
        <v>15</v>
      </c>
      <c r="J2968" s="3">
        <v>46095</v>
      </c>
      <c r="K2968" s="4">
        <f>ClientiBanca[[#This Row],[Prestito]]+ClientiBanca[[#This Row],[Mutuo]]</f>
        <v>137000</v>
      </c>
      <c r="L2968" t="str">
        <f>IF(ClientiBanca[[#This Row],[Reddito annuo]]&gt;=70000,"si","no")</f>
        <v>no</v>
      </c>
    </row>
    <row r="2969" spans="1:12">
      <c r="A2969">
        <v>102968</v>
      </c>
      <c r="B2969">
        <v>36</v>
      </c>
      <c r="C2969" s="2">
        <v>85200</v>
      </c>
      <c r="D2969" t="s">
        <v>12</v>
      </c>
      <c r="E2969" s="2">
        <v>0</v>
      </c>
      <c r="F2969" s="2">
        <v>0</v>
      </c>
      <c r="G2969" t="s">
        <v>28</v>
      </c>
      <c r="H2969" t="s">
        <v>17</v>
      </c>
      <c r="I2969" t="s">
        <v>18</v>
      </c>
      <c r="J2969" s="3">
        <v>45526</v>
      </c>
      <c r="K2969" s="4">
        <f>ClientiBanca[[#This Row],[Prestito]]+ClientiBanca[[#This Row],[Mutuo]]</f>
        <v>0</v>
      </c>
      <c r="L2969" t="str">
        <f>IF(ClientiBanca[[#This Row],[Reddito annuo]]&gt;=70000,"si","no")</f>
        <v>si</v>
      </c>
    </row>
    <row r="2970" spans="1:12">
      <c r="A2970">
        <v>102969</v>
      </c>
      <c r="B2970">
        <v>39</v>
      </c>
      <c r="C2970" s="2">
        <v>36700</v>
      </c>
      <c r="D2970" t="s">
        <v>12</v>
      </c>
      <c r="E2970" s="2">
        <v>0</v>
      </c>
      <c r="F2970" s="2">
        <v>0</v>
      </c>
      <c r="G2970" t="s">
        <v>28</v>
      </c>
      <c r="H2970" t="s">
        <v>14</v>
      </c>
      <c r="I2970" t="s">
        <v>18</v>
      </c>
      <c r="J2970" s="3">
        <v>45418</v>
      </c>
      <c r="K2970" s="4">
        <f>ClientiBanca[[#This Row],[Prestito]]+ClientiBanca[[#This Row],[Mutuo]]</f>
        <v>0</v>
      </c>
      <c r="L2970" t="str">
        <f>IF(ClientiBanca[[#This Row],[Reddito annuo]]&gt;=70000,"si","no")</f>
        <v>no</v>
      </c>
    </row>
    <row r="2971" spans="1:12">
      <c r="A2971">
        <v>102970</v>
      </c>
      <c r="B2971">
        <v>55</v>
      </c>
      <c r="C2971" s="2">
        <v>31600</v>
      </c>
      <c r="D2971" t="s">
        <v>22</v>
      </c>
      <c r="E2971" s="2">
        <v>13900</v>
      </c>
      <c r="F2971" s="2">
        <v>0</v>
      </c>
      <c r="G2971" t="s">
        <v>24</v>
      </c>
      <c r="H2971" t="s">
        <v>14</v>
      </c>
      <c r="I2971" t="s">
        <v>18</v>
      </c>
      <c r="J2971" s="3">
        <v>45303</v>
      </c>
      <c r="K2971" s="4">
        <f>ClientiBanca[[#This Row],[Prestito]]+ClientiBanca[[#This Row],[Mutuo]]</f>
        <v>13900</v>
      </c>
      <c r="L2971" t="str">
        <f>IF(ClientiBanca[[#This Row],[Reddito annuo]]&gt;=70000,"si","no")</f>
        <v>no</v>
      </c>
    </row>
    <row r="2972" spans="1:12">
      <c r="A2972">
        <v>102971</v>
      </c>
      <c r="B2972">
        <v>49</v>
      </c>
      <c r="C2972" s="2">
        <v>45600</v>
      </c>
      <c r="D2972" t="s">
        <v>21</v>
      </c>
      <c r="E2972" s="2">
        <v>20900</v>
      </c>
      <c r="F2972" s="2">
        <v>0</v>
      </c>
      <c r="G2972" t="s">
        <v>16</v>
      </c>
      <c r="H2972" t="s">
        <v>14</v>
      </c>
      <c r="I2972" t="s">
        <v>18</v>
      </c>
      <c r="J2972" s="3">
        <v>45641</v>
      </c>
      <c r="K2972" s="4">
        <f>ClientiBanca[[#This Row],[Prestito]]+ClientiBanca[[#This Row],[Mutuo]]</f>
        <v>20900</v>
      </c>
      <c r="L2972" t="str">
        <f>IF(ClientiBanca[[#This Row],[Reddito annuo]]&gt;=70000,"si","no")</f>
        <v>no</v>
      </c>
    </row>
    <row r="2973" spans="1:12">
      <c r="A2973">
        <v>102972</v>
      </c>
      <c r="B2973">
        <v>30</v>
      </c>
      <c r="C2973" s="2">
        <v>53200</v>
      </c>
      <c r="D2973" t="s">
        <v>21</v>
      </c>
      <c r="E2973" s="2">
        <v>29600</v>
      </c>
      <c r="F2973" s="2">
        <v>0</v>
      </c>
      <c r="G2973" t="s">
        <v>27</v>
      </c>
      <c r="H2973" t="s">
        <v>17</v>
      </c>
      <c r="I2973" t="s">
        <v>18</v>
      </c>
      <c r="J2973" s="3">
        <v>45667</v>
      </c>
      <c r="K2973" s="4">
        <f>ClientiBanca[[#This Row],[Prestito]]+ClientiBanca[[#This Row],[Mutuo]]</f>
        <v>29600</v>
      </c>
      <c r="L2973" t="str">
        <f>IF(ClientiBanca[[#This Row],[Reddito annuo]]&gt;=70000,"si","no")</f>
        <v>no</v>
      </c>
    </row>
    <row r="2974" spans="1:12">
      <c r="A2974">
        <v>102973</v>
      </c>
      <c r="B2974">
        <v>70</v>
      </c>
      <c r="C2974" s="2">
        <v>45500</v>
      </c>
      <c r="D2974" t="s">
        <v>21</v>
      </c>
      <c r="E2974" s="2">
        <v>0</v>
      </c>
      <c r="F2974" s="2">
        <v>0</v>
      </c>
      <c r="G2974" t="s">
        <v>23</v>
      </c>
      <c r="H2974" t="s">
        <v>20</v>
      </c>
      <c r="I2974" t="s">
        <v>18</v>
      </c>
      <c r="J2974" s="3">
        <v>45668</v>
      </c>
      <c r="K2974" s="4">
        <f>ClientiBanca[[#This Row],[Prestito]]+ClientiBanca[[#This Row],[Mutuo]]</f>
        <v>0</v>
      </c>
      <c r="L2974" t="str">
        <f>IF(ClientiBanca[[#This Row],[Reddito annuo]]&gt;=70000,"si","no")</f>
        <v>no</v>
      </c>
    </row>
    <row r="2975" spans="1:12">
      <c r="A2975">
        <v>102974</v>
      </c>
      <c r="B2975">
        <v>54</v>
      </c>
      <c r="C2975" s="2">
        <v>42900</v>
      </c>
      <c r="D2975" t="s">
        <v>12</v>
      </c>
      <c r="E2975" s="2">
        <v>45100</v>
      </c>
      <c r="F2975" s="2">
        <v>0</v>
      </c>
      <c r="G2975" t="s">
        <v>13</v>
      </c>
      <c r="H2975" t="s">
        <v>20</v>
      </c>
      <c r="I2975" t="s">
        <v>18</v>
      </c>
      <c r="J2975" s="3">
        <v>45537</v>
      </c>
      <c r="K2975" s="4">
        <f>ClientiBanca[[#This Row],[Prestito]]+ClientiBanca[[#This Row],[Mutuo]]</f>
        <v>45100</v>
      </c>
      <c r="L2975" t="str">
        <f>IF(ClientiBanca[[#This Row],[Reddito annuo]]&gt;=70000,"si","no")</f>
        <v>no</v>
      </c>
    </row>
    <row r="2976" spans="1:12">
      <c r="A2976">
        <v>102975</v>
      </c>
      <c r="B2976">
        <v>71</v>
      </c>
      <c r="C2976" s="2">
        <v>48500</v>
      </c>
      <c r="D2976" t="s">
        <v>21</v>
      </c>
      <c r="E2976" s="2">
        <v>60600</v>
      </c>
      <c r="F2976" s="2">
        <v>0</v>
      </c>
      <c r="G2976" t="s">
        <v>23</v>
      </c>
      <c r="H2976" t="s">
        <v>14</v>
      </c>
      <c r="I2976" t="s">
        <v>18</v>
      </c>
      <c r="J2976" s="3">
        <v>45417</v>
      </c>
      <c r="K2976" s="4">
        <f>ClientiBanca[[#This Row],[Prestito]]+ClientiBanca[[#This Row],[Mutuo]]</f>
        <v>60600</v>
      </c>
      <c r="L2976" t="str">
        <f>IF(ClientiBanca[[#This Row],[Reddito annuo]]&gt;=70000,"si","no")</f>
        <v>no</v>
      </c>
    </row>
    <row r="2977" spans="1:12">
      <c r="A2977">
        <v>102976</v>
      </c>
      <c r="B2977">
        <v>21</v>
      </c>
      <c r="C2977" s="2">
        <v>95100</v>
      </c>
      <c r="D2977" t="s">
        <v>12</v>
      </c>
      <c r="E2977" s="2">
        <v>65800</v>
      </c>
      <c r="F2977" s="2">
        <v>0</v>
      </c>
      <c r="G2977" t="s">
        <v>24</v>
      </c>
      <c r="H2977" t="s">
        <v>14</v>
      </c>
      <c r="I2977" t="s">
        <v>18</v>
      </c>
      <c r="J2977" s="3">
        <v>45380</v>
      </c>
      <c r="K2977" s="4">
        <f>ClientiBanca[[#This Row],[Prestito]]+ClientiBanca[[#This Row],[Mutuo]]</f>
        <v>65800</v>
      </c>
      <c r="L2977" t="str">
        <f>IF(ClientiBanca[[#This Row],[Reddito annuo]]&gt;=70000,"si","no")</f>
        <v>si</v>
      </c>
    </row>
    <row r="2978" spans="1:12">
      <c r="A2978">
        <v>102977</v>
      </c>
      <c r="B2978">
        <v>56</v>
      </c>
      <c r="C2978" s="2">
        <v>48800</v>
      </c>
      <c r="D2978" t="s">
        <v>12</v>
      </c>
      <c r="E2978" s="2">
        <v>46900</v>
      </c>
      <c r="F2978" s="2">
        <v>0</v>
      </c>
      <c r="G2978" t="s">
        <v>27</v>
      </c>
      <c r="H2978" t="s">
        <v>14</v>
      </c>
      <c r="I2978" t="s">
        <v>18</v>
      </c>
      <c r="J2978" s="3">
        <v>46068</v>
      </c>
      <c r="K2978" s="4">
        <f>ClientiBanca[[#This Row],[Prestito]]+ClientiBanca[[#This Row],[Mutuo]]</f>
        <v>46900</v>
      </c>
      <c r="L2978" t="str">
        <f>IF(ClientiBanca[[#This Row],[Reddito annuo]]&gt;=70000,"si","no")</f>
        <v>no</v>
      </c>
    </row>
    <row r="2979" spans="1:12">
      <c r="A2979">
        <v>102978</v>
      </c>
      <c r="B2979">
        <v>75</v>
      </c>
      <c r="C2979" s="2">
        <v>67400</v>
      </c>
      <c r="D2979" t="s">
        <v>21</v>
      </c>
      <c r="E2979" s="2">
        <v>0</v>
      </c>
      <c r="F2979" s="2">
        <v>205000</v>
      </c>
      <c r="G2979" t="s">
        <v>27</v>
      </c>
      <c r="H2979" t="s">
        <v>20</v>
      </c>
      <c r="I2979" t="s">
        <v>18</v>
      </c>
      <c r="J2979" s="3">
        <v>45645</v>
      </c>
      <c r="K2979" s="4">
        <f>ClientiBanca[[#This Row],[Prestito]]+ClientiBanca[[#This Row],[Mutuo]]</f>
        <v>205000</v>
      </c>
      <c r="L2979" t="str">
        <f>IF(ClientiBanca[[#This Row],[Reddito annuo]]&gt;=70000,"si","no")</f>
        <v>no</v>
      </c>
    </row>
    <row r="2980" spans="1:12">
      <c r="A2980">
        <v>102979</v>
      </c>
      <c r="B2980">
        <v>46</v>
      </c>
      <c r="C2980" s="2">
        <v>59800</v>
      </c>
      <c r="D2980" t="s">
        <v>22</v>
      </c>
      <c r="E2980" s="2">
        <v>0</v>
      </c>
      <c r="F2980" s="2">
        <v>0</v>
      </c>
      <c r="G2980" t="s">
        <v>24</v>
      </c>
      <c r="H2980" t="s">
        <v>20</v>
      </c>
      <c r="I2980" t="s">
        <v>18</v>
      </c>
      <c r="J2980" s="3">
        <v>46247</v>
      </c>
      <c r="K2980" s="4">
        <f>ClientiBanca[[#This Row],[Prestito]]+ClientiBanca[[#This Row],[Mutuo]]</f>
        <v>0</v>
      </c>
      <c r="L2980" t="str">
        <f>IF(ClientiBanca[[#This Row],[Reddito annuo]]&gt;=70000,"si","no")</f>
        <v>no</v>
      </c>
    </row>
    <row r="2981" spans="1:12">
      <c r="A2981">
        <v>102980</v>
      </c>
      <c r="B2981">
        <v>64</v>
      </c>
      <c r="C2981" s="2">
        <v>52000</v>
      </c>
      <c r="D2981" t="s">
        <v>21</v>
      </c>
      <c r="E2981" s="2">
        <v>0</v>
      </c>
      <c r="F2981" s="2">
        <v>0</v>
      </c>
      <c r="G2981" t="s">
        <v>23</v>
      </c>
      <c r="H2981" t="s">
        <v>14</v>
      </c>
      <c r="I2981" t="s">
        <v>18</v>
      </c>
      <c r="J2981" s="3">
        <v>45938</v>
      </c>
      <c r="K2981" s="4">
        <f>ClientiBanca[[#This Row],[Prestito]]+ClientiBanca[[#This Row],[Mutuo]]</f>
        <v>0</v>
      </c>
      <c r="L2981" t="str">
        <f>IF(ClientiBanca[[#This Row],[Reddito annuo]]&gt;=70000,"si","no")</f>
        <v>no</v>
      </c>
    </row>
    <row r="2982" spans="1:12">
      <c r="A2982">
        <v>102981</v>
      </c>
      <c r="B2982">
        <v>55</v>
      </c>
      <c r="C2982" s="2">
        <v>66500</v>
      </c>
      <c r="D2982" t="s">
        <v>21</v>
      </c>
      <c r="E2982" s="2">
        <v>37100</v>
      </c>
      <c r="F2982" s="2">
        <v>220000</v>
      </c>
      <c r="G2982" t="s">
        <v>16</v>
      </c>
      <c r="H2982" t="s">
        <v>17</v>
      </c>
      <c r="I2982" t="s">
        <v>18</v>
      </c>
      <c r="J2982" s="3">
        <v>45738</v>
      </c>
      <c r="K2982" s="4">
        <f>ClientiBanca[[#This Row],[Prestito]]+ClientiBanca[[#This Row],[Mutuo]]</f>
        <v>257100</v>
      </c>
      <c r="L2982" t="str">
        <f>IF(ClientiBanca[[#This Row],[Reddito annuo]]&gt;=70000,"si","no")</f>
        <v>no</v>
      </c>
    </row>
    <row r="2983" spans="1:12">
      <c r="A2983">
        <v>102982</v>
      </c>
      <c r="B2983">
        <v>74</v>
      </c>
      <c r="C2983" s="2">
        <v>30800</v>
      </c>
      <c r="D2983" t="s">
        <v>21</v>
      </c>
      <c r="E2983" s="2">
        <v>24600</v>
      </c>
      <c r="F2983" s="2">
        <v>0</v>
      </c>
      <c r="G2983" t="s">
        <v>28</v>
      </c>
      <c r="H2983" t="s">
        <v>14</v>
      </c>
      <c r="I2983" t="s">
        <v>18</v>
      </c>
      <c r="J2983" s="3">
        <v>45530</v>
      </c>
      <c r="K2983" s="4">
        <f>ClientiBanca[[#This Row],[Prestito]]+ClientiBanca[[#This Row],[Mutuo]]</f>
        <v>24600</v>
      </c>
      <c r="L2983" t="str">
        <f>IF(ClientiBanca[[#This Row],[Reddito annuo]]&gt;=70000,"si","no")</f>
        <v>no</v>
      </c>
    </row>
    <row r="2984" spans="1:12">
      <c r="A2984">
        <v>102983</v>
      </c>
      <c r="B2984">
        <v>73</v>
      </c>
      <c r="C2984" s="2">
        <v>32700</v>
      </c>
      <c r="D2984" t="s">
        <v>12</v>
      </c>
      <c r="E2984" s="2">
        <v>0</v>
      </c>
      <c r="F2984" s="2">
        <v>155000</v>
      </c>
      <c r="G2984" t="s">
        <v>26</v>
      </c>
      <c r="H2984" t="s">
        <v>14</v>
      </c>
      <c r="I2984" t="s">
        <v>18</v>
      </c>
      <c r="J2984" s="3">
        <v>45722</v>
      </c>
      <c r="K2984" s="4">
        <f>ClientiBanca[[#This Row],[Prestito]]+ClientiBanca[[#This Row],[Mutuo]]</f>
        <v>155000</v>
      </c>
      <c r="L2984" t="str">
        <f>IF(ClientiBanca[[#This Row],[Reddito annuo]]&gt;=70000,"si","no")</f>
        <v>no</v>
      </c>
    </row>
    <row r="2985" spans="1:12">
      <c r="A2985">
        <v>102984</v>
      </c>
      <c r="B2985">
        <v>67</v>
      </c>
      <c r="C2985" s="2">
        <v>88900</v>
      </c>
      <c r="D2985" t="s">
        <v>12</v>
      </c>
      <c r="E2985" s="2">
        <v>50600</v>
      </c>
      <c r="F2985" s="2">
        <v>0</v>
      </c>
      <c r="G2985" t="s">
        <v>26</v>
      </c>
      <c r="H2985" t="s">
        <v>25</v>
      </c>
      <c r="I2985" t="s">
        <v>18</v>
      </c>
      <c r="J2985" s="3">
        <v>46090</v>
      </c>
      <c r="K2985" s="4">
        <f>ClientiBanca[[#This Row],[Prestito]]+ClientiBanca[[#This Row],[Mutuo]]</f>
        <v>50600</v>
      </c>
      <c r="L2985" t="str">
        <f>IF(ClientiBanca[[#This Row],[Reddito annuo]]&gt;=70000,"si","no")</f>
        <v>si</v>
      </c>
    </row>
    <row r="2986" spans="1:12">
      <c r="A2986">
        <v>102985</v>
      </c>
      <c r="B2986">
        <v>20</v>
      </c>
      <c r="C2986" s="2">
        <v>47100</v>
      </c>
      <c r="D2986" t="s">
        <v>21</v>
      </c>
      <c r="E2986" s="2">
        <v>9800</v>
      </c>
      <c r="F2986" s="2">
        <v>0</v>
      </c>
      <c r="G2986" t="s">
        <v>28</v>
      </c>
      <c r="H2986" t="s">
        <v>14</v>
      </c>
      <c r="I2986" t="s">
        <v>18</v>
      </c>
      <c r="J2986" s="3">
        <v>45411</v>
      </c>
      <c r="K2986" s="4">
        <f>ClientiBanca[[#This Row],[Prestito]]+ClientiBanca[[#This Row],[Mutuo]]</f>
        <v>9800</v>
      </c>
      <c r="L2986" t="str">
        <f>IF(ClientiBanca[[#This Row],[Reddito annuo]]&gt;=70000,"si","no")</f>
        <v>no</v>
      </c>
    </row>
    <row r="2987" spans="1:12">
      <c r="A2987">
        <v>102986</v>
      </c>
      <c r="B2987">
        <v>54</v>
      </c>
      <c r="C2987" s="2">
        <v>33800</v>
      </c>
      <c r="D2987" t="s">
        <v>21</v>
      </c>
      <c r="E2987" s="2">
        <v>25400</v>
      </c>
      <c r="F2987" s="2">
        <v>0</v>
      </c>
      <c r="G2987" t="s">
        <v>28</v>
      </c>
      <c r="H2987" t="s">
        <v>20</v>
      </c>
      <c r="I2987" t="s">
        <v>18</v>
      </c>
      <c r="J2987" s="3">
        <v>46161</v>
      </c>
      <c r="K2987" s="4">
        <f>ClientiBanca[[#This Row],[Prestito]]+ClientiBanca[[#This Row],[Mutuo]]</f>
        <v>25400</v>
      </c>
      <c r="L2987" t="str">
        <f>IF(ClientiBanca[[#This Row],[Reddito annuo]]&gt;=70000,"si","no")</f>
        <v>no</v>
      </c>
    </row>
    <row r="2988" spans="1:12">
      <c r="A2988">
        <v>102987</v>
      </c>
      <c r="B2988">
        <v>57</v>
      </c>
      <c r="C2988" s="2">
        <v>97200</v>
      </c>
      <c r="D2988" t="s">
        <v>21</v>
      </c>
      <c r="E2988" s="2">
        <v>63600</v>
      </c>
      <c r="F2988" s="2">
        <v>0</v>
      </c>
      <c r="G2988" t="s">
        <v>16</v>
      </c>
      <c r="H2988" t="s">
        <v>14</v>
      </c>
      <c r="I2988" t="s">
        <v>15</v>
      </c>
      <c r="J2988" s="3">
        <v>45344</v>
      </c>
      <c r="K2988" s="4">
        <f>ClientiBanca[[#This Row],[Prestito]]+ClientiBanca[[#This Row],[Mutuo]]</f>
        <v>63600</v>
      </c>
      <c r="L2988" t="str">
        <f>IF(ClientiBanca[[#This Row],[Reddito annuo]]&gt;=70000,"si","no")</f>
        <v>si</v>
      </c>
    </row>
    <row r="2989" spans="1:12">
      <c r="A2989">
        <v>102988</v>
      </c>
      <c r="B2989">
        <v>50</v>
      </c>
      <c r="C2989" s="2">
        <v>108600</v>
      </c>
      <c r="D2989" t="s">
        <v>12</v>
      </c>
      <c r="E2989" s="2">
        <v>62600</v>
      </c>
      <c r="F2989" s="2">
        <v>0</v>
      </c>
      <c r="G2989" t="s">
        <v>19</v>
      </c>
      <c r="H2989" t="s">
        <v>20</v>
      </c>
      <c r="I2989" t="s">
        <v>18</v>
      </c>
      <c r="J2989" s="3">
        <v>45816</v>
      </c>
      <c r="K2989" s="4">
        <f>ClientiBanca[[#This Row],[Prestito]]+ClientiBanca[[#This Row],[Mutuo]]</f>
        <v>62600</v>
      </c>
      <c r="L2989" t="str">
        <f>IF(ClientiBanca[[#This Row],[Reddito annuo]]&gt;=70000,"si","no")</f>
        <v>si</v>
      </c>
    </row>
    <row r="2990" spans="1:12">
      <c r="A2990">
        <v>102989</v>
      </c>
      <c r="B2990">
        <v>56</v>
      </c>
      <c r="C2990" s="2">
        <v>84500</v>
      </c>
      <c r="D2990" t="s">
        <v>21</v>
      </c>
      <c r="E2990" s="2">
        <v>38200</v>
      </c>
      <c r="F2990" s="2">
        <v>0</v>
      </c>
      <c r="G2990" t="s">
        <v>19</v>
      </c>
      <c r="H2990" t="s">
        <v>20</v>
      </c>
      <c r="I2990" t="s">
        <v>18</v>
      </c>
      <c r="J2990" s="3">
        <v>45317</v>
      </c>
      <c r="K2990" s="4">
        <f>ClientiBanca[[#This Row],[Prestito]]+ClientiBanca[[#This Row],[Mutuo]]</f>
        <v>38200</v>
      </c>
      <c r="L2990" t="str">
        <f>IF(ClientiBanca[[#This Row],[Reddito annuo]]&gt;=70000,"si","no")</f>
        <v>si</v>
      </c>
    </row>
    <row r="2991" spans="1:12">
      <c r="A2991">
        <v>102990</v>
      </c>
      <c r="B2991">
        <v>68</v>
      </c>
      <c r="C2991" s="2">
        <v>41400</v>
      </c>
      <c r="D2991" t="s">
        <v>21</v>
      </c>
      <c r="E2991" s="2">
        <v>51800</v>
      </c>
      <c r="F2991" s="2">
        <v>0</v>
      </c>
      <c r="G2991" t="s">
        <v>19</v>
      </c>
      <c r="H2991" t="s">
        <v>14</v>
      </c>
      <c r="I2991" t="s">
        <v>15</v>
      </c>
      <c r="J2991" s="3">
        <v>45736</v>
      </c>
      <c r="K2991" s="4">
        <f>ClientiBanca[[#This Row],[Prestito]]+ClientiBanca[[#This Row],[Mutuo]]</f>
        <v>51800</v>
      </c>
      <c r="L2991" t="str">
        <f>IF(ClientiBanca[[#This Row],[Reddito annuo]]&gt;=70000,"si","no")</f>
        <v>no</v>
      </c>
    </row>
    <row r="2992" spans="1:12">
      <c r="A2992">
        <v>102991</v>
      </c>
      <c r="B2992">
        <v>44</v>
      </c>
      <c r="C2992" s="2">
        <v>77800</v>
      </c>
      <c r="D2992" t="s">
        <v>12</v>
      </c>
      <c r="E2992" s="2">
        <v>60800</v>
      </c>
      <c r="F2992" s="2">
        <v>0</v>
      </c>
      <c r="G2992" t="s">
        <v>16</v>
      </c>
      <c r="H2992" t="s">
        <v>20</v>
      </c>
      <c r="I2992" t="s">
        <v>18</v>
      </c>
      <c r="J2992" s="3">
        <v>46245</v>
      </c>
      <c r="K2992" s="4">
        <f>ClientiBanca[[#This Row],[Prestito]]+ClientiBanca[[#This Row],[Mutuo]]</f>
        <v>60800</v>
      </c>
      <c r="L2992" t="str">
        <f>IF(ClientiBanca[[#This Row],[Reddito annuo]]&gt;=70000,"si","no")</f>
        <v>si</v>
      </c>
    </row>
    <row r="2993" spans="1:12">
      <c r="A2993">
        <v>102992</v>
      </c>
      <c r="B2993">
        <v>46</v>
      </c>
      <c r="C2993" s="2">
        <v>83600</v>
      </c>
      <c r="D2993" t="s">
        <v>21</v>
      </c>
      <c r="E2993" s="2">
        <v>60500</v>
      </c>
      <c r="F2993" s="2">
        <v>0</v>
      </c>
      <c r="G2993" t="s">
        <v>28</v>
      </c>
      <c r="H2993" t="s">
        <v>20</v>
      </c>
      <c r="I2993" t="s">
        <v>18</v>
      </c>
      <c r="J2993" s="3">
        <v>45333</v>
      </c>
      <c r="K2993" s="4">
        <f>ClientiBanca[[#This Row],[Prestito]]+ClientiBanca[[#This Row],[Mutuo]]</f>
        <v>60500</v>
      </c>
      <c r="L2993" t="str">
        <f>IF(ClientiBanca[[#This Row],[Reddito annuo]]&gt;=70000,"si","no")</f>
        <v>si</v>
      </c>
    </row>
    <row r="2994" spans="1:12">
      <c r="A2994">
        <v>102993</v>
      </c>
      <c r="B2994">
        <v>68</v>
      </c>
      <c r="C2994" s="2">
        <v>71600</v>
      </c>
      <c r="D2994" t="s">
        <v>12</v>
      </c>
      <c r="E2994" s="2">
        <v>0</v>
      </c>
      <c r="F2994" s="2">
        <v>0</v>
      </c>
      <c r="G2994" t="s">
        <v>16</v>
      </c>
      <c r="H2994" t="s">
        <v>20</v>
      </c>
      <c r="I2994" t="s">
        <v>18</v>
      </c>
      <c r="J2994" s="3">
        <v>45771</v>
      </c>
      <c r="K2994" s="4">
        <f>ClientiBanca[[#This Row],[Prestito]]+ClientiBanca[[#This Row],[Mutuo]]</f>
        <v>0</v>
      </c>
      <c r="L2994" t="str">
        <f>IF(ClientiBanca[[#This Row],[Reddito annuo]]&gt;=70000,"si","no")</f>
        <v>si</v>
      </c>
    </row>
    <row r="2995" spans="1:12">
      <c r="A2995">
        <v>102994</v>
      </c>
      <c r="B2995">
        <v>57</v>
      </c>
      <c r="C2995" s="2">
        <v>40200</v>
      </c>
      <c r="D2995" t="s">
        <v>12</v>
      </c>
      <c r="E2995" s="2">
        <v>0</v>
      </c>
      <c r="F2995" s="2">
        <v>0</v>
      </c>
      <c r="G2995" t="s">
        <v>13</v>
      </c>
      <c r="H2995" t="s">
        <v>20</v>
      </c>
      <c r="I2995" t="s">
        <v>18</v>
      </c>
      <c r="J2995" s="3">
        <v>45740</v>
      </c>
      <c r="K2995" s="4">
        <f>ClientiBanca[[#This Row],[Prestito]]+ClientiBanca[[#This Row],[Mutuo]]</f>
        <v>0</v>
      </c>
      <c r="L2995" t="str">
        <f>IF(ClientiBanca[[#This Row],[Reddito annuo]]&gt;=70000,"si","no")</f>
        <v>no</v>
      </c>
    </row>
    <row r="2996" spans="1:12">
      <c r="A2996">
        <v>102995</v>
      </c>
      <c r="B2996">
        <v>68</v>
      </c>
      <c r="C2996" s="2">
        <v>43400</v>
      </c>
      <c r="D2996" t="s">
        <v>21</v>
      </c>
      <c r="E2996" s="2">
        <v>39500</v>
      </c>
      <c r="F2996" s="2">
        <v>0</v>
      </c>
      <c r="G2996" t="s">
        <v>27</v>
      </c>
      <c r="H2996" t="s">
        <v>17</v>
      </c>
      <c r="I2996" t="s">
        <v>18</v>
      </c>
      <c r="J2996" s="3">
        <v>45960</v>
      </c>
      <c r="K2996" s="4">
        <f>ClientiBanca[[#This Row],[Prestito]]+ClientiBanca[[#This Row],[Mutuo]]</f>
        <v>39500</v>
      </c>
      <c r="L2996" t="str">
        <f>IF(ClientiBanca[[#This Row],[Reddito annuo]]&gt;=70000,"si","no")</f>
        <v>no</v>
      </c>
    </row>
    <row r="2997" spans="1:12">
      <c r="A2997">
        <v>102996</v>
      </c>
      <c r="B2997">
        <v>30</v>
      </c>
      <c r="C2997" s="2">
        <v>46200</v>
      </c>
      <c r="D2997" t="s">
        <v>21</v>
      </c>
      <c r="E2997" s="2">
        <v>57800</v>
      </c>
      <c r="F2997" s="2">
        <v>282000</v>
      </c>
      <c r="G2997" t="s">
        <v>23</v>
      </c>
      <c r="H2997" t="s">
        <v>17</v>
      </c>
      <c r="I2997" t="s">
        <v>18</v>
      </c>
      <c r="J2997" s="3">
        <v>45550</v>
      </c>
      <c r="K2997" s="4">
        <f>ClientiBanca[[#This Row],[Prestito]]+ClientiBanca[[#This Row],[Mutuo]]</f>
        <v>339800</v>
      </c>
      <c r="L2997" t="str">
        <f>IF(ClientiBanca[[#This Row],[Reddito annuo]]&gt;=70000,"si","no")</f>
        <v>no</v>
      </c>
    </row>
    <row r="2998" spans="1:12">
      <c r="A2998">
        <v>102997</v>
      </c>
      <c r="B2998">
        <v>37</v>
      </c>
      <c r="C2998" s="2">
        <v>51800</v>
      </c>
      <c r="D2998" t="s">
        <v>12</v>
      </c>
      <c r="E2998" s="2">
        <v>0</v>
      </c>
      <c r="F2998" s="2">
        <v>0</v>
      </c>
      <c r="G2998" t="s">
        <v>16</v>
      </c>
      <c r="H2998" t="s">
        <v>17</v>
      </c>
      <c r="I2998" t="s">
        <v>18</v>
      </c>
      <c r="J2998" s="3">
        <v>45556</v>
      </c>
      <c r="K2998" s="4">
        <f>ClientiBanca[[#This Row],[Prestito]]+ClientiBanca[[#This Row],[Mutuo]]</f>
        <v>0</v>
      </c>
      <c r="L2998" t="str">
        <f>IF(ClientiBanca[[#This Row],[Reddito annuo]]&gt;=70000,"si","no")</f>
        <v>no</v>
      </c>
    </row>
    <row r="2999" spans="1:12">
      <c r="A2999">
        <v>102998</v>
      </c>
      <c r="B2999">
        <v>65</v>
      </c>
      <c r="C2999" s="2">
        <v>42700</v>
      </c>
      <c r="D2999" t="s">
        <v>22</v>
      </c>
      <c r="E2999" s="2">
        <v>25500</v>
      </c>
      <c r="F2999" s="2">
        <v>0</v>
      </c>
      <c r="G2999" t="s">
        <v>19</v>
      </c>
      <c r="H2999" t="s">
        <v>17</v>
      </c>
      <c r="I2999" t="s">
        <v>18</v>
      </c>
      <c r="J2999" s="3">
        <v>45622</v>
      </c>
      <c r="K2999" s="4">
        <f>ClientiBanca[[#This Row],[Prestito]]+ClientiBanca[[#This Row],[Mutuo]]</f>
        <v>25500</v>
      </c>
      <c r="L2999" t="str">
        <f>IF(ClientiBanca[[#This Row],[Reddito annuo]]&gt;=70000,"si","no")</f>
        <v>no</v>
      </c>
    </row>
    <row r="3000" spans="1:12">
      <c r="A3000">
        <v>102999</v>
      </c>
      <c r="B3000">
        <v>69</v>
      </c>
      <c r="C3000" s="2">
        <v>37400</v>
      </c>
      <c r="D3000" t="s">
        <v>21</v>
      </c>
      <c r="E3000" s="2">
        <v>25500</v>
      </c>
      <c r="F3000" s="2">
        <v>0</v>
      </c>
      <c r="G3000" t="s">
        <v>27</v>
      </c>
      <c r="H3000" t="s">
        <v>20</v>
      </c>
      <c r="I3000" t="s">
        <v>18</v>
      </c>
      <c r="J3000" s="3">
        <v>46254</v>
      </c>
      <c r="K3000" s="4">
        <f>ClientiBanca[[#This Row],[Prestito]]+ClientiBanca[[#This Row],[Mutuo]]</f>
        <v>25500</v>
      </c>
      <c r="L3000" t="str">
        <f>IF(ClientiBanca[[#This Row],[Reddito annuo]]&gt;=70000,"si","no")</f>
        <v>no</v>
      </c>
    </row>
    <row r="3001" spans="1:12">
      <c r="A3001">
        <v>103000</v>
      </c>
      <c r="B3001">
        <v>36</v>
      </c>
      <c r="C3001" s="2">
        <v>44200</v>
      </c>
      <c r="D3001" t="s">
        <v>22</v>
      </c>
      <c r="E3001" s="2">
        <v>22800</v>
      </c>
      <c r="F3001" s="2">
        <v>0</v>
      </c>
      <c r="G3001" t="s">
        <v>19</v>
      </c>
      <c r="H3001" t="s">
        <v>17</v>
      </c>
      <c r="I3001" t="s">
        <v>18</v>
      </c>
      <c r="J3001" s="3">
        <v>45884</v>
      </c>
      <c r="K3001" s="4">
        <f>ClientiBanca[[#This Row],[Prestito]]+ClientiBanca[[#This Row],[Mutuo]]</f>
        <v>22800</v>
      </c>
      <c r="L3001" t="str">
        <f>IF(ClientiBanca[[#This Row],[Reddito annuo]]&gt;=70000,"si","no")</f>
        <v>no</v>
      </c>
    </row>
    <row r="3002" spans="1:12">
      <c r="A3002">
        <v>103001</v>
      </c>
      <c r="B3002">
        <v>60</v>
      </c>
      <c r="C3002" s="2">
        <v>80700</v>
      </c>
      <c r="D3002" t="s">
        <v>12</v>
      </c>
      <c r="E3002" s="2">
        <v>0</v>
      </c>
      <c r="F3002" s="2">
        <v>0</v>
      </c>
      <c r="G3002" t="s">
        <v>19</v>
      </c>
      <c r="H3002" t="s">
        <v>20</v>
      </c>
      <c r="I3002" t="s">
        <v>18</v>
      </c>
      <c r="J3002" s="3">
        <v>45610</v>
      </c>
      <c r="K3002" s="4">
        <f>ClientiBanca[[#This Row],[Prestito]]+ClientiBanca[[#This Row],[Mutuo]]</f>
        <v>0</v>
      </c>
      <c r="L3002" t="str">
        <f>IF(ClientiBanca[[#This Row],[Reddito annuo]]&gt;=70000,"si","no")</f>
        <v>si</v>
      </c>
    </row>
    <row r="3003" spans="1:12">
      <c r="A3003">
        <v>103002</v>
      </c>
      <c r="B3003">
        <v>29</v>
      </c>
      <c r="C3003" s="2">
        <v>61900</v>
      </c>
      <c r="D3003" t="s">
        <v>21</v>
      </c>
      <c r="E3003" s="2">
        <v>30700</v>
      </c>
      <c r="F3003" s="2">
        <v>0</v>
      </c>
      <c r="G3003" t="s">
        <v>26</v>
      </c>
      <c r="H3003" t="s">
        <v>25</v>
      </c>
      <c r="I3003" t="s">
        <v>18</v>
      </c>
      <c r="J3003" s="3">
        <v>46111</v>
      </c>
      <c r="K3003" s="4">
        <f>ClientiBanca[[#This Row],[Prestito]]+ClientiBanca[[#This Row],[Mutuo]]</f>
        <v>30700</v>
      </c>
      <c r="L3003" t="str">
        <f>IF(ClientiBanca[[#This Row],[Reddito annuo]]&gt;=70000,"si","no")</f>
        <v>no</v>
      </c>
    </row>
    <row r="3004" spans="1:12">
      <c r="A3004">
        <v>103003</v>
      </c>
      <c r="B3004">
        <v>21</v>
      </c>
      <c r="C3004" s="2">
        <v>58400</v>
      </c>
      <c r="D3004" t="s">
        <v>22</v>
      </c>
      <c r="E3004" s="2">
        <v>0</v>
      </c>
      <c r="F3004" s="2">
        <v>0</v>
      </c>
      <c r="G3004" t="s">
        <v>28</v>
      </c>
      <c r="H3004" t="s">
        <v>17</v>
      </c>
      <c r="I3004" t="s">
        <v>18</v>
      </c>
      <c r="J3004" s="3">
        <v>45320</v>
      </c>
      <c r="K3004" s="4">
        <f>ClientiBanca[[#This Row],[Prestito]]+ClientiBanca[[#This Row],[Mutuo]]</f>
        <v>0</v>
      </c>
      <c r="L3004" t="str">
        <f>IF(ClientiBanca[[#This Row],[Reddito annuo]]&gt;=70000,"si","no")</f>
        <v>no</v>
      </c>
    </row>
    <row r="3005" spans="1:12">
      <c r="A3005">
        <v>103004</v>
      </c>
      <c r="B3005">
        <v>63</v>
      </c>
      <c r="C3005" s="2">
        <v>40000</v>
      </c>
      <c r="D3005" t="s">
        <v>21</v>
      </c>
      <c r="E3005" s="2">
        <v>15500</v>
      </c>
      <c r="F3005" s="2">
        <v>0</v>
      </c>
      <c r="G3005" t="s">
        <v>13</v>
      </c>
      <c r="H3005" t="s">
        <v>25</v>
      </c>
      <c r="I3005" t="s">
        <v>15</v>
      </c>
      <c r="J3005" s="3">
        <v>46212</v>
      </c>
      <c r="K3005" s="4">
        <f>ClientiBanca[[#This Row],[Prestito]]+ClientiBanca[[#This Row],[Mutuo]]</f>
        <v>15500</v>
      </c>
      <c r="L3005" t="str">
        <f>IF(ClientiBanca[[#This Row],[Reddito annuo]]&gt;=70000,"si","no")</f>
        <v>no</v>
      </c>
    </row>
    <row r="3006" spans="1:12">
      <c r="A3006">
        <v>103005</v>
      </c>
      <c r="B3006">
        <v>25</v>
      </c>
      <c r="C3006" s="2">
        <v>68900</v>
      </c>
      <c r="D3006" t="s">
        <v>12</v>
      </c>
      <c r="E3006" s="2">
        <v>28400</v>
      </c>
      <c r="F3006" s="2">
        <v>0</v>
      </c>
      <c r="G3006" t="s">
        <v>23</v>
      </c>
      <c r="H3006" t="s">
        <v>25</v>
      </c>
      <c r="I3006" t="s">
        <v>18</v>
      </c>
      <c r="J3006" s="3">
        <v>45969</v>
      </c>
      <c r="K3006" s="4">
        <f>ClientiBanca[[#This Row],[Prestito]]+ClientiBanca[[#This Row],[Mutuo]]</f>
        <v>28400</v>
      </c>
      <c r="L3006" t="str">
        <f>IF(ClientiBanca[[#This Row],[Reddito annuo]]&gt;=70000,"si","no")</f>
        <v>no</v>
      </c>
    </row>
    <row r="3007" spans="1:12">
      <c r="A3007">
        <v>103006</v>
      </c>
      <c r="B3007">
        <v>28</v>
      </c>
      <c r="C3007" s="2">
        <v>62700</v>
      </c>
      <c r="D3007" t="s">
        <v>21</v>
      </c>
      <c r="E3007" s="2">
        <v>32800</v>
      </c>
      <c r="F3007" s="2">
        <v>0</v>
      </c>
      <c r="G3007" t="s">
        <v>28</v>
      </c>
      <c r="H3007" t="s">
        <v>20</v>
      </c>
      <c r="I3007" t="s">
        <v>18</v>
      </c>
      <c r="J3007" s="3">
        <v>45370</v>
      </c>
      <c r="K3007" s="4">
        <f>ClientiBanca[[#This Row],[Prestito]]+ClientiBanca[[#This Row],[Mutuo]]</f>
        <v>32800</v>
      </c>
      <c r="L3007" t="str">
        <f>IF(ClientiBanca[[#This Row],[Reddito annuo]]&gt;=70000,"si","no")</f>
        <v>no</v>
      </c>
    </row>
    <row r="3008" spans="1:12">
      <c r="A3008">
        <v>103007</v>
      </c>
      <c r="B3008">
        <v>36</v>
      </c>
      <c r="C3008" s="2">
        <v>85800</v>
      </c>
      <c r="D3008" t="s">
        <v>12</v>
      </c>
      <c r="E3008" s="2">
        <v>54200</v>
      </c>
      <c r="F3008" s="2">
        <v>292000</v>
      </c>
      <c r="G3008" t="s">
        <v>28</v>
      </c>
      <c r="H3008" t="s">
        <v>14</v>
      </c>
      <c r="I3008" t="s">
        <v>18</v>
      </c>
      <c r="J3008" s="3">
        <v>45609</v>
      </c>
      <c r="K3008" s="4">
        <f>ClientiBanca[[#This Row],[Prestito]]+ClientiBanca[[#This Row],[Mutuo]]</f>
        <v>346200</v>
      </c>
      <c r="L3008" t="str">
        <f>IF(ClientiBanca[[#This Row],[Reddito annuo]]&gt;=70000,"si","no")</f>
        <v>si</v>
      </c>
    </row>
    <row r="3009" spans="1:12">
      <c r="A3009">
        <v>103008</v>
      </c>
      <c r="B3009">
        <v>39</v>
      </c>
      <c r="C3009" s="2">
        <v>35600</v>
      </c>
      <c r="D3009" t="s">
        <v>21</v>
      </c>
      <c r="E3009" s="2">
        <v>18000</v>
      </c>
      <c r="F3009" s="2">
        <v>0</v>
      </c>
      <c r="G3009" t="s">
        <v>27</v>
      </c>
      <c r="H3009" t="s">
        <v>17</v>
      </c>
      <c r="I3009" t="s">
        <v>15</v>
      </c>
      <c r="J3009" s="3">
        <v>45372</v>
      </c>
      <c r="K3009" s="4">
        <f>ClientiBanca[[#This Row],[Prestito]]+ClientiBanca[[#This Row],[Mutuo]]</f>
        <v>18000</v>
      </c>
      <c r="L3009" t="str">
        <f>IF(ClientiBanca[[#This Row],[Reddito annuo]]&gt;=70000,"si","no")</f>
        <v>no</v>
      </c>
    </row>
    <row r="3010" spans="1:12">
      <c r="A3010">
        <v>103009</v>
      </c>
      <c r="B3010">
        <v>64</v>
      </c>
      <c r="C3010" s="2">
        <v>28500</v>
      </c>
      <c r="D3010" t="s">
        <v>12</v>
      </c>
      <c r="E3010" s="2">
        <v>35600</v>
      </c>
      <c r="F3010" s="2">
        <v>0</v>
      </c>
      <c r="G3010" t="s">
        <v>27</v>
      </c>
      <c r="H3010" t="s">
        <v>20</v>
      </c>
      <c r="I3010" t="s">
        <v>18</v>
      </c>
      <c r="J3010" s="3">
        <v>46012</v>
      </c>
      <c r="K3010" s="4">
        <f>ClientiBanca[[#This Row],[Prestito]]+ClientiBanca[[#This Row],[Mutuo]]</f>
        <v>35600</v>
      </c>
      <c r="L3010" t="str">
        <f>IF(ClientiBanca[[#This Row],[Reddito annuo]]&gt;=70000,"si","no")</f>
        <v>no</v>
      </c>
    </row>
    <row r="3011" spans="1:12">
      <c r="A3011">
        <v>103010</v>
      </c>
      <c r="B3011">
        <v>61</v>
      </c>
      <c r="C3011" s="2">
        <v>80600</v>
      </c>
      <c r="D3011" t="s">
        <v>21</v>
      </c>
      <c r="E3011" s="2">
        <v>0</v>
      </c>
      <c r="F3011" s="2">
        <v>0</v>
      </c>
      <c r="G3011" t="s">
        <v>19</v>
      </c>
      <c r="H3011" t="s">
        <v>14</v>
      </c>
      <c r="I3011" t="s">
        <v>18</v>
      </c>
      <c r="J3011" s="3">
        <v>45360</v>
      </c>
      <c r="K3011" s="4">
        <f>ClientiBanca[[#This Row],[Prestito]]+ClientiBanca[[#This Row],[Mutuo]]</f>
        <v>0</v>
      </c>
      <c r="L3011" t="str">
        <f>IF(ClientiBanca[[#This Row],[Reddito annuo]]&gt;=70000,"si","no")</f>
        <v>si</v>
      </c>
    </row>
    <row r="3012" spans="1:12">
      <c r="A3012">
        <v>103011</v>
      </c>
      <c r="B3012">
        <v>45</v>
      </c>
      <c r="C3012" s="2">
        <v>45500</v>
      </c>
      <c r="D3012" t="s">
        <v>21</v>
      </c>
      <c r="E3012" s="2">
        <v>56900</v>
      </c>
      <c r="F3012" s="2">
        <v>311000</v>
      </c>
      <c r="G3012" t="s">
        <v>26</v>
      </c>
      <c r="H3012" t="s">
        <v>17</v>
      </c>
      <c r="I3012" t="s">
        <v>18</v>
      </c>
      <c r="J3012" s="3">
        <v>45769</v>
      </c>
      <c r="K3012" s="4">
        <f>ClientiBanca[[#This Row],[Prestito]]+ClientiBanca[[#This Row],[Mutuo]]</f>
        <v>367900</v>
      </c>
      <c r="L3012" t="str">
        <f>IF(ClientiBanca[[#This Row],[Reddito annuo]]&gt;=70000,"si","no")</f>
        <v>no</v>
      </c>
    </row>
    <row r="3013" spans="1:12">
      <c r="A3013">
        <v>103012</v>
      </c>
      <c r="B3013">
        <v>40</v>
      </c>
      <c r="C3013" s="2">
        <v>71300</v>
      </c>
      <c r="D3013" t="s">
        <v>21</v>
      </c>
      <c r="E3013" s="2">
        <v>17500</v>
      </c>
      <c r="F3013" s="2">
        <v>0</v>
      </c>
      <c r="G3013" t="s">
        <v>28</v>
      </c>
      <c r="H3013" t="s">
        <v>20</v>
      </c>
      <c r="I3013" t="s">
        <v>18</v>
      </c>
      <c r="J3013" s="3">
        <v>45344</v>
      </c>
      <c r="K3013" s="4">
        <f>ClientiBanca[[#This Row],[Prestito]]+ClientiBanca[[#This Row],[Mutuo]]</f>
        <v>17500</v>
      </c>
      <c r="L3013" t="str">
        <f>IF(ClientiBanca[[#This Row],[Reddito annuo]]&gt;=70000,"si","no")</f>
        <v>si</v>
      </c>
    </row>
    <row r="3014" spans="1:12">
      <c r="A3014">
        <v>103013</v>
      </c>
      <c r="B3014">
        <v>34</v>
      </c>
      <c r="C3014" s="2">
        <v>93900</v>
      </c>
      <c r="D3014" t="s">
        <v>21</v>
      </c>
      <c r="E3014" s="2">
        <v>65900</v>
      </c>
      <c r="F3014" s="2">
        <v>0</v>
      </c>
      <c r="G3014" t="s">
        <v>23</v>
      </c>
      <c r="H3014" t="s">
        <v>20</v>
      </c>
      <c r="I3014" t="s">
        <v>18</v>
      </c>
      <c r="J3014" s="3">
        <v>45673</v>
      </c>
      <c r="K3014" s="4">
        <f>ClientiBanca[[#This Row],[Prestito]]+ClientiBanca[[#This Row],[Mutuo]]</f>
        <v>65900</v>
      </c>
      <c r="L3014" t="str">
        <f>IF(ClientiBanca[[#This Row],[Reddito annuo]]&gt;=70000,"si","no")</f>
        <v>si</v>
      </c>
    </row>
    <row r="3015" spans="1:12">
      <c r="A3015">
        <v>103014</v>
      </c>
      <c r="B3015">
        <v>52</v>
      </c>
      <c r="C3015" s="2">
        <v>108300</v>
      </c>
      <c r="D3015" t="s">
        <v>21</v>
      </c>
      <c r="E3015" s="2">
        <v>36900</v>
      </c>
      <c r="F3015" s="2">
        <v>0</v>
      </c>
      <c r="G3015" t="s">
        <v>27</v>
      </c>
      <c r="H3015" t="s">
        <v>20</v>
      </c>
      <c r="I3015" t="s">
        <v>18</v>
      </c>
      <c r="J3015" s="3">
        <v>46177</v>
      </c>
      <c r="K3015" s="4">
        <f>ClientiBanca[[#This Row],[Prestito]]+ClientiBanca[[#This Row],[Mutuo]]</f>
        <v>36900</v>
      </c>
      <c r="L3015" t="str">
        <f>IF(ClientiBanca[[#This Row],[Reddito annuo]]&gt;=70000,"si","no")</f>
        <v>si</v>
      </c>
    </row>
    <row r="3016" spans="1:12">
      <c r="A3016">
        <v>103015</v>
      </c>
      <c r="B3016">
        <v>36</v>
      </c>
      <c r="C3016" s="2">
        <v>49100</v>
      </c>
      <c r="D3016" t="s">
        <v>22</v>
      </c>
      <c r="E3016" s="2">
        <v>15800</v>
      </c>
      <c r="F3016" s="2">
        <v>0</v>
      </c>
      <c r="G3016" t="s">
        <v>26</v>
      </c>
      <c r="H3016" t="s">
        <v>14</v>
      </c>
      <c r="I3016" t="s">
        <v>18</v>
      </c>
      <c r="J3016" s="3">
        <v>45804</v>
      </c>
      <c r="K3016" s="4">
        <f>ClientiBanca[[#This Row],[Prestito]]+ClientiBanca[[#This Row],[Mutuo]]</f>
        <v>15800</v>
      </c>
      <c r="L3016" t="str">
        <f>IF(ClientiBanca[[#This Row],[Reddito annuo]]&gt;=70000,"si","no")</f>
        <v>no</v>
      </c>
    </row>
    <row r="3017" spans="1:12">
      <c r="A3017">
        <v>103016</v>
      </c>
      <c r="B3017">
        <v>65</v>
      </c>
      <c r="C3017" s="2">
        <v>34400</v>
      </c>
      <c r="D3017" t="s">
        <v>12</v>
      </c>
      <c r="E3017" s="2">
        <v>26600</v>
      </c>
      <c r="F3017" s="2">
        <v>0</v>
      </c>
      <c r="G3017" t="s">
        <v>16</v>
      </c>
      <c r="H3017" t="s">
        <v>17</v>
      </c>
      <c r="I3017" t="s">
        <v>18</v>
      </c>
      <c r="J3017" s="3">
        <v>45786</v>
      </c>
      <c r="K3017" s="4">
        <f>ClientiBanca[[#This Row],[Prestito]]+ClientiBanca[[#This Row],[Mutuo]]</f>
        <v>26600</v>
      </c>
      <c r="L3017" t="str">
        <f>IF(ClientiBanca[[#This Row],[Reddito annuo]]&gt;=70000,"si","no")</f>
        <v>no</v>
      </c>
    </row>
    <row r="3018" spans="1:12">
      <c r="A3018">
        <v>103017</v>
      </c>
      <c r="B3018">
        <v>62</v>
      </c>
      <c r="C3018" s="2">
        <v>36900</v>
      </c>
      <c r="D3018" t="s">
        <v>12</v>
      </c>
      <c r="E3018" s="2">
        <v>37900</v>
      </c>
      <c r="F3018" s="2">
        <v>303000</v>
      </c>
      <c r="G3018" t="s">
        <v>24</v>
      </c>
      <c r="H3018" t="s">
        <v>14</v>
      </c>
      <c r="I3018" t="s">
        <v>18</v>
      </c>
      <c r="J3018" s="3">
        <v>45421</v>
      </c>
      <c r="K3018" s="4">
        <f>ClientiBanca[[#This Row],[Prestito]]+ClientiBanca[[#This Row],[Mutuo]]</f>
        <v>340900</v>
      </c>
      <c r="L3018" t="str">
        <f>IF(ClientiBanca[[#This Row],[Reddito annuo]]&gt;=70000,"si","no")</f>
        <v>no</v>
      </c>
    </row>
    <row r="3019" spans="1:12">
      <c r="A3019">
        <v>103018</v>
      </c>
      <c r="B3019">
        <v>35</v>
      </c>
      <c r="C3019" s="2">
        <v>42700</v>
      </c>
      <c r="D3019" t="s">
        <v>21</v>
      </c>
      <c r="E3019" s="2">
        <v>53400</v>
      </c>
      <c r="F3019" s="2">
        <v>0</v>
      </c>
      <c r="G3019" t="s">
        <v>23</v>
      </c>
      <c r="H3019" t="s">
        <v>14</v>
      </c>
      <c r="I3019" t="s">
        <v>18</v>
      </c>
      <c r="J3019" s="3">
        <v>45809</v>
      </c>
      <c r="K3019" s="4">
        <f>ClientiBanca[[#This Row],[Prestito]]+ClientiBanca[[#This Row],[Mutuo]]</f>
        <v>53400</v>
      </c>
      <c r="L3019" t="str">
        <f>IF(ClientiBanca[[#This Row],[Reddito annuo]]&gt;=70000,"si","no")</f>
        <v>no</v>
      </c>
    </row>
    <row r="3020" spans="1:12">
      <c r="A3020">
        <v>103019</v>
      </c>
      <c r="B3020">
        <v>30</v>
      </c>
      <c r="C3020" s="2">
        <v>66700</v>
      </c>
      <c r="D3020" t="s">
        <v>21</v>
      </c>
      <c r="E3020" s="2">
        <v>70200</v>
      </c>
      <c r="F3020" s="2">
        <v>0</v>
      </c>
      <c r="G3020" t="s">
        <v>19</v>
      </c>
      <c r="H3020" t="s">
        <v>14</v>
      </c>
      <c r="I3020" t="s">
        <v>15</v>
      </c>
      <c r="J3020" s="3">
        <v>46154</v>
      </c>
      <c r="K3020" s="4">
        <f>ClientiBanca[[#This Row],[Prestito]]+ClientiBanca[[#This Row],[Mutuo]]</f>
        <v>70200</v>
      </c>
      <c r="L3020" t="str">
        <f>IF(ClientiBanca[[#This Row],[Reddito annuo]]&gt;=70000,"si","no")</f>
        <v>no</v>
      </c>
    </row>
    <row r="3021" spans="1:12">
      <c r="A3021">
        <v>103020</v>
      </c>
      <c r="B3021">
        <v>33</v>
      </c>
      <c r="C3021" s="2">
        <v>85800</v>
      </c>
      <c r="D3021" t="s">
        <v>12</v>
      </c>
      <c r="E3021" s="2">
        <v>39800</v>
      </c>
      <c r="F3021" s="2">
        <v>0</v>
      </c>
      <c r="G3021" t="s">
        <v>28</v>
      </c>
      <c r="H3021" t="s">
        <v>20</v>
      </c>
      <c r="I3021" t="s">
        <v>18</v>
      </c>
      <c r="J3021" s="3">
        <v>45601</v>
      </c>
      <c r="K3021" s="4">
        <f>ClientiBanca[[#This Row],[Prestito]]+ClientiBanca[[#This Row],[Mutuo]]</f>
        <v>39800</v>
      </c>
      <c r="L3021" t="str">
        <f>IF(ClientiBanca[[#This Row],[Reddito annuo]]&gt;=70000,"si","no")</f>
        <v>si</v>
      </c>
    </row>
    <row r="3022" spans="1:12">
      <c r="A3022">
        <v>103021</v>
      </c>
      <c r="B3022">
        <v>64</v>
      </c>
      <c r="C3022" s="2">
        <v>92700</v>
      </c>
      <c r="D3022" t="s">
        <v>22</v>
      </c>
      <c r="E3022" s="2">
        <v>0</v>
      </c>
      <c r="F3022" s="2">
        <v>0</v>
      </c>
      <c r="G3022" t="s">
        <v>26</v>
      </c>
      <c r="H3022" t="s">
        <v>17</v>
      </c>
      <c r="I3022" t="s">
        <v>18</v>
      </c>
      <c r="J3022" s="3">
        <v>45770</v>
      </c>
      <c r="K3022" s="4">
        <f>ClientiBanca[[#This Row],[Prestito]]+ClientiBanca[[#This Row],[Mutuo]]</f>
        <v>0</v>
      </c>
      <c r="L3022" t="str">
        <f>IF(ClientiBanca[[#This Row],[Reddito annuo]]&gt;=70000,"si","no")</f>
        <v>si</v>
      </c>
    </row>
    <row r="3023" spans="1:12">
      <c r="A3023">
        <v>103022</v>
      </c>
      <c r="B3023">
        <v>72</v>
      </c>
      <c r="C3023" s="2">
        <v>43400</v>
      </c>
      <c r="D3023" t="s">
        <v>21</v>
      </c>
      <c r="E3023" s="2">
        <v>25600</v>
      </c>
      <c r="F3023" s="2">
        <v>338000</v>
      </c>
      <c r="G3023" t="s">
        <v>23</v>
      </c>
      <c r="H3023" t="s">
        <v>14</v>
      </c>
      <c r="I3023" t="s">
        <v>18</v>
      </c>
      <c r="J3023" s="3">
        <v>45960</v>
      </c>
      <c r="K3023" s="4">
        <f>ClientiBanca[[#This Row],[Prestito]]+ClientiBanca[[#This Row],[Mutuo]]</f>
        <v>363600</v>
      </c>
      <c r="L3023" t="str">
        <f>IF(ClientiBanca[[#This Row],[Reddito annuo]]&gt;=70000,"si","no")</f>
        <v>no</v>
      </c>
    </row>
    <row r="3024" spans="1:12">
      <c r="A3024">
        <v>103023</v>
      </c>
      <c r="B3024">
        <v>56</v>
      </c>
      <c r="C3024" s="2">
        <v>108400</v>
      </c>
      <c r="D3024" t="s">
        <v>22</v>
      </c>
      <c r="E3024" s="2">
        <v>0</v>
      </c>
      <c r="F3024" s="2">
        <v>0</v>
      </c>
      <c r="G3024" t="s">
        <v>23</v>
      </c>
      <c r="H3024" t="s">
        <v>17</v>
      </c>
      <c r="I3024" t="s">
        <v>18</v>
      </c>
      <c r="J3024" s="3">
        <v>45953</v>
      </c>
      <c r="K3024" s="4">
        <f>ClientiBanca[[#This Row],[Prestito]]+ClientiBanca[[#This Row],[Mutuo]]</f>
        <v>0</v>
      </c>
      <c r="L3024" t="str">
        <f>IF(ClientiBanca[[#This Row],[Reddito annuo]]&gt;=70000,"si","no")</f>
        <v>si</v>
      </c>
    </row>
    <row r="3025" spans="1:12">
      <c r="A3025">
        <v>103024</v>
      </c>
      <c r="B3025">
        <v>47</v>
      </c>
      <c r="C3025" s="2">
        <v>76400</v>
      </c>
      <c r="D3025" t="s">
        <v>21</v>
      </c>
      <c r="E3025" s="2">
        <v>50300</v>
      </c>
      <c r="F3025" s="2">
        <v>0</v>
      </c>
      <c r="G3025" t="s">
        <v>26</v>
      </c>
      <c r="H3025" t="s">
        <v>20</v>
      </c>
      <c r="I3025" t="s">
        <v>18</v>
      </c>
      <c r="J3025" s="3">
        <v>46172</v>
      </c>
      <c r="K3025" s="4">
        <f>ClientiBanca[[#This Row],[Prestito]]+ClientiBanca[[#This Row],[Mutuo]]</f>
        <v>50300</v>
      </c>
      <c r="L3025" t="str">
        <f>IF(ClientiBanca[[#This Row],[Reddito annuo]]&gt;=70000,"si","no")</f>
        <v>si</v>
      </c>
    </row>
    <row r="3026" spans="1:12">
      <c r="A3026">
        <v>103025</v>
      </c>
      <c r="B3026">
        <v>39</v>
      </c>
      <c r="C3026" s="2">
        <v>69000</v>
      </c>
      <c r="D3026" t="s">
        <v>21</v>
      </c>
      <c r="E3026" s="2">
        <v>39900</v>
      </c>
      <c r="F3026" s="2">
        <v>0</v>
      </c>
      <c r="G3026" t="s">
        <v>19</v>
      </c>
      <c r="H3026" t="s">
        <v>17</v>
      </c>
      <c r="I3026" t="s">
        <v>18</v>
      </c>
      <c r="J3026" s="3">
        <v>45707</v>
      </c>
      <c r="K3026" s="4">
        <f>ClientiBanca[[#This Row],[Prestito]]+ClientiBanca[[#This Row],[Mutuo]]</f>
        <v>39900</v>
      </c>
      <c r="L3026" t="str">
        <f>IF(ClientiBanca[[#This Row],[Reddito annuo]]&gt;=70000,"si","no")</f>
        <v>no</v>
      </c>
    </row>
    <row r="3027" spans="1:12">
      <c r="A3027">
        <v>103026</v>
      </c>
      <c r="B3027">
        <v>68</v>
      </c>
      <c r="C3027" s="2">
        <v>76600</v>
      </c>
      <c r="D3027" t="s">
        <v>21</v>
      </c>
      <c r="E3027" s="2">
        <v>0</v>
      </c>
      <c r="F3027" s="2">
        <v>0</v>
      </c>
      <c r="G3027" t="s">
        <v>27</v>
      </c>
      <c r="H3027" t="s">
        <v>14</v>
      </c>
      <c r="I3027" t="s">
        <v>18</v>
      </c>
      <c r="J3027" s="3">
        <v>45920</v>
      </c>
      <c r="K3027" s="4">
        <f>ClientiBanca[[#This Row],[Prestito]]+ClientiBanca[[#This Row],[Mutuo]]</f>
        <v>0</v>
      </c>
      <c r="L3027" t="str">
        <f>IF(ClientiBanca[[#This Row],[Reddito annuo]]&gt;=70000,"si","no")</f>
        <v>si</v>
      </c>
    </row>
    <row r="3028" spans="1:12">
      <c r="A3028">
        <v>103027</v>
      </c>
      <c r="B3028">
        <v>56</v>
      </c>
      <c r="C3028" s="2">
        <v>29200</v>
      </c>
      <c r="D3028" t="s">
        <v>12</v>
      </c>
      <c r="E3028" s="2">
        <v>35700</v>
      </c>
      <c r="F3028" s="2">
        <v>168000</v>
      </c>
      <c r="G3028" t="s">
        <v>26</v>
      </c>
      <c r="H3028" t="s">
        <v>17</v>
      </c>
      <c r="I3028" t="s">
        <v>18</v>
      </c>
      <c r="J3028" s="3">
        <v>45343</v>
      </c>
      <c r="K3028" s="4">
        <f>ClientiBanca[[#This Row],[Prestito]]+ClientiBanca[[#This Row],[Mutuo]]</f>
        <v>203700</v>
      </c>
      <c r="L3028" t="str">
        <f>IF(ClientiBanca[[#This Row],[Reddito annuo]]&gt;=70000,"si","no")</f>
        <v>no</v>
      </c>
    </row>
    <row r="3029" spans="1:12">
      <c r="A3029">
        <v>103028</v>
      </c>
      <c r="B3029">
        <v>60</v>
      </c>
      <c r="C3029" s="2">
        <v>27100</v>
      </c>
      <c r="D3029" t="s">
        <v>21</v>
      </c>
      <c r="E3029" s="2">
        <v>33900</v>
      </c>
      <c r="F3029" s="2">
        <v>0</v>
      </c>
      <c r="G3029" t="s">
        <v>19</v>
      </c>
      <c r="H3029" t="s">
        <v>17</v>
      </c>
      <c r="I3029" t="s">
        <v>18</v>
      </c>
      <c r="J3029" s="3">
        <v>45422</v>
      </c>
      <c r="K3029" s="4">
        <f>ClientiBanca[[#This Row],[Prestito]]+ClientiBanca[[#This Row],[Mutuo]]</f>
        <v>33900</v>
      </c>
      <c r="L3029" t="str">
        <f>IF(ClientiBanca[[#This Row],[Reddito annuo]]&gt;=70000,"si","no")</f>
        <v>no</v>
      </c>
    </row>
    <row r="3030" spans="1:12">
      <c r="A3030">
        <v>103029</v>
      </c>
      <c r="B3030">
        <v>38</v>
      </c>
      <c r="C3030" s="2">
        <v>95500</v>
      </c>
      <c r="D3030" t="s">
        <v>21</v>
      </c>
      <c r="E3030" s="2">
        <v>76000</v>
      </c>
      <c r="F3030" s="2">
        <v>0</v>
      </c>
      <c r="G3030" t="s">
        <v>24</v>
      </c>
      <c r="H3030" t="s">
        <v>20</v>
      </c>
      <c r="I3030" t="s">
        <v>18</v>
      </c>
      <c r="J3030" s="3">
        <v>46236</v>
      </c>
      <c r="K3030" s="4">
        <f>ClientiBanca[[#This Row],[Prestito]]+ClientiBanca[[#This Row],[Mutuo]]</f>
        <v>76000</v>
      </c>
      <c r="L3030" t="str">
        <f>IF(ClientiBanca[[#This Row],[Reddito annuo]]&gt;=70000,"si","no")</f>
        <v>si</v>
      </c>
    </row>
    <row r="3031" spans="1:12">
      <c r="A3031">
        <v>103030</v>
      </c>
      <c r="B3031">
        <v>22</v>
      </c>
      <c r="C3031" s="2">
        <v>42400</v>
      </c>
      <c r="D3031" t="s">
        <v>12</v>
      </c>
      <c r="E3031" s="2">
        <v>39400</v>
      </c>
      <c r="F3031" s="2">
        <v>358000</v>
      </c>
      <c r="G3031" t="s">
        <v>27</v>
      </c>
      <c r="H3031" t="s">
        <v>25</v>
      </c>
      <c r="I3031" t="s">
        <v>18</v>
      </c>
      <c r="J3031" s="3">
        <v>45443</v>
      </c>
      <c r="K3031" s="4">
        <f>ClientiBanca[[#This Row],[Prestito]]+ClientiBanca[[#This Row],[Mutuo]]</f>
        <v>397400</v>
      </c>
      <c r="L3031" t="str">
        <f>IF(ClientiBanca[[#This Row],[Reddito annuo]]&gt;=70000,"si","no")</f>
        <v>no</v>
      </c>
    </row>
    <row r="3032" spans="1:12">
      <c r="A3032">
        <v>103031</v>
      </c>
      <c r="B3032">
        <v>49</v>
      </c>
      <c r="C3032" s="2">
        <v>43600</v>
      </c>
      <c r="D3032" t="s">
        <v>22</v>
      </c>
      <c r="E3032" s="2">
        <v>31500</v>
      </c>
      <c r="F3032" s="2">
        <v>0</v>
      </c>
      <c r="G3032" t="s">
        <v>16</v>
      </c>
      <c r="H3032" t="s">
        <v>17</v>
      </c>
      <c r="I3032" t="s">
        <v>18</v>
      </c>
      <c r="J3032" s="3">
        <v>45795</v>
      </c>
      <c r="K3032" s="4">
        <f>ClientiBanca[[#This Row],[Prestito]]+ClientiBanca[[#This Row],[Mutuo]]</f>
        <v>31500</v>
      </c>
      <c r="L3032" t="str">
        <f>IF(ClientiBanca[[#This Row],[Reddito annuo]]&gt;=70000,"si","no")</f>
        <v>no</v>
      </c>
    </row>
    <row r="3033" spans="1:12">
      <c r="A3033">
        <v>103032</v>
      </c>
      <c r="B3033">
        <v>75</v>
      </c>
      <c r="C3033" s="2">
        <v>48600</v>
      </c>
      <c r="D3033" t="s">
        <v>12</v>
      </c>
      <c r="E3033" s="2">
        <v>0</v>
      </c>
      <c r="F3033" s="2">
        <v>0</v>
      </c>
      <c r="G3033" t="s">
        <v>13</v>
      </c>
      <c r="H3033" t="s">
        <v>17</v>
      </c>
      <c r="I3033" t="s">
        <v>18</v>
      </c>
      <c r="J3033" s="3">
        <v>45420</v>
      </c>
      <c r="K3033" s="4">
        <f>ClientiBanca[[#This Row],[Prestito]]+ClientiBanca[[#This Row],[Mutuo]]</f>
        <v>0</v>
      </c>
      <c r="L3033" t="str">
        <f>IF(ClientiBanca[[#This Row],[Reddito annuo]]&gt;=70000,"si","no")</f>
        <v>no</v>
      </c>
    </row>
    <row r="3034" spans="1:12">
      <c r="A3034">
        <v>103033</v>
      </c>
      <c r="B3034">
        <v>59</v>
      </c>
      <c r="C3034" s="2">
        <v>85300</v>
      </c>
      <c r="D3034" t="s">
        <v>21</v>
      </c>
      <c r="E3034" s="2">
        <v>35300</v>
      </c>
      <c r="F3034" s="2">
        <v>0</v>
      </c>
      <c r="G3034" t="s">
        <v>28</v>
      </c>
      <c r="H3034" t="s">
        <v>17</v>
      </c>
      <c r="I3034" t="s">
        <v>18</v>
      </c>
      <c r="J3034" s="3">
        <v>45881</v>
      </c>
      <c r="K3034" s="4">
        <f>ClientiBanca[[#This Row],[Prestito]]+ClientiBanca[[#This Row],[Mutuo]]</f>
        <v>35300</v>
      </c>
      <c r="L3034" t="str">
        <f>IF(ClientiBanca[[#This Row],[Reddito annuo]]&gt;=70000,"si","no")</f>
        <v>si</v>
      </c>
    </row>
    <row r="3035" spans="1:12">
      <c r="A3035">
        <v>103034</v>
      </c>
      <c r="B3035">
        <v>54</v>
      </c>
      <c r="C3035" s="2">
        <v>70200</v>
      </c>
      <c r="D3035" t="s">
        <v>22</v>
      </c>
      <c r="E3035" s="2">
        <v>0</v>
      </c>
      <c r="F3035" s="2">
        <v>0</v>
      </c>
      <c r="G3035" t="s">
        <v>19</v>
      </c>
      <c r="H3035" t="s">
        <v>17</v>
      </c>
      <c r="I3035" t="s">
        <v>18</v>
      </c>
      <c r="J3035" s="3">
        <v>45992</v>
      </c>
      <c r="K3035" s="4">
        <f>ClientiBanca[[#This Row],[Prestito]]+ClientiBanca[[#This Row],[Mutuo]]</f>
        <v>0</v>
      </c>
      <c r="L3035" t="str">
        <f>IF(ClientiBanca[[#This Row],[Reddito annuo]]&gt;=70000,"si","no")</f>
        <v>si</v>
      </c>
    </row>
    <row r="3036" spans="1:12">
      <c r="A3036">
        <v>103035</v>
      </c>
      <c r="B3036">
        <v>46</v>
      </c>
      <c r="C3036" s="2">
        <v>100500</v>
      </c>
      <c r="D3036" t="s">
        <v>21</v>
      </c>
      <c r="E3036" s="2">
        <v>69600</v>
      </c>
      <c r="F3036" s="2">
        <v>0</v>
      </c>
      <c r="G3036" t="s">
        <v>23</v>
      </c>
      <c r="H3036" t="s">
        <v>14</v>
      </c>
      <c r="I3036" t="s">
        <v>15</v>
      </c>
      <c r="J3036" s="3">
        <v>45464</v>
      </c>
      <c r="K3036" s="4">
        <f>ClientiBanca[[#This Row],[Prestito]]+ClientiBanca[[#This Row],[Mutuo]]</f>
        <v>69600</v>
      </c>
      <c r="L3036" t="str">
        <f>IF(ClientiBanca[[#This Row],[Reddito annuo]]&gt;=70000,"si","no")</f>
        <v>si</v>
      </c>
    </row>
    <row r="3037" spans="1:12">
      <c r="A3037">
        <v>103036</v>
      </c>
      <c r="B3037">
        <v>30</v>
      </c>
      <c r="C3037" s="2">
        <v>55100</v>
      </c>
      <c r="D3037" t="s">
        <v>22</v>
      </c>
      <c r="E3037" s="2">
        <v>0</v>
      </c>
      <c r="F3037" s="2">
        <v>0</v>
      </c>
      <c r="G3037" t="s">
        <v>23</v>
      </c>
      <c r="H3037" t="s">
        <v>17</v>
      </c>
      <c r="I3037" t="s">
        <v>18</v>
      </c>
      <c r="J3037" s="3">
        <v>45302</v>
      </c>
      <c r="K3037" s="4">
        <f>ClientiBanca[[#This Row],[Prestito]]+ClientiBanca[[#This Row],[Mutuo]]</f>
        <v>0</v>
      </c>
      <c r="L3037" t="str">
        <f>IF(ClientiBanca[[#This Row],[Reddito annuo]]&gt;=70000,"si","no")</f>
        <v>no</v>
      </c>
    </row>
    <row r="3038" spans="1:12">
      <c r="A3038">
        <v>103037</v>
      </c>
      <c r="B3038">
        <v>22</v>
      </c>
      <c r="C3038" s="2">
        <v>77400</v>
      </c>
      <c r="D3038" t="s">
        <v>21</v>
      </c>
      <c r="E3038" s="2">
        <v>38100</v>
      </c>
      <c r="F3038" s="2">
        <v>0</v>
      </c>
      <c r="G3038" t="s">
        <v>27</v>
      </c>
      <c r="H3038" t="s">
        <v>20</v>
      </c>
      <c r="I3038" t="s">
        <v>18</v>
      </c>
      <c r="J3038" s="3">
        <v>45708</v>
      </c>
      <c r="K3038" s="4">
        <f>ClientiBanca[[#This Row],[Prestito]]+ClientiBanca[[#This Row],[Mutuo]]</f>
        <v>38100</v>
      </c>
      <c r="L3038" t="str">
        <f>IF(ClientiBanca[[#This Row],[Reddito annuo]]&gt;=70000,"si","no")</f>
        <v>si</v>
      </c>
    </row>
    <row r="3039" spans="1:12">
      <c r="A3039">
        <v>103038</v>
      </c>
      <c r="B3039">
        <v>24</v>
      </c>
      <c r="C3039" s="2">
        <v>93500</v>
      </c>
      <c r="D3039" t="s">
        <v>12</v>
      </c>
      <c r="E3039" s="2">
        <v>31100</v>
      </c>
      <c r="F3039" s="2">
        <v>0</v>
      </c>
      <c r="G3039" t="s">
        <v>19</v>
      </c>
      <c r="H3039" t="s">
        <v>20</v>
      </c>
      <c r="I3039" t="s">
        <v>18</v>
      </c>
      <c r="J3039" s="3">
        <v>45345</v>
      </c>
      <c r="K3039" s="4">
        <f>ClientiBanca[[#This Row],[Prestito]]+ClientiBanca[[#This Row],[Mutuo]]</f>
        <v>31100</v>
      </c>
      <c r="L3039" t="str">
        <f>IF(ClientiBanca[[#This Row],[Reddito annuo]]&gt;=70000,"si","no")</f>
        <v>si</v>
      </c>
    </row>
    <row r="3040" spans="1:12">
      <c r="A3040">
        <v>103039</v>
      </c>
      <c r="B3040">
        <v>65</v>
      </c>
      <c r="C3040" s="2">
        <v>102100</v>
      </c>
      <c r="D3040" t="s">
        <v>21</v>
      </c>
      <c r="E3040" s="2">
        <v>28400</v>
      </c>
      <c r="F3040" s="2">
        <v>0</v>
      </c>
      <c r="G3040" t="s">
        <v>24</v>
      </c>
      <c r="H3040" t="s">
        <v>17</v>
      </c>
      <c r="I3040" t="s">
        <v>18</v>
      </c>
      <c r="J3040" s="3">
        <v>46044</v>
      </c>
      <c r="K3040" s="4">
        <f>ClientiBanca[[#This Row],[Prestito]]+ClientiBanca[[#This Row],[Mutuo]]</f>
        <v>28400</v>
      </c>
      <c r="L3040" t="str">
        <f>IF(ClientiBanca[[#This Row],[Reddito annuo]]&gt;=70000,"si","no")</f>
        <v>si</v>
      </c>
    </row>
    <row r="3041" spans="1:12">
      <c r="A3041">
        <v>103040</v>
      </c>
      <c r="B3041">
        <v>47</v>
      </c>
      <c r="C3041" s="2">
        <v>55900</v>
      </c>
      <c r="D3041" t="s">
        <v>21</v>
      </c>
      <c r="E3041" s="2">
        <v>0</v>
      </c>
      <c r="F3041" s="2">
        <v>0</v>
      </c>
      <c r="G3041" t="s">
        <v>23</v>
      </c>
      <c r="H3041" t="s">
        <v>17</v>
      </c>
      <c r="I3041" t="s">
        <v>18</v>
      </c>
      <c r="J3041" s="3">
        <v>45605</v>
      </c>
      <c r="K3041" s="4">
        <f>ClientiBanca[[#This Row],[Prestito]]+ClientiBanca[[#This Row],[Mutuo]]</f>
        <v>0</v>
      </c>
      <c r="L3041" t="str">
        <f>IF(ClientiBanca[[#This Row],[Reddito annuo]]&gt;=70000,"si","no")</f>
        <v>no</v>
      </c>
    </row>
    <row r="3042" spans="1:12">
      <c r="A3042">
        <v>103041</v>
      </c>
      <c r="B3042">
        <v>34</v>
      </c>
      <c r="C3042" s="2">
        <v>74200</v>
      </c>
      <c r="D3042" t="s">
        <v>21</v>
      </c>
      <c r="E3042" s="2">
        <v>24300</v>
      </c>
      <c r="F3042" s="2">
        <v>279000</v>
      </c>
      <c r="G3042" t="s">
        <v>24</v>
      </c>
      <c r="H3042" t="s">
        <v>14</v>
      </c>
      <c r="I3042" t="s">
        <v>18</v>
      </c>
      <c r="J3042" s="3">
        <v>45470</v>
      </c>
      <c r="K3042" s="4">
        <f>ClientiBanca[[#This Row],[Prestito]]+ClientiBanca[[#This Row],[Mutuo]]</f>
        <v>303300</v>
      </c>
      <c r="L3042" t="str">
        <f>IF(ClientiBanca[[#This Row],[Reddito annuo]]&gt;=70000,"si","no")</f>
        <v>si</v>
      </c>
    </row>
    <row r="3043" spans="1:12">
      <c r="A3043">
        <v>103042</v>
      </c>
      <c r="B3043">
        <v>52</v>
      </c>
      <c r="C3043" s="2">
        <v>57600</v>
      </c>
      <c r="D3043" t="s">
        <v>12</v>
      </c>
      <c r="E3043" s="2">
        <v>18700</v>
      </c>
      <c r="F3043" s="2">
        <v>0</v>
      </c>
      <c r="G3043" t="s">
        <v>13</v>
      </c>
      <c r="H3043" t="s">
        <v>14</v>
      </c>
      <c r="I3043" t="s">
        <v>18</v>
      </c>
      <c r="J3043" s="3">
        <v>46248</v>
      </c>
      <c r="K3043" s="4">
        <f>ClientiBanca[[#This Row],[Prestito]]+ClientiBanca[[#This Row],[Mutuo]]</f>
        <v>18700</v>
      </c>
      <c r="L3043" t="str">
        <f>IF(ClientiBanca[[#This Row],[Reddito annuo]]&gt;=70000,"si","no")</f>
        <v>no</v>
      </c>
    </row>
    <row r="3044" spans="1:12">
      <c r="A3044">
        <v>103043</v>
      </c>
      <c r="B3044">
        <v>50</v>
      </c>
      <c r="C3044" s="2">
        <v>43000</v>
      </c>
      <c r="D3044" t="s">
        <v>21</v>
      </c>
      <c r="E3044" s="2">
        <v>53800</v>
      </c>
      <c r="F3044" s="2">
        <v>0</v>
      </c>
      <c r="G3044" t="s">
        <v>24</v>
      </c>
      <c r="H3044" t="s">
        <v>25</v>
      </c>
      <c r="I3044" t="s">
        <v>18</v>
      </c>
      <c r="J3044" s="3">
        <v>45395</v>
      </c>
      <c r="K3044" s="4">
        <f>ClientiBanca[[#This Row],[Prestito]]+ClientiBanca[[#This Row],[Mutuo]]</f>
        <v>53800</v>
      </c>
      <c r="L3044" t="str">
        <f>IF(ClientiBanca[[#This Row],[Reddito annuo]]&gt;=70000,"si","no")</f>
        <v>no</v>
      </c>
    </row>
    <row r="3045" spans="1:12">
      <c r="A3045">
        <v>103044</v>
      </c>
      <c r="B3045">
        <v>74</v>
      </c>
      <c r="C3045" s="2">
        <v>39900</v>
      </c>
      <c r="D3045" t="s">
        <v>21</v>
      </c>
      <c r="E3045" s="2">
        <v>21200</v>
      </c>
      <c r="F3045" s="2">
        <v>0</v>
      </c>
      <c r="G3045" t="s">
        <v>19</v>
      </c>
      <c r="H3045" t="s">
        <v>17</v>
      </c>
      <c r="I3045" t="s">
        <v>18</v>
      </c>
      <c r="J3045" s="3">
        <v>45453</v>
      </c>
      <c r="K3045" s="4">
        <f>ClientiBanca[[#This Row],[Prestito]]+ClientiBanca[[#This Row],[Mutuo]]</f>
        <v>21200</v>
      </c>
      <c r="L3045" t="str">
        <f>IF(ClientiBanca[[#This Row],[Reddito annuo]]&gt;=70000,"si","no")</f>
        <v>no</v>
      </c>
    </row>
    <row r="3046" spans="1:12">
      <c r="A3046">
        <v>103045</v>
      </c>
      <c r="B3046">
        <v>23</v>
      </c>
      <c r="C3046" s="2">
        <v>43600</v>
      </c>
      <c r="D3046" t="s">
        <v>21</v>
      </c>
      <c r="E3046" s="2">
        <v>12100</v>
      </c>
      <c r="F3046" s="2">
        <v>159000</v>
      </c>
      <c r="G3046" t="s">
        <v>24</v>
      </c>
      <c r="H3046" t="s">
        <v>17</v>
      </c>
      <c r="I3046" t="s">
        <v>18</v>
      </c>
      <c r="J3046" s="3">
        <v>45791</v>
      </c>
      <c r="K3046" s="4">
        <f>ClientiBanca[[#This Row],[Prestito]]+ClientiBanca[[#This Row],[Mutuo]]</f>
        <v>171100</v>
      </c>
      <c r="L3046" t="str">
        <f>IF(ClientiBanca[[#This Row],[Reddito annuo]]&gt;=70000,"si","no")</f>
        <v>no</v>
      </c>
    </row>
    <row r="3047" spans="1:12">
      <c r="A3047">
        <v>103046</v>
      </c>
      <c r="B3047">
        <v>65</v>
      </c>
      <c r="C3047" s="2">
        <v>33500</v>
      </c>
      <c r="D3047" t="s">
        <v>22</v>
      </c>
      <c r="E3047" s="2">
        <v>41900</v>
      </c>
      <c r="F3047" s="2">
        <v>227000</v>
      </c>
      <c r="G3047" t="s">
        <v>26</v>
      </c>
      <c r="H3047" t="s">
        <v>14</v>
      </c>
      <c r="I3047" t="s">
        <v>18</v>
      </c>
      <c r="J3047" s="3">
        <v>45571</v>
      </c>
      <c r="K3047" s="4">
        <f>ClientiBanca[[#This Row],[Prestito]]+ClientiBanca[[#This Row],[Mutuo]]</f>
        <v>268900</v>
      </c>
      <c r="L3047" t="str">
        <f>IF(ClientiBanca[[#This Row],[Reddito annuo]]&gt;=70000,"si","no")</f>
        <v>no</v>
      </c>
    </row>
    <row r="3048" spans="1:12">
      <c r="A3048">
        <v>103047</v>
      </c>
      <c r="B3048">
        <v>29</v>
      </c>
      <c r="C3048" s="2">
        <v>38200</v>
      </c>
      <c r="D3048" t="s">
        <v>12</v>
      </c>
      <c r="E3048" s="2">
        <v>23400</v>
      </c>
      <c r="F3048" s="2">
        <v>0</v>
      </c>
      <c r="G3048" t="s">
        <v>26</v>
      </c>
      <c r="H3048" t="s">
        <v>20</v>
      </c>
      <c r="I3048" t="s">
        <v>18</v>
      </c>
      <c r="J3048" s="3">
        <v>45452</v>
      </c>
      <c r="K3048" s="4">
        <f>ClientiBanca[[#This Row],[Prestito]]+ClientiBanca[[#This Row],[Mutuo]]</f>
        <v>23400</v>
      </c>
      <c r="L3048" t="str">
        <f>IF(ClientiBanca[[#This Row],[Reddito annuo]]&gt;=70000,"si","no")</f>
        <v>no</v>
      </c>
    </row>
    <row r="3049" spans="1:12">
      <c r="A3049">
        <v>103048</v>
      </c>
      <c r="B3049">
        <v>43</v>
      </c>
      <c r="C3049" s="2">
        <v>87100</v>
      </c>
      <c r="D3049" t="s">
        <v>22</v>
      </c>
      <c r="E3049" s="2">
        <v>20300</v>
      </c>
      <c r="F3049" s="2">
        <v>0</v>
      </c>
      <c r="G3049" t="s">
        <v>27</v>
      </c>
      <c r="H3049" t="s">
        <v>14</v>
      </c>
      <c r="I3049" t="s">
        <v>18</v>
      </c>
      <c r="J3049" s="3">
        <v>45369</v>
      </c>
      <c r="K3049" s="4">
        <f>ClientiBanca[[#This Row],[Prestito]]+ClientiBanca[[#This Row],[Mutuo]]</f>
        <v>20300</v>
      </c>
      <c r="L3049" t="str">
        <f>IF(ClientiBanca[[#This Row],[Reddito annuo]]&gt;=70000,"si","no")</f>
        <v>si</v>
      </c>
    </row>
    <row r="3050" spans="1:12">
      <c r="A3050">
        <v>103049</v>
      </c>
      <c r="B3050">
        <v>57</v>
      </c>
      <c r="C3050" s="2">
        <v>33700</v>
      </c>
      <c r="D3050" t="s">
        <v>21</v>
      </c>
      <c r="E3050" s="2">
        <v>0</v>
      </c>
      <c r="F3050" s="2">
        <v>0</v>
      </c>
      <c r="G3050" t="s">
        <v>19</v>
      </c>
      <c r="H3050" t="s">
        <v>25</v>
      </c>
      <c r="I3050" t="s">
        <v>18</v>
      </c>
      <c r="J3050" s="3">
        <v>45649</v>
      </c>
      <c r="K3050" s="4">
        <f>ClientiBanca[[#This Row],[Prestito]]+ClientiBanca[[#This Row],[Mutuo]]</f>
        <v>0</v>
      </c>
      <c r="L3050" t="str">
        <f>IF(ClientiBanca[[#This Row],[Reddito annuo]]&gt;=70000,"si","no")</f>
        <v>no</v>
      </c>
    </row>
    <row r="3051" spans="1:12">
      <c r="A3051">
        <v>103050</v>
      </c>
      <c r="B3051">
        <v>65</v>
      </c>
      <c r="C3051" s="2">
        <v>79700</v>
      </c>
      <c r="D3051" t="s">
        <v>12</v>
      </c>
      <c r="E3051" s="2">
        <v>74300</v>
      </c>
      <c r="F3051" s="2">
        <v>0</v>
      </c>
      <c r="G3051" t="s">
        <v>13</v>
      </c>
      <c r="H3051" t="s">
        <v>17</v>
      </c>
      <c r="I3051" t="s">
        <v>18</v>
      </c>
      <c r="J3051" s="3">
        <v>45404</v>
      </c>
      <c r="K3051" s="4">
        <f>ClientiBanca[[#This Row],[Prestito]]+ClientiBanca[[#This Row],[Mutuo]]</f>
        <v>74300</v>
      </c>
      <c r="L3051" t="str">
        <f>IF(ClientiBanca[[#This Row],[Reddito annuo]]&gt;=70000,"si","no")</f>
        <v>si</v>
      </c>
    </row>
    <row r="3052" spans="1:12">
      <c r="A3052">
        <v>103051</v>
      </c>
      <c r="B3052">
        <v>41</v>
      </c>
      <c r="C3052" s="2">
        <v>74900</v>
      </c>
      <c r="D3052" t="s">
        <v>22</v>
      </c>
      <c r="E3052" s="2">
        <v>33500</v>
      </c>
      <c r="F3052" s="2">
        <v>342000</v>
      </c>
      <c r="G3052" t="s">
        <v>16</v>
      </c>
      <c r="H3052" t="s">
        <v>14</v>
      </c>
      <c r="I3052" t="s">
        <v>18</v>
      </c>
      <c r="J3052" s="3">
        <v>45819</v>
      </c>
      <c r="K3052" s="4">
        <f>ClientiBanca[[#This Row],[Prestito]]+ClientiBanca[[#This Row],[Mutuo]]</f>
        <v>375500</v>
      </c>
      <c r="L3052" t="str">
        <f>IF(ClientiBanca[[#This Row],[Reddito annuo]]&gt;=70000,"si","no")</f>
        <v>si</v>
      </c>
    </row>
    <row r="3053" spans="1:12">
      <c r="A3053">
        <v>103052</v>
      </c>
      <c r="B3053">
        <v>60</v>
      </c>
      <c r="C3053" s="2">
        <v>71200</v>
      </c>
      <c r="D3053" t="s">
        <v>22</v>
      </c>
      <c r="E3053" s="2">
        <v>7000</v>
      </c>
      <c r="F3053" s="2">
        <v>0</v>
      </c>
      <c r="G3053" t="s">
        <v>13</v>
      </c>
      <c r="H3053" t="s">
        <v>14</v>
      </c>
      <c r="I3053" t="s">
        <v>18</v>
      </c>
      <c r="J3053" s="3">
        <v>46164</v>
      </c>
      <c r="K3053" s="4">
        <f>ClientiBanca[[#This Row],[Prestito]]+ClientiBanca[[#This Row],[Mutuo]]</f>
        <v>7000</v>
      </c>
      <c r="L3053" t="str">
        <f>IF(ClientiBanca[[#This Row],[Reddito annuo]]&gt;=70000,"si","no")</f>
        <v>si</v>
      </c>
    </row>
    <row r="3054" spans="1:12">
      <c r="A3054">
        <v>103053</v>
      </c>
      <c r="B3054">
        <v>24</v>
      </c>
      <c r="C3054" s="2">
        <v>73100</v>
      </c>
      <c r="D3054" t="s">
        <v>22</v>
      </c>
      <c r="E3054" s="2">
        <v>63800</v>
      </c>
      <c r="F3054" s="2">
        <v>0</v>
      </c>
      <c r="G3054" t="s">
        <v>23</v>
      </c>
      <c r="H3054" t="s">
        <v>17</v>
      </c>
      <c r="I3054" t="s">
        <v>15</v>
      </c>
      <c r="J3054" s="3">
        <v>46089</v>
      </c>
      <c r="K3054" s="4">
        <f>ClientiBanca[[#This Row],[Prestito]]+ClientiBanca[[#This Row],[Mutuo]]</f>
        <v>63800</v>
      </c>
      <c r="L3054" t="str">
        <f>IF(ClientiBanca[[#This Row],[Reddito annuo]]&gt;=70000,"si","no")</f>
        <v>si</v>
      </c>
    </row>
    <row r="3055" spans="1:12">
      <c r="A3055">
        <v>103054</v>
      </c>
      <c r="B3055">
        <v>20</v>
      </c>
      <c r="C3055" s="2">
        <v>56900</v>
      </c>
      <c r="D3055" t="s">
        <v>22</v>
      </c>
      <c r="E3055" s="2">
        <v>22900</v>
      </c>
      <c r="F3055" s="2">
        <v>232000</v>
      </c>
      <c r="G3055" t="s">
        <v>16</v>
      </c>
      <c r="H3055" t="s">
        <v>17</v>
      </c>
      <c r="I3055" t="s">
        <v>18</v>
      </c>
      <c r="J3055" s="3">
        <v>45959</v>
      </c>
      <c r="K3055" s="4">
        <f>ClientiBanca[[#This Row],[Prestito]]+ClientiBanca[[#This Row],[Mutuo]]</f>
        <v>254900</v>
      </c>
      <c r="L3055" t="str">
        <f>IF(ClientiBanca[[#This Row],[Reddito annuo]]&gt;=70000,"si","no")</f>
        <v>no</v>
      </c>
    </row>
    <row r="3056" spans="1:12">
      <c r="A3056">
        <v>103055</v>
      </c>
      <c r="B3056">
        <v>46</v>
      </c>
      <c r="C3056" s="2">
        <v>66900</v>
      </c>
      <c r="D3056" t="s">
        <v>21</v>
      </c>
      <c r="E3056" s="2">
        <v>18400</v>
      </c>
      <c r="F3056" s="2">
        <v>363000</v>
      </c>
      <c r="G3056" t="s">
        <v>27</v>
      </c>
      <c r="H3056" t="s">
        <v>14</v>
      </c>
      <c r="I3056" t="s">
        <v>18</v>
      </c>
      <c r="J3056" s="3">
        <v>46055</v>
      </c>
      <c r="K3056" s="4">
        <f>ClientiBanca[[#This Row],[Prestito]]+ClientiBanca[[#This Row],[Mutuo]]</f>
        <v>381400</v>
      </c>
      <c r="L3056" t="str">
        <f>IF(ClientiBanca[[#This Row],[Reddito annuo]]&gt;=70000,"si","no")</f>
        <v>no</v>
      </c>
    </row>
    <row r="3057" spans="1:12">
      <c r="A3057">
        <v>103056</v>
      </c>
      <c r="B3057">
        <v>68</v>
      </c>
      <c r="C3057" s="2">
        <v>66700</v>
      </c>
      <c r="D3057" t="s">
        <v>21</v>
      </c>
      <c r="E3057" s="2">
        <v>22700</v>
      </c>
      <c r="F3057" s="2">
        <v>0</v>
      </c>
      <c r="G3057" t="s">
        <v>13</v>
      </c>
      <c r="H3057" t="s">
        <v>14</v>
      </c>
      <c r="I3057" t="s">
        <v>18</v>
      </c>
      <c r="J3057" s="3">
        <v>45906</v>
      </c>
      <c r="K3057" s="4">
        <f>ClientiBanca[[#This Row],[Prestito]]+ClientiBanca[[#This Row],[Mutuo]]</f>
        <v>22700</v>
      </c>
      <c r="L3057" t="str">
        <f>IF(ClientiBanca[[#This Row],[Reddito annuo]]&gt;=70000,"si","no")</f>
        <v>no</v>
      </c>
    </row>
    <row r="3058" spans="1:12">
      <c r="A3058">
        <v>103057</v>
      </c>
      <c r="B3058">
        <v>29</v>
      </c>
      <c r="C3058" s="2">
        <v>58800</v>
      </c>
      <c r="D3058" t="s">
        <v>12</v>
      </c>
      <c r="E3058" s="2">
        <v>13800</v>
      </c>
      <c r="F3058" s="2">
        <v>0</v>
      </c>
      <c r="G3058" t="s">
        <v>27</v>
      </c>
      <c r="H3058" t="s">
        <v>20</v>
      </c>
      <c r="I3058" t="s">
        <v>18</v>
      </c>
      <c r="J3058" s="3">
        <v>45692</v>
      </c>
      <c r="K3058" s="4">
        <f>ClientiBanca[[#This Row],[Prestito]]+ClientiBanca[[#This Row],[Mutuo]]</f>
        <v>13800</v>
      </c>
      <c r="L3058" t="str">
        <f>IF(ClientiBanca[[#This Row],[Reddito annuo]]&gt;=70000,"si","no")</f>
        <v>no</v>
      </c>
    </row>
    <row r="3059" spans="1:12">
      <c r="A3059">
        <v>103058</v>
      </c>
      <c r="B3059">
        <v>62</v>
      </c>
      <c r="C3059" s="2">
        <v>35500</v>
      </c>
      <c r="D3059" t="s">
        <v>22</v>
      </c>
      <c r="E3059" s="2">
        <v>14700</v>
      </c>
      <c r="F3059" s="2">
        <v>0</v>
      </c>
      <c r="G3059" t="s">
        <v>28</v>
      </c>
      <c r="H3059" t="s">
        <v>14</v>
      </c>
      <c r="I3059" t="s">
        <v>18</v>
      </c>
      <c r="J3059" s="3">
        <v>45382</v>
      </c>
      <c r="K3059" s="4">
        <f>ClientiBanca[[#This Row],[Prestito]]+ClientiBanca[[#This Row],[Mutuo]]</f>
        <v>14700</v>
      </c>
      <c r="L3059" t="str">
        <f>IF(ClientiBanca[[#This Row],[Reddito annuo]]&gt;=70000,"si","no")</f>
        <v>no</v>
      </c>
    </row>
    <row r="3060" spans="1:12">
      <c r="A3060">
        <v>103059</v>
      </c>
      <c r="B3060">
        <v>53</v>
      </c>
      <c r="C3060" s="2">
        <v>87600</v>
      </c>
      <c r="D3060" t="s">
        <v>21</v>
      </c>
      <c r="E3060" s="2">
        <v>39400</v>
      </c>
      <c r="F3060" s="2">
        <v>0</v>
      </c>
      <c r="G3060" t="s">
        <v>27</v>
      </c>
      <c r="H3060" t="s">
        <v>17</v>
      </c>
      <c r="I3060" t="s">
        <v>18</v>
      </c>
      <c r="J3060" s="3">
        <v>45701</v>
      </c>
      <c r="K3060" s="4">
        <f>ClientiBanca[[#This Row],[Prestito]]+ClientiBanca[[#This Row],[Mutuo]]</f>
        <v>39400</v>
      </c>
      <c r="L3060" t="str">
        <f>IF(ClientiBanca[[#This Row],[Reddito annuo]]&gt;=70000,"si","no")</f>
        <v>si</v>
      </c>
    </row>
    <row r="3061" spans="1:12">
      <c r="A3061">
        <v>103060</v>
      </c>
      <c r="B3061">
        <v>68</v>
      </c>
      <c r="C3061" s="2">
        <v>63900</v>
      </c>
      <c r="D3061" t="s">
        <v>12</v>
      </c>
      <c r="E3061" s="2">
        <v>17700</v>
      </c>
      <c r="F3061" s="2">
        <v>203000</v>
      </c>
      <c r="G3061" t="s">
        <v>24</v>
      </c>
      <c r="H3061" t="s">
        <v>17</v>
      </c>
      <c r="I3061" t="s">
        <v>18</v>
      </c>
      <c r="J3061" s="3">
        <v>45293</v>
      </c>
      <c r="K3061" s="4">
        <f>ClientiBanca[[#This Row],[Prestito]]+ClientiBanca[[#This Row],[Mutuo]]</f>
        <v>220700</v>
      </c>
      <c r="L3061" t="str">
        <f>IF(ClientiBanca[[#This Row],[Reddito annuo]]&gt;=70000,"si","no")</f>
        <v>no</v>
      </c>
    </row>
    <row r="3062" spans="1:12">
      <c r="A3062">
        <v>103061</v>
      </c>
      <c r="B3062">
        <v>66</v>
      </c>
      <c r="C3062" s="2">
        <v>70300</v>
      </c>
      <c r="D3062" t="s">
        <v>12</v>
      </c>
      <c r="E3062" s="2">
        <v>71100</v>
      </c>
      <c r="F3062" s="2">
        <v>0</v>
      </c>
      <c r="G3062" t="s">
        <v>24</v>
      </c>
      <c r="H3062" t="s">
        <v>17</v>
      </c>
      <c r="I3062" t="s">
        <v>18</v>
      </c>
      <c r="J3062" s="3">
        <v>45652</v>
      </c>
      <c r="K3062" s="4">
        <f>ClientiBanca[[#This Row],[Prestito]]+ClientiBanca[[#This Row],[Mutuo]]</f>
        <v>71100</v>
      </c>
      <c r="L3062" t="str">
        <f>IF(ClientiBanca[[#This Row],[Reddito annuo]]&gt;=70000,"si","no")</f>
        <v>si</v>
      </c>
    </row>
    <row r="3063" spans="1:12">
      <c r="A3063">
        <v>103062</v>
      </c>
      <c r="B3063">
        <v>46</v>
      </c>
      <c r="C3063" s="2">
        <v>45900</v>
      </c>
      <c r="D3063" t="s">
        <v>21</v>
      </c>
      <c r="E3063" s="2">
        <v>48200</v>
      </c>
      <c r="F3063" s="2">
        <v>0</v>
      </c>
      <c r="G3063" t="s">
        <v>23</v>
      </c>
      <c r="H3063" t="s">
        <v>20</v>
      </c>
      <c r="I3063" t="s">
        <v>18</v>
      </c>
      <c r="J3063" s="3">
        <v>45746</v>
      </c>
      <c r="K3063" s="4">
        <f>ClientiBanca[[#This Row],[Prestito]]+ClientiBanca[[#This Row],[Mutuo]]</f>
        <v>48200</v>
      </c>
      <c r="L3063" t="str">
        <f>IF(ClientiBanca[[#This Row],[Reddito annuo]]&gt;=70000,"si","no")</f>
        <v>no</v>
      </c>
    </row>
    <row r="3064" spans="1:12">
      <c r="A3064">
        <v>103063</v>
      </c>
      <c r="B3064">
        <v>53</v>
      </c>
      <c r="C3064" s="2">
        <v>81400</v>
      </c>
      <c r="D3064" t="s">
        <v>12</v>
      </c>
      <c r="E3064" s="2">
        <v>0</v>
      </c>
      <c r="F3064" s="2">
        <v>0</v>
      </c>
      <c r="G3064" t="s">
        <v>26</v>
      </c>
      <c r="H3064" t="s">
        <v>20</v>
      </c>
      <c r="I3064" t="s">
        <v>18</v>
      </c>
      <c r="J3064" s="3">
        <v>45582</v>
      </c>
      <c r="K3064" s="4">
        <f>ClientiBanca[[#This Row],[Prestito]]+ClientiBanca[[#This Row],[Mutuo]]</f>
        <v>0</v>
      </c>
      <c r="L3064" t="str">
        <f>IF(ClientiBanca[[#This Row],[Reddito annuo]]&gt;=70000,"si","no")</f>
        <v>si</v>
      </c>
    </row>
    <row r="3065" spans="1:12">
      <c r="A3065">
        <v>103064</v>
      </c>
      <c r="B3065">
        <v>58</v>
      </c>
      <c r="C3065" s="2">
        <v>63300</v>
      </c>
      <c r="D3065" t="s">
        <v>21</v>
      </c>
      <c r="E3065" s="2">
        <v>0</v>
      </c>
      <c r="F3065" s="2">
        <v>0</v>
      </c>
      <c r="G3065" t="s">
        <v>28</v>
      </c>
      <c r="H3065" t="s">
        <v>20</v>
      </c>
      <c r="I3065" t="s">
        <v>18</v>
      </c>
      <c r="J3065" s="3">
        <v>45328</v>
      </c>
      <c r="K3065" s="4">
        <f>ClientiBanca[[#This Row],[Prestito]]+ClientiBanca[[#This Row],[Mutuo]]</f>
        <v>0</v>
      </c>
      <c r="L3065" t="str">
        <f>IF(ClientiBanca[[#This Row],[Reddito annuo]]&gt;=70000,"si","no")</f>
        <v>no</v>
      </c>
    </row>
    <row r="3066" spans="1:12">
      <c r="A3066">
        <v>103065</v>
      </c>
      <c r="B3066">
        <v>47</v>
      </c>
      <c r="C3066" s="2">
        <v>51800</v>
      </c>
      <c r="D3066" t="s">
        <v>12</v>
      </c>
      <c r="E3066" s="2">
        <v>26900</v>
      </c>
      <c r="F3066" s="2">
        <v>0</v>
      </c>
      <c r="G3066" t="s">
        <v>19</v>
      </c>
      <c r="H3066" t="s">
        <v>14</v>
      </c>
      <c r="I3066" t="s">
        <v>18</v>
      </c>
      <c r="J3066" s="3">
        <v>45378</v>
      </c>
      <c r="K3066" s="4">
        <f>ClientiBanca[[#This Row],[Prestito]]+ClientiBanca[[#This Row],[Mutuo]]</f>
        <v>26900</v>
      </c>
      <c r="L3066" t="str">
        <f>IF(ClientiBanca[[#This Row],[Reddito annuo]]&gt;=70000,"si","no")</f>
        <v>no</v>
      </c>
    </row>
    <row r="3067" spans="1:12">
      <c r="A3067">
        <v>103066</v>
      </c>
      <c r="B3067">
        <v>47</v>
      </c>
      <c r="C3067" s="2">
        <v>47200</v>
      </c>
      <c r="D3067" t="s">
        <v>21</v>
      </c>
      <c r="E3067" s="2">
        <v>40100</v>
      </c>
      <c r="F3067" s="2">
        <v>0</v>
      </c>
      <c r="G3067" t="s">
        <v>16</v>
      </c>
      <c r="H3067" t="s">
        <v>20</v>
      </c>
      <c r="I3067" t="s">
        <v>18</v>
      </c>
      <c r="J3067" s="3">
        <v>46240</v>
      </c>
      <c r="K3067" s="4">
        <f>ClientiBanca[[#This Row],[Prestito]]+ClientiBanca[[#This Row],[Mutuo]]</f>
        <v>40100</v>
      </c>
      <c r="L3067" t="str">
        <f>IF(ClientiBanca[[#This Row],[Reddito annuo]]&gt;=70000,"si","no")</f>
        <v>no</v>
      </c>
    </row>
    <row r="3068" spans="1:12">
      <c r="A3068">
        <v>103067</v>
      </c>
      <c r="B3068">
        <v>68</v>
      </c>
      <c r="C3068" s="2">
        <v>33500</v>
      </c>
      <c r="D3068" t="s">
        <v>21</v>
      </c>
      <c r="E3068" s="2">
        <v>30400</v>
      </c>
      <c r="F3068" s="2">
        <v>0</v>
      </c>
      <c r="G3068" t="s">
        <v>24</v>
      </c>
      <c r="H3068" t="s">
        <v>20</v>
      </c>
      <c r="I3068" t="s">
        <v>18</v>
      </c>
      <c r="J3068" s="3">
        <v>45649</v>
      </c>
      <c r="K3068" s="4">
        <f>ClientiBanca[[#This Row],[Prestito]]+ClientiBanca[[#This Row],[Mutuo]]</f>
        <v>30400</v>
      </c>
      <c r="L3068" t="str">
        <f>IF(ClientiBanca[[#This Row],[Reddito annuo]]&gt;=70000,"si","no")</f>
        <v>no</v>
      </c>
    </row>
    <row r="3069" spans="1:12">
      <c r="A3069">
        <v>103068</v>
      </c>
      <c r="B3069">
        <v>53</v>
      </c>
      <c r="C3069" s="2">
        <v>89700</v>
      </c>
      <c r="D3069" t="s">
        <v>21</v>
      </c>
      <c r="E3069" s="2">
        <v>53600</v>
      </c>
      <c r="F3069" s="2">
        <v>202000</v>
      </c>
      <c r="G3069" t="s">
        <v>28</v>
      </c>
      <c r="H3069" t="s">
        <v>20</v>
      </c>
      <c r="I3069" t="s">
        <v>18</v>
      </c>
      <c r="J3069" s="3">
        <v>45985</v>
      </c>
      <c r="K3069" s="4">
        <f>ClientiBanca[[#This Row],[Prestito]]+ClientiBanca[[#This Row],[Mutuo]]</f>
        <v>255600</v>
      </c>
      <c r="L3069" t="str">
        <f>IF(ClientiBanca[[#This Row],[Reddito annuo]]&gt;=70000,"si","no")</f>
        <v>si</v>
      </c>
    </row>
    <row r="3070" spans="1:12">
      <c r="A3070">
        <v>103069</v>
      </c>
      <c r="B3070">
        <v>32</v>
      </c>
      <c r="C3070" s="2">
        <v>34300</v>
      </c>
      <c r="D3070" t="s">
        <v>21</v>
      </c>
      <c r="E3070" s="2">
        <v>14300</v>
      </c>
      <c r="F3070" s="2">
        <v>0</v>
      </c>
      <c r="G3070" t="s">
        <v>16</v>
      </c>
      <c r="H3070" t="s">
        <v>20</v>
      </c>
      <c r="I3070" t="s">
        <v>18</v>
      </c>
      <c r="J3070" s="3">
        <v>45784</v>
      </c>
      <c r="K3070" s="4">
        <f>ClientiBanca[[#This Row],[Prestito]]+ClientiBanca[[#This Row],[Mutuo]]</f>
        <v>14300</v>
      </c>
      <c r="L3070" t="str">
        <f>IF(ClientiBanca[[#This Row],[Reddito annuo]]&gt;=70000,"si","no")</f>
        <v>no</v>
      </c>
    </row>
    <row r="3071" spans="1:12">
      <c r="A3071">
        <v>103070</v>
      </c>
      <c r="B3071">
        <v>63</v>
      </c>
      <c r="C3071" s="2">
        <v>38300</v>
      </c>
      <c r="D3071" t="s">
        <v>22</v>
      </c>
      <c r="E3071" s="2">
        <v>43900</v>
      </c>
      <c r="F3071" s="2">
        <v>0</v>
      </c>
      <c r="G3071" t="s">
        <v>19</v>
      </c>
      <c r="H3071" t="s">
        <v>25</v>
      </c>
      <c r="I3071" t="s">
        <v>18</v>
      </c>
      <c r="J3071" s="3">
        <v>45620</v>
      </c>
      <c r="K3071" s="4">
        <f>ClientiBanca[[#This Row],[Prestito]]+ClientiBanca[[#This Row],[Mutuo]]</f>
        <v>43900</v>
      </c>
      <c r="L3071" t="str">
        <f>IF(ClientiBanca[[#This Row],[Reddito annuo]]&gt;=70000,"si","no")</f>
        <v>no</v>
      </c>
    </row>
    <row r="3072" spans="1:12">
      <c r="A3072">
        <v>103071</v>
      </c>
      <c r="B3072">
        <v>21</v>
      </c>
      <c r="C3072" s="2">
        <v>72000</v>
      </c>
      <c r="D3072" t="s">
        <v>22</v>
      </c>
      <c r="E3072" s="2">
        <v>83100</v>
      </c>
      <c r="F3072" s="2">
        <v>0</v>
      </c>
      <c r="G3072" t="s">
        <v>27</v>
      </c>
      <c r="H3072" t="s">
        <v>17</v>
      </c>
      <c r="I3072" t="s">
        <v>18</v>
      </c>
      <c r="J3072" s="3">
        <v>45855</v>
      </c>
      <c r="K3072" s="4">
        <f>ClientiBanca[[#This Row],[Prestito]]+ClientiBanca[[#This Row],[Mutuo]]</f>
        <v>83100</v>
      </c>
      <c r="L3072" t="str">
        <f>IF(ClientiBanca[[#This Row],[Reddito annuo]]&gt;=70000,"si","no")</f>
        <v>si</v>
      </c>
    </row>
    <row r="3073" spans="1:12">
      <c r="A3073">
        <v>103072</v>
      </c>
      <c r="B3073">
        <v>73</v>
      </c>
      <c r="C3073" s="2">
        <v>41700</v>
      </c>
      <c r="D3073" t="s">
        <v>22</v>
      </c>
      <c r="E3073" s="2">
        <v>31400</v>
      </c>
      <c r="F3073" s="2">
        <v>0</v>
      </c>
      <c r="G3073" t="s">
        <v>28</v>
      </c>
      <c r="H3073" t="s">
        <v>20</v>
      </c>
      <c r="I3073" t="s">
        <v>18</v>
      </c>
      <c r="J3073" s="3">
        <v>45693</v>
      </c>
      <c r="K3073" s="4">
        <f>ClientiBanca[[#This Row],[Prestito]]+ClientiBanca[[#This Row],[Mutuo]]</f>
        <v>31400</v>
      </c>
      <c r="L3073" t="str">
        <f>IF(ClientiBanca[[#This Row],[Reddito annuo]]&gt;=70000,"si","no")</f>
        <v>no</v>
      </c>
    </row>
    <row r="3074" spans="1:12">
      <c r="A3074">
        <v>103073</v>
      </c>
      <c r="B3074">
        <v>33</v>
      </c>
      <c r="C3074" s="2">
        <v>24000</v>
      </c>
      <c r="D3074" t="s">
        <v>12</v>
      </c>
      <c r="E3074" s="2">
        <v>0</v>
      </c>
      <c r="F3074" s="2">
        <v>0</v>
      </c>
      <c r="G3074" t="s">
        <v>23</v>
      </c>
      <c r="H3074" t="s">
        <v>14</v>
      </c>
      <c r="I3074" t="s">
        <v>18</v>
      </c>
      <c r="J3074" s="3">
        <v>45352</v>
      </c>
      <c r="K3074" s="4">
        <f>ClientiBanca[[#This Row],[Prestito]]+ClientiBanca[[#This Row],[Mutuo]]</f>
        <v>0</v>
      </c>
      <c r="L3074" t="str">
        <f>IF(ClientiBanca[[#This Row],[Reddito annuo]]&gt;=70000,"si","no")</f>
        <v>no</v>
      </c>
    </row>
    <row r="3075" spans="1:12">
      <c r="A3075">
        <v>103074</v>
      </c>
      <c r="B3075">
        <v>21</v>
      </c>
      <c r="C3075" s="2">
        <v>27000</v>
      </c>
      <c r="D3075" t="s">
        <v>21</v>
      </c>
      <c r="E3075" s="2">
        <v>16900</v>
      </c>
      <c r="F3075" s="2">
        <v>0</v>
      </c>
      <c r="G3075" t="s">
        <v>23</v>
      </c>
      <c r="H3075" t="s">
        <v>25</v>
      </c>
      <c r="I3075" t="s">
        <v>18</v>
      </c>
      <c r="J3075" s="3">
        <v>46023</v>
      </c>
      <c r="K3075" s="4">
        <f>ClientiBanca[[#This Row],[Prestito]]+ClientiBanca[[#This Row],[Mutuo]]</f>
        <v>16900</v>
      </c>
      <c r="L3075" t="str">
        <f>IF(ClientiBanca[[#This Row],[Reddito annuo]]&gt;=70000,"si","no")</f>
        <v>no</v>
      </c>
    </row>
    <row r="3076" spans="1:12">
      <c r="A3076">
        <v>103075</v>
      </c>
      <c r="B3076">
        <v>37</v>
      </c>
      <c r="C3076" s="2">
        <v>34900</v>
      </c>
      <c r="D3076" t="s">
        <v>22</v>
      </c>
      <c r="E3076" s="2">
        <v>42500</v>
      </c>
      <c r="F3076" s="2">
        <v>0</v>
      </c>
      <c r="G3076" t="s">
        <v>26</v>
      </c>
      <c r="H3076" t="s">
        <v>17</v>
      </c>
      <c r="I3076" t="s">
        <v>18</v>
      </c>
      <c r="J3076" s="3">
        <v>45816</v>
      </c>
      <c r="K3076" s="4">
        <f>ClientiBanca[[#This Row],[Prestito]]+ClientiBanca[[#This Row],[Mutuo]]</f>
        <v>42500</v>
      </c>
      <c r="L3076" t="str">
        <f>IF(ClientiBanca[[#This Row],[Reddito annuo]]&gt;=70000,"si","no")</f>
        <v>no</v>
      </c>
    </row>
    <row r="3077" spans="1:12">
      <c r="A3077">
        <v>103076</v>
      </c>
      <c r="B3077">
        <v>59</v>
      </c>
      <c r="C3077" s="2">
        <v>59600</v>
      </c>
      <c r="D3077" t="s">
        <v>21</v>
      </c>
      <c r="E3077" s="2">
        <v>40000</v>
      </c>
      <c r="F3077" s="2">
        <v>0</v>
      </c>
      <c r="G3077" t="s">
        <v>24</v>
      </c>
      <c r="H3077" t="s">
        <v>17</v>
      </c>
      <c r="I3077" t="s">
        <v>18</v>
      </c>
      <c r="J3077" s="3">
        <v>45627</v>
      </c>
      <c r="K3077" s="4">
        <f>ClientiBanca[[#This Row],[Prestito]]+ClientiBanca[[#This Row],[Mutuo]]</f>
        <v>40000</v>
      </c>
      <c r="L3077" t="str">
        <f>IF(ClientiBanca[[#This Row],[Reddito annuo]]&gt;=70000,"si","no")</f>
        <v>no</v>
      </c>
    </row>
    <row r="3078" spans="1:12">
      <c r="A3078">
        <v>103077</v>
      </c>
      <c r="B3078">
        <v>60</v>
      </c>
      <c r="C3078" s="2">
        <v>53400</v>
      </c>
      <c r="D3078" t="s">
        <v>21</v>
      </c>
      <c r="E3078" s="2">
        <v>9300</v>
      </c>
      <c r="F3078" s="2">
        <v>0</v>
      </c>
      <c r="G3078" t="s">
        <v>26</v>
      </c>
      <c r="H3078" t="s">
        <v>20</v>
      </c>
      <c r="I3078" t="s">
        <v>18</v>
      </c>
      <c r="J3078" s="3">
        <v>45771</v>
      </c>
      <c r="K3078" s="4">
        <f>ClientiBanca[[#This Row],[Prestito]]+ClientiBanca[[#This Row],[Mutuo]]</f>
        <v>9300</v>
      </c>
      <c r="L3078" t="str">
        <f>IF(ClientiBanca[[#This Row],[Reddito annuo]]&gt;=70000,"si","no")</f>
        <v>no</v>
      </c>
    </row>
    <row r="3079" spans="1:12">
      <c r="A3079">
        <v>103078</v>
      </c>
      <c r="B3079">
        <v>48</v>
      </c>
      <c r="C3079" s="2">
        <v>92000</v>
      </c>
      <c r="D3079" t="s">
        <v>22</v>
      </c>
      <c r="E3079" s="2">
        <v>26300</v>
      </c>
      <c r="F3079" s="2">
        <v>0</v>
      </c>
      <c r="G3079" t="s">
        <v>27</v>
      </c>
      <c r="H3079" t="s">
        <v>14</v>
      </c>
      <c r="I3079" t="s">
        <v>15</v>
      </c>
      <c r="J3079" s="3">
        <v>45820</v>
      </c>
      <c r="K3079" s="4">
        <f>ClientiBanca[[#This Row],[Prestito]]+ClientiBanca[[#This Row],[Mutuo]]</f>
        <v>26300</v>
      </c>
      <c r="L3079" t="str">
        <f>IF(ClientiBanca[[#This Row],[Reddito annuo]]&gt;=70000,"si","no")</f>
        <v>si</v>
      </c>
    </row>
    <row r="3080" spans="1:12">
      <c r="A3080">
        <v>103079</v>
      </c>
      <c r="B3080">
        <v>74</v>
      </c>
      <c r="C3080" s="2">
        <v>69500</v>
      </c>
      <c r="D3080" t="s">
        <v>12</v>
      </c>
      <c r="E3080" s="2">
        <v>65900</v>
      </c>
      <c r="F3080" s="2">
        <v>0</v>
      </c>
      <c r="G3080" t="s">
        <v>16</v>
      </c>
      <c r="H3080" t="s">
        <v>17</v>
      </c>
      <c r="I3080" t="s">
        <v>15</v>
      </c>
      <c r="J3080" s="3">
        <v>45847</v>
      </c>
      <c r="K3080" s="4">
        <f>ClientiBanca[[#This Row],[Prestito]]+ClientiBanca[[#This Row],[Mutuo]]</f>
        <v>65900</v>
      </c>
      <c r="L3080" t="str">
        <f>IF(ClientiBanca[[#This Row],[Reddito annuo]]&gt;=70000,"si","no")</f>
        <v>no</v>
      </c>
    </row>
    <row r="3081" spans="1:12">
      <c r="A3081">
        <v>103080</v>
      </c>
      <c r="B3081">
        <v>71</v>
      </c>
      <c r="C3081" s="2">
        <v>35600</v>
      </c>
      <c r="D3081" t="s">
        <v>21</v>
      </c>
      <c r="E3081" s="2">
        <v>33000</v>
      </c>
      <c r="F3081" s="2">
        <v>0</v>
      </c>
      <c r="G3081" t="s">
        <v>26</v>
      </c>
      <c r="H3081" t="s">
        <v>17</v>
      </c>
      <c r="I3081" t="s">
        <v>18</v>
      </c>
      <c r="J3081" s="3">
        <v>45889</v>
      </c>
      <c r="K3081" s="4">
        <f>ClientiBanca[[#This Row],[Prestito]]+ClientiBanca[[#This Row],[Mutuo]]</f>
        <v>33000</v>
      </c>
      <c r="L3081" t="str">
        <f>IF(ClientiBanca[[#This Row],[Reddito annuo]]&gt;=70000,"si","no")</f>
        <v>no</v>
      </c>
    </row>
    <row r="3082" spans="1:12">
      <c r="A3082">
        <v>103081</v>
      </c>
      <c r="B3082">
        <v>55</v>
      </c>
      <c r="C3082" s="2">
        <v>51900</v>
      </c>
      <c r="D3082" t="s">
        <v>21</v>
      </c>
      <c r="E3082" s="2">
        <v>16100</v>
      </c>
      <c r="F3082" s="2">
        <v>0</v>
      </c>
      <c r="G3082" t="s">
        <v>19</v>
      </c>
      <c r="H3082" t="s">
        <v>14</v>
      </c>
      <c r="I3082" t="s">
        <v>18</v>
      </c>
      <c r="J3082" s="3">
        <v>46168</v>
      </c>
      <c r="K3082" s="4">
        <f>ClientiBanca[[#This Row],[Prestito]]+ClientiBanca[[#This Row],[Mutuo]]</f>
        <v>16100</v>
      </c>
      <c r="L3082" t="str">
        <f>IF(ClientiBanca[[#This Row],[Reddito annuo]]&gt;=70000,"si","no")</f>
        <v>no</v>
      </c>
    </row>
    <row r="3083" spans="1:12">
      <c r="A3083">
        <v>103082</v>
      </c>
      <c r="B3083">
        <v>74</v>
      </c>
      <c r="C3083" s="2">
        <v>45900</v>
      </c>
      <c r="D3083" t="s">
        <v>21</v>
      </c>
      <c r="E3083" s="2">
        <v>17000</v>
      </c>
      <c r="F3083" s="2">
        <v>0</v>
      </c>
      <c r="G3083" t="s">
        <v>24</v>
      </c>
      <c r="H3083" t="s">
        <v>20</v>
      </c>
      <c r="I3083" t="s">
        <v>18</v>
      </c>
      <c r="J3083" s="3">
        <v>45694</v>
      </c>
      <c r="K3083" s="4">
        <f>ClientiBanca[[#This Row],[Prestito]]+ClientiBanca[[#This Row],[Mutuo]]</f>
        <v>17000</v>
      </c>
      <c r="L3083" t="str">
        <f>IF(ClientiBanca[[#This Row],[Reddito annuo]]&gt;=70000,"si","no")</f>
        <v>no</v>
      </c>
    </row>
    <row r="3084" spans="1:12">
      <c r="A3084">
        <v>103083</v>
      </c>
      <c r="B3084">
        <v>32</v>
      </c>
      <c r="C3084" s="2">
        <v>77900</v>
      </c>
      <c r="D3084" t="s">
        <v>21</v>
      </c>
      <c r="E3084" s="2">
        <v>31600</v>
      </c>
      <c r="F3084" s="2">
        <v>0</v>
      </c>
      <c r="G3084" t="s">
        <v>27</v>
      </c>
      <c r="H3084" t="s">
        <v>20</v>
      </c>
      <c r="I3084" t="s">
        <v>18</v>
      </c>
      <c r="J3084" s="3">
        <v>46147</v>
      </c>
      <c r="K3084" s="4">
        <f>ClientiBanca[[#This Row],[Prestito]]+ClientiBanca[[#This Row],[Mutuo]]</f>
        <v>31600</v>
      </c>
      <c r="L3084" t="str">
        <f>IF(ClientiBanca[[#This Row],[Reddito annuo]]&gt;=70000,"si","no")</f>
        <v>si</v>
      </c>
    </row>
    <row r="3085" spans="1:12">
      <c r="A3085">
        <v>103084</v>
      </c>
      <c r="B3085">
        <v>75</v>
      </c>
      <c r="C3085" s="2">
        <v>35200</v>
      </c>
      <c r="D3085" t="s">
        <v>12</v>
      </c>
      <c r="E3085" s="2">
        <v>27300</v>
      </c>
      <c r="F3085" s="2">
        <v>0</v>
      </c>
      <c r="G3085" t="s">
        <v>13</v>
      </c>
      <c r="H3085" t="s">
        <v>25</v>
      </c>
      <c r="I3085" t="s">
        <v>18</v>
      </c>
      <c r="J3085" s="3">
        <v>45910</v>
      </c>
      <c r="K3085" s="4">
        <f>ClientiBanca[[#This Row],[Prestito]]+ClientiBanca[[#This Row],[Mutuo]]</f>
        <v>27300</v>
      </c>
      <c r="L3085" t="str">
        <f>IF(ClientiBanca[[#This Row],[Reddito annuo]]&gt;=70000,"si","no")</f>
        <v>no</v>
      </c>
    </row>
    <row r="3086" spans="1:12">
      <c r="A3086">
        <v>103085</v>
      </c>
      <c r="B3086">
        <v>68</v>
      </c>
      <c r="C3086" s="2">
        <v>43900</v>
      </c>
      <c r="D3086" t="s">
        <v>12</v>
      </c>
      <c r="E3086" s="2">
        <v>13000</v>
      </c>
      <c r="F3086" s="2">
        <v>0</v>
      </c>
      <c r="G3086" t="s">
        <v>13</v>
      </c>
      <c r="H3086" t="s">
        <v>25</v>
      </c>
      <c r="I3086" t="s">
        <v>18</v>
      </c>
      <c r="J3086" s="3">
        <v>46054</v>
      </c>
      <c r="K3086" s="4">
        <f>ClientiBanca[[#This Row],[Prestito]]+ClientiBanca[[#This Row],[Mutuo]]</f>
        <v>13000</v>
      </c>
      <c r="L3086" t="str">
        <f>IF(ClientiBanca[[#This Row],[Reddito annuo]]&gt;=70000,"si","no")</f>
        <v>no</v>
      </c>
    </row>
    <row r="3087" spans="1:12">
      <c r="A3087">
        <v>103086</v>
      </c>
      <c r="B3087">
        <v>27</v>
      </c>
      <c r="C3087" s="2">
        <v>89200</v>
      </c>
      <c r="D3087" t="s">
        <v>12</v>
      </c>
      <c r="E3087" s="2">
        <v>0</v>
      </c>
      <c r="F3087" s="2">
        <v>0</v>
      </c>
      <c r="G3087" t="s">
        <v>19</v>
      </c>
      <c r="H3087" t="s">
        <v>14</v>
      </c>
      <c r="I3087" t="s">
        <v>18</v>
      </c>
      <c r="J3087" s="3">
        <v>45679</v>
      </c>
      <c r="K3087" s="4">
        <f>ClientiBanca[[#This Row],[Prestito]]+ClientiBanca[[#This Row],[Mutuo]]</f>
        <v>0</v>
      </c>
      <c r="L3087" t="str">
        <f>IF(ClientiBanca[[#This Row],[Reddito annuo]]&gt;=70000,"si","no")</f>
        <v>si</v>
      </c>
    </row>
    <row r="3088" spans="1:12">
      <c r="A3088">
        <v>103087</v>
      </c>
      <c r="B3088">
        <v>62</v>
      </c>
      <c r="C3088" s="2">
        <v>73500</v>
      </c>
      <c r="D3088" t="s">
        <v>21</v>
      </c>
      <c r="E3088" s="2">
        <v>32900</v>
      </c>
      <c r="F3088" s="2">
        <v>0</v>
      </c>
      <c r="G3088" t="s">
        <v>23</v>
      </c>
      <c r="H3088" t="s">
        <v>20</v>
      </c>
      <c r="I3088" t="s">
        <v>18</v>
      </c>
      <c r="J3088" s="3">
        <v>45517</v>
      </c>
      <c r="K3088" s="4">
        <f>ClientiBanca[[#This Row],[Prestito]]+ClientiBanca[[#This Row],[Mutuo]]</f>
        <v>32900</v>
      </c>
      <c r="L3088" t="str">
        <f>IF(ClientiBanca[[#This Row],[Reddito annuo]]&gt;=70000,"si","no")</f>
        <v>si</v>
      </c>
    </row>
    <row r="3089" spans="1:12">
      <c r="A3089">
        <v>103088</v>
      </c>
      <c r="B3089">
        <v>36</v>
      </c>
      <c r="C3089" s="2">
        <v>32500</v>
      </c>
      <c r="D3089" t="s">
        <v>21</v>
      </c>
      <c r="E3089" s="2">
        <v>0</v>
      </c>
      <c r="F3089" s="2">
        <v>0</v>
      </c>
      <c r="G3089" t="s">
        <v>13</v>
      </c>
      <c r="H3089" t="s">
        <v>25</v>
      </c>
      <c r="I3089" t="s">
        <v>18</v>
      </c>
      <c r="J3089" s="3">
        <v>46167</v>
      </c>
      <c r="K3089" s="4">
        <f>ClientiBanca[[#This Row],[Prestito]]+ClientiBanca[[#This Row],[Mutuo]]</f>
        <v>0</v>
      </c>
      <c r="L3089" t="str">
        <f>IF(ClientiBanca[[#This Row],[Reddito annuo]]&gt;=70000,"si","no")</f>
        <v>no</v>
      </c>
    </row>
    <row r="3090" spans="1:12">
      <c r="A3090">
        <v>103089</v>
      </c>
      <c r="B3090">
        <v>55</v>
      </c>
      <c r="C3090" s="2">
        <v>69900</v>
      </c>
      <c r="D3090" t="s">
        <v>21</v>
      </c>
      <c r="E3090" s="2">
        <v>0</v>
      </c>
      <c r="F3090" s="2">
        <v>0</v>
      </c>
      <c r="G3090" t="s">
        <v>13</v>
      </c>
      <c r="H3090" t="s">
        <v>17</v>
      </c>
      <c r="I3090" t="s">
        <v>18</v>
      </c>
      <c r="J3090" s="3">
        <v>45529</v>
      </c>
      <c r="K3090" s="4">
        <f>ClientiBanca[[#This Row],[Prestito]]+ClientiBanca[[#This Row],[Mutuo]]</f>
        <v>0</v>
      </c>
      <c r="L3090" t="str">
        <f>IF(ClientiBanca[[#This Row],[Reddito annuo]]&gt;=70000,"si","no")</f>
        <v>no</v>
      </c>
    </row>
    <row r="3091" spans="1:12">
      <c r="A3091">
        <v>103090</v>
      </c>
      <c r="B3091">
        <v>30</v>
      </c>
      <c r="C3091" s="2">
        <v>47800</v>
      </c>
      <c r="D3091" t="s">
        <v>21</v>
      </c>
      <c r="E3091" s="2">
        <v>0</v>
      </c>
      <c r="F3091" s="2">
        <v>0</v>
      </c>
      <c r="G3091" t="s">
        <v>26</v>
      </c>
      <c r="H3091" t="s">
        <v>17</v>
      </c>
      <c r="I3091" t="s">
        <v>18</v>
      </c>
      <c r="J3091" s="3">
        <v>45331</v>
      </c>
      <c r="K3091" s="4">
        <f>ClientiBanca[[#This Row],[Prestito]]+ClientiBanca[[#This Row],[Mutuo]]</f>
        <v>0</v>
      </c>
      <c r="L3091" t="str">
        <f>IF(ClientiBanca[[#This Row],[Reddito annuo]]&gt;=70000,"si","no")</f>
        <v>no</v>
      </c>
    </row>
    <row r="3092" spans="1:12">
      <c r="A3092">
        <v>103091</v>
      </c>
      <c r="B3092">
        <v>52</v>
      </c>
      <c r="C3092" s="2">
        <v>50700</v>
      </c>
      <c r="D3092" t="s">
        <v>21</v>
      </c>
      <c r="E3092" s="2">
        <v>0</v>
      </c>
      <c r="F3092" s="2">
        <v>0</v>
      </c>
      <c r="G3092" t="s">
        <v>16</v>
      </c>
      <c r="H3092" t="s">
        <v>17</v>
      </c>
      <c r="I3092" t="s">
        <v>18</v>
      </c>
      <c r="J3092" s="3">
        <v>45595</v>
      </c>
      <c r="K3092" s="4">
        <f>ClientiBanca[[#This Row],[Prestito]]+ClientiBanca[[#This Row],[Mutuo]]</f>
        <v>0</v>
      </c>
      <c r="L3092" t="str">
        <f>IF(ClientiBanca[[#This Row],[Reddito annuo]]&gt;=70000,"si","no")</f>
        <v>no</v>
      </c>
    </row>
    <row r="3093" spans="1:12">
      <c r="A3093">
        <v>103092</v>
      </c>
      <c r="B3093">
        <v>62</v>
      </c>
      <c r="C3093" s="2">
        <v>87600</v>
      </c>
      <c r="D3093" t="s">
        <v>21</v>
      </c>
      <c r="E3093" s="2">
        <v>7500</v>
      </c>
      <c r="F3093" s="2">
        <v>289000</v>
      </c>
      <c r="G3093" t="s">
        <v>19</v>
      </c>
      <c r="H3093" t="s">
        <v>17</v>
      </c>
      <c r="I3093" t="s">
        <v>18</v>
      </c>
      <c r="J3093" s="3">
        <v>45614</v>
      </c>
      <c r="K3093" s="4">
        <f>ClientiBanca[[#This Row],[Prestito]]+ClientiBanca[[#This Row],[Mutuo]]</f>
        <v>296500</v>
      </c>
      <c r="L3093" t="str">
        <f>IF(ClientiBanca[[#This Row],[Reddito annuo]]&gt;=70000,"si","no")</f>
        <v>si</v>
      </c>
    </row>
    <row r="3094" spans="1:12">
      <c r="A3094">
        <v>103093</v>
      </c>
      <c r="B3094">
        <v>50</v>
      </c>
      <c r="C3094" s="2">
        <v>36300</v>
      </c>
      <c r="D3094" t="s">
        <v>12</v>
      </c>
      <c r="E3094" s="2">
        <v>43700</v>
      </c>
      <c r="F3094" s="2">
        <v>0</v>
      </c>
      <c r="G3094" t="s">
        <v>26</v>
      </c>
      <c r="H3094" t="s">
        <v>14</v>
      </c>
      <c r="I3094" t="s">
        <v>18</v>
      </c>
      <c r="J3094" s="3">
        <v>45566</v>
      </c>
      <c r="K3094" s="4">
        <f>ClientiBanca[[#This Row],[Prestito]]+ClientiBanca[[#This Row],[Mutuo]]</f>
        <v>43700</v>
      </c>
      <c r="L3094" t="str">
        <f>IF(ClientiBanca[[#This Row],[Reddito annuo]]&gt;=70000,"si","no")</f>
        <v>no</v>
      </c>
    </row>
    <row r="3095" spans="1:12">
      <c r="A3095">
        <v>103094</v>
      </c>
      <c r="B3095">
        <v>21</v>
      </c>
      <c r="C3095" s="2">
        <v>42500</v>
      </c>
      <c r="D3095" t="s">
        <v>22</v>
      </c>
      <c r="E3095" s="2">
        <v>0</v>
      </c>
      <c r="F3095" s="2">
        <v>0</v>
      </c>
      <c r="G3095" t="s">
        <v>28</v>
      </c>
      <c r="H3095" t="s">
        <v>20</v>
      </c>
      <c r="I3095" t="s">
        <v>18</v>
      </c>
      <c r="J3095" s="3">
        <v>46257</v>
      </c>
      <c r="K3095" s="4">
        <f>ClientiBanca[[#This Row],[Prestito]]+ClientiBanca[[#This Row],[Mutuo]]</f>
        <v>0</v>
      </c>
      <c r="L3095" t="str">
        <f>IF(ClientiBanca[[#This Row],[Reddito annuo]]&gt;=70000,"si","no")</f>
        <v>no</v>
      </c>
    </row>
    <row r="3096" spans="1:12">
      <c r="A3096">
        <v>103095</v>
      </c>
      <c r="B3096">
        <v>34</v>
      </c>
      <c r="C3096" s="2">
        <v>43800</v>
      </c>
      <c r="D3096" t="s">
        <v>21</v>
      </c>
      <c r="E3096" s="2">
        <v>50000</v>
      </c>
      <c r="F3096" s="2">
        <v>0</v>
      </c>
      <c r="G3096" t="s">
        <v>26</v>
      </c>
      <c r="H3096" t="s">
        <v>20</v>
      </c>
      <c r="I3096" t="s">
        <v>18</v>
      </c>
      <c r="J3096" s="3">
        <v>45706</v>
      </c>
      <c r="K3096" s="4">
        <f>ClientiBanca[[#This Row],[Prestito]]+ClientiBanca[[#This Row],[Mutuo]]</f>
        <v>50000</v>
      </c>
      <c r="L3096" t="str">
        <f>IF(ClientiBanca[[#This Row],[Reddito annuo]]&gt;=70000,"si","no")</f>
        <v>no</v>
      </c>
    </row>
    <row r="3097" spans="1:12">
      <c r="A3097">
        <v>103096</v>
      </c>
      <c r="B3097">
        <v>39</v>
      </c>
      <c r="C3097" s="2">
        <v>31800</v>
      </c>
      <c r="D3097" t="s">
        <v>22</v>
      </c>
      <c r="E3097" s="2">
        <v>17400</v>
      </c>
      <c r="F3097" s="2">
        <v>0</v>
      </c>
      <c r="G3097" t="s">
        <v>28</v>
      </c>
      <c r="H3097" t="s">
        <v>17</v>
      </c>
      <c r="I3097" t="s">
        <v>18</v>
      </c>
      <c r="J3097" s="3">
        <v>46011</v>
      </c>
      <c r="K3097" s="4">
        <f>ClientiBanca[[#This Row],[Prestito]]+ClientiBanca[[#This Row],[Mutuo]]</f>
        <v>17400</v>
      </c>
      <c r="L3097" t="str">
        <f>IF(ClientiBanca[[#This Row],[Reddito annuo]]&gt;=70000,"si","no")</f>
        <v>no</v>
      </c>
    </row>
    <row r="3098" spans="1:12">
      <c r="A3098">
        <v>103097</v>
      </c>
      <c r="B3098">
        <v>61</v>
      </c>
      <c r="C3098" s="2">
        <v>63900</v>
      </c>
      <c r="D3098" t="s">
        <v>21</v>
      </c>
      <c r="E3098" s="2">
        <v>0</v>
      </c>
      <c r="F3098" s="2">
        <v>0</v>
      </c>
      <c r="G3098" t="s">
        <v>13</v>
      </c>
      <c r="H3098" t="s">
        <v>17</v>
      </c>
      <c r="I3098" t="s">
        <v>18</v>
      </c>
      <c r="J3098" s="3">
        <v>45329</v>
      </c>
      <c r="K3098" s="4">
        <f>ClientiBanca[[#This Row],[Prestito]]+ClientiBanca[[#This Row],[Mutuo]]</f>
        <v>0</v>
      </c>
      <c r="L3098" t="str">
        <f>IF(ClientiBanca[[#This Row],[Reddito annuo]]&gt;=70000,"si","no")</f>
        <v>no</v>
      </c>
    </row>
    <row r="3099" spans="1:12">
      <c r="A3099">
        <v>103098</v>
      </c>
      <c r="B3099">
        <v>25</v>
      </c>
      <c r="C3099" s="2">
        <v>26500</v>
      </c>
      <c r="D3099" t="s">
        <v>12</v>
      </c>
      <c r="E3099" s="2">
        <v>25000</v>
      </c>
      <c r="F3099" s="2">
        <v>0</v>
      </c>
      <c r="G3099" t="s">
        <v>13</v>
      </c>
      <c r="H3099" t="s">
        <v>17</v>
      </c>
      <c r="I3099" t="s">
        <v>18</v>
      </c>
      <c r="J3099" s="3">
        <v>45330</v>
      </c>
      <c r="K3099" s="4">
        <f>ClientiBanca[[#This Row],[Prestito]]+ClientiBanca[[#This Row],[Mutuo]]</f>
        <v>25000</v>
      </c>
      <c r="L3099" t="str">
        <f>IF(ClientiBanca[[#This Row],[Reddito annuo]]&gt;=70000,"si","no")</f>
        <v>no</v>
      </c>
    </row>
    <row r="3100" spans="1:12">
      <c r="A3100">
        <v>103099</v>
      </c>
      <c r="B3100">
        <v>44</v>
      </c>
      <c r="C3100" s="2">
        <v>103900</v>
      </c>
      <c r="D3100" t="s">
        <v>21</v>
      </c>
      <c r="E3100" s="2">
        <v>23000</v>
      </c>
      <c r="F3100" s="2">
        <v>0</v>
      </c>
      <c r="G3100" t="s">
        <v>28</v>
      </c>
      <c r="H3100" t="s">
        <v>17</v>
      </c>
      <c r="I3100" t="s">
        <v>18</v>
      </c>
      <c r="J3100" s="3">
        <v>45679</v>
      </c>
      <c r="K3100" s="4">
        <f>ClientiBanca[[#This Row],[Prestito]]+ClientiBanca[[#This Row],[Mutuo]]</f>
        <v>23000</v>
      </c>
      <c r="L3100" t="str">
        <f>IF(ClientiBanca[[#This Row],[Reddito annuo]]&gt;=70000,"si","no")</f>
        <v>si</v>
      </c>
    </row>
    <row r="3101" spans="1:12">
      <c r="A3101">
        <v>103100</v>
      </c>
      <c r="B3101">
        <v>69</v>
      </c>
      <c r="C3101" s="2">
        <v>70100</v>
      </c>
      <c r="D3101" t="s">
        <v>12</v>
      </c>
      <c r="E3101" s="2">
        <v>22100</v>
      </c>
      <c r="F3101" s="2">
        <v>0</v>
      </c>
      <c r="G3101" t="s">
        <v>13</v>
      </c>
      <c r="H3101" t="s">
        <v>17</v>
      </c>
      <c r="I3101" t="s">
        <v>18</v>
      </c>
      <c r="J3101" s="3">
        <v>45544</v>
      </c>
      <c r="K3101" s="4">
        <f>ClientiBanca[[#This Row],[Prestito]]+ClientiBanca[[#This Row],[Mutuo]]</f>
        <v>22100</v>
      </c>
      <c r="L3101" t="str">
        <f>IF(ClientiBanca[[#This Row],[Reddito annuo]]&gt;=70000,"si","no")</f>
        <v>si</v>
      </c>
    </row>
    <row r="3102" spans="1:12">
      <c r="A3102">
        <v>103101</v>
      </c>
      <c r="B3102">
        <v>45</v>
      </c>
      <c r="C3102" s="2">
        <v>86500</v>
      </c>
      <c r="D3102" t="s">
        <v>21</v>
      </c>
      <c r="E3102" s="2">
        <v>63800</v>
      </c>
      <c r="F3102" s="2">
        <v>0</v>
      </c>
      <c r="G3102" t="s">
        <v>27</v>
      </c>
      <c r="H3102" t="s">
        <v>17</v>
      </c>
      <c r="I3102" t="s">
        <v>18</v>
      </c>
      <c r="J3102" s="3">
        <v>46264</v>
      </c>
      <c r="K3102" s="4">
        <f>ClientiBanca[[#This Row],[Prestito]]+ClientiBanca[[#This Row],[Mutuo]]</f>
        <v>63800</v>
      </c>
      <c r="L3102" t="str">
        <f>IF(ClientiBanca[[#This Row],[Reddito annuo]]&gt;=70000,"si","no")</f>
        <v>si</v>
      </c>
    </row>
    <row r="3103" spans="1:12">
      <c r="A3103">
        <v>103102</v>
      </c>
      <c r="B3103">
        <v>68</v>
      </c>
      <c r="C3103" s="2">
        <v>93100</v>
      </c>
      <c r="D3103" t="s">
        <v>12</v>
      </c>
      <c r="E3103" s="2">
        <v>65800</v>
      </c>
      <c r="F3103" s="2">
        <v>0</v>
      </c>
      <c r="G3103" t="s">
        <v>23</v>
      </c>
      <c r="H3103" t="s">
        <v>17</v>
      </c>
      <c r="I3103" t="s">
        <v>18</v>
      </c>
      <c r="J3103" s="3">
        <v>45746</v>
      </c>
      <c r="K3103" s="4">
        <f>ClientiBanca[[#This Row],[Prestito]]+ClientiBanca[[#This Row],[Mutuo]]</f>
        <v>65800</v>
      </c>
      <c r="L3103" t="str">
        <f>IF(ClientiBanca[[#This Row],[Reddito annuo]]&gt;=70000,"si","no")</f>
        <v>si</v>
      </c>
    </row>
    <row r="3104" spans="1:12">
      <c r="A3104">
        <v>103103</v>
      </c>
      <c r="B3104">
        <v>53</v>
      </c>
      <c r="C3104" s="2">
        <v>34700</v>
      </c>
      <c r="D3104" t="s">
        <v>22</v>
      </c>
      <c r="E3104" s="2">
        <v>14300</v>
      </c>
      <c r="F3104" s="2">
        <v>0</v>
      </c>
      <c r="G3104" t="s">
        <v>16</v>
      </c>
      <c r="H3104" t="s">
        <v>14</v>
      </c>
      <c r="I3104" t="s">
        <v>18</v>
      </c>
      <c r="J3104" s="3">
        <v>45576</v>
      </c>
      <c r="K3104" s="4">
        <f>ClientiBanca[[#This Row],[Prestito]]+ClientiBanca[[#This Row],[Mutuo]]</f>
        <v>14300</v>
      </c>
      <c r="L3104" t="str">
        <f>IF(ClientiBanca[[#This Row],[Reddito annuo]]&gt;=70000,"si","no")</f>
        <v>no</v>
      </c>
    </row>
    <row r="3105" spans="1:12">
      <c r="A3105">
        <v>103104</v>
      </c>
      <c r="B3105">
        <v>59</v>
      </c>
      <c r="C3105" s="2">
        <v>26000</v>
      </c>
      <c r="D3105" t="s">
        <v>22</v>
      </c>
      <c r="E3105" s="2">
        <v>23100</v>
      </c>
      <c r="F3105" s="2">
        <v>0</v>
      </c>
      <c r="G3105" t="s">
        <v>19</v>
      </c>
      <c r="H3105" t="s">
        <v>17</v>
      </c>
      <c r="I3105" t="s">
        <v>18</v>
      </c>
      <c r="J3105" s="3">
        <v>45750</v>
      </c>
      <c r="K3105" s="4">
        <f>ClientiBanca[[#This Row],[Prestito]]+ClientiBanca[[#This Row],[Mutuo]]</f>
        <v>23100</v>
      </c>
      <c r="L3105" t="str">
        <f>IF(ClientiBanca[[#This Row],[Reddito annuo]]&gt;=70000,"si","no")</f>
        <v>no</v>
      </c>
    </row>
    <row r="3106" spans="1:12">
      <c r="A3106">
        <v>103105</v>
      </c>
      <c r="B3106">
        <v>37</v>
      </c>
      <c r="C3106" s="2">
        <v>42700</v>
      </c>
      <c r="D3106" t="s">
        <v>21</v>
      </c>
      <c r="E3106" s="2">
        <v>23500</v>
      </c>
      <c r="F3106" s="2">
        <v>0</v>
      </c>
      <c r="G3106" t="s">
        <v>16</v>
      </c>
      <c r="H3106" t="s">
        <v>25</v>
      </c>
      <c r="I3106" t="s">
        <v>18</v>
      </c>
      <c r="J3106" s="3">
        <v>45675</v>
      </c>
      <c r="K3106" s="4">
        <f>ClientiBanca[[#This Row],[Prestito]]+ClientiBanca[[#This Row],[Mutuo]]</f>
        <v>23500</v>
      </c>
      <c r="L3106" t="str">
        <f>IF(ClientiBanca[[#This Row],[Reddito annuo]]&gt;=70000,"si","no")</f>
        <v>no</v>
      </c>
    </row>
    <row r="3107" spans="1:12">
      <c r="A3107">
        <v>103106</v>
      </c>
      <c r="B3107">
        <v>30</v>
      </c>
      <c r="C3107" s="2">
        <v>42800</v>
      </c>
      <c r="D3107" t="s">
        <v>22</v>
      </c>
      <c r="E3107" s="2">
        <v>45000</v>
      </c>
      <c r="F3107" s="2">
        <v>0</v>
      </c>
      <c r="G3107" t="s">
        <v>23</v>
      </c>
      <c r="H3107" t="s">
        <v>17</v>
      </c>
      <c r="I3107" t="s">
        <v>18</v>
      </c>
      <c r="J3107" s="3">
        <v>46189</v>
      </c>
      <c r="K3107" s="4">
        <f>ClientiBanca[[#This Row],[Prestito]]+ClientiBanca[[#This Row],[Mutuo]]</f>
        <v>45000</v>
      </c>
      <c r="L3107" t="str">
        <f>IF(ClientiBanca[[#This Row],[Reddito annuo]]&gt;=70000,"si","no")</f>
        <v>no</v>
      </c>
    </row>
    <row r="3108" spans="1:12">
      <c r="A3108">
        <v>103107</v>
      </c>
      <c r="B3108">
        <v>68</v>
      </c>
      <c r="C3108" s="2">
        <v>30200</v>
      </c>
      <c r="D3108" t="s">
        <v>12</v>
      </c>
      <c r="E3108" s="2">
        <v>0</v>
      </c>
      <c r="F3108" s="2">
        <v>0</v>
      </c>
      <c r="G3108" t="s">
        <v>16</v>
      </c>
      <c r="H3108" t="s">
        <v>14</v>
      </c>
      <c r="I3108" t="s">
        <v>18</v>
      </c>
      <c r="J3108" s="3">
        <v>45648</v>
      </c>
      <c r="K3108" s="4">
        <f>ClientiBanca[[#This Row],[Prestito]]+ClientiBanca[[#This Row],[Mutuo]]</f>
        <v>0</v>
      </c>
      <c r="L3108" t="str">
        <f>IF(ClientiBanca[[#This Row],[Reddito annuo]]&gt;=70000,"si","no")</f>
        <v>no</v>
      </c>
    </row>
    <row r="3109" spans="1:12">
      <c r="A3109">
        <v>103108</v>
      </c>
      <c r="B3109">
        <v>33</v>
      </c>
      <c r="C3109" s="2">
        <v>77400</v>
      </c>
      <c r="D3109" t="s">
        <v>12</v>
      </c>
      <c r="E3109" s="2">
        <v>0</v>
      </c>
      <c r="F3109" s="2">
        <v>0</v>
      </c>
      <c r="G3109" t="s">
        <v>28</v>
      </c>
      <c r="H3109" t="s">
        <v>20</v>
      </c>
      <c r="I3109" t="s">
        <v>18</v>
      </c>
      <c r="J3109" s="3">
        <v>45757</v>
      </c>
      <c r="K3109" s="4">
        <f>ClientiBanca[[#This Row],[Prestito]]+ClientiBanca[[#This Row],[Mutuo]]</f>
        <v>0</v>
      </c>
      <c r="L3109" t="str">
        <f>IF(ClientiBanca[[#This Row],[Reddito annuo]]&gt;=70000,"si","no")</f>
        <v>si</v>
      </c>
    </row>
    <row r="3110" spans="1:12">
      <c r="A3110">
        <v>103109</v>
      </c>
      <c r="B3110">
        <v>33</v>
      </c>
      <c r="C3110" s="2">
        <v>110500</v>
      </c>
      <c r="D3110" t="s">
        <v>22</v>
      </c>
      <c r="E3110" s="2">
        <v>0</v>
      </c>
      <c r="F3110" s="2">
        <v>0</v>
      </c>
      <c r="G3110" t="s">
        <v>24</v>
      </c>
      <c r="H3110" t="s">
        <v>20</v>
      </c>
      <c r="I3110" t="s">
        <v>18</v>
      </c>
      <c r="J3110" s="3">
        <v>45799</v>
      </c>
      <c r="K3110" s="4">
        <f>ClientiBanca[[#This Row],[Prestito]]+ClientiBanca[[#This Row],[Mutuo]]</f>
        <v>0</v>
      </c>
      <c r="L3110" t="str">
        <f>IF(ClientiBanca[[#This Row],[Reddito annuo]]&gt;=70000,"si","no")</f>
        <v>si</v>
      </c>
    </row>
    <row r="3111" spans="1:12">
      <c r="A3111">
        <v>103110</v>
      </c>
      <c r="B3111">
        <v>65</v>
      </c>
      <c r="C3111" s="2">
        <v>77700</v>
      </c>
      <c r="D3111" t="s">
        <v>22</v>
      </c>
      <c r="E3111" s="2">
        <v>49900</v>
      </c>
      <c r="F3111" s="2">
        <v>0</v>
      </c>
      <c r="G3111" t="s">
        <v>19</v>
      </c>
      <c r="H3111" t="s">
        <v>14</v>
      </c>
      <c r="I3111" t="s">
        <v>18</v>
      </c>
      <c r="J3111" s="3">
        <v>45629</v>
      </c>
      <c r="K3111" s="4">
        <f>ClientiBanca[[#This Row],[Prestito]]+ClientiBanca[[#This Row],[Mutuo]]</f>
        <v>49900</v>
      </c>
      <c r="L3111" t="str">
        <f>IF(ClientiBanca[[#This Row],[Reddito annuo]]&gt;=70000,"si","no")</f>
        <v>si</v>
      </c>
    </row>
    <row r="3112" spans="1:12">
      <c r="A3112">
        <v>103111</v>
      </c>
      <c r="B3112">
        <v>62</v>
      </c>
      <c r="C3112" s="2">
        <v>43700</v>
      </c>
      <c r="D3112" t="s">
        <v>12</v>
      </c>
      <c r="E3112" s="2">
        <v>0</v>
      </c>
      <c r="F3112" s="2">
        <v>0</v>
      </c>
      <c r="G3112" t="s">
        <v>16</v>
      </c>
      <c r="H3112" t="s">
        <v>14</v>
      </c>
      <c r="I3112" t="s">
        <v>18</v>
      </c>
      <c r="J3112" s="3">
        <v>45971</v>
      </c>
      <c r="K3112" s="4">
        <f>ClientiBanca[[#This Row],[Prestito]]+ClientiBanca[[#This Row],[Mutuo]]</f>
        <v>0</v>
      </c>
      <c r="L3112" t="str">
        <f>IF(ClientiBanca[[#This Row],[Reddito annuo]]&gt;=70000,"si","no")</f>
        <v>no</v>
      </c>
    </row>
    <row r="3113" spans="1:12">
      <c r="A3113">
        <v>103112</v>
      </c>
      <c r="B3113">
        <v>25</v>
      </c>
      <c r="C3113" s="2">
        <v>44600</v>
      </c>
      <c r="D3113" t="s">
        <v>21</v>
      </c>
      <c r="E3113" s="2">
        <v>0</v>
      </c>
      <c r="F3113" s="2">
        <v>0</v>
      </c>
      <c r="G3113" t="s">
        <v>23</v>
      </c>
      <c r="H3113" t="s">
        <v>14</v>
      </c>
      <c r="I3113" t="s">
        <v>18</v>
      </c>
      <c r="J3113" s="3">
        <v>46208</v>
      </c>
      <c r="K3113" s="4">
        <f>ClientiBanca[[#This Row],[Prestito]]+ClientiBanca[[#This Row],[Mutuo]]</f>
        <v>0</v>
      </c>
      <c r="L3113" t="str">
        <f>IF(ClientiBanca[[#This Row],[Reddito annuo]]&gt;=70000,"si","no")</f>
        <v>no</v>
      </c>
    </row>
    <row r="3114" spans="1:12">
      <c r="A3114">
        <v>103113</v>
      </c>
      <c r="B3114">
        <v>68</v>
      </c>
      <c r="C3114" s="2">
        <v>58500</v>
      </c>
      <c r="D3114" t="s">
        <v>12</v>
      </c>
      <c r="E3114" s="2">
        <v>8900</v>
      </c>
      <c r="F3114" s="2">
        <v>181000</v>
      </c>
      <c r="G3114" t="s">
        <v>13</v>
      </c>
      <c r="H3114" t="s">
        <v>17</v>
      </c>
      <c r="I3114" t="s">
        <v>18</v>
      </c>
      <c r="J3114" s="3">
        <v>45619</v>
      </c>
      <c r="K3114" s="4">
        <f>ClientiBanca[[#This Row],[Prestito]]+ClientiBanca[[#This Row],[Mutuo]]</f>
        <v>189900</v>
      </c>
      <c r="L3114" t="str">
        <f>IF(ClientiBanca[[#This Row],[Reddito annuo]]&gt;=70000,"si","no")</f>
        <v>no</v>
      </c>
    </row>
    <row r="3115" spans="1:12">
      <c r="A3115">
        <v>103114</v>
      </c>
      <c r="B3115">
        <v>49</v>
      </c>
      <c r="C3115" s="2">
        <v>67800</v>
      </c>
      <c r="D3115" t="s">
        <v>21</v>
      </c>
      <c r="E3115" s="2">
        <v>27800</v>
      </c>
      <c r="F3115" s="2">
        <v>0</v>
      </c>
      <c r="G3115" t="s">
        <v>16</v>
      </c>
      <c r="H3115" t="s">
        <v>17</v>
      </c>
      <c r="I3115" t="s">
        <v>18</v>
      </c>
      <c r="J3115" s="3">
        <v>45919</v>
      </c>
      <c r="K3115" s="4">
        <f>ClientiBanca[[#This Row],[Prestito]]+ClientiBanca[[#This Row],[Mutuo]]</f>
        <v>27800</v>
      </c>
      <c r="L3115" t="str">
        <f>IF(ClientiBanca[[#This Row],[Reddito annuo]]&gt;=70000,"si","no")</f>
        <v>no</v>
      </c>
    </row>
    <row r="3116" spans="1:12">
      <c r="A3116">
        <v>103115</v>
      </c>
      <c r="B3116">
        <v>32</v>
      </c>
      <c r="C3116" s="2">
        <v>104600</v>
      </c>
      <c r="D3116" t="s">
        <v>21</v>
      </c>
      <c r="E3116" s="2">
        <v>23500</v>
      </c>
      <c r="F3116" s="2">
        <v>228000</v>
      </c>
      <c r="G3116" t="s">
        <v>28</v>
      </c>
      <c r="H3116" t="s">
        <v>20</v>
      </c>
      <c r="I3116" t="s">
        <v>18</v>
      </c>
      <c r="J3116" s="3">
        <v>45970</v>
      </c>
      <c r="K3116" s="4">
        <f>ClientiBanca[[#This Row],[Prestito]]+ClientiBanca[[#This Row],[Mutuo]]</f>
        <v>251500</v>
      </c>
      <c r="L3116" t="str">
        <f>IF(ClientiBanca[[#This Row],[Reddito annuo]]&gt;=70000,"si","no")</f>
        <v>si</v>
      </c>
    </row>
    <row r="3117" spans="1:12">
      <c r="A3117">
        <v>103116</v>
      </c>
      <c r="B3117">
        <v>60</v>
      </c>
      <c r="C3117" s="2">
        <v>70900</v>
      </c>
      <c r="D3117" t="s">
        <v>21</v>
      </c>
      <c r="E3117" s="2">
        <v>61700</v>
      </c>
      <c r="F3117" s="2">
        <v>0</v>
      </c>
      <c r="G3117" t="s">
        <v>23</v>
      </c>
      <c r="H3117" t="s">
        <v>20</v>
      </c>
      <c r="I3117" t="s">
        <v>18</v>
      </c>
      <c r="J3117" s="3">
        <v>46004</v>
      </c>
      <c r="K3117" s="4">
        <f>ClientiBanca[[#This Row],[Prestito]]+ClientiBanca[[#This Row],[Mutuo]]</f>
        <v>61700</v>
      </c>
      <c r="L3117" t="str">
        <f>IF(ClientiBanca[[#This Row],[Reddito annuo]]&gt;=70000,"si","no")</f>
        <v>si</v>
      </c>
    </row>
    <row r="3118" spans="1:12">
      <c r="A3118">
        <v>103117</v>
      </c>
      <c r="B3118">
        <v>73</v>
      </c>
      <c r="C3118" s="2">
        <v>116800</v>
      </c>
      <c r="D3118" t="s">
        <v>12</v>
      </c>
      <c r="E3118" s="2">
        <v>0</v>
      </c>
      <c r="F3118" s="2">
        <v>0</v>
      </c>
      <c r="G3118" t="s">
        <v>24</v>
      </c>
      <c r="H3118" t="s">
        <v>20</v>
      </c>
      <c r="I3118" t="s">
        <v>18</v>
      </c>
      <c r="J3118" s="3">
        <v>45421</v>
      </c>
      <c r="K3118" s="4">
        <f>ClientiBanca[[#This Row],[Prestito]]+ClientiBanca[[#This Row],[Mutuo]]</f>
        <v>0</v>
      </c>
      <c r="L3118" t="str">
        <f>IF(ClientiBanca[[#This Row],[Reddito annuo]]&gt;=70000,"si","no")</f>
        <v>si</v>
      </c>
    </row>
    <row r="3119" spans="1:12">
      <c r="A3119">
        <v>103118</v>
      </c>
      <c r="B3119">
        <v>58</v>
      </c>
      <c r="C3119" s="2">
        <v>89500</v>
      </c>
      <c r="D3119" t="s">
        <v>12</v>
      </c>
      <c r="E3119" s="2">
        <v>41000</v>
      </c>
      <c r="F3119" s="2">
        <v>383000</v>
      </c>
      <c r="G3119" t="s">
        <v>27</v>
      </c>
      <c r="H3119" t="s">
        <v>20</v>
      </c>
      <c r="I3119" t="s">
        <v>18</v>
      </c>
      <c r="J3119" s="3">
        <v>46107</v>
      </c>
      <c r="K3119" s="4">
        <f>ClientiBanca[[#This Row],[Prestito]]+ClientiBanca[[#This Row],[Mutuo]]</f>
        <v>424000</v>
      </c>
      <c r="L3119" t="str">
        <f>IF(ClientiBanca[[#This Row],[Reddito annuo]]&gt;=70000,"si","no")</f>
        <v>si</v>
      </c>
    </row>
    <row r="3120" spans="1:12">
      <c r="A3120">
        <v>103119</v>
      </c>
      <c r="B3120">
        <v>72</v>
      </c>
      <c r="C3120" s="2">
        <v>35300</v>
      </c>
      <c r="D3120" t="s">
        <v>12</v>
      </c>
      <c r="E3120" s="2">
        <v>44100</v>
      </c>
      <c r="F3120" s="2">
        <v>0</v>
      </c>
      <c r="G3120" t="s">
        <v>16</v>
      </c>
      <c r="H3120" t="s">
        <v>20</v>
      </c>
      <c r="I3120" t="s">
        <v>18</v>
      </c>
      <c r="J3120" s="3">
        <v>45489</v>
      </c>
      <c r="K3120" s="4">
        <f>ClientiBanca[[#This Row],[Prestito]]+ClientiBanca[[#This Row],[Mutuo]]</f>
        <v>44100</v>
      </c>
      <c r="L3120" t="str">
        <f>IF(ClientiBanca[[#This Row],[Reddito annuo]]&gt;=70000,"si","no")</f>
        <v>no</v>
      </c>
    </row>
    <row r="3121" spans="1:12">
      <c r="A3121">
        <v>103120</v>
      </c>
      <c r="B3121">
        <v>55</v>
      </c>
      <c r="C3121" s="2">
        <v>44500</v>
      </c>
      <c r="D3121" t="s">
        <v>21</v>
      </c>
      <c r="E3121" s="2">
        <v>0</v>
      </c>
      <c r="F3121" s="2">
        <v>0</v>
      </c>
      <c r="G3121" t="s">
        <v>13</v>
      </c>
      <c r="H3121" t="s">
        <v>20</v>
      </c>
      <c r="I3121" t="s">
        <v>18</v>
      </c>
      <c r="J3121" s="3">
        <v>45381</v>
      </c>
      <c r="K3121" s="4">
        <f>ClientiBanca[[#This Row],[Prestito]]+ClientiBanca[[#This Row],[Mutuo]]</f>
        <v>0</v>
      </c>
      <c r="L3121" t="str">
        <f>IF(ClientiBanca[[#This Row],[Reddito annuo]]&gt;=70000,"si","no")</f>
        <v>no</v>
      </c>
    </row>
    <row r="3122" spans="1:12">
      <c r="A3122">
        <v>103121</v>
      </c>
      <c r="B3122">
        <v>74</v>
      </c>
      <c r="C3122" s="2">
        <v>42900</v>
      </c>
      <c r="D3122" t="s">
        <v>21</v>
      </c>
      <c r="E3122" s="2">
        <v>0</v>
      </c>
      <c r="F3122" s="2">
        <v>0</v>
      </c>
      <c r="G3122" t="s">
        <v>23</v>
      </c>
      <c r="H3122" t="s">
        <v>14</v>
      </c>
      <c r="I3122" t="s">
        <v>18</v>
      </c>
      <c r="J3122" s="3">
        <v>45602</v>
      </c>
      <c r="K3122" s="4">
        <f>ClientiBanca[[#This Row],[Prestito]]+ClientiBanca[[#This Row],[Mutuo]]</f>
        <v>0</v>
      </c>
      <c r="L3122" t="str">
        <f>IF(ClientiBanca[[#This Row],[Reddito annuo]]&gt;=70000,"si","no")</f>
        <v>no</v>
      </c>
    </row>
    <row r="3123" spans="1:12">
      <c r="A3123">
        <v>103122</v>
      </c>
      <c r="B3123">
        <v>62</v>
      </c>
      <c r="C3123" s="2">
        <v>113200</v>
      </c>
      <c r="D3123" t="s">
        <v>22</v>
      </c>
      <c r="E3123" s="2">
        <v>51300</v>
      </c>
      <c r="F3123" s="2">
        <v>0</v>
      </c>
      <c r="G3123" t="s">
        <v>16</v>
      </c>
      <c r="H3123" t="s">
        <v>20</v>
      </c>
      <c r="I3123" t="s">
        <v>18</v>
      </c>
      <c r="J3123" s="3">
        <v>46246</v>
      </c>
      <c r="K3123" s="4">
        <f>ClientiBanca[[#This Row],[Prestito]]+ClientiBanca[[#This Row],[Mutuo]]</f>
        <v>51300</v>
      </c>
      <c r="L3123" t="str">
        <f>IF(ClientiBanca[[#This Row],[Reddito annuo]]&gt;=70000,"si","no")</f>
        <v>si</v>
      </c>
    </row>
    <row r="3124" spans="1:12">
      <c r="A3124">
        <v>103123</v>
      </c>
      <c r="B3124">
        <v>33</v>
      </c>
      <c r="C3124" s="2">
        <v>32100</v>
      </c>
      <c r="D3124" t="s">
        <v>21</v>
      </c>
      <c r="E3124" s="2">
        <v>15300</v>
      </c>
      <c r="F3124" s="2">
        <v>0</v>
      </c>
      <c r="G3124" t="s">
        <v>28</v>
      </c>
      <c r="H3124" t="s">
        <v>25</v>
      </c>
      <c r="I3124" t="s">
        <v>18</v>
      </c>
      <c r="J3124" s="3">
        <v>45714</v>
      </c>
      <c r="K3124" s="4">
        <f>ClientiBanca[[#This Row],[Prestito]]+ClientiBanca[[#This Row],[Mutuo]]</f>
        <v>15300</v>
      </c>
      <c r="L3124" t="str">
        <f>IF(ClientiBanca[[#This Row],[Reddito annuo]]&gt;=70000,"si","no")</f>
        <v>no</v>
      </c>
    </row>
    <row r="3125" spans="1:12">
      <c r="A3125">
        <v>103124</v>
      </c>
      <c r="B3125">
        <v>74</v>
      </c>
      <c r="C3125" s="2">
        <v>98800</v>
      </c>
      <c r="D3125" t="s">
        <v>21</v>
      </c>
      <c r="E3125" s="2">
        <v>29300</v>
      </c>
      <c r="F3125" s="2">
        <v>0</v>
      </c>
      <c r="G3125" t="s">
        <v>24</v>
      </c>
      <c r="H3125" t="s">
        <v>25</v>
      </c>
      <c r="I3125" t="s">
        <v>18</v>
      </c>
      <c r="J3125" s="3">
        <v>45835</v>
      </c>
      <c r="K3125" s="4">
        <f>ClientiBanca[[#This Row],[Prestito]]+ClientiBanca[[#This Row],[Mutuo]]</f>
        <v>29300</v>
      </c>
      <c r="L3125" t="str">
        <f>IF(ClientiBanca[[#This Row],[Reddito annuo]]&gt;=70000,"si","no")</f>
        <v>si</v>
      </c>
    </row>
    <row r="3126" spans="1:12">
      <c r="A3126">
        <v>103125</v>
      </c>
      <c r="B3126">
        <v>55</v>
      </c>
      <c r="C3126" s="2">
        <v>37100</v>
      </c>
      <c r="D3126" t="s">
        <v>21</v>
      </c>
      <c r="E3126" s="2">
        <v>46400</v>
      </c>
      <c r="F3126" s="2">
        <v>0</v>
      </c>
      <c r="G3126" t="s">
        <v>16</v>
      </c>
      <c r="H3126" t="s">
        <v>14</v>
      </c>
      <c r="I3126" t="s">
        <v>18</v>
      </c>
      <c r="J3126" s="3">
        <v>45685</v>
      </c>
      <c r="K3126" s="4">
        <f>ClientiBanca[[#This Row],[Prestito]]+ClientiBanca[[#This Row],[Mutuo]]</f>
        <v>46400</v>
      </c>
      <c r="L3126" t="str">
        <f>IF(ClientiBanca[[#This Row],[Reddito annuo]]&gt;=70000,"si","no")</f>
        <v>no</v>
      </c>
    </row>
    <row r="3127" spans="1:12">
      <c r="A3127">
        <v>103126</v>
      </c>
      <c r="B3127">
        <v>24</v>
      </c>
      <c r="C3127" s="2">
        <v>70300</v>
      </c>
      <c r="D3127" t="s">
        <v>12</v>
      </c>
      <c r="E3127" s="2">
        <v>57000</v>
      </c>
      <c r="F3127" s="2">
        <v>190000</v>
      </c>
      <c r="G3127" t="s">
        <v>13</v>
      </c>
      <c r="H3127" t="s">
        <v>17</v>
      </c>
      <c r="I3127" t="s">
        <v>18</v>
      </c>
      <c r="J3127" s="3">
        <v>45536</v>
      </c>
      <c r="K3127" s="4">
        <f>ClientiBanca[[#This Row],[Prestito]]+ClientiBanca[[#This Row],[Mutuo]]</f>
        <v>247000</v>
      </c>
      <c r="L3127" t="str">
        <f>IF(ClientiBanca[[#This Row],[Reddito annuo]]&gt;=70000,"si","no")</f>
        <v>si</v>
      </c>
    </row>
    <row r="3128" spans="1:12">
      <c r="A3128">
        <v>103127</v>
      </c>
      <c r="B3128">
        <v>47</v>
      </c>
      <c r="C3128" s="2">
        <v>60300</v>
      </c>
      <c r="D3128" t="s">
        <v>21</v>
      </c>
      <c r="E3128" s="2">
        <v>39100</v>
      </c>
      <c r="F3128" s="2">
        <v>0</v>
      </c>
      <c r="G3128" t="s">
        <v>28</v>
      </c>
      <c r="H3128" t="s">
        <v>17</v>
      </c>
      <c r="I3128" t="s">
        <v>15</v>
      </c>
      <c r="J3128" s="3">
        <v>45541</v>
      </c>
      <c r="K3128" s="4">
        <f>ClientiBanca[[#This Row],[Prestito]]+ClientiBanca[[#This Row],[Mutuo]]</f>
        <v>39100</v>
      </c>
      <c r="L3128" t="str">
        <f>IF(ClientiBanca[[#This Row],[Reddito annuo]]&gt;=70000,"si","no")</f>
        <v>no</v>
      </c>
    </row>
    <row r="3129" spans="1:12">
      <c r="A3129">
        <v>103128</v>
      </c>
      <c r="B3129">
        <v>29</v>
      </c>
      <c r="C3129" s="2">
        <v>42600</v>
      </c>
      <c r="D3129" t="s">
        <v>12</v>
      </c>
      <c r="E3129" s="2">
        <v>37900</v>
      </c>
      <c r="F3129" s="2">
        <v>0</v>
      </c>
      <c r="G3129" t="s">
        <v>24</v>
      </c>
      <c r="H3129" t="s">
        <v>25</v>
      </c>
      <c r="I3129" t="s">
        <v>15</v>
      </c>
      <c r="J3129" s="3">
        <v>46213</v>
      </c>
      <c r="K3129" s="4">
        <f>ClientiBanca[[#This Row],[Prestito]]+ClientiBanca[[#This Row],[Mutuo]]</f>
        <v>37900</v>
      </c>
      <c r="L3129" t="str">
        <f>IF(ClientiBanca[[#This Row],[Reddito annuo]]&gt;=70000,"si","no")</f>
        <v>no</v>
      </c>
    </row>
    <row r="3130" spans="1:12">
      <c r="A3130">
        <v>103129</v>
      </c>
      <c r="B3130">
        <v>54</v>
      </c>
      <c r="C3130" s="2">
        <v>38000</v>
      </c>
      <c r="D3130" t="s">
        <v>22</v>
      </c>
      <c r="E3130" s="2">
        <v>0</v>
      </c>
      <c r="F3130" s="2">
        <v>0</v>
      </c>
      <c r="G3130" t="s">
        <v>13</v>
      </c>
      <c r="H3130" t="s">
        <v>17</v>
      </c>
      <c r="I3130" t="s">
        <v>18</v>
      </c>
      <c r="J3130" s="3">
        <v>46201</v>
      </c>
      <c r="K3130" s="4">
        <f>ClientiBanca[[#This Row],[Prestito]]+ClientiBanca[[#This Row],[Mutuo]]</f>
        <v>0</v>
      </c>
      <c r="L3130" t="str">
        <f>IF(ClientiBanca[[#This Row],[Reddito annuo]]&gt;=70000,"si","no")</f>
        <v>no</v>
      </c>
    </row>
    <row r="3131" spans="1:12">
      <c r="A3131">
        <v>103130</v>
      </c>
      <c r="B3131">
        <v>58</v>
      </c>
      <c r="C3131" s="2">
        <v>43500</v>
      </c>
      <c r="D3131" t="s">
        <v>12</v>
      </c>
      <c r="E3131" s="2">
        <v>41200</v>
      </c>
      <c r="F3131" s="2">
        <v>0</v>
      </c>
      <c r="G3131" t="s">
        <v>24</v>
      </c>
      <c r="H3131" t="s">
        <v>25</v>
      </c>
      <c r="I3131" t="s">
        <v>18</v>
      </c>
      <c r="J3131" s="3">
        <v>46220</v>
      </c>
      <c r="K3131" s="4">
        <f>ClientiBanca[[#This Row],[Prestito]]+ClientiBanca[[#This Row],[Mutuo]]</f>
        <v>41200</v>
      </c>
      <c r="L3131" t="str">
        <f>IF(ClientiBanca[[#This Row],[Reddito annuo]]&gt;=70000,"si","no")</f>
        <v>no</v>
      </c>
    </row>
    <row r="3132" spans="1:12">
      <c r="A3132">
        <v>103131</v>
      </c>
      <c r="B3132">
        <v>59</v>
      </c>
      <c r="C3132" s="2">
        <v>54000</v>
      </c>
      <c r="D3132" t="s">
        <v>21</v>
      </c>
      <c r="E3132" s="2">
        <v>34900</v>
      </c>
      <c r="F3132" s="2">
        <v>0</v>
      </c>
      <c r="G3132" t="s">
        <v>23</v>
      </c>
      <c r="H3132" t="s">
        <v>14</v>
      </c>
      <c r="I3132" t="s">
        <v>18</v>
      </c>
      <c r="J3132" s="3">
        <v>45731</v>
      </c>
      <c r="K3132" s="4">
        <f>ClientiBanca[[#This Row],[Prestito]]+ClientiBanca[[#This Row],[Mutuo]]</f>
        <v>34900</v>
      </c>
      <c r="L3132" t="str">
        <f>IF(ClientiBanca[[#This Row],[Reddito annuo]]&gt;=70000,"si","no")</f>
        <v>no</v>
      </c>
    </row>
    <row r="3133" spans="1:12">
      <c r="A3133">
        <v>103132</v>
      </c>
      <c r="B3133">
        <v>69</v>
      </c>
      <c r="C3133" s="2">
        <v>75900</v>
      </c>
      <c r="D3133" t="s">
        <v>12</v>
      </c>
      <c r="E3133" s="2">
        <v>61500</v>
      </c>
      <c r="F3133" s="2">
        <v>0</v>
      </c>
      <c r="G3133" t="s">
        <v>13</v>
      </c>
      <c r="H3133" t="s">
        <v>20</v>
      </c>
      <c r="I3133" t="s">
        <v>18</v>
      </c>
      <c r="J3133" s="3">
        <v>45518</v>
      </c>
      <c r="K3133" s="4">
        <f>ClientiBanca[[#This Row],[Prestito]]+ClientiBanca[[#This Row],[Mutuo]]</f>
        <v>61500</v>
      </c>
      <c r="L3133" t="str">
        <f>IF(ClientiBanca[[#This Row],[Reddito annuo]]&gt;=70000,"si","no")</f>
        <v>si</v>
      </c>
    </row>
    <row r="3134" spans="1:12">
      <c r="A3134">
        <v>103133</v>
      </c>
      <c r="B3134">
        <v>22</v>
      </c>
      <c r="C3134" s="2">
        <v>54800</v>
      </c>
      <c r="D3134" t="s">
        <v>21</v>
      </c>
      <c r="E3134" s="2">
        <v>7900</v>
      </c>
      <c r="F3134" s="2">
        <v>0</v>
      </c>
      <c r="G3134" t="s">
        <v>28</v>
      </c>
      <c r="H3134" t="s">
        <v>20</v>
      </c>
      <c r="I3134" t="s">
        <v>18</v>
      </c>
      <c r="J3134" s="3">
        <v>46011</v>
      </c>
      <c r="K3134" s="4">
        <f>ClientiBanca[[#This Row],[Prestito]]+ClientiBanca[[#This Row],[Mutuo]]</f>
        <v>7900</v>
      </c>
      <c r="L3134" t="str">
        <f>IF(ClientiBanca[[#This Row],[Reddito annuo]]&gt;=70000,"si","no")</f>
        <v>no</v>
      </c>
    </row>
    <row r="3135" spans="1:12">
      <c r="A3135">
        <v>103134</v>
      </c>
      <c r="B3135">
        <v>42</v>
      </c>
      <c r="C3135" s="2">
        <v>66700</v>
      </c>
      <c r="D3135" t="s">
        <v>12</v>
      </c>
      <c r="E3135" s="2">
        <v>51900</v>
      </c>
      <c r="F3135" s="2">
        <v>0</v>
      </c>
      <c r="G3135" t="s">
        <v>24</v>
      </c>
      <c r="H3135" t="s">
        <v>14</v>
      </c>
      <c r="I3135" t="s">
        <v>18</v>
      </c>
      <c r="J3135" s="3">
        <v>46243</v>
      </c>
      <c r="K3135" s="4">
        <f>ClientiBanca[[#This Row],[Prestito]]+ClientiBanca[[#This Row],[Mutuo]]</f>
        <v>51900</v>
      </c>
      <c r="L3135" t="str">
        <f>IF(ClientiBanca[[#This Row],[Reddito annuo]]&gt;=70000,"si","no")</f>
        <v>no</v>
      </c>
    </row>
    <row r="3136" spans="1:12">
      <c r="A3136">
        <v>103135</v>
      </c>
      <c r="B3136">
        <v>59</v>
      </c>
      <c r="C3136" s="2">
        <v>29800</v>
      </c>
      <c r="D3136" t="s">
        <v>22</v>
      </c>
      <c r="E3136" s="2">
        <v>37200</v>
      </c>
      <c r="F3136" s="2">
        <v>264000</v>
      </c>
      <c r="G3136" t="s">
        <v>16</v>
      </c>
      <c r="H3136" t="s">
        <v>25</v>
      </c>
      <c r="I3136" t="s">
        <v>18</v>
      </c>
      <c r="J3136" s="3">
        <v>45411</v>
      </c>
      <c r="K3136" s="4">
        <f>ClientiBanca[[#This Row],[Prestito]]+ClientiBanca[[#This Row],[Mutuo]]</f>
        <v>301200</v>
      </c>
      <c r="L3136" t="str">
        <f>IF(ClientiBanca[[#This Row],[Reddito annuo]]&gt;=70000,"si","no")</f>
        <v>no</v>
      </c>
    </row>
    <row r="3137" spans="1:12">
      <c r="A3137">
        <v>103136</v>
      </c>
      <c r="B3137">
        <v>46</v>
      </c>
      <c r="C3137" s="2">
        <v>39900</v>
      </c>
      <c r="D3137" t="s">
        <v>12</v>
      </c>
      <c r="E3137" s="2">
        <v>48200</v>
      </c>
      <c r="F3137" s="2">
        <v>0</v>
      </c>
      <c r="G3137" t="s">
        <v>23</v>
      </c>
      <c r="H3137" t="s">
        <v>17</v>
      </c>
      <c r="I3137" t="s">
        <v>18</v>
      </c>
      <c r="J3137" s="3">
        <v>45840</v>
      </c>
      <c r="K3137" s="4">
        <f>ClientiBanca[[#This Row],[Prestito]]+ClientiBanca[[#This Row],[Mutuo]]</f>
        <v>48200</v>
      </c>
      <c r="L3137" t="str">
        <f>IF(ClientiBanca[[#This Row],[Reddito annuo]]&gt;=70000,"si","no")</f>
        <v>no</v>
      </c>
    </row>
    <row r="3138" spans="1:12">
      <c r="A3138">
        <v>103137</v>
      </c>
      <c r="B3138">
        <v>70</v>
      </c>
      <c r="C3138" s="2">
        <v>22200</v>
      </c>
      <c r="D3138" t="s">
        <v>12</v>
      </c>
      <c r="E3138" s="2">
        <v>27800</v>
      </c>
      <c r="F3138" s="2">
        <v>0</v>
      </c>
      <c r="G3138" t="s">
        <v>28</v>
      </c>
      <c r="H3138" t="s">
        <v>17</v>
      </c>
      <c r="I3138" t="s">
        <v>18</v>
      </c>
      <c r="J3138" s="3">
        <v>45758</v>
      </c>
      <c r="K3138" s="4">
        <f>ClientiBanca[[#This Row],[Prestito]]+ClientiBanca[[#This Row],[Mutuo]]</f>
        <v>27800</v>
      </c>
      <c r="L3138" t="str">
        <f>IF(ClientiBanca[[#This Row],[Reddito annuo]]&gt;=70000,"si","no")</f>
        <v>no</v>
      </c>
    </row>
    <row r="3139" spans="1:12">
      <c r="A3139">
        <v>103138</v>
      </c>
      <c r="B3139">
        <v>70</v>
      </c>
      <c r="C3139" s="2">
        <v>65000</v>
      </c>
      <c r="D3139" t="s">
        <v>12</v>
      </c>
      <c r="E3139" s="2">
        <v>33100</v>
      </c>
      <c r="F3139" s="2">
        <v>0</v>
      </c>
      <c r="G3139" t="s">
        <v>19</v>
      </c>
      <c r="H3139" t="s">
        <v>20</v>
      </c>
      <c r="I3139" t="s">
        <v>18</v>
      </c>
      <c r="J3139" s="3">
        <v>46127</v>
      </c>
      <c r="K3139" s="4">
        <f>ClientiBanca[[#This Row],[Prestito]]+ClientiBanca[[#This Row],[Mutuo]]</f>
        <v>33100</v>
      </c>
      <c r="L3139" t="str">
        <f>IF(ClientiBanca[[#This Row],[Reddito annuo]]&gt;=70000,"si","no")</f>
        <v>no</v>
      </c>
    </row>
    <row r="3140" spans="1:12">
      <c r="A3140">
        <v>103139</v>
      </c>
      <c r="B3140">
        <v>29</v>
      </c>
      <c r="C3140" s="2">
        <v>44300</v>
      </c>
      <c r="D3140" t="s">
        <v>21</v>
      </c>
      <c r="E3140" s="2">
        <v>12200</v>
      </c>
      <c r="F3140" s="2">
        <v>0</v>
      </c>
      <c r="G3140" t="s">
        <v>23</v>
      </c>
      <c r="H3140" t="s">
        <v>25</v>
      </c>
      <c r="I3140" t="s">
        <v>18</v>
      </c>
      <c r="J3140" s="3">
        <v>45758</v>
      </c>
      <c r="K3140" s="4">
        <f>ClientiBanca[[#This Row],[Prestito]]+ClientiBanca[[#This Row],[Mutuo]]</f>
        <v>12200</v>
      </c>
      <c r="L3140" t="str">
        <f>IF(ClientiBanca[[#This Row],[Reddito annuo]]&gt;=70000,"si","no")</f>
        <v>no</v>
      </c>
    </row>
    <row r="3141" spans="1:12">
      <c r="A3141">
        <v>103140</v>
      </c>
      <c r="B3141">
        <v>20</v>
      </c>
      <c r="C3141" s="2">
        <v>42200</v>
      </c>
      <c r="D3141" t="s">
        <v>12</v>
      </c>
      <c r="E3141" s="2">
        <v>26100</v>
      </c>
      <c r="F3141" s="2">
        <v>0</v>
      </c>
      <c r="G3141" t="s">
        <v>28</v>
      </c>
      <c r="H3141" t="s">
        <v>14</v>
      </c>
      <c r="I3141" t="s">
        <v>15</v>
      </c>
      <c r="J3141" s="3">
        <v>45456</v>
      </c>
      <c r="K3141" s="4">
        <f>ClientiBanca[[#This Row],[Prestito]]+ClientiBanca[[#This Row],[Mutuo]]</f>
        <v>26100</v>
      </c>
      <c r="L3141" t="str">
        <f>IF(ClientiBanca[[#This Row],[Reddito annuo]]&gt;=70000,"si","no")</f>
        <v>no</v>
      </c>
    </row>
    <row r="3142" spans="1:12">
      <c r="A3142">
        <v>103141</v>
      </c>
      <c r="B3142">
        <v>43</v>
      </c>
      <c r="C3142" s="2">
        <v>107400</v>
      </c>
      <c r="D3142" t="s">
        <v>21</v>
      </c>
      <c r="E3142" s="2">
        <v>0</v>
      </c>
      <c r="F3142" s="2">
        <v>95000</v>
      </c>
      <c r="G3142" t="s">
        <v>27</v>
      </c>
      <c r="H3142" t="s">
        <v>17</v>
      </c>
      <c r="I3142" t="s">
        <v>18</v>
      </c>
      <c r="J3142" s="3">
        <v>45662</v>
      </c>
      <c r="K3142" s="4">
        <f>ClientiBanca[[#This Row],[Prestito]]+ClientiBanca[[#This Row],[Mutuo]]</f>
        <v>95000</v>
      </c>
      <c r="L3142" t="str">
        <f>IF(ClientiBanca[[#This Row],[Reddito annuo]]&gt;=70000,"si","no")</f>
        <v>si</v>
      </c>
    </row>
    <row r="3143" spans="1:12">
      <c r="A3143">
        <v>103142</v>
      </c>
      <c r="B3143">
        <v>45</v>
      </c>
      <c r="C3143" s="2">
        <v>109200</v>
      </c>
      <c r="D3143" t="s">
        <v>21</v>
      </c>
      <c r="E3143" s="2">
        <v>0</v>
      </c>
      <c r="F3143" s="2">
        <v>0</v>
      </c>
      <c r="G3143" t="s">
        <v>24</v>
      </c>
      <c r="H3143" t="s">
        <v>17</v>
      </c>
      <c r="I3143" t="s">
        <v>18</v>
      </c>
      <c r="J3143" s="3">
        <v>45944</v>
      </c>
      <c r="K3143" s="4">
        <f>ClientiBanca[[#This Row],[Prestito]]+ClientiBanca[[#This Row],[Mutuo]]</f>
        <v>0</v>
      </c>
      <c r="L3143" t="str">
        <f>IF(ClientiBanca[[#This Row],[Reddito annuo]]&gt;=70000,"si","no")</f>
        <v>si</v>
      </c>
    </row>
    <row r="3144" spans="1:12">
      <c r="A3144">
        <v>103143</v>
      </c>
      <c r="B3144">
        <v>55</v>
      </c>
      <c r="C3144" s="2">
        <v>37400</v>
      </c>
      <c r="D3144" t="s">
        <v>21</v>
      </c>
      <c r="E3144" s="2">
        <v>0</v>
      </c>
      <c r="F3144" s="2">
        <v>0</v>
      </c>
      <c r="G3144" t="s">
        <v>24</v>
      </c>
      <c r="H3144" t="s">
        <v>14</v>
      </c>
      <c r="I3144" t="s">
        <v>18</v>
      </c>
      <c r="J3144" s="3">
        <v>45332</v>
      </c>
      <c r="K3144" s="4">
        <f>ClientiBanca[[#This Row],[Prestito]]+ClientiBanca[[#This Row],[Mutuo]]</f>
        <v>0</v>
      </c>
      <c r="L3144" t="str">
        <f>IF(ClientiBanca[[#This Row],[Reddito annuo]]&gt;=70000,"si","no")</f>
        <v>no</v>
      </c>
    </row>
    <row r="3145" spans="1:12">
      <c r="A3145">
        <v>103144</v>
      </c>
      <c r="B3145">
        <v>50</v>
      </c>
      <c r="C3145" s="2">
        <v>74100</v>
      </c>
      <c r="D3145" t="s">
        <v>12</v>
      </c>
      <c r="E3145" s="2">
        <v>17600</v>
      </c>
      <c r="F3145" s="2">
        <v>0</v>
      </c>
      <c r="G3145" t="s">
        <v>16</v>
      </c>
      <c r="H3145" t="s">
        <v>25</v>
      </c>
      <c r="I3145" t="s">
        <v>18</v>
      </c>
      <c r="J3145" s="3">
        <v>45589</v>
      </c>
      <c r="K3145" s="4">
        <f>ClientiBanca[[#This Row],[Prestito]]+ClientiBanca[[#This Row],[Mutuo]]</f>
        <v>17600</v>
      </c>
      <c r="L3145" t="str">
        <f>IF(ClientiBanca[[#This Row],[Reddito annuo]]&gt;=70000,"si","no")</f>
        <v>si</v>
      </c>
    </row>
    <row r="3146" spans="1:12">
      <c r="A3146">
        <v>103145</v>
      </c>
      <c r="B3146">
        <v>54</v>
      </c>
      <c r="C3146" s="2">
        <v>49900</v>
      </c>
      <c r="D3146" t="s">
        <v>21</v>
      </c>
      <c r="E3146" s="2">
        <v>5000</v>
      </c>
      <c r="F3146" s="2">
        <v>0</v>
      </c>
      <c r="G3146" t="s">
        <v>27</v>
      </c>
      <c r="H3146" t="s">
        <v>17</v>
      </c>
      <c r="I3146" t="s">
        <v>18</v>
      </c>
      <c r="J3146" s="3">
        <v>45773</v>
      </c>
      <c r="K3146" s="4">
        <f>ClientiBanca[[#This Row],[Prestito]]+ClientiBanca[[#This Row],[Mutuo]]</f>
        <v>5000</v>
      </c>
      <c r="L3146" t="str">
        <f>IF(ClientiBanca[[#This Row],[Reddito annuo]]&gt;=70000,"si","no")</f>
        <v>no</v>
      </c>
    </row>
    <row r="3147" spans="1:12">
      <c r="A3147">
        <v>103146</v>
      </c>
      <c r="B3147">
        <v>36</v>
      </c>
      <c r="C3147" s="2">
        <v>89000</v>
      </c>
      <c r="D3147" t="s">
        <v>21</v>
      </c>
      <c r="E3147" s="2">
        <v>17000</v>
      </c>
      <c r="F3147" s="2">
        <v>0</v>
      </c>
      <c r="G3147" t="s">
        <v>16</v>
      </c>
      <c r="H3147" t="s">
        <v>17</v>
      </c>
      <c r="I3147" t="s">
        <v>18</v>
      </c>
      <c r="J3147" s="3">
        <v>45697</v>
      </c>
      <c r="K3147" s="4">
        <f>ClientiBanca[[#This Row],[Prestito]]+ClientiBanca[[#This Row],[Mutuo]]</f>
        <v>17000</v>
      </c>
      <c r="L3147" t="str">
        <f>IF(ClientiBanca[[#This Row],[Reddito annuo]]&gt;=70000,"si","no")</f>
        <v>si</v>
      </c>
    </row>
    <row r="3148" spans="1:12">
      <c r="A3148">
        <v>103147</v>
      </c>
      <c r="B3148">
        <v>40</v>
      </c>
      <c r="C3148" s="2">
        <v>31300</v>
      </c>
      <c r="D3148" t="s">
        <v>12</v>
      </c>
      <c r="E3148" s="2">
        <v>0</v>
      </c>
      <c r="F3148" s="2">
        <v>0</v>
      </c>
      <c r="G3148" t="s">
        <v>13</v>
      </c>
      <c r="H3148" t="s">
        <v>14</v>
      </c>
      <c r="I3148" t="s">
        <v>18</v>
      </c>
      <c r="J3148" s="3">
        <v>45311</v>
      </c>
      <c r="K3148" s="4">
        <f>ClientiBanca[[#This Row],[Prestito]]+ClientiBanca[[#This Row],[Mutuo]]</f>
        <v>0</v>
      </c>
      <c r="L3148" t="str">
        <f>IF(ClientiBanca[[#This Row],[Reddito annuo]]&gt;=70000,"si","no")</f>
        <v>no</v>
      </c>
    </row>
    <row r="3149" spans="1:12">
      <c r="A3149">
        <v>103148</v>
      </c>
      <c r="B3149">
        <v>21</v>
      </c>
      <c r="C3149" s="2">
        <v>109400</v>
      </c>
      <c r="D3149" t="s">
        <v>22</v>
      </c>
      <c r="E3149" s="2">
        <v>14700</v>
      </c>
      <c r="F3149" s="2">
        <v>0</v>
      </c>
      <c r="G3149" t="s">
        <v>26</v>
      </c>
      <c r="H3149" t="s">
        <v>17</v>
      </c>
      <c r="I3149" t="s">
        <v>18</v>
      </c>
      <c r="J3149" s="3">
        <v>46190</v>
      </c>
      <c r="K3149" s="4">
        <f>ClientiBanca[[#This Row],[Prestito]]+ClientiBanca[[#This Row],[Mutuo]]</f>
        <v>14700</v>
      </c>
      <c r="L3149" t="str">
        <f>IF(ClientiBanca[[#This Row],[Reddito annuo]]&gt;=70000,"si","no")</f>
        <v>si</v>
      </c>
    </row>
    <row r="3150" spans="1:12">
      <c r="A3150">
        <v>103149</v>
      </c>
      <c r="B3150">
        <v>31</v>
      </c>
      <c r="C3150" s="2">
        <v>41600</v>
      </c>
      <c r="D3150" t="s">
        <v>21</v>
      </c>
      <c r="E3150" s="2">
        <v>5900</v>
      </c>
      <c r="F3150" s="2">
        <v>0</v>
      </c>
      <c r="G3150" t="s">
        <v>24</v>
      </c>
      <c r="H3150" t="s">
        <v>17</v>
      </c>
      <c r="I3150" t="s">
        <v>15</v>
      </c>
      <c r="J3150" s="3">
        <v>46055</v>
      </c>
      <c r="K3150" s="4">
        <f>ClientiBanca[[#This Row],[Prestito]]+ClientiBanca[[#This Row],[Mutuo]]</f>
        <v>5900</v>
      </c>
      <c r="L3150" t="str">
        <f>IF(ClientiBanca[[#This Row],[Reddito annuo]]&gt;=70000,"si","no")</f>
        <v>no</v>
      </c>
    </row>
    <row r="3151" spans="1:12">
      <c r="A3151">
        <v>103150</v>
      </c>
      <c r="B3151">
        <v>61</v>
      </c>
      <c r="C3151" s="2">
        <v>61900</v>
      </c>
      <c r="D3151" t="s">
        <v>21</v>
      </c>
      <c r="E3151" s="2">
        <v>0</v>
      </c>
      <c r="F3151" s="2">
        <v>0</v>
      </c>
      <c r="G3151" t="s">
        <v>24</v>
      </c>
      <c r="H3151" t="s">
        <v>14</v>
      </c>
      <c r="I3151" t="s">
        <v>18</v>
      </c>
      <c r="J3151" s="3">
        <v>45947</v>
      </c>
      <c r="K3151" s="4">
        <f>ClientiBanca[[#This Row],[Prestito]]+ClientiBanca[[#This Row],[Mutuo]]</f>
        <v>0</v>
      </c>
      <c r="L3151" t="str">
        <f>IF(ClientiBanca[[#This Row],[Reddito annuo]]&gt;=70000,"si","no")</f>
        <v>no</v>
      </c>
    </row>
    <row r="3152" spans="1:12">
      <c r="A3152">
        <v>103151</v>
      </c>
      <c r="B3152">
        <v>37</v>
      </c>
      <c r="C3152" s="2">
        <v>41000</v>
      </c>
      <c r="D3152" t="s">
        <v>21</v>
      </c>
      <c r="E3152" s="2">
        <v>0</v>
      </c>
      <c r="F3152" s="2">
        <v>0</v>
      </c>
      <c r="G3152" t="s">
        <v>16</v>
      </c>
      <c r="H3152" t="s">
        <v>14</v>
      </c>
      <c r="I3152" t="s">
        <v>18</v>
      </c>
      <c r="J3152" s="3">
        <v>45436</v>
      </c>
      <c r="K3152" s="4">
        <f>ClientiBanca[[#This Row],[Prestito]]+ClientiBanca[[#This Row],[Mutuo]]</f>
        <v>0</v>
      </c>
      <c r="L3152" t="str">
        <f>IF(ClientiBanca[[#This Row],[Reddito annuo]]&gt;=70000,"si","no")</f>
        <v>no</v>
      </c>
    </row>
    <row r="3153" spans="1:12">
      <c r="A3153">
        <v>103152</v>
      </c>
      <c r="B3153">
        <v>74</v>
      </c>
      <c r="C3153" s="2">
        <v>109300</v>
      </c>
      <c r="D3153" t="s">
        <v>21</v>
      </c>
      <c r="E3153" s="2">
        <v>61400</v>
      </c>
      <c r="F3153" s="2">
        <v>0</v>
      </c>
      <c r="G3153" t="s">
        <v>23</v>
      </c>
      <c r="H3153" t="s">
        <v>20</v>
      </c>
      <c r="I3153" t="s">
        <v>18</v>
      </c>
      <c r="J3153" s="3">
        <v>46095</v>
      </c>
      <c r="K3153" s="4">
        <f>ClientiBanca[[#This Row],[Prestito]]+ClientiBanca[[#This Row],[Mutuo]]</f>
        <v>61400</v>
      </c>
      <c r="L3153" t="str">
        <f>IF(ClientiBanca[[#This Row],[Reddito annuo]]&gt;=70000,"si","no")</f>
        <v>si</v>
      </c>
    </row>
    <row r="3154" spans="1:12">
      <c r="A3154">
        <v>103153</v>
      </c>
      <c r="B3154">
        <v>47</v>
      </c>
      <c r="C3154" s="2">
        <v>68200</v>
      </c>
      <c r="D3154" t="s">
        <v>22</v>
      </c>
      <c r="E3154" s="2">
        <v>44700</v>
      </c>
      <c r="F3154" s="2">
        <v>150000</v>
      </c>
      <c r="G3154" t="s">
        <v>27</v>
      </c>
      <c r="H3154" t="s">
        <v>20</v>
      </c>
      <c r="I3154" t="s">
        <v>18</v>
      </c>
      <c r="J3154" s="3">
        <v>45550</v>
      </c>
      <c r="K3154" s="4">
        <f>ClientiBanca[[#This Row],[Prestito]]+ClientiBanca[[#This Row],[Mutuo]]</f>
        <v>194700</v>
      </c>
      <c r="L3154" t="str">
        <f>IF(ClientiBanca[[#This Row],[Reddito annuo]]&gt;=70000,"si","no")</f>
        <v>no</v>
      </c>
    </row>
    <row r="3155" spans="1:12">
      <c r="A3155">
        <v>103154</v>
      </c>
      <c r="B3155">
        <v>24</v>
      </c>
      <c r="C3155" s="2">
        <v>106300</v>
      </c>
      <c r="D3155" t="s">
        <v>21</v>
      </c>
      <c r="E3155" s="2">
        <v>21700</v>
      </c>
      <c r="F3155" s="2">
        <v>0</v>
      </c>
      <c r="G3155" t="s">
        <v>27</v>
      </c>
      <c r="H3155" t="s">
        <v>17</v>
      </c>
      <c r="I3155" t="s">
        <v>18</v>
      </c>
      <c r="J3155" s="3">
        <v>46099</v>
      </c>
      <c r="K3155" s="4">
        <f>ClientiBanca[[#This Row],[Prestito]]+ClientiBanca[[#This Row],[Mutuo]]</f>
        <v>21700</v>
      </c>
      <c r="L3155" t="str">
        <f>IF(ClientiBanca[[#This Row],[Reddito annuo]]&gt;=70000,"si","no")</f>
        <v>si</v>
      </c>
    </row>
    <row r="3156" spans="1:12">
      <c r="A3156">
        <v>103155</v>
      </c>
      <c r="B3156">
        <v>67</v>
      </c>
      <c r="C3156" s="2">
        <v>48800</v>
      </c>
      <c r="D3156" t="s">
        <v>21</v>
      </c>
      <c r="E3156" s="2">
        <v>43300</v>
      </c>
      <c r="F3156" s="2">
        <v>0</v>
      </c>
      <c r="G3156" t="s">
        <v>26</v>
      </c>
      <c r="H3156" t="s">
        <v>20</v>
      </c>
      <c r="I3156" t="s">
        <v>18</v>
      </c>
      <c r="J3156" s="3">
        <v>46142</v>
      </c>
      <c r="K3156" s="4">
        <f>ClientiBanca[[#This Row],[Prestito]]+ClientiBanca[[#This Row],[Mutuo]]</f>
        <v>43300</v>
      </c>
      <c r="L3156" t="str">
        <f>IF(ClientiBanca[[#This Row],[Reddito annuo]]&gt;=70000,"si","no")</f>
        <v>no</v>
      </c>
    </row>
    <row r="3157" spans="1:12">
      <c r="A3157">
        <v>103156</v>
      </c>
      <c r="B3157">
        <v>64</v>
      </c>
      <c r="C3157" s="2">
        <v>39400</v>
      </c>
      <c r="D3157" t="s">
        <v>21</v>
      </c>
      <c r="E3157" s="2">
        <v>13600</v>
      </c>
      <c r="F3157" s="2">
        <v>0</v>
      </c>
      <c r="G3157" t="s">
        <v>19</v>
      </c>
      <c r="H3157" t="s">
        <v>14</v>
      </c>
      <c r="I3157" t="s">
        <v>18</v>
      </c>
      <c r="J3157" s="3">
        <v>46117</v>
      </c>
      <c r="K3157" s="4">
        <f>ClientiBanca[[#This Row],[Prestito]]+ClientiBanca[[#This Row],[Mutuo]]</f>
        <v>13600</v>
      </c>
      <c r="L3157" t="str">
        <f>IF(ClientiBanca[[#This Row],[Reddito annuo]]&gt;=70000,"si","no")</f>
        <v>no</v>
      </c>
    </row>
    <row r="3158" spans="1:12">
      <c r="A3158">
        <v>103157</v>
      </c>
      <c r="B3158">
        <v>46</v>
      </c>
      <c r="C3158" s="2">
        <v>68400</v>
      </c>
      <c r="D3158" t="s">
        <v>22</v>
      </c>
      <c r="E3158" s="2">
        <v>48700</v>
      </c>
      <c r="F3158" s="2">
        <v>0</v>
      </c>
      <c r="G3158" t="s">
        <v>13</v>
      </c>
      <c r="H3158" t="s">
        <v>17</v>
      </c>
      <c r="I3158" t="s">
        <v>18</v>
      </c>
      <c r="J3158" s="3">
        <v>45631</v>
      </c>
      <c r="K3158" s="4">
        <f>ClientiBanca[[#This Row],[Prestito]]+ClientiBanca[[#This Row],[Mutuo]]</f>
        <v>48700</v>
      </c>
      <c r="L3158" t="str">
        <f>IF(ClientiBanca[[#This Row],[Reddito annuo]]&gt;=70000,"si","no")</f>
        <v>no</v>
      </c>
    </row>
    <row r="3159" spans="1:12">
      <c r="A3159">
        <v>103158</v>
      </c>
      <c r="B3159">
        <v>43</v>
      </c>
      <c r="C3159" s="2">
        <v>38700</v>
      </c>
      <c r="D3159" t="s">
        <v>21</v>
      </c>
      <c r="E3159" s="2">
        <v>43600</v>
      </c>
      <c r="F3159" s="2">
        <v>0</v>
      </c>
      <c r="G3159" t="s">
        <v>27</v>
      </c>
      <c r="H3159" t="s">
        <v>17</v>
      </c>
      <c r="I3159" t="s">
        <v>18</v>
      </c>
      <c r="J3159" s="3">
        <v>45489</v>
      </c>
      <c r="K3159" s="4">
        <f>ClientiBanca[[#This Row],[Prestito]]+ClientiBanca[[#This Row],[Mutuo]]</f>
        <v>43600</v>
      </c>
      <c r="L3159" t="str">
        <f>IF(ClientiBanca[[#This Row],[Reddito annuo]]&gt;=70000,"si","no")</f>
        <v>no</v>
      </c>
    </row>
    <row r="3160" spans="1:12">
      <c r="A3160">
        <v>103159</v>
      </c>
      <c r="B3160">
        <v>49</v>
      </c>
      <c r="C3160" s="2">
        <v>71100</v>
      </c>
      <c r="D3160" t="s">
        <v>12</v>
      </c>
      <c r="E3160" s="2">
        <v>67700</v>
      </c>
      <c r="F3160" s="2">
        <v>0</v>
      </c>
      <c r="G3160" t="s">
        <v>26</v>
      </c>
      <c r="H3160" t="s">
        <v>17</v>
      </c>
      <c r="I3160" t="s">
        <v>18</v>
      </c>
      <c r="J3160" s="3">
        <v>46252</v>
      </c>
      <c r="K3160" s="4">
        <f>ClientiBanca[[#This Row],[Prestito]]+ClientiBanca[[#This Row],[Mutuo]]</f>
        <v>67700</v>
      </c>
      <c r="L3160" t="str">
        <f>IF(ClientiBanca[[#This Row],[Reddito annuo]]&gt;=70000,"si","no")</f>
        <v>si</v>
      </c>
    </row>
    <row r="3161" spans="1:12">
      <c r="A3161">
        <v>103160</v>
      </c>
      <c r="B3161">
        <v>41</v>
      </c>
      <c r="C3161" s="2">
        <v>80000</v>
      </c>
      <c r="D3161" t="s">
        <v>12</v>
      </c>
      <c r="E3161" s="2">
        <v>10100</v>
      </c>
      <c r="F3161" s="2">
        <v>128000</v>
      </c>
      <c r="G3161" t="s">
        <v>19</v>
      </c>
      <c r="H3161" t="s">
        <v>17</v>
      </c>
      <c r="I3161" t="s">
        <v>18</v>
      </c>
      <c r="J3161" s="3">
        <v>45619</v>
      </c>
      <c r="K3161" s="4">
        <f>ClientiBanca[[#This Row],[Prestito]]+ClientiBanca[[#This Row],[Mutuo]]</f>
        <v>138100</v>
      </c>
      <c r="L3161" t="str">
        <f>IF(ClientiBanca[[#This Row],[Reddito annuo]]&gt;=70000,"si","no")</f>
        <v>si</v>
      </c>
    </row>
    <row r="3162" spans="1:12">
      <c r="A3162">
        <v>103161</v>
      </c>
      <c r="B3162">
        <v>52</v>
      </c>
      <c r="C3162" s="2">
        <v>74400</v>
      </c>
      <c r="D3162" t="s">
        <v>22</v>
      </c>
      <c r="E3162" s="2">
        <v>46700</v>
      </c>
      <c r="F3162" s="2">
        <v>0</v>
      </c>
      <c r="G3162" t="s">
        <v>24</v>
      </c>
      <c r="H3162" t="s">
        <v>17</v>
      </c>
      <c r="I3162" t="s">
        <v>18</v>
      </c>
      <c r="J3162" s="3">
        <v>45747</v>
      </c>
      <c r="K3162" s="4">
        <f>ClientiBanca[[#This Row],[Prestito]]+ClientiBanca[[#This Row],[Mutuo]]</f>
        <v>46700</v>
      </c>
      <c r="L3162" t="str">
        <f>IF(ClientiBanca[[#This Row],[Reddito annuo]]&gt;=70000,"si","no")</f>
        <v>si</v>
      </c>
    </row>
    <row r="3163" spans="1:12">
      <c r="A3163">
        <v>103162</v>
      </c>
      <c r="B3163">
        <v>37</v>
      </c>
      <c r="C3163" s="2">
        <v>62000</v>
      </c>
      <c r="D3163" t="s">
        <v>21</v>
      </c>
      <c r="E3163" s="2">
        <v>21300</v>
      </c>
      <c r="F3163" s="2">
        <v>0</v>
      </c>
      <c r="G3163" t="s">
        <v>27</v>
      </c>
      <c r="H3163" t="s">
        <v>17</v>
      </c>
      <c r="I3163" t="s">
        <v>18</v>
      </c>
      <c r="J3163" s="3">
        <v>45412</v>
      </c>
      <c r="K3163" s="4">
        <f>ClientiBanca[[#This Row],[Prestito]]+ClientiBanca[[#This Row],[Mutuo]]</f>
        <v>21300</v>
      </c>
      <c r="L3163" t="str">
        <f>IF(ClientiBanca[[#This Row],[Reddito annuo]]&gt;=70000,"si","no")</f>
        <v>no</v>
      </c>
    </row>
    <row r="3164" spans="1:12">
      <c r="A3164">
        <v>103163</v>
      </c>
      <c r="B3164">
        <v>73</v>
      </c>
      <c r="C3164" s="2">
        <v>62900</v>
      </c>
      <c r="D3164" t="s">
        <v>21</v>
      </c>
      <c r="E3164" s="2">
        <v>0</v>
      </c>
      <c r="F3164" s="2">
        <v>0</v>
      </c>
      <c r="G3164" t="s">
        <v>24</v>
      </c>
      <c r="H3164" t="s">
        <v>20</v>
      </c>
      <c r="I3164" t="s">
        <v>18</v>
      </c>
      <c r="J3164" s="3">
        <v>46206</v>
      </c>
      <c r="K3164" s="4">
        <f>ClientiBanca[[#This Row],[Prestito]]+ClientiBanca[[#This Row],[Mutuo]]</f>
        <v>0</v>
      </c>
      <c r="L3164" t="str">
        <f>IF(ClientiBanca[[#This Row],[Reddito annuo]]&gt;=70000,"si","no")</f>
        <v>no</v>
      </c>
    </row>
    <row r="3165" spans="1:12">
      <c r="A3165">
        <v>103164</v>
      </c>
      <c r="B3165">
        <v>34</v>
      </c>
      <c r="C3165" s="2">
        <v>51100</v>
      </c>
      <c r="D3165" t="s">
        <v>12</v>
      </c>
      <c r="E3165" s="2">
        <v>0</v>
      </c>
      <c r="F3165" s="2">
        <v>0</v>
      </c>
      <c r="G3165" t="s">
        <v>19</v>
      </c>
      <c r="H3165" t="s">
        <v>17</v>
      </c>
      <c r="I3165" t="s">
        <v>18</v>
      </c>
      <c r="J3165" s="3">
        <v>45477</v>
      </c>
      <c r="K3165" s="4">
        <f>ClientiBanca[[#This Row],[Prestito]]+ClientiBanca[[#This Row],[Mutuo]]</f>
        <v>0</v>
      </c>
      <c r="L3165" t="str">
        <f>IF(ClientiBanca[[#This Row],[Reddito annuo]]&gt;=70000,"si","no")</f>
        <v>no</v>
      </c>
    </row>
    <row r="3166" spans="1:12">
      <c r="A3166">
        <v>103165</v>
      </c>
      <c r="B3166">
        <v>22</v>
      </c>
      <c r="C3166" s="2">
        <v>48500</v>
      </c>
      <c r="D3166" t="s">
        <v>12</v>
      </c>
      <c r="E3166" s="2">
        <v>30600</v>
      </c>
      <c r="F3166" s="2">
        <v>0</v>
      </c>
      <c r="G3166" t="s">
        <v>13</v>
      </c>
      <c r="H3166" t="s">
        <v>20</v>
      </c>
      <c r="I3166" t="s">
        <v>18</v>
      </c>
      <c r="J3166" s="3">
        <v>45751</v>
      </c>
      <c r="K3166" s="4">
        <f>ClientiBanca[[#This Row],[Prestito]]+ClientiBanca[[#This Row],[Mutuo]]</f>
        <v>30600</v>
      </c>
      <c r="L3166" t="str">
        <f>IF(ClientiBanca[[#This Row],[Reddito annuo]]&gt;=70000,"si","no")</f>
        <v>no</v>
      </c>
    </row>
    <row r="3167" spans="1:12">
      <c r="A3167">
        <v>103166</v>
      </c>
      <c r="B3167">
        <v>57</v>
      </c>
      <c r="C3167" s="2">
        <v>85300</v>
      </c>
      <c r="D3167" t="s">
        <v>21</v>
      </c>
      <c r="E3167" s="2">
        <v>50900</v>
      </c>
      <c r="F3167" s="2">
        <v>0</v>
      </c>
      <c r="G3167" t="s">
        <v>24</v>
      </c>
      <c r="H3167" t="s">
        <v>20</v>
      </c>
      <c r="I3167" t="s">
        <v>18</v>
      </c>
      <c r="J3167" s="3">
        <v>46077</v>
      </c>
      <c r="K3167" s="4">
        <f>ClientiBanca[[#This Row],[Prestito]]+ClientiBanca[[#This Row],[Mutuo]]</f>
        <v>50900</v>
      </c>
      <c r="L3167" t="str">
        <f>IF(ClientiBanca[[#This Row],[Reddito annuo]]&gt;=70000,"si","no")</f>
        <v>si</v>
      </c>
    </row>
    <row r="3168" spans="1:12">
      <c r="A3168">
        <v>103167</v>
      </c>
      <c r="B3168">
        <v>75</v>
      </c>
      <c r="C3168" s="2">
        <v>74100</v>
      </c>
      <c r="D3168" t="s">
        <v>21</v>
      </c>
      <c r="E3168" s="2">
        <v>36600</v>
      </c>
      <c r="F3168" s="2">
        <v>0</v>
      </c>
      <c r="G3168" t="s">
        <v>19</v>
      </c>
      <c r="H3168" t="s">
        <v>25</v>
      </c>
      <c r="I3168" t="s">
        <v>18</v>
      </c>
      <c r="J3168" s="3">
        <v>46225</v>
      </c>
      <c r="K3168" s="4">
        <f>ClientiBanca[[#This Row],[Prestito]]+ClientiBanca[[#This Row],[Mutuo]]</f>
        <v>36600</v>
      </c>
      <c r="L3168" t="str">
        <f>IF(ClientiBanca[[#This Row],[Reddito annuo]]&gt;=70000,"si","no")</f>
        <v>si</v>
      </c>
    </row>
    <row r="3169" spans="1:12">
      <c r="A3169">
        <v>103168</v>
      </c>
      <c r="B3169">
        <v>22</v>
      </c>
      <c r="C3169" s="2">
        <v>85400</v>
      </c>
      <c r="D3169" t="s">
        <v>21</v>
      </c>
      <c r="E3169" s="2">
        <v>68700</v>
      </c>
      <c r="F3169" s="2">
        <v>128000</v>
      </c>
      <c r="G3169" t="s">
        <v>23</v>
      </c>
      <c r="H3169" t="s">
        <v>20</v>
      </c>
      <c r="I3169" t="s">
        <v>18</v>
      </c>
      <c r="J3169" s="3">
        <v>45901</v>
      </c>
      <c r="K3169" s="4">
        <f>ClientiBanca[[#This Row],[Prestito]]+ClientiBanca[[#This Row],[Mutuo]]</f>
        <v>196700</v>
      </c>
      <c r="L3169" t="str">
        <f>IF(ClientiBanca[[#This Row],[Reddito annuo]]&gt;=70000,"si","no")</f>
        <v>si</v>
      </c>
    </row>
    <row r="3170" spans="1:12">
      <c r="A3170">
        <v>103169</v>
      </c>
      <c r="B3170">
        <v>69</v>
      </c>
      <c r="C3170" s="2">
        <v>51600</v>
      </c>
      <c r="D3170" t="s">
        <v>21</v>
      </c>
      <c r="E3170" s="2">
        <v>22100</v>
      </c>
      <c r="F3170" s="2">
        <v>0</v>
      </c>
      <c r="G3170" t="s">
        <v>13</v>
      </c>
      <c r="H3170" t="s">
        <v>20</v>
      </c>
      <c r="I3170" t="s">
        <v>18</v>
      </c>
      <c r="J3170" s="3">
        <v>45883</v>
      </c>
      <c r="K3170" s="4">
        <f>ClientiBanca[[#This Row],[Prestito]]+ClientiBanca[[#This Row],[Mutuo]]</f>
        <v>22100</v>
      </c>
      <c r="L3170" t="str">
        <f>IF(ClientiBanca[[#This Row],[Reddito annuo]]&gt;=70000,"si","no")</f>
        <v>no</v>
      </c>
    </row>
    <row r="3171" spans="1:12">
      <c r="A3171">
        <v>103170</v>
      </c>
      <c r="B3171">
        <v>53</v>
      </c>
      <c r="C3171" s="2">
        <v>66200</v>
      </c>
      <c r="D3171" t="s">
        <v>12</v>
      </c>
      <c r="E3171" s="2">
        <v>81400</v>
      </c>
      <c r="F3171" s="2">
        <v>0</v>
      </c>
      <c r="G3171" t="s">
        <v>16</v>
      </c>
      <c r="H3171" t="s">
        <v>14</v>
      </c>
      <c r="I3171" t="s">
        <v>18</v>
      </c>
      <c r="J3171" s="3">
        <v>46057</v>
      </c>
      <c r="K3171" s="4">
        <f>ClientiBanca[[#This Row],[Prestito]]+ClientiBanca[[#This Row],[Mutuo]]</f>
        <v>81400</v>
      </c>
      <c r="L3171" t="str">
        <f>IF(ClientiBanca[[#This Row],[Reddito annuo]]&gt;=70000,"si","no")</f>
        <v>no</v>
      </c>
    </row>
    <row r="3172" spans="1:12">
      <c r="A3172">
        <v>103171</v>
      </c>
      <c r="B3172">
        <v>35</v>
      </c>
      <c r="C3172" s="2">
        <v>78500</v>
      </c>
      <c r="D3172" t="s">
        <v>12</v>
      </c>
      <c r="E3172" s="2">
        <v>0</v>
      </c>
      <c r="F3172" s="2">
        <v>0</v>
      </c>
      <c r="G3172" t="s">
        <v>24</v>
      </c>
      <c r="H3172" t="s">
        <v>20</v>
      </c>
      <c r="I3172" t="s">
        <v>18</v>
      </c>
      <c r="J3172" s="3">
        <v>45940</v>
      </c>
      <c r="K3172" s="4">
        <f>ClientiBanca[[#This Row],[Prestito]]+ClientiBanca[[#This Row],[Mutuo]]</f>
        <v>0</v>
      </c>
      <c r="L3172" t="str">
        <f>IF(ClientiBanca[[#This Row],[Reddito annuo]]&gt;=70000,"si","no")</f>
        <v>si</v>
      </c>
    </row>
    <row r="3173" spans="1:12">
      <c r="A3173">
        <v>103172</v>
      </c>
      <c r="B3173">
        <v>41</v>
      </c>
      <c r="C3173" s="2">
        <v>75300</v>
      </c>
      <c r="D3173" t="s">
        <v>22</v>
      </c>
      <c r="E3173" s="2">
        <v>0</v>
      </c>
      <c r="F3173" s="2">
        <v>0</v>
      </c>
      <c r="G3173" t="s">
        <v>23</v>
      </c>
      <c r="H3173" t="s">
        <v>20</v>
      </c>
      <c r="I3173" t="s">
        <v>18</v>
      </c>
      <c r="J3173" s="3">
        <v>45985</v>
      </c>
      <c r="K3173" s="4">
        <f>ClientiBanca[[#This Row],[Prestito]]+ClientiBanca[[#This Row],[Mutuo]]</f>
        <v>0</v>
      </c>
      <c r="L3173" t="str">
        <f>IF(ClientiBanca[[#This Row],[Reddito annuo]]&gt;=70000,"si","no")</f>
        <v>si</v>
      </c>
    </row>
    <row r="3174" spans="1:12">
      <c r="A3174">
        <v>103173</v>
      </c>
      <c r="B3174">
        <v>51</v>
      </c>
      <c r="C3174" s="2">
        <v>80200</v>
      </c>
      <c r="D3174" t="s">
        <v>22</v>
      </c>
      <c r="E3174" s="2">
        <v>62700</v>
      </c>
      <c r="F3174" s="2">
        <v>181000</v>
      </c>
      <c r="G3174" t="s">
        <v>16</v>
      </c>
      <c r="H3174" t="s">
        <v>17</v>
      </c>
      <c r="I3174" t="s">
        <v>18</v>
      </c>
      <c r="J3174" s="3">
        <v>46083</v>
      </c>
      <c r="K3174" s="4">
        <f>ClientiBanca[[#This Row],[Prestito]]+ClientiBanca[[#This Row],[Mutuo]]</f>
        <v>243700</v>
      </c>
      <c r="L3174" t="str">
        <f>IF(ClientiBanca[[#This Row],[Reddito annuo]]&gt;=70000,"si","no")</f>
        <v>si</v>
      </c>
    </row>
    <row r="3175" spans="1:12">
      <c r="A3175">
        <v>103174</v>
      </c>
      <c r="B3175">
        <v>69</v>
      </c>
      <c r="C3175" s="2">
        <v>44500</v>
      </c>
      <c r="D3175" t="s">
        <v>21</v>
      </c>
      <c r="E3175" s="2">
        <v>28100</v>
      </c>
      <c r="F3175" s="2">
        <v>0</v>
      </c>
      <c r="G3175" t="s">
        <v>27</v>
      </c>
      <c r="H3175" t="s">
        <v>14</v>
      </c>
      <c r="I3175" t="s">
        <v>18</v>
      </c>
      <c r="J3175" s="3">
        <v>45800</v>
      </c>
      <c r="K3175" s="4">
        <f>ClientiBanca[[#This Row],[Prestito]]+ClientiBanca[[#This Row],[Mutuo]]</f>
        <v>28100</v>
      </c>
      <c r="L3175" t="str">
        <f>IF(ClientiBanca[[#This Row],[Reddito annuo]]&gt;=70000,"si","no")</f>
        <v>no</v>
      </c>
    </row>
    <row r="3176" spans="1:12">
      <c r="A3176">
        <v>103175</v>
      </c>
      <c r="B3176">
        <v>57</v>
      </c>
      <c r="C3176" s="2">
        <v>46000</v>
      </c>
      <c r="D3176" t="s">
        <v>12</v>
      </c>
      <c r="E3176" s="2">
        <v>52900</v>
      </c>
      <c r="F3176" s="2">
        <v>0</v>
      </c>
      <c r="G3176" t="s">
        <v>26</v>
      </c>
      <c r="H3176" t="s">
        <v>14</v>
      </c>
      <c r="I3176" t="s">
        <v>18</v>
      </c>
      <c r="J3176" s="3">
        <v>45992</v>
      </c>
      <c r="K3176" s="4">
        <f>ClientiBanca[[#This Row],[Prestito]]+ClientiBanca[[#This Row],[Mutuo]]</f>
        <v>52900</v>
      </c>
      <c r="L3176" t="str">
        <f>IF(ClientiBanca[[#This Row],[Reddito annuo]]&gt;=70000,"si","no")</f>
        <v>no</v>
      </c>
    </row>
    <row r="3177" spans="1:12">
      <c r="A3177">
        <v>103176</v>
      </c>
      <c r="B3177">
        <v>61</v>
      </c>
      <c r="C3177" s="2">
        <v>72100</v>
      </c>
      <c r="D3177" t="s">
        <v>22</v>
      </c>
      <c r="E3177" s="2">
        <v>14500</v>
      </c>
      <c r="F3177" s="2">
        <v>0</v>
      </c>
      <c r="G3177" t="s">
        <v>28</v>
      </c>
      <c r="H3177" t="s">
        <v>17</v>
      </c>
      <c r="I3177" t="s">
        <v>18</v>
      </c>
      <c r="J3177" s="3">
        <v>45466</v>
      </c>
      <c r="K3177" s="4">
        <f>ClientiBanca[[#This Row],[Prestito]]+ClientiBanca[[#This Row],[Mutuo]]</f>
        <v>14500</v>
      </c>
      <c r="L3177" t="str">
        <f>IF(ClientiBanca[[#This Row],[Reddito annuo]]&gt;=70000,"si","no")</f>
        <v>si</v>
      </c>
    </row>
    <row r="3178" spans="1:12">
      <c r="A3178">
        <v>103177</v>
      </c>
      <c r="B3178">
        <v>67</v>
      </c>
      <c r="C3178" s="2">
        <v>54800</v>
      </c>
      <c r="D3178" t="s">
        <v>21</v>
      </c>
      <c r="E3178" s="2">
        <v>0</v>
      </c>
      <c r="F3178" s="2">
        <v>0</v>
      </c>
      <c r="G3178" t="s">
        <v>23</v>
      </c>
      <c r="H3178" t="s">
        <v>20</v>
      </c>
      <c r="I3178" t="s">
        <v>18</v>
      </c>
      <c r="J3178" s="3">
        <v>45754</v>
      </c>
      <c r="K3178" s="4">
        <f>ClientiBanca[[#This Row],[Prestito]]+ClientiBanca[[#This Row],[Mutuo]]</f>
        <v>0</v>
      </c>
      <c r="L3178" t="str">
        <f>IF(ClientiBanca[[#This Row],[Reddito annuo]]&gt;=70000,"si","no")</f>
        <v>no</v>
      </c>
    </row>
    <row r="3179" spans="1:12">
      <c r="A3179">
        <v>103178</v>
      </c>
      <c r="B3179">
        <v>73</v>
      </c>
      <c r="C3179" s="2">
        <v>50200</v>
      </c>
      <c r="D3179" t="s">
        <v>12</v>
      </c>
      <c r="E3179" s="2">
        <v>8600</v>
      </c>
      <c r="F3179" s="2">
        <v>0</v>
      </c>
      <c r="G3179" t="s">
        <v>26</v>
      </c>
      <c r="H3179" t="s">
        <v>20</v>
      </c>
      <c r="I3179" t="s">
        <v>18</v>
      </c>
      <c r="J3179" s="3">
        <v>46233</v>
      </c>
      <c r="K3179" s="4">
        <f>ClientiBanca[[#This Row],[Prestito]]+ClientiBanca[[#This Row],[Mutuo]]</f>
        <v>8600</v>
      </c>
      <c r="L3179" t="str">
        <f>IF(ClientiBanca[[#This Row],[Reddito annuo]]&gt;=70000,"si","no")</f>
        <v>no</v>
      </c>
    </row>
    <row r="3180" spans="1:12">
      <c r="A3180">
        <v>103179</v>
      </c>
      <c r="B3180">
        <v>52</v>
      </c>
      <c r="C3180" s="2">
        <v>41700</v>
      </c>
      <c r="D3180" t="s">
        <v>12</v>
      </c>
      <c r="E3180" s="2">
        <v>41400</v>
      </c>
      <c r="F3180" s="2">
        <v>0</v>
      </c>
      <c r="G3180" t="s">
        <v>27</v>
      </c>
      <c r="H3180" t="s">
        <v>17</v>
      </c>
      <c r="I3180" t="s">
        <v>18</v>
      </c>
      <c r="J3180" s="3">
        <v>46093</v>
      </c>
      <c r="K3180" s="4">
        <f>ClientiBanca[[#This Row],[Prestito]]+ClientiBanca[[#This Row],[Mutuo]]</f>
        <v>41400</v>
      </c>
      <c r="L3180" t="str">
        <f>IF(ClientiBanca[[#This Row],[Reddito annuo]]&gt;=70000,"si","no")</f>
        <v>no</v>
      </c>
    </row>
    <row r="3181" spans="1:12">
      <c r="A3181">
        <v>103180</v>
      </c>
      <c r="B3181">
        <v>56</v>
      </c>
      <c r="C3181" s="2">
        <v>111700</v>
      </c>
      <c r="D3181" t="s">
        <v>21</v>
      </c>
      <c r="E3181" s="2">
        <v>0</v>
      </c>
      <c r="F3181" s="2">
        <v>0</v>
      </c>
      <c r="G3181" t="s">
        <v>23</v>
      </c>
      <c r="H3181" t="s">
        <v>14</v>
      </c>
      <c r="I3181" t="s">
        <v>18</v>
      </c>
      <c r="J3181" s="3">
        <v>45800</v>
      </c>
      <c r="K3181" s="4">
        <f>ClientiBanca[[#This Row],[Prestito]]+ClientiBanca[[#This Row],[Mutuo]]</f>
        <v>0</v>
      </c>
      <c r="L3181" t="str">
        <f>IF(ClientiBanca[[#This Row],[Reddito annuo]]&gt;=70000,"si","no")</f>
        <v>si</v>
      </c>
    </row>
    <row r="3182" spans="1:12">
      <c r="A3182">
        <v>103181</v>
      </c>
      <c r="B3182">
        <v>41</v>
      </c>
      <c r="C3182" s="2">
        <v>54200</v>
      </c>
      <c r="D3182" t="s">
        <v>22</v>
      </c>
      <c r="E3182" s="2">
        <v>27200</v>
      </c>
      <c r="F3182" s="2">
        <v>0</v>
      </c>
      <c r="G3182" t="s">
        <v>23</v>
      </c>
      <c r="H3182" t="s">
        <v>25</v>
      </c>
      <c r="I3182" t="s">
        <v>18</v>
      </c>
      <c r="J3182" s="3">
        <v>45792</v>
      </c>
      <c r="K3182" s="4">
        <f>ClientiBanca[[#This Row],[Prestito]]+ClientiBanca[[#This Row],[Mutuo]]</f>
        <v>27200</v>
      </c>
      <c r="L3182" t="str">
        <f>IF(ClientiBanca[[#This Row],[Reddito annuo]]&gt;=70000,"si","no")</f>
        <v>no</v>
      </c>
    </row>
    <row r="3183" spans="1:12">
      <c r="A3183">
        <v>103182</v>
      </c>
      <c r="B3183">
        <v>73</v>
      </c>
      <c r="C3183" s="2">
        <v>109000</v>
      </c>
      <c r="D3183" t="s">
        <v>21</v>
      </c>
      <c r="E3183" s="2">
        <v>0</v>
      </c>
      <c r="F3183" s="2">
        <v>0</v>
      </c>
      <c r="G3183" t="s">
        <v>13</v>
      </c>
      <c r="H3183" t="s">
        <v>17</v>
      </c>
      <c r="I3183" t="s">
        <v>18</v>
      </c>
      <c r="J3183" s="3">
        <v>46152</v>
      </c>
      <c r="K3183" s="4">
        <f>ClientiBanca[[#This Row],[Prestito]]+ClientiBanca[[#This Row],[Mutuo]]</f>
        <v>0</v>
      </c>
      <c r="L3183" t="str">
        <f>IF(ClientiBanca[[#This Row],[Reddito annuo]]&gt;=70000,"si","no")</f>
        <v>si</v>
      </c>
    </row>
    <row r="3184" spans="1:12">
      <c r="A3184">
        <v>103183</v>
      </c>
      <c r="B3184">
        <v>49</v>
      </c>
      <c r="C3184" s="2">
        <v>57400</v>
      </c>
      <c r="D3184" t="s">
        <v>21</v>
      </c>
      <c r="E3184" s="2">
        <v>0</v>
      </c>
      <c r="F3184" s="2">
        <v>0</v>
      </c>
      <c r="G3184" t="s">
        <v>23</v>
      </c>
      <c r="H3184" t="s">
        <v>17</v>
      </c>
      <c r="I3184" t="s">
        <v>18</v>
      </c>
      <c r="J3184" s="3">
        <v>45318</v>
      </c>
      <c r="K3184" s="4">
        <f>ClientiBanca[[#This Row],[Prestito]]+ClientiBanca[[#This Row],[Mutuo]]</f>
        <v>0</v>
      </c>
      <c r="L3184" t="str">
        <f>IF(ClientiBanca[[#This Row],[Reddito annuo]]&gt;=70000,"si","no")</f>
        <v>no</v>
      </c>
    </row>
    <row r="3185" spans="1:12">
      <c r="A3185">
        <v>103184</v>
      </c>
      <c r="B3185">
        <v>61</v>
      </c>
      <c r="C3185" s="2">
        <v>69300</v>
      </c>
      <c r="D3185" t="s">
        <v>21</v>
      </c>
      <c r="E3185" s="2">
        <v>27700</v>
      </c>
      <c r="F3185" s="2">
        <v>147000</v>
      </c>
      <c r="G3185" t="s">
        <v>19</v>
      </c>
      <c r="H3185" t="s">
        <v>20</v>
      </c>
      <c r="I3185" t="s">
        <v>18</v>
      </c>
      <c r="J3185" s="3">
        <v>45485</v>
      </c>
      <c r="K3185" s="4">
        <f>ClientiBanca[[#This Row],[Prestito]]+ClientiBanca[[#This Row],[Mutuo]]</f>
        <v>174700</v>
      </c>
      <c r="L3185" t="str">
        <f>IF(ClientiBanca[[#This Row],[Reddito annuo]]&gt;=70000,"si","no")</f>
        <v>no</v>
      </c>
    </row>
    <row r="3186" spans="1:12">
      <c r="A3186">
        <v>103185</v>
      </c>
      <c r="B3186">
        <v>46</v>
      </c>
      <c r="C3186" s="2">
        <v>65800</v>
      </c>
      <c r="D3186" t="s">
        <v>12</v>
      </c>
      <c r="E3186" s="2">
        <v>36900</v>
      </c>
      <c r="F3186" s="2">
        <v>0</v>
      </c>
      <c r="G3186" t="s">
        <v>27</v>
      </c>
      <c r="H3186" t="s">
        <v>14</v>
      </c>
      <c r="I3186" t="s">
        <v>18</v>
      </c>
      <c r="J3186" s="3">
        <v>46075</v>
      </c>
      <c r="K3186" s="4">
        <f>ClientiBanca[[#This Row],[Prestito]]+ClientiBanca[[#This Row],[Mutuo]]</f>
        <v>36900</v>
      </c>
      <c r="L3186" t="str">
        <f>IF(ClientiBanca[[#This Row],[Reddito annuo]]&gt;=70000,"si","no")</f>
        <v>no</v>
      </c>
    </row>
    <row r="3187" spans="1:12">
      <c r="A3187">
        <v>103186</v>
      </c>
      <c r="B3187">
        <v>28</v>
      </c>
      <c r="C3187" s="2">
        <v>103700</v>
      </c>
      <c r="D3187" t="s">
        <v>12</v>
      </c>
      <c r="E3187" s="2">
        <v>18600</v>
      </c>
      <c r="F3187" s="2">
        <v>0</v>
      </c>
      <c r="G3187" t="s">
        <v>19</v>
      </c>
      <c r="H3187" t="s">
        <v>17</v>
      </c>
      <c r="I3187" t="s">
        <v>18</v>
      </c>
      <c r="J3187" s="3">
        <v>46120</v>
      </c>
      <c r="K3187" s="4">
        <f>ClientiBanca[[#This Row],[Prestito]]+ClientiBanca[[#This Row],[Mutuo]]</f>
        <v>18600</v>
      </c>
      <c r="L3187" t="str">
        <f>IF(ClientiBanca[[#This Row],[Reddito annuo]]&gt;=70000,"si","no")</f>
        <v>si</v>
      </c>
    </row>
    <row r="3188" spans="1:12">
      <c r="A3188">
        <v>103187</v>
      </c>
      <c r="B3188">
        <v>27</v>
      </c>
      <c r="C3188" s="2">
        <v>46000</v>
      </c>
      <c r="D3188" t="s">
        <v>21</v>
      </c>
      <c r="E3188" s="2">
        <v>45700</v>
      </c>
      <c r="F3188" s="2">
        <v>367000</v>
      </c>
      <c r="G3188" t="s">
        <v>23</v>
      </c>
      <c r="H3188" t="s">
        <v>20</v>
      </c>
      <c r="I3188" t="s">
        <v>18</v>
      </c>
      <c r="J3188" s="3">
        <v>45591</v>
      </c>
      <c r="K3188" s="4">
        <f>ClientiBanca[[#This Row],[Prestito]]+ClientiBanca[[#This Row],[Mutuo]]</f>
        <v>412700</v>
      </c>
      <c r="L3188" t="str">
        <f>IF(ClientiBanca[[#This Row],[Reddito annuo]]&gt;=70000,"si","no")</f>
        <v>no</v>
      </c>
    </row>
    <row r="3189" spans="1:12">
      <c r="A3189">
        <v>103188</v>
      </c>
      <c r="B3189">
        <v>47</v>
      </c>
      <c r="C3189" s="2">
        <v>84700</v>
      </c>
      <c r="D3189" t="s">
        <v>21</v>
      </c>
      <c r="E3189" s="2">
        <v>20700</v>
      </c>
      <c r="F3189" s="2">
        <v>0</v>
      </c>
      <c r="G3189" t="s">
        <v>19</v>
      </c>
      <c r="H3189" t="s">
        <v>20</v>
      </c>
      <c r="I3189" t="s">
        <v>18</v>
      </c>
      <c r="J3189" s="3">
        <v>45334</v>
      </c>
      <c r="K3189" s="4">
        <f>ClientiBanca[[#This Row],[Prestito]]+ClientiBanca[[#This Row],[Mutuo]]</f>
        <v>20700</v>
      </c>
      <c r="L3189" t="str">
        <f>IF(ClientiBanca[[#This Row],[Reddito annuo]]&gt;=70000,"si","no")</f>
        <v>si</v>
      </c>
    </row>
    <row r="3190" spans="1:12">
      <c r="A3190">
        <v>103189</v>
      </c>
      <c r="B3190">
        <v>29</v>
      </c>
      <c r="C3190" s="2">
        <v>27900</v>
      </c>
      <c r="D3190" t="s">
        <v>21</v>
      </c>
      <c r="E3190" s="2">
        <v>12200</v>
      </c>
      <c r="F3190" s="2">
        <v>0</v>
      </c>
      <c r="G3190" t="s">
        <v>26</v>
      </c>
      <c r="H3190" t="s">
        <v>17</v>
      </c>
      <c r="I3190" t="s">
        <v>18</v>
      </c>
      <c r="J3190" s="3">
        <v>45661</v>
      </c>
      <c r="K3190" s="4">
        <f>ClientiBanca[[#This Row],[Prestito]]+ClientiBanca[[#This Row],[Mutuo]]</f>
        <v>12200</v>
      </c>
      <c r="L3190" t="str">
        <f>IF(ClientiBanca[[#This Row],[Reddito annuo]]&gt;=70000,"si","no")</f>
        <v>no</v>
      </c>
    </row>
    <row r="3191" spans="1:12">
      <c r="A3191">
        <v>103190</v>
      </c>
      <c r="B3191">
        <v>56</v>
      </c>
      <c r="C3191" s="2">
        <v>45400</v>
      </c>
      <c r="D3191" t="s">
        <v>21</v>
      </c>
      <c r="E3191" s="2">
        <v>51500</v>
      </c>
      <c r="F3191" s="2">
        <v>222000</v>
      </c>
      <c r="G3191" t="s">
        <v>13</v>
      </c>
      <c r="H3191" t="s">
        <v>25</v>
      </c>
      <c r="I3191" t="s">
        <v>15</v>
      </c>
      <c r="J3191" s="3">
        <v>45985</v>
      </c>
      <c r="K3191" s="4">
        <f>ClientiBanca[[#This Row],[Prestito]]+ClientiBanca[[#This Row],[Mutuo]]</f>
        <v>273500</v>
      </c>
      <c r="L3191" t="str">
        <f>IF(ClientiBanca[[#This Row],[Reddito annuo]]&gt;=70000,"si","no")</f>
        <v>no</v>
      </c>
    </row>
    <row r="3192" spans="1:12">
      <c r="A3192">
        <v>103191</v>
      </c>
      <c r="B3192">
        <v>66</v>
      </c>
      <c r="C3192" s="2">
        <v>80900</v>
      </c>
      <c r="D3192" t="s">
        <v>21</v>
      </c>
      <c r="E3192" s="2">
        <v>8500</v>
      </c>
      <c r="F3192" s="2">
        <v>0</v>
      </c>
      <c r="G3192" t="s">
        <v>13</v>
      </c>
      <c r="H3192" t="s">
        <v>14</v>
      </c>
      <c r="I3192" t="s">
        <v>18</v>
      </c>
      <c r="J3192" s="3">
        <v>45445</v>
      </c>
      <c r="K3192" s="4">
        <f>ClientiBanca[[#This Row],[Prestito]]+ClientiBanca[[#This Row],[Mutuo]]</f>
        <v>8500</v>
      </c>
      <c r="L3192" t="str">
        <f>IF(ClientiBanca[[#This Row],[Reddito annuo]]&gt;=70000,"si","no")</f>
        <v>si</v>
      </c>
    </row>
    <row r="3193" spans="1:12">
      <c r="A3193">
        <v>103192</v>
      </c>
      <c r="B3193">
        <v>54</v>
      </c>
      <c r="C3193" s="2">
        <v>71200</v>
      </c>
      <c r="D3193" t="s">
        <v>12</v>
      </c>
      <c r="E3193" s="2">
        <v>26600</v>
      </c>
      <c r="F3193" s="2">
        <v>0</v>
      </c>
      <c r="G3193" t="s">
        <v>16</v>
      </c>
      <c r="H3193" t="s">
        <v>17</v>
      </c>
      <c r="I3193" t="s">
        <v>18</v>
      </c>
      <c r="J3193" s="3">
        <v>45979</v>
      </c>
      <c r="K3193" s="4">
        <f>ClientiBanca[[#This Row],[Prestito]]+ClientiBanca[[#This Row],[Mutuo]]</f>
        <v>26600</v>
      </c>
      <c r="L3193" t="str">
        <f>IF(ClientiBanca[[#This Row],[Reddito annuo]]&gt;=70000,"si","no")</f>
        <v>si</v>
      </c>
    </row>
    <row r="3194" spans="1:12">
      <c r="A3194">
        <v>103193</v>
      </c>
      <c r="B3194">
        <v>20</v>
      </c>
      <c r="C3194" s="2">
        <v>105000</v>
      </c>
      <c r="D3194" t="s">
        <v>21</v>
      </c>
      <c r="E3194" s="2">
        <v>70400</v>
      </c>
      <c r="F3194" s="2">
        <v>0</v>
      </c>
      <c r="G3194" t="s">
        <v>27</v>
      </c>
      <c r="H3194" t="s">
        <v>20</v>
      </c>
      <c r="I3194" t="s">
        <v>18</v>
      </c>
      <c r="J3194" s="3">
        <v>46014</v>
      </c>
      <c r="K3194" s="4">
        <f>ClientiBanca[[#This Row],[Prestito]]+ClientiBanca[[#This Row],[Mutuo]]</f>
        <v>70400</v>
      </c>
      <c r="L3194" t="str">
        <f>IF(ClientiBanca[[#This Row],[Reddito annuo]]&gt;=70000,"si","no")</f>
        <v>si</v>
      </c>
    </row>
    <row r="3195" spans="1:12">
      <c r="A3195">
        <v>103194</v>
      </c>
      <c r="B3195">
        <v>41</v>
      </c>
      <c r="C3195" s="2">
        <v>55000</v>
      </c>
      <c r="D3195" t="s">
        <v>21</v>
      </c>
      <c r="E3195" s="2">
        <v>36000</v>
      </c>
      <c r="F3195" s="2">
        <v>0</v>
      </c>
      <c r="G3195" t="s">
        <v>26</v>
      </c>
      <c r="H3195" t="s">
        <v>14</v>
      </c>
      <c r="I3195" t="s">
        <v>18</v>
      </c>
      <c r="J3195" s="3">
        <v>45953</v>
      </c>
      <c r="K3195" s="4">
        <f>ClientiBanca[[#This Row],[Prestito]]+ClientiBanca[[#This Row],[Mutuo]]</f>
        <v>36000</v>
      </c>
      <c r="L3195" t="str">
        <f>IF(ClientiBanca[[#This Row],[Reddito annuo]]&gt;=70000,"si","no")</f>
        <v>no</v>
      </c>
    </row>
    <row r="3196" spans="1:12">
      <c r="A3196">
        <v>103195</v>
      </c>
      <c r="B3196">
        <v>28</v>
      </c>
      <c r="C3196" s="2">
        <v>59000</v>
      </c>
      <c r="D3196" t="s">
        <v>22</v>
      </c>
      <c r="E3196" s="2">
        <v>48100</v>
      </c>
      <c r="F3196" s="2">
        <v>250000</v>
      </c>
      <c r="G3196" t="s">
        <v>16</v>
      </c>
      <c r="H3196" t="s">
        <v>20</v>
      </c>
      <c r="I3196" t="s">
        <v>18</v>
      </c>
      <c r="J3196" s="3">
        <v>46002</v>
      </c>
      <c r="K3196" s="4">
        <f>ClientiBanca[[#This Row],[Prestito]]+ClientiBanca[[#This Row],[Mutuo]]</f>
        <v>298100</v>
      </c>
      <c r="L3196" t="str">
        <f>IF(ClientiBanca[[#This Row],[Reddito annuo]]&gt;=70000,"si","no")</f>
        <v>no</v>
      </c>
    </row>
    <row r="3197" spans="1:12">
      <c r="A3197">
        <v>103196</v>
      </c>
      <c r="B3197">
        <v>67</v>
      </c>
      <c r="C3197" s="2">
        <v>88400</v>
      </c>
      <c r="D3197" t="s">
        <v>21</v>
      </c>
      <c r="E3197" s="2">
        <v>43600</v>
      </c>
      <c r="F3197" s="2">
        <v>0</v>
      </c>
      <c r="G3197" t="s">
        <v>24</v>
      </c>
      <c r="H3197" t="s">
        <v>14</v>
      </c>
      <c r="I3197" t="s">
        <v>18</v>
      </c>
      <c r="J3197" s="3">
        <v>46243</v>
      </c>
      <c r="K3197" s="4">
        <f>ClientiBanca[[#This Row],[Prestito]]+ClientiBanca[[#This Row],[Mutuo]]</f>
        <v>43600</v>
      </c>
      <c r="L3197" t="str">
        <f>IF(ClientiBanca[[#This Row],[Reddito annuo]]&gt;=70000,"si","no")</f>
        <v>si</v>
      </c>
    </row>
    <row r="3198" spans="1:12">
      <c r="A3198">
        <v>103197</v>
      </c>
      <c r="B3198">
        <v>56</v>
      </c>
      <c r="C3198" s="2">
        <v>24800</v>
      </c>
      <c r="D3198" t="s">
        <v>22</v>
      </c>
      <c r="E3198" s="2">
        <v>11300</v>
      </c>
      <c r="F3198" s="2">
        <v>0</v>
      </c>
      <c r="G3198" t="s">
        <v>19</v>
      </c>
      <c r="H3198" t="s">
        <v>14</v>
      </c>
      <c r="I3198" t="s">
        <v>18</v>
      </c>
      <c r="J3198" s="3">
        <v>45760</v>
      </c>
      <c r="K3198" s="4">
        <f>ClientiBanca[[#This Row],[Prestito]]+ClientiBanca[[#This Row],[Mutuo]]</f>
        <v>11300</v>
      </c>
      <c r="L3198" t="str">
        <f>IF(ClientiBanca[[#This Row],[Reddito annuo]]&gt;=70000,"si","no")</f>
        <v>no</v>
      </c>
    </row>
    <row r="3199" spans="1:12">
      <c r="A3199">
        <v>103198</v>
      </c>
      <c r="B3199">
        <v>69</v>
      </c>
      <c r="C3199" s="2">
        <v>67600</v>
      </c>
      <c r="D3199" t="s">
        <v>21</v>
      </c>
      <c r="E3199" s="2">
        <v>0</v>
      </c>
      <c r="F3199" s="2">
        <v>0</v>
      </c>
      <c r="G3199" t="s">
        <v>13</v>
      </c>
      <c r="H3199" t="s">
        <v>25</v>
      </c>
      <c r="I3199" t="s">
        <v>18</v>
      </c>
      <c r="J3199" s="3">
        <v>45986</v>
      </c>
      <c r="K3199" s="4">
        <f>ClientiBanca[[#This Row],[Prestito]]+ClientiBanca[[#This Row],[Mutuo]]</f>
        <v>0</v>
      </c>
      <c r="L3199" t="str">
        <f>IF(ClientiBanca[[#This Row],[Reddito annuo]]&gt;=70000,"si","no")</f>
        <v>no</v>
      </c>
    </row>
    <row r="3200" spans="1:12">
      <c r="A3200">
        <v>103199</v>
      </c>
      <c r="B3200">
        <v>26</v>
      </c>
      <c r="C3200" s="2">
        <v>39500</v>
      </c>
      <c r="D3200" t="s">
        <v>21</v>
      </c>
      <c r="E3200" s="2">
        <v>19200</v>
      </c>
      <c r="F3200" s="2">
        <v>0</v>
      </c>
      <c r="G3200" t="s">
        <v>27</v>
      </c>
      <c r="H3200" t="s">
        <v>17</v>
      </c>
      <c r="I3200" t="s">
        <v>18</v>
      </c>
      <c r="J3200" s="3">
        <v>46207</v>
      </c>
      <c r="K3200" s="4">
        <f>ClientiBanca[[#This Row],[Prestito]]+ClientiBanca[[#This Row],[Mutuo]]</f>
        <v>19200</v>
      </c>
      <c r="L3200" t="str">
        <f>IF(ClientiBanca[[#This Row],[Reddito annuo]]&gt;=70000,"si","no")</f>
        <v>no</v>
      </c>
    </row>
    <row r="3201" spans="1:12">
      <c r="A3201">
        <v>103200</v>
      </c>
      <c r="B3201">
        <v>30</v>
      </c>
      <c r="C3201" s="2">
        <v>100600</v>
      </c>
      <c r="D3201" t="s">
        <v>21</v>
      </c>
      <c r="E3201" s="2">
        <v>0</v>
      </c>
      <c r="F3201" s="2">
        <v>0</v>
      </c>
      <c r="G3201" t="s">
        <v>23</v>
      </c>
      <c r="H3201" t="s">
        <v>17</v>
      </c>
      <c r="I3201" t="s">
        <v>18</v>
      </c>
      <c r="J3201" s="3">
        <v>46065</v>
      </c>
      <c r="K3201" s="4">
        <f>ClientiBanca[[#This Row],[Prestito]]+ClientiBanca[[#This Row],[Mutuo]]</f>
        <v>0</v>
      </c>
      <c r="L3201" t="str">
        <f>IF(ClientiBanca[[#This Row],[Reddito annuo]]&gt;=70000,"si","no")</f>
        <v>si</v>
      </c>
    </row>
    <row r="3202" spans="1:12">
      <c r="A3202">
        <v>103201</v>
      </c>
      <c r="B3202">
        <v>63</v>
      </c>
      <c r="C3202" s="2">
        <v>87600</v>
      </c>
      <c r="D3202" t="s">
        <v>12</v>
      </c>
      <c r="E3202" s="2">
        <v>58100</v>
      </c>
      <c r="F3202" s="2">
        <v>0</v>
      </c>
      <c r="G3202" t="s">
        <v>24</v>
      </c>
      <c r="H3202" t="s">
        <v>17</v>
      </c>
      <c r="I3202" t="s">
        <v>18</v>
      </c>
      <c r="J3202" s="3">
        <v>45956</v>
      </c>
      <c r="K3202" s="4">
        <f>ClientiBanca[[#This Row],[Prestito]]+ClientiBanca[[#This Row],[Mutuo]]</f>
        <v>58100</v>
      </c>
      <c r="L3202" t="str">
        <f>IF(ClientiBanca[[#This Row],[Reddito annuo]]&gt;=70000,"si","no")</f>
        <v>si</v>
      </c>
    </row>
    <row r="3203" spans="1:12">
      <c r="A3203">
        <v>103202</v>
      </c>
      <c r="B3203">
        <v>59</v>
      </c>
      <c r="C3203" s="2">
        <v>37900</v>
      </c>
      <c r="D3203" t="s">
        <v>21</v>
      </c>
      <c r="E3203" s="2">
        <v>7900</v>
      </c>
      <c r="F3203" s="2">
        <v>143000</v>
      </c>
      <c r="G3203" t="s">
        <v>16</v>
      </c>
      <c r="H3203" t="s">
        <v>20</v>
      </c>
      <c r="I3203" t="s">
        <v>18</v>
      </c>
      <c r="J3203" s="3">
        <v>45864</v>
      </c>
      <c r="K3203" s="4">
        <f>ClientiBanca[[#This Row],[Prestito]]+ClientiBanca[[#This Row],[Mutuo]]</f>
        <v>150900</v>
      </c>
      <c r="L3203" t="str">
        <f>IF(ClientiBanca[[#This Row],[Reddito annuo]]&gt;=70000,"si","no")</f>
        <v>no</v>
      </c>
    </row>
    <row r="3204" spans="1:12">
      <c r="A3204">
        <v>103203</v>
      </c>
      <c r="B3204">
        <v>28</v>
      </c>
      <c r="C3204" s="2">
        <v>96300</v>
      </c>
      <c r="D3204" t="s">
        <v>12</v>
      </c>
      <c r="E3204" s="2">
        <v>30700</v>
      </c>
      <c r="F3204" s="2">
        <v>198000</v>
      </c>
      <c r="G3204" t="s">
        <v>27</v>
      </c>
      <c r="H3204" t="s">
        <v>20</v>
      </c>
      <c r="I3204" t="s">
        <v>18</v>
      </c>
      <c r="J3204" s="3">
        <v>45623</v>
      </c>
      <c r="K3204" s="4">
        <f>ClientiBanca[[#This Row],[Prestito]]+ClientiBanca[[#This Row],[Mutuo]]</f>
        <v>228700</v>
      </c>
      <c r="L3204" t="str">
        <f>IF(ClientiBanca[[#This Row],[Reddito annuo]]&gt;=70000,"si","no")</f>
        <v>si</v>
      </c>
    </row>
    <row r="3205" spans="1:12">
      <c r="A3205">
        <v>103204</v>
      </c>
      <c r="B3205">
        <v>51</v>
      </c>
      <c r="C3205" s="2">
        <v>78900</v>
      </c>
      <c r="D3205" t="s">
        <v>12</v>
      </c>
      <c r="E3205" s="2">
        <v>17300</v>
      </c>
      <c r="F3205" s="2">
        <v>0</v>
      </c>
      <c r="G3205" t="s">
        <v>24</v>
      </c>
      <c r="H3205" t="s">
        <v>20</v>
      </c>
      <c r="I3205" t="s">
        <v>18</v>
      </c>
      <c r="J3205" s="3">
        <v>45454</v>
      </c>
      <c r="K3205" s="4">
        <f>ClientiBanca[[#This Row],[Prestito]]+ClientiBanca[[#This Row],[Mutuo]]</f>
        <v>17300</v>
      </c>
      <c r="L3205" t="str">
        <f>IF(ClientiBanca[[#This Row],[Reddito annuo]]&gt;=70000,"si","no")</f>
        <v>si</v>
      </c>
    </row>
    <row r="3206" spans="1:12">
      <c r="A3206">
        <v>103205</v>
      </c>
      <c r="B3206">
        <v>64</v>
      </c>
      <c r="C3206" s="2">
        <v>72100</v>
      </c>
      <c r="D3206" t="s">
        <v>22</v>
      </c>
      <c r="E3206" s="2">
        <v>0</v>
      </c>
      <c r="F3206" s="2">
        <v>116000</v>
      </c>
      <c r="G3206" t="s">
        <v>24</v>
      </c>
      <c r="H3206" t="s">
        <v>17</v>
      </c>
      <c r="I3206" t="s">
        <v>18</v>
      </c>
      <c r="J3206" s="3">
        <v>45882</v>
      </c>
      <c r="K3206" s="4">
        <f>ClientiBanca[[#This Row],[Prestito]]+ClientiBanca[[#This Row],[Mutuo]]</f>
        <v>116000</v>
      </c>
      <c r="L3206" t="str">
        <f>IF(ClientiBanca[[#This Row],[Reddito annuo]]&gt;=70000,"si","no")</f>
        <v>si</v>
      </c>
    </row>
    <row r="3207" spans="1:12">
      <c r="A3207">
        <v>103206</v>
      </c>
      <c r="B3207">
        <v>55</v>
      </c>
      <c r="C3207" s="2">
        <v>29900</v>
      </c>
      <c r="D3207" t="s">
        <v>21</v>
      </c>
      <c r="E3207" s="2">
        <v>29300</v>
      </c>
      <c r="F3207" s="2">
        <v>0</v>
      </c>
      <c r="G3207" t="s">
        <v>19</v>
      </c>
      <c r="H3207" t="s">
        <v>20</v>
      </c>
      <c r="I3207" t="s">
        <v>18</v>
      </c>
      <c r="J3207" s="3">
        <v>45794</v>
      </c>
      <c r="K3207" s="4">
        <f>ClientiBanca[[#This Row],[Prestito]]+ClientiBanca[[#This Row],[Mutuo]]</f>
        <v>29300</v>
      </c>
      <c r="L3207" t="str">
        <f>IF(ClientiBanca[[#This Row],[Reddito annuo]]&gt;=70000,"si","no")</f>
        <v>no</v>
      </c>
    </row>
    <row r="3208" spans="1:12">
      <c r="A3208">
        <v>103207</v>
      </c>
      <c r="B3208">
        <v>46</v>
      </c>
      <c r="C3208" s="2">
        <v>23900</v>
      </c>
      <c r="D3208" t="s">
        <v>12</v>
      </c>
      <c r="E3208" s="2">
        <v>0</v>
      </c>
      <c r="F3208" s="2">
        <v>0</v>
      </c>
      <c r="G3208" t="s">
        <v>16</v>
      </c>
      <c r="H3208" t="s">
        <v>25</v>
      </c>
      <c r="I3208" t="s">
        <v>18</v>
      </c>
      <c r="J3208" s="3">
        <v>46265</v>
      </c>
      <c r="K3208" s="4">
        <f>ClientiBanca[[#This Row],[Prestito]]+ClientiBanca[[#This Row],[Mutuo]]</f>
        <v>0</v>
      </c>
      <c r="L3208" t="str">
        <f>IF(ClientiBanca[[#This Row],[Reddito annuo]]&gt;=70000,"si","no")</f>
        <v>no</v>
      </c>
    </row>
    <row r="3209" spans="1:12">
      <c r="A3209">
        <v>103208</v>
      </c>
      <c r="B3209">
        <v>36</v>
      </c>
      <c r="C3209" s="2">
        <v>55700</v>
      </c>
      <c r="D3209" t="s">
        <v>12</v>
      </c>
      <c r="E3209" s="2">
        <v>55900</v>
      </c>
      <c r="F3209" s="2">
        <v>0</v>
      </c>
      <c r="G3209" t="s">
        <v>19</v>
      </c>
      <c r="H3209" t="s">
        <v>17</v>
      </c>
      <c r="I3209" t="s">
        <v>18</v>
      </c>
      <c r="J3209" s="3">
        <v>45768</v>
      </c>
      <c r="K3209" s="4">
        <f>ClientiBanca[[#This Row],[Prestito]]+ClientiBanca[[#This Row],[Mutuo]]</f>
        <v>55900</v>
      </c>
      <c r="L3209" t="str">
        <f>IF(ClientiBanca[[#This Row],[Reddito annuo]]&gt;=70000,"si","no")</f>
        <v>no</v>
      </c>
    </row>
    <row r="3210" spans="1:12">
      <c r="A3210">
        <v>103209</v>
      </c>
      <c r="B3210">
        <v>64</v>
      </c>
      <c r="C3210" s="2">
        <v>44100</v>
      </c>
      <c r="D3210" t="s">
        <v>21</v>
      </c>
      <c r="E3210" s="2">
        <v>0</v>
      </c>
      <c r="F3210" s="2">
        <v>0</v>
      </c>
      <c r="G3210" t="s">
        <v>28</v>
      </c>
      <c r="H3210" t="s">
        <v>20</v>
      </c>
      <c r="I3210" t="s">
        <v>18</v>
      </c>
      <c r="J3210" s="3">
        <v>46005</v>
      </c>
      <c r="K3210" s="4">
        <f>ClientiBanca[[#This Row],[Prestito]]+ClientiBanca[[#This Row],[Mutuo]]</f>
        <v>0</v>
      </c>
      <c r="L3210" t="str">
        <f>IF(ClientiBanca[[#This Row],[Reddito annuo]]&gt;=70000,"si","no")</f>
        <v>no</v>
      </c>
    </row>
    <row r="3211" spans="1:12">
      <c r="A3211">
        <v>103210</v>
      </c>
      <c r="B3211">
        <v>64</v>
      </c>
      <c r="C3211" s="2">
        <v>67700</v>
      </c>
      <c r="D3211" t="s">
        <v>21</v>
      </c>
      <c r="E3211" s="2">
        <v>31400</v>
      </c>
      <c r="F3211" s="2">
        <v>0</v>
      </c>
      <c r="G3211" t="s">
        <v>16</v>
      </c>
      <c r="H3211" t="s">
        <v>20</v>
      </c>
      <c r="I3211" t="s">
        <v>18</v>
      </c>
      <c r="J3211" s="3">
        <v>45818</v>
      </c>
      <c r="K3211" s="4">
        <f>ClientiBanca[[#This Row],[Prestito]]+ClientiBanca[[#This Row],[Mutuo]]</f>
        <v>31400</v>
      </c>
      <c r="L3211" t="str">
        <f>IF(ClientiBanca[[#This Row],[Reddito annuo]]&gt;=70000,"si","no")</f>
        <v>no</v>
      </c>
    </row>
    <row r="3212" spans="1:12">
      <c r="A3212">
        <v>103211</v>
      </c>
      <c r="B3212">
        <v>52</v>
      </c>
      <c r="C3212" s="2">
        <v>67700</v>
      </c>
      <c r="D3212" t="s">
        <v>22</v>
      </c>
      <c r="E3212" s="2">
        <v>23700</v>
      </c>
      <c r="F3212" s="2">
        <v>0</v>
      </c>
      <c r="G3212" t="s">
        <v>27</v>
      </c>
      <c r="H3212" t="s">
        <v>14</v>
      </c>
      <c r="I3212" t="s">
        <v>18</v>
      </c>
      <c r="J3212" s="3">
        <v>46107</v>
      </c>
      <c r="K3212" s="4">
        <f>ClientiBanca[[#This Row],[Prestito]]+ClientiBanca[[#This Row],[Mutuo]]</f>
        <v>23700</v>
      </c>
      <c r="L3212" t="str">
        <f>IF(ClientiBanca[[#This Row],[Reddito annuo]]&gt;=70000,"si","no")</f>
        <v>no</v>
      </c>
    </row>
    <row r="3213" spans="1:12">
      <c r="A3213">
        <v>103212</v>
      </c>
      <c r="B3213">
        <v>29</v>
      </c>
      <c r="C3213" s="2">
        <v>97600</v>
      </c>
      <c r="D3213" t="s">
        <v>12</v>
      </c>
      <c r="E3213" s="2">
        <v>42500</v>
      </c>
      <c r="F3213" s="2">
        <v>0</v>
      </c>
      <c r="G3213" t="s">
        <v>13</v>
      </c>
      <c r="H3213" t="s">
        <v>20</v>
      </c>
      <c r="I3213" t="s">
        <v>15</v>
      </c>
      <c r="J3213" s="3">
        <v>45492</v>
      </c>
      <c r="K3213" s="4">
        <f>ClientiBanca[[#This Row],[Prestito]]+ClientiBanca[[#This Row],[Mutuo]]</f>
        <v>42500</v>
      </c>
      <c r="L3213" t="str">
        <f>IF(ClientiBanca[[#This Row],[Reddito annuo]]&gt;=70000,"si","no")</f>
        <v>si</v>
      </c>
    </row>
    <row r="3214" spans="1:12">
      <c r="A3214">
        <v>103213</v>
      </c>
      <c r="B3214">
        <v>75</v>
      </c>
      <c r="C3214" s="2">
        <v>59300</v>
      </c>
      <c r="D3214" t="s">
        <v>12</v>
      </c>
      <c r="E3214" s="2">
        <v>0</v>
      </c>
      <c r="F3214" s="2">
        <v>185000</v>
      </c>
      <c r="G3214" t="s">
        <v>16</v>
      </c>
      <c r="H3214" t="s">
        <v>17</v>
      </c>
      <c r="I3214" t="s">
        <v>18</v>
      </c>
      <c r="J3214" s="3">
        <v>45302</v>
      </c>
      <c r="K3214" s="4">
        <f>ClientiBanca[[#This Row],[Prestito]]+ClientiBanca[[#This Row],[Mutuo]]</f>
        <v>185000</v>
      </c>
      <c r="L3214" t="str">
        <f>IF(ClientiBanca[[#This Row],[Reddito annuo]]&gt;=70000,"si","no")</f>
        <v>no</v>
      </c>
    </row>
    <row r="3215" spans="1:12">
      <c r="A3215">
        <v>103214</v>
      </c>
      <c r="B3215">
        <v>70</v>
      </c>
      <c r="C3215" s="2">
        <v>41300</v>
      </c>
      <c r="D3215" t="s">
        <v>12</v>
      </c>
      <c r="E3215" s="2">
        <v>0</v>
      </c>
      <c r="F3215" s="2">
        <v>0</v>
      </c>
      <c r="G3215" t="s">
        <v>26</v>
      </c>
      <c r="H3215" t="s">
        <v>25</v>
      </c>
      <c r="I3215" t="s">
        <v>18</v>
      </c>
      <c r="J3215" s="3">
        <v>46182</v>
      </c>
      <c r="K3215" s="4">
        <f>ClientiBanca[[#This Row],[Prestito]]+ClientiBanca[[#This Row],[Mutuo]]</f>
        <v>0</v>
      </c>
      <c r="L3215" t="str">
        <f>IF(ClientiBanca[[#This Row],[Reddito annuo]]&gt;=70000,"si","no")</f>
        <v>no</v>
      </c>
    </row>
    <row r="3216" spans="1:12">
      <c r="A3216">
        <v>103215</v>
      </c>
      <c r="B3216">
        <v>56</v>
      </c>
      <c r="C3216" s="2">
        <v>90100</v>
      </c>
      <c r="D3216" t="s">
        <v>12</v>
      </c>
      <c r="E3216" s="2">
        <v>38600</v>
      </c>
      <c r="F3216" s="2">
        <v>130000</v>
      </c>
      <c r="G3216" t="s">
        <v>24</v>
      </c>
      <c r="H3216" t="s">
        <v>17</v>
      </c>
      <c r="I3216" t="s">
        <v>18</v>
      </c>
      <c r="J3216" s="3">
        <v>45428</v>
      </c>
      <c r="K3216" s="4">
        <f>ClientiBanca[[#This Row],[Prestito]]+ClientiBanca[[#This Row],[Mutuo]]</f>
        <v>168600</v>
      </c>
      <c r="L3216" t="str">
        <f>IF(ClientiBanca[[#This Row],[Reddito annuo]]&gt;=70000,"si","no")</f>
        <v>si</v>
      </c>
    </row>
    <row r="3217" spans="1:12">
      <c r="A3217">
        <v>103216</v>
      </c>
      <c r="B3217">
        <v>55</v>
      </c>
      <c r="C3217" s="2">
        <v>74300</v>
      </c>
      <c r="D3217" t="s">
        <v>21</v>
      </c>
      <c r="E3217" s="2">
        <v>45400</v>
      </c>
      <c r="F3217" s="2">
        <v>187000</v>
      </c>
      <c r="G3217" t="s">
        <v>27</v>
      </c>
      <c r="H3217" t="s">
        <v>20</v>
      </c>
      <c r="I3217" t="s">
        <v>18</v>
      </c>
      <c r="J3217" s="3">
        <v>45923</v>
      </c>
      <c r="K3217" s="4">
        <f>ClientiBanca[[#This Row],[Prestito]]+ClientiBanca[[#This Row],[Mutuo]]</f>
        <v>232400</v>
      </c>
      <c r="L3217" t="str">
        <f>IF(ClientiBanca[[#This Row],[Reddito annuo]]&gt;=70000,"si","no")</f>
        <v>si</v>
      </c>
    </row>
    <row r="3218" spans="1:12">
      <c r="A3218">
        <v>103217</v>
      </c>
      <c r="B3218">
        <v>55</v>
      </c>
      <c r="C3218" s="2">
        <v>73900</v>
      </c>
      <c r="D3218" t="s">
        <v>12</v>
      </c>
      <c r="E3218" s="2">
        <v>4000</v>
      </c>
      <c r="F3218" s="2">
        <v>0</v>
      </c>
      <c r="G3218" t="s">
        <v>28</v>
      </c>
      <c r="H3218" t="s">
        <v>20</v>
      </c>
      <c r="I3218" t="s">
        <v>18</v>
      </c>
      <c r="J3218" s="3">
        <v>46033</v>
      </c>
      <c r="K3218" s="4">
        <f>ClientiBanca[[#This Row],[Prestito]]+ClientiBanca[[#This Row],[Mutuo]]</f>
        <v>4000</v>
      </c>
      <c r="L3218" t="str">
        <f>IF(ClientiBanca[[#This Row],[Reddito annuo]]&gt;=70000,"si","no")</f>
        <v>si</v>
      </c>
    </row>
    <row r="3219" spans="1:12">
      <c r="A3219">
        <v>103218</v>
      </c>
      <c r="B3219">
        <v>63</v>
      </c>
      <c r="C3219" s="2">
        <v>53100</v>
      </c>
      <c r="D3219" t="s">
        <v>22</v>
      </c>
      <c r="E3219" s="2">
        <v>17500</v>
      </c>
      <c r="F3219" s="2">
        <v>0</v>
      </c>
      <c r="G3219" t="s">
        <v>13</v>
      </c>
      <c r="H3219" t="s">
        <v>14</v>
      </c>
      <c r="I3219" t="s">
        <v>15</v>
      </c>
      <c r="J3219" s="3">
        <v>46138</v>
      </c>
      <c r="K3219" s="4">
        <f>ClientiBanca[[#This Row],[Prestito]]+ClientiBanca[[#This Row],[Mutuo]]</f>
        <v>17500</v>
      </c>
      <c r="L3219" t="str">
        <f>IF(ClientiBanca[[#This Row],[Reddito annuo]]&gt;=70000,"si","no")</f>
        <v>no</v>
      </c>
    </row>
    <row r="3220" spans="1:12">
      <c r="A3220">
        <v>103219</v>
      </c>
      <c r="B3220">
        <v>38</v>
      </c>
      <c r="C3220" s="2">
        <v>30500</v>
      </c>
      <c r="D3220" t="s">
        <v>21</v>
      </c>
      <c r="E3220" s="2">
        <v>36500</v>
      </c>
      <c r="F3220" s="2">
        <v>0</v>
      </c>
      <c r="G3220" t="s">
        <v>28</v>
      </c>
      <c r="H3220" t="s">
        <v>14</v>
      </c>
      <c r="I3220" t="s">
        <v>18</v>
      </c>
      <c r="J3220" s="3">
        <v>45447</v>
      </c>
      <c r="K3220" s="4">
        <f>ClientiBanca[[#This Row],[Prestito]]+ClientiBanca[[#This Row],[Mutuo]]</f>
        <v>36500</v>
      </c>
      <c r="L3220" t="str">
        <f>IF(ClientiBanca[[#This Row],[Reddito annuo]]&gt;=70000,"si","no")</f>
        <v>no</v>
      </c>
    </row>
    <row r="3221" spans="1:12">
      <c r="A3221">
        <v>103220</v>
      </c>
      <c r="B3221">
        <v>61</v>
      </c>
      <c r="C3221" s="2">
        <v>100600</v>
      </c>
      <c r="D3221" t="s">
        <v>21</v>
      </c>
      <c r="E3221" s="2">
        <v>24700</v>
      </c>
      <c r="F3221" s="2">
        <v>97000</v>
      </c>
      <c r="G3221" t="s">
        <v>27</v>
      </c>
      <c r="H3221" t="s">
        <v>20</v>
      </c>
      <c r="I3221" t="s">
        <v>18</v>
      </c>
      <c r="J3221" s="3">
        <v>46126</v>
      </c>
      <c r="K3221" s="4">
        <f>ClientiBanca[[#This Row],[Prestito]]+ClientiBanca[[#This Row],[Mutuo]]</f>
        <v>121700</v>
      </c>
      <c r="L3221" t="str">
        <f>IF(ClientiBanca[[#This Row],[Reddito annuo]]&gt;=70000,"si","no")</f>
        <v>si</v>
      </c>
    </row>
    <row r="3222" spans="1:12">
      <c r="A3222">
        <v>103221</v>
      </c>
      <c r="B3222">
        <v>26</v>
      </c>
      <c r="C3222" s="2">
        <v>59500</v>
      </c>
      <c r="D3222" t="s">
        <v>12</v>
      </c>
      <c r="E3222" s="2">
        <v>17800</v>
      </c>
      <c r="F3222" s="2">
        <v>0</v>
      </c>
      <c r="G3222" t="s">
        <v>24</v>
      </c>
      <c r="H3222" t="s">
        <v>17</v>
      </c>
      <c r="I3222" t="s">
        <v>18</v>
      </c>
      <c r="J3222" s="3">
        <v>45776</v>
      </c>
      <c r="K3222" s="4">
        <f>ClientiBanca[[#This Row],[Prestito]]+ClientiBanca[[#This Row],[Mutuo]]</f>
        <v>17800</v>
      </c>
      <c r="L3222" t="str">
        <f>IF(ClientiBanca[[#This Row],[Reddito annuo]]&gt;=70000,"si","no")</f>
        <v>no</v>
      </c>
    </row>
    <row r="3223" spans="1:12">
      <c r="A3223">
        <v>103222</v>
      </c>
      <c r="B3223">
        <v>30</v>
      </c>
      <c r="C3223" s="2">
        <v>74400</v>
      </c>
      <c r="D3223" t="s">
        <v>22</v>
      </c>
      <c r="E3223" s="2">
        <v>45200</v>
      </c>
      <c r="F3223" s="2">
        <v>117000</v>
      </c>
      <c r="G3223" t="s">
        <v>24</v>
      </c>
      <c r="H3223" t="s">
        <v>17</v>
      </c>
      <c r="I3223" t="s">
        <v>18</v>
      </c>
      <c r="J3223" s="3">
        <v>45665</v>
      </c>
      <c r="K3223" s="4">
        <f>ClientiBanca[[#This Row],[Prestito]]+ClientiBanca[[#This Row],[Mutuo]]</f>
        <v>162200</v>
      </c>
      <c r="L3223" t="str">
        <f>IF(ClientiBanca[[#This Row],[Reddito annuo]]&gt;=70000,"si","no")</f>
        <v>si</v>
      </c>
    </row>
    <row r="3224" spans="1:12">
      <c r="A3224">
        <v>103223</v>
      </c>
      <c r="B3224">
        <v>59</v>
      </c>
      <c r="C3224" s="2">
        <v>84600</v>
      </c>
      <c r="D3224" t="s">
        <v>21</v>
      </c>
      <c r="E3224" s="2">
        <v>44600</v>
      </c>
      <c r="F3224" s="2">
        <v>0</v>
      </c>
      <c r="G3224" t="s">
        <v>19</v>
      </c>
      <c r="H3224" t="s">
        <v>17</v>
      </c>
      <c r="I3224" t="s">
        <v>18</v>
      </c>
      <c r="J3224" s="3">
        <v>45724</v>
      </c>
      <c r="K3224" s="4">
        <f>ClientiBanca[[#This Row],[Prestito]]+ClientiBanca[[#This Row],[Mutuo]]</f>
        <v>44600</v>
      </c>
      <c r="L3224" t="str">
        <f>IF(ClientiBanca[[#This Row],[Reddito annuo]]&gt;=70000,"si","no")</f>
        <v>si</v>
      </c>
    </row>
    <row r="3225" spans="1:12">
      <c r="A3225">
        <v>103224</v>
      </c>
      <c r="B3225">
        <v>40</v>
      </c>
      <c r="C3225" s="2">
        <v>66800</v>
      </c>
      <c r="D3225" t="s">
        <v>12</v>
      </c>
      <c r="E3225" s="2">
        <v>23800</v>
      </c>
      <c r="F3225" s="2">
        <v>0</v>
      </c>
      <c r="G3225" t="s">
        <v>24</v>
      </c>
      <c r="H3225" t="s">
        <v>17</v>
      </c>
      <c r="I3225" t="s">
        <v>18</v>
      </c>
      <c r="J3225" s="3">
        <v>45986</v>
      </c>
      <c r="K3225" s="4">
        <f>ClientiBanca[[#This Row],[Prestito]]+ClientiBanca[[#This Row],[Mutuo]]</f>
        <v>23800</v>
      </c>
      <c r="L3225" t="str">
        <f>IF(ClientiBanca[[#This Row],[Reddito annuo]]&gt;=70000,"si","no")</f>
        <v>no</v>
      </c>
    </row>
    <row r="3226" spans="1:12">
      <c r="A3226">
        <v>103225</v>
      </c>
      <c r="B3226">
        <v>63</v>
      </c>
      <c r="C3226" s="2">
        <v>68400</v>
      </c>
      <c r="D3226" t="s">
        <v>12</v>
      </c>
      <c r="E3226" s="2">
        <v>17300</v>
      </c>
      <c r="F3226" s="2">
        <v>0</v>
      </c>
      <c r="G3226" t="s">
        <v>16</v>
      </c>
      <c r="H3226" t="s">
        <v>20</v>
      </c>
      <c r="I3226" t="s">
        <v>18</v>
      </c>
      <c r="J3226" s="3">
        <v>46028</v>
      </c>
      <c r="K3226" s="4">
        <f>ClientiBanca[[#This Row],[Prestito]]+ClientiBanca[[#This Row],[Mutuo]]</f>
        <v>17300</v>
      </c>
      <c r="L3226" t="str">
        <f>IF(ClientiBanca[[#This Row],[Reddito annuo]]&gt;=70000,"si","no")</f>
        <v>no</v>
      </c>
    </row>
    <row r="3227" spans="1:12">
      <c r="A3227">
        <v>103226</v>
      </c>
      <c r="B3227">
        <v>33</v>
      </c>
      <c r="C3227" s="2">
        <v>55800</v>
      </c>
      <c r="D3227" t="s">
        <v>21</v>
      </c>
      <c r="E3227" s="2">
        <v>0</v>
      </c>
      <c r="F3227" s="2">
        <v>0</v>
      </c>
      <c r="G3227" t="s">
        <v>19</v>
      </c>
      <c r="H3227" t="s">
        <v>20</v>
      </c>
      <c r="I3227" t="s">
        <v>18</v>
      </c>
      <c r="J3227" s="3">
        <v>46211</v>
      </c>
      <c r="K3227" s="4">
        <f>ClientiBanca[[#This Row],[Prestito]]+ClientiBanca[[#This Row],[Mutuo]]</f>
        <v>0</v>
      </c>
      <c r="L3227" t="str">
        <f>IF(ClientiBanca[[#This Row],[Reddito annuo]]&gt;=70000,"si","no")</f>
        <v>no</v>
      </c>
    </row>
    <row r="3228" spans="1:12">
      <c r="A3228">
        <v>103227</v>
      </c>
      <c r="B3228">
        <v>32</v>
      </c>
      <c r="C3228" s="2">
        <v>43400</v>
      </c>
      <c r="D3228" t="s">
        <v>22</v>
      </c>
      <c r="E3228" s="2">
        <v>0</v>
      </c>
      <c r="F3228" s="2">
        <v>0</v>
      </c>
      <c r="G3228" t="s">
        <v>28</v>
      </c>
      <c r="H3228" t="s">
        <v>14</v>
      </c>
      <c r="I3228" t="s">
        <v>18</v>
      </c>
      <c r="J3228" s="3">
        <v>46107</v>
      </c>
      <c r="K3228" s="4">
        <f>ClientiBanca[[#This Row],[Prestito]]+ClientiBanca[[#This Row],[Mutuo]]</f>
        <v>0</v>
      </c>
      <c r="L3228" t="str">
        <f>IF(ClientiBanca[[#This Row],[Reddito annuo]]&gt;=70000,"si","no")</f>
        <v>no</v>
      </c>
    </row>
    <row r="3229" spans="1:12">
      <c r="A3229">
        <v>103228</v>
      </c>
      <c r="B3229">
        <v>68</v>
      </c>
      <c r="C3229" s="2">
        <v>52800</v>
      </c>
      <c r="D3229" t="s">
        <v>12</v>
      </c>
      <c r="E3229" s="2">
        <v>0</v>
      </c>
      <c r="F3229" s="2">
        <v>0</v>
      </c>
      <c r="G3229" t="s">
        <v>16</v>
      </c>
      <c r="H3229" t="s">
        <v>17</v>
      </c>
      <c r="I3229" t="s">
        <v>18</v>
      </c>
      <c r="J3229" s="3">
        <v>46053</v>
      </c>
      <c r="K3229" s="4">
        <f>ClientiBanca[[#This Row],[Prestito]]+ClientiBanca[[#This Row],[Mutuo]]</f>
        <v>0</v>
      </c>
      <c r="L3229" t="str">
        <f>IF(ClientiBanca[[#This Row],[Reddito annuo]]&gt;=70000,"si","no")</f>
        <v>no</v>
      </c>
    </row>
    <row r="3230" spans="1:12">
      <c r="A3230">
        <v>103229</v>
      </c>
      <c r="B3230">
        <v>63</v>
      </c>
      <c r="C3230" s="2">
        <v>98700</v>
      </c>
      <c r="D3230" t="s">
        <v>12</v>
      </c>
      <c r="E3230" s="2">
        <v>35400</v>
      </c>
      <c r="F3230" s="2">
        <v>0</v>
      </c>
      <c r="G3230" t="s">
        <v>13</v>
      </c>
      <c r="H3230" t="s">
        <v>17</v>
      </c>
      <c r="I3230" t="s">
        <v>18</v>
      </c>
      <c r="J3230" s="3">
        <v>45905</v>
      </c>
      <c r="K3230" s="4">
        <f>ClientiBanca[[#This Row],[Prestito]]+ClientiBanca[[#This Row],[Mutuo]]</f>
        <v>35400</v>
      </c>
      <c r="L3230" t="str">
        <f>IF(ClientiBanca[[#This Row],[Reddito annuo]]&gt;=70000,"si","no")</f>
        <v>si</v>
      </c>
    </row>
    <row r="3231" spans="1:12">
      <c r="A3231">
        <v>103230</v>
      </c>
      <c r="B3231">
        <v>62</v>
      </c>
      <c r="C3231" s="2">
        <v>29200</v>
      </c>
      <c r="D3231" t="s">
        <v>21</v>
      </c>
      <c r="E3231" s="2">
        <v>36500</v>
      </c>
      <c r="F3231" s="2">
        <v>0</v>
      </c>
      <c r="G3231" t="s">
        <v>13</v>
      </c>
      <c r="H3231" t="s">
        <v>17</v>
      </c>
      <c r="I3231" t="s">
        <v>18</v>
      </c>
      <c r="J3231" s="3">
        <v>45327</v>
      </c>
      <c r="K3231" s="4">
        <f>ClientiBanca[[#This Row],[Prestito]]+ClientiBanca[[#This Row],[Mutuo]]</f>
        <v>36500</v>
      </c>
      <c r="L3231" t="str">
        <f>IF(ClientiBanca[[#This Row],[Reddito annuo]]&gt;=70000,"si","no")</f>
        <v>no</v>
      </c>
    </row>
    <row r="3232" spans="1:12">
      <c r="A3232">
        <v>103231</v>
      </c>
      <c r="B3232">
        <v>52</v>
      </c>
      <c r="C3232" s="2">
        <v>30500</v>
      </c>
      <c r="D3232" t="s">
        <v>22</v>
      </c>
      <c r="E3232" s="2">
        <v>0</v>
      </c>
      <c r="F3232" s="2">
        <v>0</v>
      </c>
      <c r="G3232" t="s">
        <v>24</v>
      </c>
      <c r="H3232" t="s">
        <v>17</v>
      </c>
      <c r="I3232" t="s">
        <v>18</v>
      </c>
      <c r="J3232" s="3">
        <v>45338</v>
      </c>
      <c r="K3232" s="4">
        <f>ClientiBanca[[#This Row],[Prestito]]+ClientiBanca[[#This Row],[Mutuo]]</f>
        <v>0</v>
      </c>
      <c r="L3232" t="str">
        <f>IF(ClientiBanca[[#This Row],[Reddito annuo]]&gt;=70000,"si","no")</f>
        <v>no</v>
      </c>
    </row>
    <row r="3233" spans="1:12">
      <c r="A3233">
        <v>103232</v>
      </c>
      <c r="B3233">
        <v>63</v>
      </c>
      <c r="C3233" s="2">
        <v>50300</v>
      </c>
      <c r="D3233" t="s">
        <v>21</v>
      </c>
      <c r="E3233" s="2">
        <v>37500</v>
      </c>
      <c r="F3233" s="2">
        <v>0</v>
      </c>
      <c r="G3233" t="s">
        <v>16</v>
      </c>
      <c r="H3233" t="s">
        <v>20</v>
      </c>
      <c r="I3233" t="s">
        <v>18</v>
      </c>
      <c r="J3233" s="3">
        <v>46075</v>
      </c>
      <c r="K3233" s="4">
        <f>ClientiBanca[[#This Row],[Prestito]]+ClientiBanca[[#This Row],[Mutuo]]</f>
        <v>37500</v>
      </c>
      <c r="L3233" t="str">
        <f>IF(ClientiBanca[[#This Row],[Reddito annuo]]&gt;=70000,"si","no")</f>
        <v>no</v>
      </c>
    </row>
    <row r="3234" spans="1:12">
      <c r="A3234">
        <v>103233</v>
      </c>
      <c r="B3234">
        <v>35</v>
      </c>
      <c r="C3234" s="2">
        <v>48000</v>
      </c>
      <c r="D3234" t="s">
        <v>22</v>
      </c>
      <c r="E3234" s="2">
        <v>0</v>
      </c>
      <c r="F3234" s="2">
        <v>326000</v>
      </c>
      <c r="G3234" t="s">
        <v>13</v>
      </c>
      <c r="H3234" t="s">
        <v>17</v>
      </c>
      <c r="I3234" t="s">
        <v>18</v>
      </c>
      <c r="J3234" s="3">
        <v>45350</v>
      </c>
      <c r="K3234" s="4">
        <f>ClientiBanca[[#This Row],[Prestito]]+ClientiBanca[[#This Row],[Mutuo]]</f>
        <v>326000</v>
      </c>
      <c r="L3234" t="str">
        <f>IF(ClientiBanca[[#This Row],[Reddito annuo]]&gt;=70000,"si","no")</f>
        <v>no</v>
      </c>
    </row>
    <row r="3235" spans="1:12">
      <c r="A3235">
        <v>103234</v>
      </c>
      <c r="B3235">
        <v>64</v>
      </c>
      <c r="C3235" s="2">
        <v>61100</v>
      </c>
      <c r="D3235" t="s">
        <v>12</v>
      </c>
      <c r="E3235" s="2">
        <v>0</v>
      </c>
      <c r="F3235" s="2">
        <v>0</v>
      </c>
      <c r="G3235" t="s">
        <v>26</v>
      </c>
      <c r="H3235" t="s">
        <v>17</v>
      </c>
      <c r="I3235" t="s">
        <v>18</v>
      </c>
      <c r="J3235" s="3">
        <v>45726</v>
      </c>
      <c r="K3235" s="4">
        <f>ClientiBanca[[#This Row],[Prestito]]+ClientiBanca[[#This Row],[Mutuo]]</f>
        <v>0</v>
      </c>
      <c r="L3235" t="str">
        <f>IF(ClientiBanca[[#This Row],[Reddito annuo]]&gt;=70000,"si","no")</f>
        <v>no</v>
      </c>
    </row>
    <row r="3236" spans="1:12">
      <c r="A3236">
        <v>103235</v>
      </c>
      <c r="B3236">
        <v>52</v>
      </c>
      <c r="C3236" s="2">
        <v>68000</v>
      </c>
      <c r="D3236" t="s">
        <v>12</v>
      </c>
      <c r="E3236" s="2">
        <v>0</v>
      </c>
      <c r="F3236" s="2">
        <v>0</v>
      </c>
      <c r="G3236" t="s">
        <v>24</v>
      </c>
      <c r="H3236" t="s">
        <v>20</v>
      </c>
      <c r="I3236" t="s">
        <v>18</v>
      </c>
      <c r="J3236" s="3">
        <v>45657</v>
      </c>
      <c r="K3236" s="4">
        <f>ClientiBanca[[#This Row],[Prestito]]+ClientiBanca[[#This Row],[Mutuo]]</f>
        <v>0</v>
      </c>
      <c r="L3236" t="str">
        <f>IF(ClientiBanca[[#This Row],[Reddito annuo]]&gt;=70000,"si","no")</f>
        <v>no</v>
      </c>
    </row>
    <row r="3237" spans="1:12">
      <c r="A3237">
        <v>103236</v>
      </c>
      <c r="B3237">
        <v>72</v>
      </c>
      <c r="C3237" s="2">
        <v>65400</v>
      </c>
      <c r="D3237" t="s">
        <v>21</v>
      </c>
      <c r="E3237" s="2">
        <v>10600</v>
      </c>
      <c r="F3237" s="2">
        <v>0</v>
      </c>
      <c r="G3237" t="s">
        <v>23</v>
      </c>
      <c r="H3237" t="s">
        <v>17</v>
      </c>
      <c r="I3237" t="s">
        <v>18</v>
      </c>
      <c r="J3237" s="3">
        <v>46163</v>
      </c>
      <c r="K3237" s="4">
        <f>ClientiBanca[[#This Row],[Prestito]]+ClientiBanca[[#This Row],[Mutuo]]</f>
        <v>10600</v>
      </c>
      <c r="L3237" t="str">
        <f>IF(ClientiBanca[[#This Row],[Reddito annuo]]&gt;=70000,"si","no")</f>
        <v>no</v>
      </c>
    </row>
    <row r="3238" spans="1:12">
      <c r="A3238">
        <v>103237</v>
      </c>
      <c r="B3238">
        <v>54</v>
      </c>
      <c r="C3238" s="2">
        <v>22700</v>
      </c>
      <c r="D3238" t="s">
        <v>12</v>
      </c>
      <c r="E3238" s="2">
        <v>0</v>
      </c>
      <c r="F3238" s="2">
        <v>307000</v>
      </c>
      <c r="G3238" t="s">
        <v>26</v>
      </c>
      <c r="H3238" t="s">
        <v>17</v>
      </c>
      <c r="I3238" t="s">
        <v>18</v>
      </c>
      <c r="J3238" s="3">
        <v>45922</v>
      </c>
      <c r="K3238" s="4">
        <f>ClientiBanca[[#This Row],[Prestito]]+ClientiBanca[[#This Row],[Mutuo]]</f>
        <v>307000</v>
      </c>
      <c r="L3238" t="str">
        <f>IF(ClientiBanca[[#This Row],[Reddito annuo]]&gt;=70000,"si","no")</f>
        <v>no</v>
      </c>
    </row>
    <row r="3239" spans="1:12">
      <c r="A3239">
        <v>103238</v>
      </c>
      <c r="B3239">
        <v>51</v>
      </c>
      <c r="C3239" s="2">
        <v>72300</v>
      </c>
      <c r="D3239" t="s">
        <v>21</v>
      </c>
      <c r="E3239" s="2">
        <v>24900</v>
      </c>
      <c r="F3239" s="2">
        <v>0</v>
      </c>
      <c r="G3239" t="s">
        <v>24</v>
      </c>
      <c r="H3239" t="s">
        <v>14</v>
      </c>
      <c r="I3239" t="s">
        <v>18</v>
      </c>
      <c r="J3239" s="3">
        <v>46197</v>
      </c>
      <c r="K3239" s="4">
        <f>ClientiBanca[[#This Row],[Prestito]]+ClientiBanca[[#This Row],[Mutuo]]</f>
        <v>24900</v>
      </c>
      <c r="L3239" t="str">
        <f>IF(ClientiBanca[[#This Row],[Reddito annuo]]&gt;=70000,"si","no")</f>
        <v>si</v>
      </c>
    </row>
    <row r="3240" spans="1:12">
      <c r="A3240">
        <v>103239</v>
      </c>
      <c r="B3240">
        <v>50</v>
      </c>
      <c r="C3240" s="2">
        <v>102200</v>
      </c>
      <c r="D3240" t="s">
        <v>12</v>
      </c>
      <c r="E3240" s="2">
        <v>40300</v>
      </c>
      <c r="F3240" s="2">
        <v>0</v>
      </c>
      <c r="G3240" t="s">
        <v>26</v>
      </c>
      <c r="H3240" t="s">
        <v>20</v>
      </c>
      <c r="I3240" t="s">
        <v>18</v>
      </c>
      <c r="J3240" s="3">
        <v>45915</v>
      </c>
      <c r="K3240" s="4">
        <f>ClientiBanca[[#This Row],[Prestito]]+ClientiBanca[[#This Row],[Mutuo]]</f>
        <v>40300</v>
      </c>
      <c r="L3240" t="str">
        <f>IF(ClientiBanca[[#This Row],[Reddito annuo]]&gt;=70000,"si","no")</f>
        <v>si</v>
      </c>
    </row>
    <row r="3241" spans="1:12">
      <c r="A3241">
        <v>103240</v>
      </c>
      <c r="B3241">
        <v>66</v>
      </c>
      <c r="C3241" s="2">
        <v>62700</v>
      </c>
      <c r="D3241" t="s">
        <v>21</v>
      </c>
      <c r="E3241" s="2">
        <v>23200</v>
      </c>
      <c r="F3241" s="2">
        <v>0</v>
      </c>
      <c r="G3241" t="s">
        <v>28</v>
      </c>
      <c r="H3241" t="s">
        <v>25</v>
      </c>
      <c r="I3241" t="s">
        <v>18</v>
      </c>
      <c r="J3241" s="3">
        <v>45852</v>
      </c>
      <c r="K3241" s="4">
        <f>ClientiBanca[[#This Row],[Prestito]]+ClientiBanca[[#This Row],[Mutuo]]</f>
        <v>23200</v>
      </c>
      <c r="L3241" t="str">
        <f>IF(ClientiBanca[[#This Row],[Reddito annuo]]&gt;=70000,"si","no")</f>
        <v>no</v>
      </c>
    </row>
    <row r="3242" spans="1:12">
      <c r="A3242">
        <v>103241</v>
      </c>
      <c r="B3242">
        <v>36</v>
      </c>
      <c r="C3242" s="2">
        <v>74000</v>
      </c>
      <c r="D3242" t="s">
        <v>22</v>
      </c>
      <c r="E3242" s="2">
        <v>0</v>
      </c>
      <c r="F3242" s="2">
        <v>193000</v>
      </c>
      <c r="G3242" t="s">
        <v>28</v>
      </c>
      <c r="H3242" t="s">
        <v>20</v>
      </c>
      <c r="I3242" t="s">
        <v>18</v>
      </c>
      <c r="J3242" s="3">
        <v>45636</v>
      </c>
      <c r="K3242" s="4">
        <f>ClientiBanca[[#This Row],[Prestito]]+ClientiBanca[[#This Row],[Mutuo]]</f>
        <v>193000</v>
      </c>
      <c r="L3242" t="str">
        <f>IF(ClientiBanca[[#This Row],[Reddito annuo]]&gt;=70000,"si","no")</f>
        <v>si</v>
      </c>
    </row>
    <row r="3243" spans="1:12">
      <c r="A3243">
        <v>103242</v>
      </c>
      <c r="B3243">
        <v>54</v>
      </c>
      <c r="C3243" s="2">
        <v>29300</v>
      </c>
      <c r="D3243" t="s">
        <v>21</v>
      </c>
      <c r="E3243" s="2">
        <v>0</v>
      </c>
      <c r="F3243" s="2">
        <v>0</v>
      </c>
      <c r="G3243" t="s">
        <v>24</v>
      </c>
      <c r="H3243" t="s">
        <v>17</v>
      </c>
      <c r="I3243" t="s">
        <v>18</v>
      </c>
      <c r="J3243" s="3">
        <v>46177</v>
      </c>
      <c r="K3243" s="4">
        <f>ClientiBanca[[#This Row],[Prestito]]+ClientiBanca[[#This Row],[Mutuo]]</f>
        <v>0</v>
      </c>
      <c r="L3243" t="str">
        <f>IF(ClientiBanca[[#This Row],[Reddito annuo]]&gt;=70000,"si","no")</f>
        <v>no</v>
      </c>
    </row>
    <row r="3244" spans="1:12">
      <c r="A3244">
        <v>103243</v>
      </c>
      <c r="B3244">
        <v>73</v>
      </c>
      <c r="C3244" s="2">
        <v>54900</v>
      </c>
      <c r="D3244" t="s">
        <v>22</v>
      </c>
      <c r="E3244" s="2">
        <v>40800</v>
      </c>
      <c r="F3244" s="2">
        <v>0</v>
      </c>
      <c r="G3244" t="s">
        <v>28</v>
      </c>
      <c r="H3244" t="s">
        <v>25</v>
      </c>
      <c r="I3244" t="s">
        <v>18</v>
      </c>
      <c r="J3244" s="3">
        <v>45577</v>
      </c>
      <c r="K3244" s="4">
        <f>ClientiBanca[[#This Row],[Prestito]]+ClientiBanca[[#This Row],[Mutuo]]</f>
        <v>40800</v>
      </c>
      <c r="L3244" t="str">
        <f>IF(ClientiBanca[[#This Row],[Reddito annuo]]&gt;=70000,"si","no")</f>
        <v>no</v>
      </c>
    </row>
    <row r="3245" spans="1:12">
      <c r="A3245">
        <v>103244</v>
      </c>
      <c r="B3245">
        <v>41</v>
      </c>
      <c r="C3245" s="2">
        <v>60700</v>
      </c>
      <c r="D3245" t="s">
        <v>22</v>
      </c>
      <c r="E3245" s="2">
        <v>0</v>
      </c>
      <c r="F3245" s="2">
        <v>0</v>
      </c>
      <c r="G3245" t="s">
        <v>23</v>
      </c>
      <c r="H3245" t="s">
        <v>20</v>
      </c>
      <c r="I3245" t="s">
        <v>18</v>
      </c>
      <c r="J3245" s="3">
        <v>45410</v>
      </c>
      <c r="K3245" s="4">
        <f>ClientiBanca[[#This Row],[Prestito]]+ClientiBanca[[#This Row],[Mutuo]]</f>
        <v>0</v>
      </c>
      <c r="L3245" t="str">
        <f>IF(ClientiBanca[[#This Row],[Reddito annuo]]&gt;=70000,"si","no")</f>
        <v>no</v>
      </c>
    </row>
    <row r="3246" spans="1:12">
      <c r="A3246">
        <v>103245</v>
      </c>
      <c r="B3246">
        <v>59</v>
      </c>
      <c r="C3246" s="2">
        <v>103000</v>
      </c>
      <c r="D3246" t="s">
        <v>21</v>
      </c>
      <c r="E3246" s="2">
        <v>0</v>
      </c>
      <c r="F3246" s="2">
        <v>0</v>
      </c>
      <c r="G3246" t="s">
        <v>23</v>
      </c>
      <c r="H3246" t="s">
        <v>20</v>
      </c>
      <c r="I3246" t="s">
        <v>18</v>
      </c>
      <c r="J3246" s="3">
        <v>46203</v>
      </c>
      <c r="K3246" s="4">
        <f>ClientiBanca[[#This Row],[Prestito]]+ClientiBanca[[#This Row],[Mutuo]]</f>
        <v>0</v>
      </c>
      <c r="L3246" t="str">
        <f>IF(ClientiBanca[[#This Row],[Reddito annuo]]&gt;=70000,"si","no")</f>
        <v>si</v>
      </c>
    </row>
    <row r="3247" spans="1:12">
      <c r="A3247">
        <v>103246</v>
      </c>
      <c r="B3247">
        <v>20</v>
      </c>
      <c r="C3247" s="2">
        <v>74800</v>
      </c>
      <c r="D3247" t="s">
        <v>22</v>
      </c>
      <c r="E3247" s="2">
        <v>46100</v>
      </c>
      <c r="F3247" s="2">
        <v>0</v>
      </c>
      <c r="G3247" t="s">
        <v>13</v>
      </c>
      <c r="H3247" t="s">
        <v>25</v>
      </c>
      <c r="I3247" t="s">
        <v>18</v>
      </c>
      <c r="J3247" s="3">
        <v>45549</v>
      </c>
      <c r="K3247" s="4">
        <f>ClientiBanca[[#This Row],[Prestito]]+ClientiBanca[[#This Row],[Mutuo]]</f>
        <v>46100</v>
      </c>
      <c r="L3247" t="str">
        <f>IF(ClientiBanca[[#This Row],[Reddito annuo]]&gt;=70000,"si","no")</f>
        <v>si</v>
      </c>
    </row>
    <row r="3248" spans="1:12">
      <c r="A3248">
        <v>103247</v>
      </c>
      <c r="B3248">
        <v>44</v>
      </c>
      <c r="C3248" s="2">
        <v>98000</v>
      </c>
      <c r="D3248" t="s">
        <v>12</v>
      </c>
      <c r="E3248" s="2">
        <v>16700</v>
      </c>
      <c r="F3248" s="2">
        <v>375000</v>
      </c>
      <c r="G3248" t="s">
        <v>26</v>
      </c>
      <c r="H3248" t="s">
        <v>17</v>
      </c>
      <c r="I3248" t="s">
        <v>18</v>
      </c>
      <c r="J3248" s="3">
        <v>45540</v>
      </c>
      <c r="K3248" s="4">
        <f>ClientiBanca[[#This Row],[Prestito]]+ClientiBanca[[#This Row],[Mutuo]]</f>
        <v>391700</v>
      </c>
      <c r="L3248" t="str">
        <f>IF(ClientiBanca[[#This Row],[Reddito annuo]]&gt;=70000,"si","no")</f>
        <v>si</v>
      </c>
    </row>
    <row r="3249" spans="1:12">
      <c r="A3249">
        <v>103248</v>
      </c>
      <c r="B3249">
        <v>47</v>
      </c>
      <c r="C3249" s="2">
        <v>77400</v>
      </c>
      <c r="D3249" t="s">
        <v>12</v>
      </c>
      <c r="E3249" s="2">
        <v>67600</v>
      </c>
      <c r="F3249" s="2">
        <v>180000</v>
      </c>
      <c r="G3249" t="s">
        <v>16</v>
      </c>
      <c r="H3249" t="s">
        <v>20</v>
      </c>
      <c r="I3249" t="s">
        <v>18</v>
      </c>
      <c r="J3249" s="3">
        <v>46235</v>
      </c>
      <c r="K3249" s="4">
        <f>ClientiBanca[[#This Row],[Prestito]]+ClientiBanca[[#This Row],[Mutuo]]</f>
        <v>247600</v>
      </c>
      <c r="L3249" t="str">
        <f>IF(ClientiBanca[[#This Row],[Reddito annuo]]&gt;=70000,"si","no")</f>
        <v>si</v>
      </c>
    </row>
    <row r="3250" spans="1:12">
      <c r="A3250">
        <v>103249</v>
      </c>
      <c r="B3250">
        <v>35</v>
      </c>
      <c r="C3250" s="2">
        <v>93900</v>
      </c>
      <c r="D3250" t="s">
        <v>21</v>
      </c>
      <c r="E3250" s="2">
        <v>0</v>
      </c>
      <c r="F3250" s="2">
        <v>0</v>
      </c>
      <c r="G3250" t="s">
        <v>16</v>
      </c>
      <c r="H3250" t="s">
        <v>20</v>
      </c>
      <c r="I3250" t="s">
        <v>18</v>
      </c>
      <c r="J3250" s="3">
        <v>45550</v>
      </c>
      <c r="K3250" s="4">
        <f>ClientiBanca[[#This Row],[Prestito]]+ClientiBanca[[#This Row],[Mutuo]]</f>
        <v>0</v>
      </c>
      <c r="L3250" t="str">
        <f>IF(ClientiBanca[[#This Row],[Reddito annuo]]&gt;=70000,"si","no")</f>
        <v>si</v>
      </c>
    </row>
    <row r="3251" spans="1:12">
      <c r="A3251">
        <v>103250</v>
      </c>
      <c r="B3251">
        <v>53</v>
      </c>
      <c r="C3251" s="2">
        <v>27000</v>
      </c>
      <c r="D3251" t="s">
        <v>21</v>
      </c>
      <c r="E3251" s="2">
        <v>27300</v>
      </c>
      <c r="F3251" s="2">
        <v>132000</v>
      </c>
      <c r="G3251" t="s">
        <v>26</v>
      </c>
      <c r="H3251" t="s">
        <v>17</v>
      </c>
      <c r="I3251" t="s">
        <v>15</v>
      </c>
      <c r="J3251" s="3">
        <v>46149</v>
      </c>
      <c r="K3251" s="4">
        <f>ClientiBanca[[#This Row],[Prestito]]+ClientiBanca[[#This Row],[Mutuo]]</f>
        <v>159300</v>
      </c>
      <c r="L3251" t="str">
        <f>IF(ClientiBanca[[#This Row],[Reddito annuo]]&gt;=70000,"si","no")</f>
        <v>no</v>
      </c>
    </row>
    <row r="3252" spans="1:12">
      <c r="A3252">
        <v>103251</v>
      </c>
      <c r="B3252">
        <v>48</v>
      </c>
      <c r="C3252" s="2">
        <v>110200</v>
      </c>
      <c r="D3252" t="s">
        <v>21</v>
      </c>
      <c r="E3252" s="2">
        <v>0</v>
      </c>
      <c r="F3252" s="2">
        <v>0</v>
      </c>
      <c r="G3252" t="s">
        <v>28</v>
      </c>
      <c r="H3252" t="s">
        <v>20</v>
      </c>
      <c r="I3252" t="s">
        <v>18</v>
      </c>
      <c r="J3252" s="3">
        <v>45715</v>
      </c>
      <c r="K3252" s="4">
        <f>ClientiBanca[[#This Row],[Prestito]]+ClientiBanca[[#This Row],[Mutuo]]</f>
        <v>0</v>
      </c>
      <c r="L3252" t="str">
        <f>IF(ClientiBanca[[#This Row],[Reddito annuo]]&gt;=70000,"si","no")</f>
        <v>si</v>
      </c>
    </row>
    <row r="3253" spans="1:12">
      <c r="A3253">
        <v>103252</v>
      </c>
      <c r="B3253">
        <v>60</v>
      </c>
      <c r="C3253" s="2">
        <v>71200</v>
      </c>
      <c r="D3253" t="s">
        <v>21</v>
      </c>
      <c r="E3253" s="2">
        <v>61800</v>
      </c>
      <c r="F3253" s="2">
        <v>0</v>
      </c>
      <c r="G3253" t="s">
        <v>13</v>
      </c>
      <c r="H3253" t="s">
        <v>14</v>
      </c>
      <c r="I3253" t="s">
        <v>15</v>
      </c>
      <c r="J3253" s="3">
        <v>45932</v>
      </c>
      <c r="K3253" s="4">
        <f>ClientiBanca[[#This Row],[Prestito]]+ClientiBanca[[#This Row],[Mutuo]]</f>
        <v>61800</v>
      </c>
      <c r="L3253" t="str">
        <f>IF(ClientiBanca[[#This Row],[Reddito annuo]]&gt;=70000,"si","no")</f>
        <v>si</v>
      </c>
    </row>
    <row r="3254" spans="1:12">
      <c r="A3254">
        <v>103253</v>
      </c>
      <c r="B3254">
        <v>24</v>
      </c>
      <c r="C3254" s="2">
        <v>41700</v>
      </c>
      <c r="D3254" t="s">
        <v>12</v>
      </c>
      <c r="E3254" s="2">
        <v>52100</v>
      </c>
      <c r="F3254" s="2">
        <v>0</v>
      </c>
      <c r="G3254" t="s">
        <v>28</v>
      </c>
      <c r="H3254" t="s">
        <v>14</v>
      </c>
      <c r="I3254" t="s">
        <v>18</v>
      </c>
      <c r="J3254" s="3">
        <v>46219</v>
      </c>
      <c r="K3254" s="4">
        <f>ClientiBanca[[#This Row],[Prestito]]+ClientiBanca[[#This Row],[Mutuo]]</f>
        <v>52100</v>
      </c>
      <c r="L3254" t="str">
        <f>IF(ClientiBanca[[#This Row],[Reddito annuo]]&gt;=70000,"si","no")</f>
        <v>no</v>
      </c>
    </row>
    <row r="3255" spans="1:12">
      <c r="A3255">
        <v>103254</v>
      </c>
      <c r="B3255">
        <v>45</v>
      </c>
      <c r="C3255" s="2">
        <v>54100</v>
      </c>
      <c r="D3255" t="s">
        <v>21</v>
      </c>
      <c r="E3255" s="2">
        <v>0</v>
      </c>
      <c r="F3255" s="2">
        <v>0</v>
      </c>
      <c r="G3255" t="s">
        <v>19</v>
      </c>
      <c r="H3255" t="s">
        <v>17</v>
      </c>
      <c r="I3255" t="s">
        <v>18</v>
      </c>
      <c r="J3255" s="3">
        <v>45677</v>
      </c>
      <c r="K3255" s="4">
        <f>ClientiBanca[[#This Row],[Prestito]]+ClientiBanca[[#This Row],[Mutuo]]</f>
        <v>0</v>
      </c>
      <c r="L3255" t="str">
        <f>IF(ClientiBanca[[#This Row],[Reddito annuo]]&gt;=70000,"si","no")</f>
        <v>no</v>
      </c>
    </row>
    <row r="3256" spans="1:12">
      <c r="A3256">
        <v>103255</v>
      </c>
      <c r="B3256">
        <v>34</v>
      </c>
      <c r="C3256" s="2">
        <v>50200</v>
      </c>
      <c r="D3256" t="s">
        <v>21</v>
      </c>
      <c r="E3256" s="2">
        <v>0</v>
      </c>
      <c r="F3256" s="2">
        <v>341000</v>
      </c>
      <c r="G3256" t="s">
        <v>24</v>
      </c>
      <c r="H3256" t="s">
        <v>17</v>
      </c>
      <c r="I3256" t="s">
        <v>18</v>
      </c>
      <c r="J3256" s="3">
        <v>45856</v>
      </c>
      <c r="K3256" s="4">
        <f>ClientiBanca[[#This Row],[Prestito]]+ClientiBanca[[#This Row],[Mutuo]]</f>
        <v>341000</v>
      </c>
      <c r="L3256" t="str">
        <f>IF(ClientiBanca[[#This Row],[Reddito annuo]]&gt;=70000,"si","no")</f>
        <v>no</v>
      </c>
    </row>
    <row r="3257" spans="1:12">
      <c r="A3257">
        <v>103256</v>
      </c>
      <c r="B3257">
        <v>63</v>
      </c>
      <c r="C3257" s="2">
        <v>61400</v>
      </c>
      <c r="D3257" t="s">
        <v>21</v>
      </c>
      <c r="E3257" s="2">
        <v>17500</v>
      </c>
      <c r="F3257" s="2">
        <v>0</v>
      </c>
      <c r="G3257" t="s">
        <v>16</v>
      </c>
      <c r="H3257" t="s">
        <v>17</v>
      </c>
      <c r="I3257" t="s">
        <v>15</v>
      </c>
      <c r="J3257" s="3">
        <v>46239</v>
      </c>
      <c r="K3257" s="4">
        <f>ClientiBanca[[#This Row],[Prestito]]+ClientiBanca[[#This Row],[Mutuo]]</f>
        <v>17500</v>
      </c>
      <c r="L3257" t="str">
        <f>IF(ClientiBanca[[#This Row],[Reddito annuo]]&gt;=70000,"si","no")</f>
        <v>no</v>
      </c>
    </row>
    <row r="3258" spans="1:12">
      <c r="A3258">
        <v>103257</v>
      </c>
      <c r="B3258">
        <v>40</v>
      </c>
      <c r="C3258" s="2">
        <v>89600</v>
      </c>
      <c r="D3258" t="s">
        <v>12</v>
      </c>
      <c r="E3258" s="2">
        <v>67800</v>
      </c>
      <c r="F3258" s="2">
        <v>0</v>
      </c>
      <c r="G3258" t="s">
        <v>26</v>
      </c>
      <c r="H3258" t="s">
        <v>20</v>
      </c>
      <c r="I3258" t="s">
        <v>18</v>
      </c>
      <c r="J3258" s="3">
        <v>45452</v>
      </c>
      <c r="K3258" s="4">
        <f>ClientiBanca[[#This Row],[Prestito]]+ClientiBanca[[#This Row],[Mutuo]]</f>
        <v>67800</v>
      </c>
      <c r="L3258" t="str">
        <f>IF(ClientiBanca[[#This Row],[Reddito annuo]]&gt;=70000,"si","no")</f>
        <v>si</v>
      </c>
    </row>
    <row r="3259" spans="1:12">
      <c r="A3259">
        <v>103258</v>
      </c>
      <c r="B3259">
        <v>64</v>
      </c>
      <c r="C3259" s="2">
        <v>90400</v>
      </c>
      <c r="D3259" t="s">
        <v>22</v>
      </c>
      <c r="E3259" s="2">
        <v>9100</v>
      </c>
      <c r="F3259" s="2">
        <v>158000</v>
      </c>
      <c r="G3259" t="s">
        <v>23</v>
      </c>
      <c r="H3259" t="s">
        <v>14</v>
      </c>
      <c r="I3259" t="s">
        <v>18</v>
      </c>
      <c r="J3259" s="3">
        <v>45923</v>
      </c>
      <c r="K3259" s="4">
        <f>ClientiBanca[[#This Row],[Prestito]]+ClientiBanca[[#This Row],[Mutuo]]</f>
        <v>167100</v>
      </c>
      <c r="L3259" t="str">
        <f>IF(ClientiBanca[[#This Row],[Reddito annuo]]&gt;=70000,"si","no")</f>
        <v>si</v>
      </c>
    </row>
    <row r="3260" spans="1:12">
      <c r="A3260">
        <v>103259</v>
      </c>
      <c r="B3260">
        <v>54</v>
      </c>
      <c r="C3260" s="2">
        <v>63800</v>
      </c>
      <c r="D3260" t="s">
        <v>22</v>
      </c>
      <c r="E3260" s="2">
        <v>48900</v>
      </c>
      <c r="F3260" s="2">
        <v>0</v>
      </c>
      <c r="G3260" t="s">
        <v>23</v>
      </c>
      <c r="H3260" t="s">
        <v>14</v>
      </c>
      <c r="I3260" t="s">
        <v>18</v>
      </c>
      <c r="J3260" s="3">
        <v>45504</v>
      </c>
      <c r="K3260" s="4">
        <f>ClientiBanca[[#This Row],[Prestito]]+ClientiBanca[[#This Row],[Mutuo]]</f>
        <v>48900</v>
      </c>
      <c r="L3260" t="str">
        <f>IF(ClientiBanca[[#This Row],[Reddito annuo]]&gt;=70000,"si","no")</f>
        <v>no</v>
      </c>
    </row>
    <row r="3261" spans="1:12">
      <c r="A3261">
        <v>103260</v>
      </c>
      <c r="B3261">
        <v>75</v>
      </c>
      <c r="C3261" s="2">
        <v>55200</v>
      </c>
      <c r="D3261" t="s">
        <v>21</v>
      </c>
      <c r="E3261" s="2">
        <v>23100</v>
      </c>
      <c r="F3261" s="2">
        <v>0</v>
      </c>
      <c r="G3261" t="s">
        <v>28</v>
      </c>
      <c r="H3261" t="s">
        <v>17</v>
      </c>
      <c r="I3261" t="s">
        <v>18</v>
      </c>
      <c r="J3261" s="3">
        <v>46259</v>
      </c>
      <c r="K3261" s="4">
        <f>ClientiBanca[[#This Row],[Prestito]]+ClientiBanca[[#This Row],[Mutuo]]</f>
        <v>23100</v>
      </c>
      <c r="L3261" t="str">
        <f>IF(ClientiBanca[[#This Row],[Reddito annuo]]&gt;=70000,"si","no")</f>
        <v>no</v>
      </c>
    </row>
    <row r="3262" spans="1:12">
      <c r="A3262">
        <v>103261</v>
      </c>
      <c r="B3262">
        <v>54</v>
      </c>
      <c r="C3262" s="2">
        <v>75800</v>
      </c>
      <c r="D3262" t="s">
        <v>12</v>
      </c>
      <c r="E3262" s="2">
        <v>16200</v>
      </c>
      <c r="F3262" s="2">
        <v>0</v>
      </c>
      <c r="G3262" t="s">
        <v>16</v>
      </c>
      <c r="H3262" t="s">
        <v>25</v>
      </c>
      <c r="I3262" t="s">
        <v>18</v>
      </c>
      <c r="J3262" s="3">
        <v>45445</v>
      </c>
      <c r="K3262" s="4">
        <f>ClientiBanca[[#This Row],[Prestito]]+ClientiBanca[[#This Row],[Mutuo]]</f>
        <v>16200</v>
      </c>
      <c r="L3262" t="str">
        <f>IF(ClientiBanca[[#This Row],[Reddito annuo]]&gt;=70000,"si","no")</f>
        <v>si</v>
      </c>
    </row>
    <row r="3263" spans="1:12">
      <c r="A3263">
        <v>103262</v>
      </c>
      <c r="B3263">
        <v>20</v>
      </c>
      <c r="C3263" s="2">
        <v>60200</v>
      </c>
      <c r="D3263" t="s">
        <v>22</v>
      </c>
      <c r="E3263" s="2">
        <v>20000</v>
      </c>
      <c r="F3263" s="2">
        <v>0</v>
      </c>
      <c r="G3263" t="s">
        <v>13</v>
      </c>
      <c r="H3263" t="s">
        <v>25</v>
      </c>
      <c r="I3263" t="s">
        <v>15</v>
      </c>
      <c r="J3263" s="3">
        <v>45478</v>
      </c>
      <c r="K3263" s="4">
        <f>ClientiBanca[[#This Row],[Prestito]]+ClientiBanca[[#This Row],[Mutuo]]</f>
        <v>20000</v>
      </c>
      <c r="L3263" t="str">
        <f>IF(ClientiBanca[[#This Row],[Reddito annuo]]&gt;=70000,"si","no")</f>
        <v>no</v>
      </c>
    </row>
    <row r="3264" spans="1:12">
      <c r="A3264">
        <v>103263</v>
      </c>
      <c r="B3264">
        <v>62</v>
      </c>
      <c r="C3264" s="2">
        <v>62400</v>
      </c>
      <c r="D3264" t="s">
        <v>22</v>
      </c>
      <c r="E3264" s="2">
        <v>41800</v>
      </c>
      <c r="F3264" s="2">
        <v>0</v>
      </c>
      <c r="G3264" t="s">
        <v>19</v>
      </c>
      <c r="H3264" t="s">
        <v>17</v>
      </c>
      <c r="I3264" t="s">
        <v>18</v>
      </c>
      <c r="J3264" s="3">
        <v>45727</v>
      </c>
      <c r="K3264" s="4">
        <f>ClientiBanca[[#This Row],[Prestito]]+ClientiBanca[[#This Row],[Mutuo]]</f>
        <v>41800</v>
      </c>
      <c r="L3264" t="str">
        <f>IF(ClientiBanca[[#This Row],[Reddito annuo]]&gt;=70000,"si","no")</f>
        <v>no</v>
      </c>
    </row>
    <row r="3265" spans="1:12">
      <c r="A3265">
        <v>103264</v>
      </c>
      <c r="B3265">
        <v>31</v>
      </c>
      <c r="C3265" s="2">
        <v>40800</v>
      </c>
      <c r="D3265" t="s">
        <v>12</v>
      </c>
      <c r="E3265" s="2">
        <v>0</v>
      </c>
      <c r="F3265" s="2">
        <v>0</v>
      </c>
      <c r="G3265" t="s">
        <v>28</v>
      </c>
      <c r="H3265" t="s">
        <v>17</v>
      </c>
      <c r="I3265" t="s">
        <v>18</v>
      </c>
      <c r="J3265" s="3">
        <v>46022</v>
      </c>
      <c r="K3265" s="4">
        <f>ClientiBanca[[#This Row],[Prestito]]+ClientiBanca[[#This Row],[Mutuo]]</f>
        <v>0</v>
      </c>
      <c r="L3265" t="str">
        <f>IF(ClientiBanca[[#This Row],[Reddito annuo]]&gt;=70000,"si","no")</f>
        <v>no</v>
      </c>
    </row>
    <row r="3266" spans="1:12">
      <c r="A3266">
        <v>103265</v>
      </c>
      <c r="B3266">
        <v>69</v>
      </c>
      <c r="C3266" s="2">
        <v>27900</v>
      </c>
      <c r="D3266" t="s">
        <v>21</v>
      </c>
      <c r="E3266" s="2">
        <v>34900</v>
      </c>
      <c r="F3266" s="2">
        <v>0</v>
      </c>
      <c r="G3266" t="s">
        <v>28</v>
      </c>
      <c r="H3266" t="s">
        <v>17</v>
      </c>
      <c r="I3266" t="s">
        <v>18</v>
      </c>
      <c r="J3266" s="3">
        <v>46086</v>
      </c>
      <c r="K3266" s="4">
        <f>ClientiBanca[[#This Row],[Prestito]]+ClientiBanca[[#This Row],[Mutuo]]</f>
        <v>34900</v>
      </c>
      <c r="L3266" t="str">
        <f>IF(ClientiBanca[[#This Row],[Reddito annuo]]&gt;=70000,"si","no")</f>
        <v>no</v>
      </c>
    </row>
    <row r="3267" spans="1:12">
      <c r="A3267">
        <v>103266</v>
      </c>
      <c r="B3267">
        <v>49</v>
      </c>
      <c r="C3267" s="2">
        <v>42400</v>
      </c>
      <c r="D3267" t="s">
        <v>12</v>
      </c>
      <c r="E3267" s="2">
        <v>0</v>
      </c>
      <c r="F3267" s="2">
        <v>177000</v>
      </c>
      <c r="G3267" t="s">
        <v>28</v>
      </c>
      <c r="H3267" t="s">
        <v>25</v>
      </c>
      <c r="I3267" t="s">
        <v>18</v>
      </c>
      <c r="J3267" s="3">
        <v>45315</v>
      </c>
      <c r="K3267" s="4">
        <f>ClientiBanca[[#This Row],[Prestito]]+ClientiBanca[[#This Row],[Mutuo]]</f>
        <v>177000</v>
      </c>
      <c r="L3267" t="str">
        <f>IF(ClientiBanca[[#This Row],[Reddito annuo]]&gt;=70000,"si","no")</f>
        <v>no</v>
      </c>
    </row>
    <row r="3268" spans="1:12">
      <c r="A3268">
        <v>103267</v>
      </c>
      <c r="B3268">
        <v>39</v>
      </c>
      <c r="C3268" s="2">
        <v>76500</v>
      </c>
      <c r="D3268" t="s">
        <v>12</v>
      </c>
      <c r="E3268" s="2">
        <v>48400</v>
      </c>
      <c r="F3268" s="2">
        <v>177000</v>
      </c>
      <c r="G3268" t="s">
        <v>26</v>
      </c>
      <c r="H3268" t="s">
        <v>14</v>
      </c>
      <c r="I3268" t="s">
        <v>18</v>
      </c>
      <c r="J3268" s="3">
        <v>46035</v>
      </c>
      <c r="K3268" s="4">
        <f>ClientiBanca[[#This Row],[Prestito]]+ClientiBanca[[#This Row],[Mutuo]]</f>
        <v>225400</v>
      </c>
      <c r="L3268" t="str">
        <f>IF(ClientiBanca[[#This Row],[Reddito annuo]]&gt;=70000,"si","no")</f>
        <v>si</v>
      </c>
    </row>
    <row r="3269" spans="1:12">
      <c r="A3269">
        <v>103268</v>
      </c>
      <c r="B3269">
        <v>70</v>
      </c>
      <c r="C3269" s="2">
        <v>75700</v>
      </c>
      <c r="D3269" t="s">
        <v>21</v>
      </c>
      <c r="E3269" s="2">
        <v>31000</v>
      </c>
      <c r="F3269" s="2">
        <v>0</v>
      </c>
      <c r="G3269" t="s">
        <v>28</v>
      </c>
      <c r="H3269" t="s">
        <v>17</v>
      </c>
      <c r="I3269" t="s">
        <v>18</v>
      </c>
      <c r="J3269" s="3">
        <v>45398</v>
      </c>
      <c r="K3269" s="4">
        <f>ClientiBanca[[#This Row],[Prestito]]+ClientiBanca[[#This Row],[Mutuo]]</f>
        <v>31000</v>
      </c>
      <c r="L3269" t="str">
        <f>IF(ClientiBanca[[#This Row],[Reddito annuo]]&gt;=70000,"si","no")</f>
        <v>si</v>
      </c>
    </row>
    <row r="3270" spans="1:12">
      <c r="A3270">
        <v>103269</v>
      </c>
      <c r="B3270">
        <v>46</v>
      </c>
      <c r="C3270" s="2">
        <v>58200</v>
      </c>
      <c r="D3270" t="s">
        <v>12</v>
      </c>
      <c r="E3270" s="2">
        <v>0</v>
      </c>
      <c r="F3270" s="2">
        <v>282000</v>
      </c>
      <c r="G3270" t="s">
        <v>16</v>
      </c>
      <c r="H3270" t="s">
        <v>17</v>
      </c>
      <c r="I3270" t="s">
        <v>18</v>
      </c>
      <c r="J3270" s="3">
        <v>46176</v>
      </c>
      <c r="K3270" s="4">
        <f>ClientiBanca[[#This Row],[Prestito]]+ClientiBanca[[#This Row],[Mutuo]]</f>
        <v>282000</v>
      </c>
      <c r="L3270" t="str">
        <f>IF(ClientiBanca[[#This Row],[Reddito annuo]]&gt;=70000,"si","no")</f>
        <v>no</v>
      </c>
    </row>
    <row r="3271" spans="1:12">
      <c r="A3271">
        <v>103270</v>
      </c>
      <c r="B3271">
        <v>38</v>
      </c>
      <c r="C3271" s="2">
        <v>53100</v>
      </c>
      <c r="D3271" t="s">
        <v>12</v>
      </c>
      <c r="E3271" s="2">
        <v>27900</v>
      </c>
      <c r="F3271" s="2">
        <v>0</v>
      </c>
      <c r="G3271" t="s">
        <v>19</v>
      </c>
      <c r="H3271" t="s">
        <v>17</v>
      </c>
      <c r="I3271" t="s">
        <v>15</v>
      </c>
      <c r="J3271" s="3">
        <v>45577</v>
      </c>
      <c r="K3271" s="4">
        <f>ClientiBanca[[#This Row],[Prestito]]+ClientiBanca[[#This Row],[Mutuo]]</f>
        <v>27900</v>
      </c>
      <c r="L3271" t="str">
        <f>IF(ClientiBanca[[#This Row],[Reddito annuo]]&gt;=70000,"si","no")</f>
        <v>no</v>
      </c>
    </row>
    <row r="3272" spans="1:12">
      <c r="A3272">
        <v>103271</v>
      </c>
      <c r="B3272">
        <v>52</v>
      </c>
      <c r="C3272" s="2">
        <v>73100</v>
      </c>
      <c r="D3272" t="s">
        <v>22</v>
      </c>
      <c r="E3272" s="2">
        <v>0</v>
      </c>
      <c r="F3272" s="2">
        <v>0</v>
      </c>
      <c r="G3272" t="s">
        <v>23</v>
      </c>
      <c r="H3272" t="s">
        <v>20</v>
      </c>
      <c r="I3272" t="s">
        <v>18</v>
      </c>
      <c r="J3272" s="3">
        <v>46020</v>
      </c>
      <c r="K3272" s="4">
        <f>ClientiBanca[[#This Row],[Prestito]]+ClientiBanca[[#This Row],[Mutuo]]</f>
        <v>0</v>
      </c>
      <c r="L3272" t="str">
        <f>IF(ClientiBanca[[#This Row],[Reddito annuo]]&gt;=70000,"si","no")</f>
        <v>si</v>
      </c>
    </row>
    <row r="3273" spans="1:12">
      <c r="A3273">
        <v>103272</v>
      </c>
      <c r="B3273">
        <v>31</v>
      </c>
      <c r="C3273" s="2">
        <v>69100</v>
      </c>
      <c r="D3273" t="s">
        <v>21</v>
      </c>
      <c r="E3273" s="2">
        <v>22600</v>
      </c>
      <c r="F3273" s="2">
        <v>0</v>
      </c>
      <c r="G3273" t="s">
        <v>19</v>
      </c>
      <c r="H3273" t="s">
        <v>17</v>
      </c>
      <c r="I3273" t="s">
        <v>18</v>
      </c>
      <c r="J3273" s="3">
        <v>45740</v>
      </c>
      <c r="K3273" s="4">
        <f>ClientiBanca[[#This Row],[Prestito]]+ClientiBanca[[#This Row],[Mutuo]]</f>
        <v>22600</v>
      </c>
      <c r="L3273" t="str">
        <f>IF(ClientiBanca[[#This Row],[Reddito annuo]]&gt;=70000,"si","no")</f>
        <v>no</v>
      </c>
    </row>
    <row r="3274" spans="1:12">
      <c r="A3274">
        <v>103273</v>
      </c>
      <c r="B3274">
        <v>21</v>
      </c>
      <c r="C3274" s="2">
        <v>23300</v>
      </c>
      <c r="D3274" t="s">
        <v>22</v>
      </c>
      <c r="E3274" s="2">
        <v>0</v>
      </c>
      <c r="F3274" s="2">
        <v>0</v>
      </c>
      <c r="G3274" t="s">
        <v>26</v>
      </c>
      <c r="H3274" t="s">
        <v>25</v>
      </c>
      <c r="I3274" t="s">
        <v>18</v>
      </c>
      <c r="J3274" s="3">
        <v>45888</v>
      </c>
      <c r="K3274" s="4">
        <f>ClientiBanca[[#This Row],[Prestito]]+ClientiBanca[[#This Row],[Mutuo]]</f>
        <v>0</v>
      </c>
      <c r="L3274" t="str">
        <f>IF(ClientiBanca[[#This Row],[Reddito annuo]]&gt;=70000,"si","no")</f>
        <v>no</v>
      </c>
    </row>
    <row r="3275" spans="1:12">
      <c r="A3275">
        <v>103274</v>
      </c>
      <c r="B3275">
        <v>73</v>
      </c>
      <c r="C3275" s="2">
        <v>66700</v>
      </c>
      <c r="D3275" t="s">
        <v>22</v>
      </c>
      <c r="E3275" s="2">
        <v>0</v>
      </c>
      <c r="F3275" s="2">
        <v>0</v>
      </c>
      <c r="G3275" t="s">
        <v>27</v>
      </c>
      <c r="H3275" t="s">
        <v>17</v>
      </c>
      <c r="I3275" t="s">
        <v>18</v>
      </c>
      <c r="J3275" s="3">
        <v>45316</v>
      </c>
      <c r="K3275" s="4">
        <f>ClientiBanca[[#This Row],[Prestito]]+ClientiBanca[[#This Row],[Mutuo]]</f>
        <v>0</v>
      </c>
      <c r="L3275" t="str">
        <f>IF(ClientiBanca[[#This Row],[Reddito annuo]]&gt;=70000,"si","no")</f>
        <v>no</v>
      </c>
    </row>
    <row r="3276" spans="1:12">
      <c r="A3276">
        <v>103275</v>
      </c>
      <c r="B3276">
        <v>60</v>
      </c>
      <c r="C3276" s="2">
        <v>63800</v>
      </c>
      <c r="D3276" t="s">
        <v>21</v>
      </c>
      <c r="E3276" s="2">
        <v>15500</v>
      </c>
      <c r="F3276" s="2">
        <v>0</v>
      </c>
      <c r="G3276" t="s">
        <v>23</v>
      </c>
      <c r="H3276" t="s">
        <v>14</v>
      </c>
      <c r="I3276" t="s">
        <v>18</v>
      </c>
      <c r="J3276" s="3">
        <v>45815</v>
      </c>
      <c r="K3276" s="4">
        <f>ClientiBanca[[#This Row],[Prestito]]+ClientiBanca[[#This Row],[Mutuo]]</f>
        <v>15500</v>
      </c>
      <c r="L3276" t="str">
        <f>IF(ClientiBanca[[#This Row],[Reddito annuo]]&gt;=70000,"si","no")</f>
        <v>no</v>
      </c>
    </row>
    <row r="3277" spans="1:12">
      <c r="A3277">
        <v>103276</v>
      </c>
      <c r="B3277">
        <v>21</v>
      </c>
      <c r="C3277" s="2">
        <v>75100</v>
      </c>
      <c r="D3277" t="s">
        <v>21</v>
      </c>
      <c r="E3277" s="2">
        <v>0</v>
      </c>
      <c r="F3277" s="2">
        <v>0</v>
      </c>
      <c r="G3277" t="s">
        <v>16</v>
      </c>
      <c r="H3277" t="s">
        <v>20</v>
      </c>
      <c r="I3277" t="s">
        <v>18</v>
      </c>
      <c r="J3277" s="3">
        <v>45521</v>
      </c>
      <c r="K3277" s="4">
        <f>ClientiBanca[[#This Row],[Prestito]]+ClientiBanca[[#This Row],[Mutuo]]</f>
        <v>0</v>
      </c>
      <c r="L3277" t="str">
        <f>IF(ClientiBanca[[#This Row],[Reddito annuo]]&gt;=70000,"si","no")</f>
        <v>si</v>
      </c>
    </row>
    <row r="3278" spans="1:12">
      <c r="A3278">
        <v>103277</v>
      </c>
      <c r="B3278">
        <v>35</v>
      </c>
      <c r="C3278" s="2">
        <v>50300</v>
      </c>
      <c r="D3278" t="s">
        <v>12</v>
      </c>
      <c r="E3278" s="2">
        <v>62900</v>
      </c>
      <c r="F3278" s="2">
        <v>0</v>
      </c>
      <c r="G3278" t="s">
        <v>13</v>
      </c>
      <c r="H3278" t="s">
        <v>20</v>
      </c>
      <c r="I3278" t="s">
        <v>18</v>
      </c>
      <c r="J3278" s="3">
        <v>46261</v>
      </c>
      <c r="K3278" s="4">
        <f>ClientiBanca[[#This Row],[Prestito]]+ClientiBanca[[#This Row],[Mutuo]]</f>
        <v>62900</v>
      </c>
      <c r="L3278" t="str">
        <f>IF(ClientiBanca[[#This Row],[Reddito annuo]]&gt;=70000,"si","no")</f>
        <v>no</v>
      </c>
    </row>
    <row r="3279" spans="1:12">
      <c r="A3279">
        <v>103278</v>
      </c>
      <c r="B3279">
        <v>27</v>
      </c>
      <c r="C3279" s="2">
        <v>50900</v>
      </c>
      <c r="D3279" t="s">
        <v>21</v>
      </c>
      <c r="E3279" s="2">
        <v>57900</v>
      </c>
      <c r="F3279" s="2">
        <v>188000</v>
      </c>
      <c r="G3279" t="s">
        <v>27</v>
      </c>
      <c r="H3279" t="s">
        <v>20</v>
      </c>
      <c r="I3279" t="s">
        <v>18</v>
      </c>
      <c r="J3279" s="3">
        <v>45794</v>
      </c>
      <c r="K3279" s="4">
        <f>ClientiBanca[[#This Row],[Prestito]]+ClientiBanca[[#This Row],[Mutuo]]</f>
        <v>245900</v>
      </c>
      <c r="L3279" t="str">
        <f>IF(ClientiBanca[[#This Row],[Reddito annuo]]&gt;=70000,"si","no")</f>
        <v>no</v>
      </c>
    </row>
    <row r="3280" spans="1:12">
      <c r="A3280">
        <v>103279</v>
      </c>
      <c r="B3280">
        <v>30</v>
      </c>
      <c r="C3280" s="2">
        <v>60600</v>
      </c>
      <c r="D3280" t="s">
        <v>21</v>
      </c>
      <c r="E3280" s="2">
        <v>0</v>
      </c>
      <c r="F3280" s="2">
        <v>0</v>
      </c>
      <c r="G3280" t="s">
        <v>19</v>
      </c>
      <c r="H3280" t="s">
        <v>17</v>
      </c>
      <c r="I3280" t="s">
        <v>18</v>
      </c>
      <c r="J3280" s="3">
        <v>45967</v>
      </c>
      <c r="K3280" s="4">
        <f>ClientiBanca[[#This Row],[Prestito]]+ClientiBanca[[#This Row],[Mutuo]]</f>
        <v>0</v>
      </c>
      <c r="L3280" t="str">
        <f>IF(ClientiBanca[[#This Row],[Reddito annuo]]&gt;=70000,"si","no")</f>
        <v>no</v>
      </c>
    </row>
    <row r="3281" spans="1:12">
      <c r="A3281">
        <v>103280</v>
      </c>
      <c r="B3281">
        <v>59</v>
      </c>
      <c r="C3281" s="2">
        <v>51100</v>
      </c>
      <c r="D3281" t="s">
        <v>12</v>
      </c>
      <c r="E3281" s="2">
        <v>63900</v>
      </c>
      <c r="F3281" s="2">
        <v>0</v>
      </c>
      <c r="G3281" t="s">
        <v>28</v>
      </c>
      <c r="H3281" t="s">
        <v>17</v>
      </c>
      <c r="I3281" t="s">
        <v>18</v>
      </c>
      <c r="J3281" s="3">
        <v>45875</v>
      </c>
      <c r="K3281" s="4">
        <f>ClientiBanca[[#This Row],[Prestito]]+ClientiBanca[[#This Row],[Mutuo]]</f>
        <v>63900</v>
      </c>
      <c r="L3281" t="str">
        <f>IF(ClientiBanca[[#This Row],[Reddito annuo]]&gt;=70000,"si","no")</f>
        <v>no</v>
      </c>
    </row>
    <row r="3282" spans="1:12">
      <c r="A3282">
        <v>103281</v>
      </c>
      <c r="B3282">
        <v>43</v>
      </c>
      <c r="C3282" s="2">
        <v>114700</v>
      </c>
      <c r="D3282" t="s">
        <v>21</v>
      </c>
      <c r="E3282" s="2">
        <v>64400</v>
      </c>
      <c r="F3282" s="2">
        <v>237000</v>
      </c>
      <c r="G3282" t="s">
        <v>24</v>
      </c>
      <c r="H3282" t="s">
        <v>17</v>
      </c>
      <c r="I3282" t="s">
        <v>18</v>
      </c>
      <c r="J3282" s="3">
        <v>45745</v>
      </c>
      <c r="K3282" s="4">
        <f>ClientiBanca[[#This Row],[Prestito]]+ClientiBanca[[#This Row],[Mutuo]]</f>
        <v>301400</v>
      </c>
      <c r="L3282" t="str">
        <f>IF(ClientiBanca[[#This Row],[Reddito annuo]]&gt;=70000,"si","no")</f>
        <v>si</v>
      </c>
    </row>
    <row r="3283" spans="1:12">
      <c r="A3283">
        <v>103282</v>
      </c>
      <c r="B3283">
        <v>27</v>
      </c>
      <c r="C3283" s="2">
        <v>47000</v>
      </c>
      <c r="D3283" t="s">
        <v>21</v>
      </c>
      <c r="E3283" s="2">
        <v>0</v>
      </c>
      <c r="F3283" s="2">
        <v>0</v>
      </c>
      <c r="G3283" t="s">
        <v>13</v>
      </c>
      <c r="H3283" t="s">
        <v>17</v>
      </c>
      <c r="I3283" t="s">
        <v>18</v>
      </c>
      <c r="J3283" s="3">
        <v>45931</v>
      </c>
      <c r="K3283" s="4">
        <f>ClientiBanca[[#This Row],[Prestito]]+ClientiBanca[[#This Row],[Mutuo]]</f>
        <v>0</v>
      </c>
      <c r="L3283" t="str">
        <f>IF(ClientiBanca[[#This Row],[Reddito annuo]]&gt;=70000,"si","no")</f>
        <v>no</v>
      </c>
    </row>
    <row r="3284" spans="1:12">
      <c r="A3284">
        <v>103283</v>
      </c>
      <c r="B3284">
        <v>42</v>
      </c>
      <c r="C3284" s="2">
        <v>106100</v>
      </c>
      <c r="D3284" t="s">
        <v>12</v>
      </c>
      <c r="E3284" s="2">
        <v>59500</v>
      </c>
      <c r="F3284" s="2">
        <v>0</v>
      </c>
      <c r="G3284" t="s">
        <v>24</v>
      </c>
      <c r="H3284" t="s">
        <v>17</v>
      </c>
      <c r="I3284" t="s">
        <v>18</v>
      </c>
      <c r="J3284" s="3">
        <v>45756</v>
      </c>
      <c r="K3284" s="4">
        <f>ClientiBanca[[#This Row],[Prestito]]+ClientiBanca[[#This Row],[Mutuo]]</f>
        <v>59500</v>
      </c>
      <c r="L3284" t="str">
        <f>IF(ClientiBanca[[#This Row],[Reddito annuo]]&gt;=70000,"si","no")</f>
        <v>si</v>
      </c>
    </row>
    <row r="3285" spans="1:12">
      <c r="A3285">
        <v>103284</v>
      </c>
      <c r="B3285">
        <v>62</v>
      </c>
      <c r="C3285" s="2">
        <v>82800</v>
      </c>
      <c r="D3285" t="s">
        <v>12</v>
      </c>
      <c r="E3285" s="2">
        <v>52200</v>
      </c>
      <c r="F3285" s="2">
        <v>243000</v>
      </c>
      <c r="G3285" t="s">
        <v>13</v>
      </c>
      <c r="H3285" t="s">
        <v>14</v>
      </c>
      <c r="I3285" t="s">
        <v>18</v>
      </c>
      <c r="J3285" s="3">
        <v>46018</v>
      </c>
      <c r="K3285" s="4">
        <f>ClientiBanca[[#This Row],[Prestito]]+ClientiBanca[[#This Row],[Mutuo]]</f>
        <v>295200</v>
      </c>
      <c r="L3285" t="str">
        <f>IF(ClientiBanca[[#This Row],[Reddito annuo]]&gt;=70000,"si","no")</f>
        <v>si</v>
      </c>
    </row>
    <row r="3286" spans="1:12">
      <c r="A3286">
        <v>103285</v>
      </c>
      <c r="B3286">
        <v>31</v>
      </c>
      <c r="C3286" s="2">
        <v>33800</v>
      </c>
      <c r="D3286" t="s">
        <v>22</v>
      </c>
      <c r="E3286" s="2">
        <v>23200</v>
      </c>
      <c r="F3286" s="2">
        <v>0</v>
      </c>
      <c r="G3286" t="s">
        <v>24</v>
      </c>
      <c r="H3286" t="s">
        <v>20</v>
      </c>
      <c r="I3286" t="s">
        <v>18</v>
      </c>
      <c r="J3286" s="3">
        <v>46100</v>
      </c>
      <c r="K3286" s="4">
        <f>ClientiBanca[[#This Row],[Prestito]]+ClientiBanca[[#This Row],[Mutuo]]</f>
        <v>23200</v>
      </c>
      <c r="L3286" t="str">
        <f>IF(ClientiBanca[[#This Row],[Reddito annuo]]&gt;=70000,"si","no")</f>
        <v>no</v>
      </c>
    </row>
    <row r="3287" spans="1:12">
      <c r="A3287">
        <v>103286</v>
      </c>
      <c r="B3287">
        <v>71</v>
      </c>
      <c r="C3287" s="2">
        <v>72500</v>
      </c>
      <c r="D3287" t="s">
        <v>21</v>
      </c>
      <c r="E3287" s="2">
        <v>41100</v>
      </c>
      <c r="F3287" s="2">
        <v>0</v>
      </c>
      <c r="G3287" t="s">
        <v>23</v>
      </c>
      <c r="H3287" t="s">
        <v>20</v>
      </c>
      <c r="I3287" t="s">
        <v>18</v>
      </c>
      <c r="J3287" s="3">
        <v>45852</v>
      </c>
      <c r="K3287" s="4">
        <f>ClientiBanca[[#This Row],[Prestito]]+ClientiBanca[[#This Row],[Mutuo]]</f>
        <v>41100</v>
      </c>
      <c r="L3287" t="str">
        <f>IF(ClientiBanca[[#This Row],[Reddito annuo]]&gt;=70000,"si","no")</f>
        <v>si</v>
      </c>
    </row>
    <row r="3288" spans="1:12">
      <c r="A3288">
        <v>103287</v>
      </c>
      <c r="B3288">
        <v>29</v>
      </c>
      <c r="C3288" s="2">
        <v>46900</v>
      </c>
      <c r="D3288" t="s">
        <v>21</v>
      </c>
      <c r="E3288" s="2">
        <v>0</v>
      </c>
      <c r="F3288" s="2">
        <v>0</v>
      </c>
      <c r="G3288" t="s">
        <v>23</v>
      </c>
      <c r="H3288" t="s">
        <v>20</v>
      </c>
      <c r="I3288" t="s">
        <v>18</v>
      </c>
      <c r="J3288" s="3">
        <v>46251</v>
      </c>
      <c r="K3288" s="4">
        <f>ClientiBanca[[#This Row],[Prestito]]+ClientiBanca[[#This Row],[Mutuo]]</f>
        <v>0</v>
      </c>
      <c r="L3288" t="str">
        <f>IF(ClientiBanca[[#This Row],[Reddito annuo]]&gt;=70000,"si","no")</f>
        <v>no</v>
      </c>
    </row>
    <row r="3289" spans="1:12">
      <c r="A3289">
        <v>103288</v>
      </c>
      <c r="B3289">
        <v>25</v>
      </c>
      <c r="C3289" s="2">
        <v>84000</v>
      </c>
      <c r="D3289" t="s">
        <v>12</v>
      </c>
      <c r="E3289" s="2">
        <v>82600</v>
      </c>
      <c r="F3289" s="2">
        <v>256000</v>
      </c>
      <c r="G3289" t="s">
        <v>23</v>
      </c>
      <c r="H3289" t="s">
        <v>25</v>
      </c>
      <c r="I3289" t="s">
        <v>18</v>
      </c>
      <c r="J3289" s="3">
        <v>45588</v>
      </c>
      <c r="K3289" s="4">
        <f>ClientiBanca[[#This Row],[Prestito]]+ClientiBanca[[#This Row],[Mutuo]]</f>
        <v>338600</v>
      </c>
      <c r="L3289" t="str">
        <f>IF(ClientiBanca[[#This Row],[Reddito annuo]]&gt;=70000,"si","no")</f>
        <v>si</v>
      </c>
    </row>
    <row r="3290" spans="1:12">
      <c r="A3290">
        <v>103289</v>
      </c>
      <c r="B3290">
        <v>61</v>
      </c>
      <c r="C3290" s="2">
        <v>89700</v>
      </c>
      <c r="D3290" t="s">
        <v>12</v>
      </c>
      <c r="E3290" s="2">
        <v>13300</v>
      </c>
      <c r="F3290" s="2">
        <v>0</v>
      </c>
      <c r="G3290" t="s">
        <v>13</v>
      </c>
      <c r="H3290" t="s">
        <v>14</v>
      </c>
      <c r="I3290" t="s">
        <v>18</v>
      </c>
      <c r="J3290" s="3">
        <v>45662</v>
      </c>
      <c r="K3290" s="4">
        <f>ClientiBanca[[#This Row],[Prestito]]+ClientiBanca[[#This Row],[Mutuo]]</f>
        <v>13300</v>
      </c>
      <c r="L3290" t="str">
        <f>IF(ClientiBanca[[#This Row],[Reddito annuo]]&gt;=70000,"si","no")</f>
        <v>si</v>
      </c>
    </row>
    <row r="3291" spans="1:12">
      <c r="A3291">
        <v>103290</v>
      </c>
      <c r="B3291">
        <v>65</v>
      </c>
      <c r="C3291" s="2">
        <v>89100</v>
      </c>
      <c r="D3291" t="s">
        <v>21</v>
      </c>
      <c r="E3291" s="2">
        <v>24200</v>
      </c>
      <c r="F3291" s="2">
        <v>0</v>
      </c>
      <c r="G3291" t="s">
        <v>27</v>
      </c>
      <c r="H3291" t="s">
        <v>20</v>
      </c>
      <c r="I3291" t="s">
        <v>18</v>
      </c>
      <c r="J3291" s="3">
        <v>45914</v>
      </c>
      <c r="K3291" s="4">
        <f>ClientiBanca[[#This Row],[Prestito]]+ClientiBanca[[#This Row],[Mutuo]]</f>
        <v>24200</v>
      </c>
      <c r="L3291" t="str">
        <f>IF(ClientiBanca[[#This Row],[Reddito annuo]]&gt;=70000,"si","no")</f>
        <v>si</v>
      </c>
    </row>
    <row r="3292" spans="1:12">
      <c r="A3292">
        <v>103291</v>
      </c>
      <c r="B3292">
        <v>36</v>
      </c>
      <c r="C3292" s="2">
        <v>33400</v>
      </c>
      <c r="D3292" t="s">
        <v>12</v>
      </c>
      <c r="E3292" s="2">
        <v>41800</v>
      </c>
      <c r="F3292" s="2">
        <v>0</v>
      </c>
      <c r="G3292" t="s">
        <v>16</v>
      </c>
      <c r="H3292" t="s">
        <v>20</v>
      </c>
      <c r="I3292" t="s">
        <v>18</v>
      </c>
      <c r="J3292" s="3">
        <v>45900</v>
      </c>
      <c r="K3292" s="4">
        <f>ClientiBanca[[#This Row],[Prestito]]+ClientiBanca[[#This Row],[Mutuo]]</f>
        <v>41800</v>
      </c>
      <c r="L3292" t="str">
        <f>IF(ClientiBanca[[#This Row],[Reddito annuo]]&gt;=70000,"si","no")</f>
        <v>no</v>
      </c>
    </row>
    <row r="3293" spans="1:12">
      <c r="A3293">
        <v>103292</v>
      </c>
      <c r="B3293">
        <v>25</v>
      </c>
      <c r="C3293" s="2">
        <v>108900</v>
      </c>
      <c r="D3293" t="s">
        <v>12</v>
      </c>
      <c r="E3293" s="2">
        <v>23500</v>
      </c>
      <c r="F3293" s="2">
        <v>0</v>
      </c>
      <c r="G3293" t="s">
        <v>23</v>
      </c>
      <c r="H3293" t="s">
        <v>20</v>
      </c>
      <c r="I3293" t="s">
        <v>18</v>
      </c>
      <c r="J3293" s="3">
        <v>45667</v>
      </c>
      <c r="K3293" s="4">
        <f>ClientiBanca[[#This Row],[Prestito]]+ClientiBanca[[#This Row],[Mutuo]]</f>
        <v>23500</v>
      </c>
      <c r="L3293" t="str">
        <f>IF(ClientiBanca[[#This Row],[Reddito annuo]]&gt;=70000,"si","no")</f>
        <v>si</v>
      </c>
    </row>
    <row r="3294" spans="1:12">
      <c r="A3294">
        <v>103293</v>
      </c>
      <c r="B3294">
        <v>50</v>
      </c>
      <c r="C3294" s="2">
        <v>31600</v>
      </c>
      <c r="D3294" t="s">
        <v>21</v>
      </c>
      <c r="E3294" s="2">
        <v>0</v>
      </c>
      <c r="F3294" s="2">
        <v>0</v>
      </c>
      <c r="G3294" t="s">
        <v>24</v>
      </c>
      <c r="H3294" t="s">
        <v>25</v>
      </c>
      <c r="I3294" t="s">
        <v>18</v>
      </c>
      <c r="J3294" s="3">
        <v>45729</v>
      </c>
      <c r="K3294" s="4">
        <f>ClientiBanca[[#This Row],[Prestito]]+ClientiBanca[[#This Row],[Mutuo]]</f>
        <v>0</v>
      </c>
      <c r="L3294" t="str">
        <f>IF(ClientiBanca[[#This Row],[Reddito annuo]]&gt;=70000,"si","no")</f>
        <v>no</v>
      </c>
    </row>
    <row r="3295" spans="1:12">
      <c r="A3295">
        <v>103294</v>
      </c>
      <c r="B3295">
        <v>54</v>
      </c>
      <c r="C3295" s="2">
        <v>54100</v>
      </c>
      <c r="D3295" t="s">
        <v>21</v>
      </c>
      <c r="E3295" s="2">
        <v>56200</v>
      </c>
      <c r="F3295" s="2">
        <v>128000</v>
      </c>
      <c r="G3295" t="s">
        <v>27</v>
      </c>
      <c r="H3295" t="s">
        <v>14</v>
      </c>
      <c r="I3295" t="s">
        <v>18</v>
      </c>
      <c r="J3295" s="3">
        <v>46196</v>
      </c>
      <c r="K3295" s="4">
        <f>ClientiBanca[[#This Row],[Prestito]]+ClientiBanca[[#This Row],[Mutuo]]</f>
        <v>184200</v>
      </c>
      <c r="L3295" t="str">
        <f>IF(ClientiBanca[[#This Row],[Reddito annuo]]&gt;=70000,"si","no")</f>
        <v>no</v>
      </c>
    </row>
    <row r="3296" spans="1:12">
      <c r="A3296">
        <v>103295</v>
      </c>
      <c r="B3296">
        <v>64</v>
      </c>
      <c r="C3296" s="2">
        <v>76300</v>
      </c>
      <c r="D3296" t="s">
        <v>12</v>
      </c>
      <c r="E3296" s="2">
        <v>0</v>
      </c>
      <c r="F3296" s="2">
        <v>167000</v>
      </c>
      <c r="G3296" t="s">
        <v>26</v>
      </c>
      <c r="H3296" t="s">
        <v>17</v>
      </c>
      <c r="I3296" t="s">
        <v>18</v>
      </c>
      <c r="J3296" s="3">
        <v>45458</v>
      </c>
      <c r="K3296" s="4">
        <f>ClientiBanca[[#This Row],[Prestito]]+ClientiBanca[[#This Row],[Mutuo]]</f>
        <v>167000</v>
      </c>
      <c r="L3296" t="str">
        <f>IF(ClientiBanca[[#This Row],[Reddito annuo]]&gt;=70000,"si","no")</f>
        <v>si</v>
      </c>
    </row>
    <row r="3297" spans="1:12">
      <c r="A3297">
        <v>103296</v>
      </c>
      <c r="B3297">
        <v>59</v>
      </c>
      <c r="C3297" s="2">
        <v>61600</v>
      </c>
      <c r="D3297" t="s">
        <v>12</v>
      </c>
      <c r="E3297" s="2">
        <v>42600</v>
      </c>
      <c r="F3297" s="2">
        <v>0</v>
      </c>
      <c r="G3297" t="s">
        <v>16</v>
      </c>
      <c r="H3297" t="s">
        <v>17</v>
      </c>
      <c r="I3297" t="s">
        <v>18</v>
      </c>
      <c r="J3297" s="3">
        <v>45661</v>
      </c>
      <c r="K3297" s="4">
        <f>ClientiBanca[[#This Row],[Prestito]]+ClientiBanca[[#This Row],[Mutuo]]</f>
        <v>42600</v>
      </c>
      <c r="L3297" t="str">
        <f>IF(ClientiBanca[[#This Row],[Reddito annuo]]&gt;=70000,"si","no")</f>
        <v>no</v>
      </c>
    </row>
    <row r="3298" spans="1:12">
      <c r="A3298">
        <v>103297</v>
      </c>
      <c r="B3298">
        <v>30</v>
      </c>
      <c r="C3298" s="2">
        <v>40500</v>
      </c>
      <c r="D3298" t="s">
        <v>22</v>
      </c>
      <c r="E3298" s="2">
        <v>38200</v>
      </c>
      <c r="F3298" s="2">
        <v>0</v>
      </c>
      <c r="G3298" t="s">
        <v>24</v>
      </c>
      <c r="H3298" t="s">
        <v>20</v>
      </c>
      <c r="I3298" t="s">
        <v>18</v>
      </c>
      <c r="J3298" s="3">
        <v>45620</v>
      </c>
      <c r="K3298" s="4">
        <f>ClientiBanca[[#This Row],[Prestito]]+ClientiBanca[[#This Row],[Mutuo]]</f>
        <v>38200</v>
      </c>
      <c r="L3298" t="str">
        <f>IF(ClientiBanca[[#This Row],[Reddito annuo]]&gt;=70000,"si","no")</f>
        <v>no</v>
      </c>
    </row>
    <row r="3299" spans="1:12">
      <c r="A3299">
        <v>103298</v>
      </c>
      <c r="B3299">
        <v>45</v>
      </c>
      <c r="C3299" s="2">
        <v>111200</v>
      </c>
      <c r="D3299" t="s">
        <v>12</v>
      </c>
      <c r="E3299" s="2">
        <v>13500</v>
      </c>
      <c r="F3299" s="2">
        <v>0</v>
      </c>
      <c r="G3299" t="s">
        <v>23</v>
      </c>
      <c r="H3299" t="s">
        <v>17</v>
      </c>
      <c r="I3299" t="s">
        <v>18</v>
      </c>
      <c r="J3299" s="3">
        <v>45933</v>
      </c>
      <c r="K3299" s="4">
        <f>ClientiBanca[[#This Row],[Prestito]]+ClientiBanca[[#This Row],[Mutuo]]</f>
        <v>13500</v>
      </c>
      <c r="L3299" t="str">
        <f>IF(ClientiBanca[[#This Row],[Reddito annuo]]&gt;=70000,"si","no")</f>
        <v>si</v>
      </c>
    </row>
    <row r="3300" spans="1:12">
      <c r="A3300">
        <v>103299</v>
      </c>
      <c r="B3300">
        <v>45</v>
      </c>
      <c r="C3300" s="2">
        <v>59000</v>
      </c>
      <c r="D3300" t="s">
        <v>22</v>
      </c>
      <c r="E3300" s="2">
        <v>0</v>
      </c>
      <c r="F3300" s="2">
        <v>0</v>
      </c>
      <c r="G3300" t="s">
        <v>13</v>
      </c>
      <c r="H3300" t="s">
        <v>14</v>
      </c>
      <c r="I3300" t="s">
        <v>18</v>
      </c>
      <c r="J3300" s="3">
        <v>45379</v>
      </c>
      <c r="K3300" s="4">
        <f>ClientiBanca[[#This Row],[Prestito]]+ClientiBanca[[#This Row],[Mutuo]]</f>
        <v>0</v>
      </c>
      <c r="L3300" t="str">
        <f>IF(ClientiBanca[[#This Row],[Reddito annuo]]&gt;=70000,"si","no")</f>
        <v>no</v>
      </c>
    </row>
    <row r="3301" spans="1:12">
      <c r="A3301">
        <v>103300</v>
      </c>
      <c r="B3301">
        <v>20</v>
      </c>
      <c r="C3301" s="2">
        <v>92600</v>
      </c>
      <c r="D3301" t="s">
        <v>21</v>
      </c>
      <c r="E3301" s="2">
        <v>37400</v>
      </c>
      <c r="F3301" s="2">
        <v>0</v>
      </c>
      <c r="G3301" t="s">
        <v>28</v>
      </c>
      <c r="H3301" t="s">
        <v>20</v>
      </c>
      <c r="I3301" t="s">
        <v>18</v>
      </c>
      <c r="J3301" s="3">
        <v>46179</v>
      </c>
      <c r="K3301" s="4">
        <f>ClientiBanca[[#This Row],[Prestito]]+ClientiBanca[[#This Row],[Mutuo]]</f>
        <v>37400</v>
      </c>
      <c r="L3301" t="str">
        <f>IF(ClientiBanca[[#This Row],[Reddito annuo]]&gt;=70000,"si","no")</f>
        <v>si</v>
      </c>
    </row>
    <row r="3302" spans="1:12">
      <c r="A3302">
        <v>103301</v>
      </c>
      <c r="B3302">
        <v>21</v>
      </c>
      <c r="C3302" s="2">
        <v>35400</v>
      </c>
      <c r="D3302" t="s">
        <v>12</v>
      </c>
      <c r="E3302" s="2">
        <v>0</v>
      </c>
      <c r="F3302" s="2">
        <v>319000</v>
      </c>
      <c r="G3302" t="s">
        <v>23</v>
      </c>
      <c r="H3302" t="s">
        <v>17</v>
      </c>
      <c r="I3302" t="s">
        <v>18</v>
      </c>
      <c r="J3302" s="3">
        <v>46110</v>
      </c>
      <c r="K3302" s="4">
        <f>ClientiBanca[[#This Row],[Prestito]]+ClientiBanca[[#This Row],[Mutuo]]</f>
        <v>319000</v>
      </c>
      <c r="L3302" t="str">
        <f>IF(ClientiBanca[[#This Row],[Reddito annuo]]&gt;=70000,"si","no")</f>
        <v>no</v>
      </c>
    </row>
    <row r="3303" spans="1:12">
      <c r="A3303">
        <v>103302</v>
      </c>
      <c r="B3303">
        <v>36</v>
      </c>
      <c r="C3303" s="2">
        <v>66600</v>
      </c>
      <c r="D3303" t="s">
        <v>21</v>
      </c>
      <c r="E3303" s="2">
        <v>0</v>
      </c>
      <c r="F3303" s="2">
        <v>322000</v>
      </c>
      <c r="G3303" t="s">
        <v>28</v>
      </c>
      <c r="H3303" t="s">
        <v>14</v>
      </c>
      <c r="I3303" t="s">
        <v>18</v>
      </c>
      <c r="J3303" s="3">
        <v>45645</v>
      </c>
      <c r="K3303" s="4">
        <f>ClientiBanca[[#This Row],[Prestito]]+ClientiBanca[[#This Row],[Mutuo]]</f>
        <v>322000</v>
      </c>
      <c r="L3303" t="str">
        <f>IF(ClientiBanca[[#This Row],[Reddito annuo]]&gt;=70000,"si","no")</f>
        <v>no</v>
      </c>
    </row>
    <row r="3304" spans="1:12">
      <c r="A3304">
        <v>103303</v>
      </c>
      <c r="B3304">
        <v>23</v>
      </c>
      <c r="C3304" s="2">
        <v>88600</v>
      </c>
      <c r="D3304" t="s">
        <v>21</v>
      </c>
      <c r="E3304" s="2">
        <v>46600</v>
      </c>
      <c r="F3304" s="2">
        <v>0</v>
      </c>
      <c r="G3304" t="s">
        <v>28</v>
      </c>
      <c r="H3304" t="s">
        <v>20</v>
      </c>
      <c r="I3304" t="s">
        <v>18</v>
      </c>
      <c r="J3304" s="3">
        <v>45678</v>
      </c>
      <c r="K3304" s="4">
        <f>ClientiBanca[[#This Row],[Prestito]]+ClientiBanca[[#This Row],[Mutuo]]</f>
        <v>46600</v>
      </c>
      <c r="L3304" t="str">
        <f>IF(ClientiBanca[[#This Row],[Reddito annuo]]&gt;=70000,"si","no")</f>
        <v>si</v>
      </c>
    </row>
    <row r="3305" spans="1:12">
      <c r="A3305">
        <v>103304</v>
      </c>
      <c r="B3305">
        <v>68</v>
      </c>
      <c r="C3305" s="2">
        <v>80000</v>
      </c>
      <c r="D3305" t="s">
        <v>21</v>
      </c>
      <c r="E3305" s="2">
        <v>18600</v>
      </c>
      <c r="F3305" s="2">
        <v>0</v>
      </c>
      <c r="G3305" t="s">
        <v>13</v>
      </c>
      <c r="H3305" t="s">
        <v>20</v>
      </c>
      <c r="I3305" t="s">
        <v>18</v>
      </c>
      <c r="J3305" s="3">
        <v>45979</v>
      </c>
      <c r="K3305" s="4">
        <f>ClientiBanca[[#This Row],[Prestito]]+ClientiBanca[[#This Row],[Mutuo]]</f>
        <v>18600</v>
      </c>
      <c r="L3305" t="str">
        <f>IF(ClientiBanca[[#This Row],[Reddito annuo]]&gt;=70000,"si","no")</f>
        <v>si</v>
      </c>
    </row>
    <row r="3306" spans="1:12">
      <c r="A3306">
        <v>103305</v>
      </c>
      <c r="B3306">
        <v>67</v>
      </c>
      <c r="C3306" s="2">
        <v>114800</v>
      </c>
      <c r="D3306" t="s">
        <v>21</v>
      </c>
      <c r="E3306" s="2">
        <v>0</v>
      </c>
      <c r="F3306" s="2">
        <v>0</v>
      </c>
      <c r="G3306" t="s">
        <v>28</v>
      </c>
      <c r="H3306" t="s">
        <v>25</v>
      </c>
      <c r="I3306" t="s">
        <v>18</v>
      </c>
      <c r="J3306" s="3">
        <v>45323</v>
      </c>
      <c r="K3306" s="4">
        <f>ClientiBanca[[#This Row],[Prestito]]+ClientiBanca[[#This Row],[Mutuo]]</f>
        <v>0</v>
      </c>
      <c r="L3306" t="str">
        <f>IF(ClientiBanca[[#This Row],[Reddito annuo]]&gt;=70000,"si","no")</f>
        <v>si</v>
      </c>
    </row>
    <row r="3307" spans="1:12">
      <c r="A3307">
        <v>103306</v>
      </c>
      <c r="B3307">
        <v>32</v>
      </c>
      <c r="C3307" s="2">
        <v>81300</v>
      </c>
      <c r="D3307" t="s">
        <v>12</v>
      </c>
      <c r="E3307" s="2">
        <v>51900</v>
      </c>
      <c r="F3307" s="2">
        <v>187000</v>
      </c>
      <c r="G3307" t="s">
        <v>28</v>
      </c>
      <c r="H3307" t="s">
        <v>20</v>
      </c>
      <c r="I3307" t="s">
        <v>18</v>
      </c>
      <c r="J3307" s="3">
        <v>45914</v>
      </c>
      <c r="K3307" s="4">
        <f>ClientiBanca[[#This Row],[Prestito]]+ClientiBanca[[#This Row],[Mutuo]]</f>
        <v>238900</v>
      </c>
      <c r="L3307" t="str">
        <f>IF(ClientiBanca[[#This Row],[Reddito annuo]]&gt;=70000,"si","no")</f>
        <v>si</v>
      </c>
    </row>
    <row r="3308" spans="1:12">
      <c r="A3308">
        <v>103307</v>
      </c>
      <c r="B3308">
        <v>37</v>
      </c>
      <c r="C3308" s="2">
        <v>53300</v>
      </c>
      <c r="D3308" t="s">
        <v>12</v>
      </c>
      <c r="E3308" s="2">
        <v>0</v>
      </c>
      <c r="F3308" s="2">
        <v>0</v>
      </c>
      <c r="G3308" t="s">
        <v>23</v>
      </c>
      <c r="H3308" t="s">
        <v>14</v>
      </c>
      <c r="I3308" t="s">
        <v>18</v>
      </c>
      <c r="J3308" s="3">
        <v>45432</v>
      </c>
      <c r="K3308" s="4">
        <f>ClientiBanca[[#This Row],[Prestito]]+ClientiBanca[[#This Row],[Mutuo]]</f>
        <v>0</v>
      </c>
      <c r="L3308" t="str">
        <f>IF(ClientiBanca[[#This Row],[Reddito annuo]]&gt;=70000,"si","no")</f>
        <v>no</v>
      </c>
    </row>
    <row r="3309" spans="1:12">
      <c r="A3309">
        <v>103308</v>
      </c>
      <c r="B3309">
        <v>69</v>
      </c>
      <c r="C3309" s="2">
        <v>43900</v>
      </c>
      <c r="D3309" t="s">
        <v>12</v>
      </c>
      <c r="E3309" s="2">
        <v>33300</v>
      </c>
      <c r="F3309" s="2">
        <v>0</v>
      </c>
      <c r="G3309" t="s">
        <v>19</v>
      </c>
      <c r="H3309" t="s">
        <v>17</v>
      </c>
      <c r="I3309" t="s">
        <v>15</v>
      </c>
      <c r="J3309" s="3">
        <v>45319</v>
      </c>
      <c r="K3309" s="4">
        <f>ClientiBanca[[#This Row],[Prestito]]+ClientiBanca[[#This Row],[Mutuo]]</f>
        <v>33300</v>
      </c>
      <c r="L3309" t="str">
        <f>IF(ClientiBanca[[#This Row],[Reddito annuo]]&gt;=70000,"si","no")</f>
        <v>no</v>
      </c>
    </row>
    <row r="3310" spans="1:12">
      <c r="A3310">
        <v>103309</v>
      </c>
      <c r="B3310">
        <v>57</v>
      </c>
      <c r="C3310" s="2">
        <v>59500</v>
      </c>
      <c r="D3310" t="s">
        <v>22</v>
      </c>
      <c r="E3310" s="2">
        <v>10300</v>
      </c>
      <c r="F3310" s="2">
        <v>0</v>
      </c>
      <c r="G3310" t="s">
        <v>23</v>
      </c>
      <c r="H3310" t="s">
        <v>20</v>
      </c>
      <c r="I3310" t="s">
        <v>18</v>
      </c>
      <c r="J3310" s="3">
        <v>46156</v>
      </c>
      <c r="K3310" s="4">
        <f>ClientiBanca[[#This Row],[Prestito]]+ClientiBanca[[#This Row],[Mutuo]]</f>
        <v>10300</v>
      </c>
      <c r="L3310" t="str">
        <f>IF(ClientiBanca[[#This Row],[Reddito annuo]]&gt;=70000,"si","no")</f>
        <v>no</v>
      </c>
    </row>
    <row r="3311" spans="1:12">
      <c r="A3311">
        <v>103310</v>
      </c>
      <c r="B3311">
        <v>21</v>
      </c>
      <c r="C3311" s="2">
        <v>85500</v>
      </c>
      <c r="D3311" t="s">
        <v>21</v>
      </c>
      <c r="E3311" s="2">
        <v>0</v>
      </c>
      <c r="F3311" s="2">
        <v>0</v>
      </c>
      <c r="G3311" t="s">
        <v>26</v>
      </c>
      <c r="H3311" t="s">
        <v>20</v>
      </c>
      <c r="I3311" t="s">
        <v>18</v>
      </c>
      <c r="J3311" s="3">
        <v>46004</v>
      </c>
      <c r="K3311" s="4">
        <f>ClientiBanca[[#This Row],[Prestito]]+ClientiBanca[[#This Row],[Mutuo]]</f>
        <v>0</v>
      </c>
      <c r="L3311" t="str">
        <f>IF(ClientiBanca[[#This Row],[Reddito annuo]]&gt;=70000,"si","no")</f>
        <v>si</v>
      </c>
    </row>
    <row r="3312" spans="1:12">
      <c r="A3312">
        <v>103311</v>
      </c>
      <c r="B3312">
        <v>54</v>
      </c>
      <c r="C3312" s="2">
        <v>75000</v>
      </c>
      <c r="D3312" t="s">
        <v>12</v>
      </c>
      <c r="E3312" s="2">
        <v>43000</v>
      </c>
      <c r="F3312" s="2">
        <v>175000</v>
      </c>
      <c r="G3312" t="s">
        <v>27</v>
      </c>
      <c r="H3312" t="s">
        <v>14</v>
      </c>
      <c r="I3312" t="s">
        <v>18</v>
      </c>
      <c r="J3312" s="3">
        <v>45437</v>
      </c>
      <c r="K3312" s="4">
        <f>ClientiBanca[[#This Row],[Prestito]]+ClientiBanca[[#This Row],[Mutuo]]</f>
        <v>218000</v>
      </c>
      <c r="L3312" t="str">
        <f>IF(ClientiBanca[[#This Row],[Reddito annuo]]&gt;=70000,"si","no")</f>
        <v>si</v>
      </c>
    </row>
    <row r="3313" spans="1:12">
      <c r="A3313">
        <v>103312</v>
      </c>
      <c r="B3313">
        <v>53</v>
      </c>
      <c r="C3313" s="2">
        <v>91700</v>
      </c>
      <c r="D3313" t="s">
        <v>21</v>
      </c>
      <c r="E3313" s="2">
        <v>45900</v>
      </c>
      <c r="F3313" s="2">
        <v>0</v>
      </c>
      <c r="G3313" t="s">
        <v>19</v>
      </c>
      <c r="H3313" t="s">
        <v>17</v>
      </c>
      <c r="I3313" t="s">
        <v>18</v>
      </c>
      <c r="J3313" s="3">
        <v>46183</v>
      </c>
      <c r="K3313" s="4">
        <f>ClientiBanca[[#This Row],[Prestito]]+ClientiBanca[[#This Row],[Mutuo]]</f>
        <v>45900</v>
      </c>
      <c r="L3313" t="str">
        <f>IF(ClientiBanca[[#This Row],[Reddito annuo]]&gt;=70000,"si","no")</f>
        <v>si</v>
      </c>
    </row>
    <row r="3314" spans="1:12">
      <c r="A3314">
        <v>103313</v>
      </c>
      <c r="B3314">
        <v>27</v>
      </c>
      <c r="C3314" s="2">
        <v>41800</v>
      </c>
      <c r="D3314" t="s">
        <v>12</v>
      </c>
      <c r="E3314" s="2">
        <v>0</v>
      </c>
      <c r="F3314" s="2">
        <v>0</v>
      </c>
      <c r="G3314" t="s">
        <v>27</v>
      </c>
      <c r="H3314" t="s">
        <v>25</v>
      </c>
      <c r="I3314" t="s">
        <v>18</v>
      </c>
      <c r="J3314" s="3">
        <v>46233</v>
      </c>
      <c r="K3314" s="4">
        <f>ClientiBanca[[#This Row],[Prestito]]+ClientiBanca[[#This Row],[Mutuo]]</f>
        <v>0</v>
      </c>
      <c r="L3314" t="str">
        <f>IF(ClientiBanca[[#This Row],[Reddito annuo]]&gt;=70000,"si","no")</f>
        <v>no</v>
      </c>
    </row>
    <row r="3315" spans="1:12">
      <c r="A3315">
        <v>103314</v>
      </c>
      <c r="B3315">
        <v>39</v>
      </c>
      <c r="C3315" s="2">
        <v>61200</v>
      </c>
      <c r="D3315" t="s">
        <v>21</v>
      </c>
      <c r="E3315" s="2">
        <v>0</v>
      </c>
      <c r="F3315" s="2">
        <v>0</v>
      </c>
      <c r="G3315" t="s">
        <v>23</v>
      </c>
      <c r="H3315" t="s">
        <v>17</v>
      </c>
      <c r="I3315" t="s">
        <v>18</v>
      </c>
      <c r="J3315" s="3">
        <v>45792</v>
      </c>
      <c r="K3315" s="4">
        <f>ClientiBanca[[#This Row],[Prestito]]+ClientiBanca[[#This Row],[Mutuo]]</f>
        <v>0</v>
      </c>
      <c r="L3315" t="str">
        <f>IF(ClientiBanca[[#This Row],[Reddito annuo]]&gt;=70000,"si","no")</f>
        <v>no</v>
      </c>
    </row>
    <row r="3316" spans="1:12">
      <c r="A3316">
        <v>103315</v>
      </c>
      <c r="B3316">
        <v>32</v>
      </c>
      <c r="C3316" s="2">
        <v>52900</v>
      </c>
      <c r="D3316" t="s">
        <v>12</v>
      </c>
      <c r="E3316" s="2">
        <v>16300</v>
      </c>
      <c r="F3316" s="2">
        <v>86000</v>
      </c>
      <c r="G3316" t="s">
        <v>26</v>
      </c>
      <c r="H3316" t="s">
        <v>17</v>
      </c>
      <c r="I3316" t="s">
        <v>18</v>
      </c>
      <c r="J3316" s="3">
        <v>45741</v>
      </c>
      <c r="K3316" s="4">
        <f>ClientiBanca[[#This Row],[Prestito]]+ClientiBanca[[#This Row],[Mutuo]]</f>
        <v>102300</v>
      </c>
      <c r="L3316" t="str">
        <f>IF(ClientiBanca[[#This Row],[Reddito annuo]]&gt;=70000,"si","no")</f>
        <v>no</v>
      </c>
    </row>
    <row r="3317" spans="1:12">
      <c r="A3317">
        <v>103316</v>
      </c>
      <c r="B3317">
        <v>43</v>
      </c>
      <c r="C3317" s="2">
        <v>61100</v>
      </c>
      <c r="D3317" t="s">
        <v>21</v>
      </c>
      <c r="E3317" s="2">
        <v>0</v>
      </c>
      <c r="F3317" s="2">
        <v>194000</v>
      </c>
      <c r="G3317" t="s">
        <v>28</v>
      </c>
      <c r="H3317" t="s">
        <v>25</v>
      </c>
      <c r="I3317" t="s">
        <v>18</v>
      </c>
      <c r="J3317" s="3">
        <v>45564</v>
      </c>
      <c r="K3317" s="4">
        <f>ClientiBanca[[#This Row],[Prestito]]+ClientiBanca[[#This Row],[Mutuo]]</f>
        <v>194000</v>
      </c>
      <c r="L3317" t="str">
        <f>IF(ClientiBanca[[#This Row],[Reddito annuo]]&gt;=70000,"si","no")</f>
        <v>no</v>
      </c>
    </row>
    <row r="3318" spans="1:12">
      <c r="A3318">
        <v>103317</v>
      </c>
      <c r="B3318">
        <v>26</v>
      </c>
      <c r="C3318" s="2">
        <v>52600</v>
      </c>
      <c r="D3318" t="s">
        <v>21</v>
      </c>
      <c r="E3318" s="2">
        <v>9400</v>
      </c>
      <c r="F3318" s="2">
        <v>0</v>
      </c>
      <c r="G3318" t="s">
        <v>28</v>
      </c>
      <c r="H3318" t="s">
        <v>17</v>
      </c>
      <c r="I3318" t="s">
        <v>18</v>
      </c>
      <c r="J3318" s="3">
        <v>45880</v>
      </c>
      <c r="K3318" s="4">
        <f>ClientiBanca[[#This Row],[Prestito]]+ClientiBanca[[#This Row],[Mutuo]]</f>
        <v>9400</v>
      </c>
      <c r="L3318" t="str">
        <f>IF(ClientiBanca[[#This Row],[Reddito annuo]]&gt;=70000,"si","no")</f>
        <v>no</v>
      </c>
    </row>
    <row r="3319" spans="1:12">
      <c r="A3319">
        <v>103318</v>
      </c>
      <c r="B3319">
        <v>48</v>
      </c>
      <c r="C3319" s="2">
        <v>58500</v>
      </c>
      <c r="D3319" t="s">
        <v>21</v>
      </c>
      <c r="E3319" s="2">
        <v>34500</v>
      </c>
      <c r="F3319" s="2">
        <v>124000</v>
      </c>
      <c r="G3319" t="s">
        <v>26</v>
      </c>
      <c r="H3319" t="s">
        <v>20</v>
      </c>
      <c r="I3319" t="s">
        <v>18</v>
      </c>
      <c r="J3319" s="3">
        <v>45741</v>
      </c>
      <c r="K3319" s="4">
        <f>ClientiBanca[[#This Row],[Prestito]]+ClientiBanca[[#This Row],[Mutuo]]</f>
        <v>158500</v>
      </c>
      <c r="L3319" t="str">
        <f>IF(ClientiBanca[[#This Row],[Reddito annuo]]&gt;=70000,"si","no")</f>
        <v>no</v>
      </c>
    </row>
    <row r="3320" spans="1:12">
      <c r="A3320">
        <v>103319</v>
      </c>
      <c r="B3320">
        <v>31</v>
      </c>
      <c r="C3320" s="2">
        <v>63000</v>
      </c>
      <c r="D3320" t="s">
        <v>12</v>
      </c>
      <c r="E3320" s="2">
        <v>46600</v>
      </c>
      <c r="F3320" s="2">
        <v>0</v>
      </c>
      <c r="G3320" t="s">
        <v>13</v>
      </c>
      <c r="H3320" t="s">
        <v>17</v>
      </c>
      <c r="I3320" t="s">
        <v>18</v>
      </c>
      <c r="J3320" s="3">
        <v>45396</v>
      </c>
      <c r="K3320" s="4">
        <f>ClientiBanca[[#This Row],[Prestito]]+ClientiBanca[[#This Row],[Mutuo]]</f>
        <v>46600</v>
      </c>
      <c r="L3320" t="str">
        <f>IF(ClientiBanca[[#This Row],[Reddito annuo]]&gt;=70000,"si","no")</f>
        <v>no</v>
      </c>
    </row>
    <row r="3321" spans="1:12">
      <c r="A3321">
        <v>103320</v>
      </c>
      <c r="B3321">
        <v>39</v>
      </c>
      <c r="C3321" s="2">
        <v>52300</v>
      </c>
      <c r="D3321" t="s">
        <v>21</v>
      </c>
      <c r="E3321" s="2">
        <v>27100</v>
      </c>
      <c r="F3321" s="2">
        <v>232000</v>
      </c>
      <c r="G3321" t="s">
        <v>16</v>
      </c>
      <c r="H3321" t="s">
        <v>14</v>
      </c>
      <c r="I3321" t="s">
        <v>15</v>
      </c>
      <c r="J3321" s="3">
        <v>45632</v>
      </c>
      <c r="K3321" s="4">
        <f>ClientiBanca[[#This Row],[Prestito]]+ClientiBanca[[#This Row],[Mutuo]]</f>
        <v>259100</v>
      </c>
      <c r="L3321" t="str">
        <f>IF(ClientiBanca[[#This Row],[Reddito annuo]]&gt;=70000,"si","no")</f>
        <v>no</v>
      </c>
    </row>
    <row r="3322" spans="1:12">
      <c r="A3322">
        <v>103321</v>
      </c>
      <c r="B3322">
        <v>41</v>
      </c>
      <c r="C3322" s="2">
        <v>49300</v>
      </c>
      <c r="D3322" t="s">
        <v>12</v>
      </c>
      <c r="E3322" s="2">
        <v>25900</v>
      </c>
      <c r="F3322" s="2">
        <v>267000</v>
      </c>
      <c r="G3322" t="s">
        <v>23</v>
      </c>
      <c r="H3322" t="s">
        <v>17</v>
      </c>
      <c r="I3322" t="s">
        <v>18</v>
      </c>
      <c r="J3322" s="3">
        <v>46239</v>
      </c>
      <c r="K3322" s="4">
        <f>ClientiBanca[[#This Row],[Prestito]]+ClientiBanca[[#This Row],[Mutuo]]</f>
        <v>292900</v>
      </c>
      <c r="L3322" t="str">
        <f>IF(ClientiBanca[[#This Row],[Reddito annuo]]&gt;=70000,"si","no")</f>
        <v>no</v>
      </c>
    </row>
    <row r="3323" spans="1:12">
      <c r="A3323">
        <v>103322</v>
      </c>
      <c r="B3323">
        <v>74</v>
      </c>
      <c r="C3323" s="2">
        <v>106300</v>
      </c>
      <c r="D3323" t="s">
        <v>22</v>
      </c>
      <c r="E3323" s="2">
        <v>0</v>
      </c>
      <c r="F3323" s="2">
        <v>0</v>
      </c>
      <c r="G3323" t="s">
        <v>13</v>
      </c>
      <c r="H3323" t="s">
        <v>25</v>
      </c>
      <c r="I3323" t="s">
        <v>18</v>
      </c>
      <c r="J3323" s="3">
        <v>46118</v>
      </c>
      <c r="K3323" s="4">
        <f>ClientiBanca[[#This Row],[Prestito]]+ClientiBanca[[#This Row],[Mutuo]]</f>
        <v>0</v>
      </c>
      <c r="L3323" t="str">
        <f>IF(ClientiBanca[[#This Row],[Reddito annuo]]&gt;=70000,"si","no")</f>
        <v>si</v>
      </c>
    </row>
    <row r="3324" spans="1:12">
      <c r="A3324">
        <v>103323</v>
      </c>
      <c r="B3324">
        <v>21</v>
      </c>
      <c r="C3324" s="2">
        <v>41100</v>
      </c>
      <c r="D3324" t="s">
        <v>22</v>
      </c>
      <c r="E3324" s="2">
        <v>41700</v>
      </c>
      <c r="F3324" s="2">
        <v>0</v>
      </c>
      <c r="G3324" t="s">
        <v>19</v>
      </c>
      <c r="H3324" t="s">
        <v>14</v>
      </c>
      <c r="I3324" t="s">
        <v>18</v>
      </c>
      <c r="J3324" s="3">
        <v>45712</v>
      </c>
      <c r="K3324" s="4">
        <f>ClientiBanca[[#This Row],[Prestito]]+ClientiBanca[[#This Row],[Mutuo]]</f>
        <v>41700</v>
      </c>
      <c r="L3324" t="str">
        <f>IF(ClientiBanca[[#This Row],[Reddito annuo]]&gt;=70000,"si","no")</f>
        <v>no</v>
      </c>
    </row>
    <row r="3325" spans="1:12">
      <c r="A3325">
        <v>103324</v>
      </c>
      <c r="B3325">
        <v>70</v>
      </c>
      <c r="C3325" s="2">
        <v>54700</v>
      </c>
      <c r="D3325" t="s">
        <v>21</v>
      </c>
      <c r="E3325" s="2">
        <v>0</v>
      </c>
      <c r="F3325" s="2">
        <v>0</v>
      </c>
      <c r="G3325" t="s">
        <v>13</v>
      </c>
      <c r="H3325" t="s">
        <v>17</v>
      </c>
      <c r="I3325" t="s">
        <v>18</v>
      </c>
      <c r="J3325" s="3">
        <v>45715</v>
      </c>
      <c r="K3325" s="4">
        <f>ClientiBanca[[#This Row],[Prestito]]+ClientiBanca[[#This Row],[Mutuo]]</f>
        <v>0</v>
      </c>
      <c r="L3325" t="str">
        <f>IF(ClientiBanca[[#This Row],[Reddito annuo]]&gt;=70000,"si","no")</f>
        <v>no</v>
      </c>
    </row>
    <row r="3326" spans="1:12">
      <c r="A3326">
        <v>103325</v>
      </c>
      <c r="B3326">
        <v>61</v>
      </c>
      <c r="C3326" s="2">
        <v>115800</v>
      </c>
      <c r="D3326" t="s">
        <v>21</v>
      </c>
      <c r="E3326" s="2">
        <v>0</v>
      </c>
      <c r="F3326" s="2">
        <v>0</v>
      </c>
      <c r="G3326" t="s">
        <v>16</v>
      </c>
      <c r="H3326" t="s">
        <v>17</v>
      </c>
      <c r="I3326" t="s">
        <v>18</v>
      </c>
      <c r="J3326" s="3">
        <v>45774</v>
      </c>
      <c r="K3326" s="4">
        <f>ClientiBanca[[#This Row],[Prestito]]+ClientiBanca[[#This Row],[Mutuo]]</f>
        <v>0</v>
      </c>
      <c r="L3326" t="str">
        <f>IF(ClientiBanca[[#This Row],[Reddito annuo]]&gt;=70000,"si","no")</f>
        <v>si</v>
      </c>
    </row>
    <row r="3327" spans="1:12">
      <c r="A3327">
        <v>103326</v>
      </c>
      <c r="B3327">
        <v>37</v>
      </c>
      <c r="C3327" s="2">
        <v>74500</v>
      </c>
      <c r="D3327" t="s">
        <v>12</v>
      </c>
      <c r="E3327" s="2">
        <v>48400</v>
      </c>
      <c r="F3327" s="2">
        <v>0</v>
      </c>
      <c r="G3327" t="s">
        <v>23</v>
      </c>
      <c r="H3327" t="s">
        <v>17</v>
      </c>
      <c r="I3327" t="s">
        <v>18</v>
      </c>
      <c r="J3327" s="3">
        <v>45839</v>
      </c>
      <c r="K3327" s="4">
        <f>ClientiBanca[[#This Row],[Prestito]]+ClientiBanca[[#This Row],[Mutuo]]</f>
        <v>48400</v>
      </c>
      <c r="L3327" t="str">
        <f>IF(ClientiBanca[[#This Row],[Reddito annuo]]&gt;=70000,"si","no")</f>
        <v>si</v>
      </c>
    </row>
    <row r="3328" spans="1:12">
      <c r="A3328">
        <v>103327</v>
      </c>
      <c r="B3328">
        <v>43</v>
      </c>
      <c r="C3328" s="2">
        <v>72000</v>
      </c>
      <c r="D3328" t="s">
        <v>22</v>
      </c>
      <c r="E3328" s="2">
        <v>0</v>
      </c>
      <c r="F3328" s="2">
        <v>0</v>
      </c>
      <c r="G3328" t="s">
        <v>28</v>
      </c>
      <c r="H3328" t="s">
        <v>20</v>
      </c>
      <c r="I3328" t="s">
        <v>18</v>
      </c>
      <c r="J3328" s="3">
        <v>46100</v>
      </c>
      <c r="K3328" s="4">
        <f>ClientiBanca[[#This Row],[Prestito]]+ClientiBanca[[#This Row],[Mutuo]]</f>
        <v>0</v>
      </c>
      <c r="L3328" t="str">
        <f>IF(ClientiBanca[[#This Row],[Reddito annuo]]&gt;=70000,"si","no")</f>
        <v>si</v>
      </c>
    </row>
    <row r="3329" spans="1:12">
      <c r="A3329">
        <v>103328</v>
      </c>
      <c r="B3329">
        <v>57</v>
      </c>
      <c r="C3329" s="2">
        <v>40800</v>
      </c>
      <c r="D3329" t="s">
        <v>21</v>
      </c>
      <c r="E3329" s="2">
        <v>38000</v>
      </c>
      <c r="F3329" s="2">
        <v>0</v>
      </c>
      <c r="G3329" t="s">
        <v>19</v>
      </c>
      <c r="H3329" t="s">
        <v>20</v>
      </c>
      <c r="I3329" t="s">
        <v>18</v>
      </c>
      <c r="J3329" s="3">
        <v>45485</v>
      </c>
      <c r="K3329" s="4">
        <f>ClientiBanca[[#This Row],[Prestito]]+ClientiBanca[[#This Row],[Mutuo]]</f>
        <v>38000</v>
      </c>
      <c r="L3329" t="str">
        <f>IF(ClientiBanca[[#This Row],[Reddito annuo]]&gt;=70000,"si","no")</f>
        <v>no</v>
      </c>
    </row>
    <row r="3330" spans="1:12">
      <c r="A3330">
        <v>103329</v>
      </c>
      <c r="B3330">
        <v>46</v>
      </c>
      <c r="C3330" s="2">
        <v>86000</v>
      </c>
      <c r="D3330" t="s">
        <v>12</v>
      </c>
      <c r="E3330" s="2">
        <v>0</v>
      </c>
      <c r="F3330" s="2">
        <v>0</v>
      </c>
      <c r="G3330" t="s">
        <v>27</v>
      </c>
      <c r="H3330" t="s">
        <v>20</v>
      </c>
      <c r="I3330" t="s">
        <v>18</v>
      </c>
      <c r="J3330" s="3">
        <v>46127</v>
      </c>
      <c r="K3330" s="4">
        <f>ClientiBanca[[#This Row],[Prestito]]+ClientiBanca[[#This Row],[Mutuo]]</f>
        <v>0</v>
      </c>
      <c r="L3330" t="str">
        <f>IF(ClientiBanca[[#This Row],[Reddito annuo]]&gt;=70000,"si","no")</f>
        <v>si</v>
      </c>
    </row>
    <row r="3331" spans="1:12">
      <c r="A3331">
        <v>103330</v>
      </c>
      <c r="B3331">
        <v>53</v>
      </c>
      <c r="C3331" s="2">
        <v>69500</v>
      </c>
      <c r="D3331" t="s">
        <v>12</v>
      </c>
      <c r="E3331" s="2">
        <v>49800</v>
      </c>
      <c r="F3331" s="2">
        <v>0</v>
      </c>
      <c r="G3331" t="s">
        <v>28</v>
      </c>
      <c r="H3331" t="s">
        <v>20</v>
      </c>
      <c r="I3331" t="s">
        <v>18</v>
      </c>
      <c r="J3331" s="3">
        <v>45468</v>
      </c>
      <c r="K3331" s="4">
        <f>ClientiBanca[[#This Row],[Prestito]]+ClientiBanca[[#This Row],[Mutuo]]</f>
        <v>49800</v>
      </c>
      <c r="L3331" t="str">
        <f>IF(ClientiBanca[[#This Row],[Reddito annuo]]&gt;=70000,"si","no")</f>
        <v>no</v>
      </c>
    </row>
    <row r="3332" spans="1:12">
      <c r="A3332">
        <v>103331</v>
      </c>
      <c r="B3332">
        <v>71</v>
      </c>
      <c r="C3332" s="2">
        <v>58900</v>
      </c>
      <c r="D3332" t="s">
        <v>12</v>
      </c>
      <c r="E3332" s="2">
        <v>38200</v>
      </c>
      <c r="F3332" s="2">
        <v>0</v>
      </c>
      <c r="G3332" t="s">
        <v>13</v>
      </c>
      <c r="H3332" t="s">
        <v>17</v>
      </c>
      <c r="I3332" t="s">
        <v>18</v>
      </c>
      <c r="J3332" s="3">
        <v>45655</v>
      </c>
      <c r="K3332" s="4">
        <f>ClientiBanca[[#This Row],[Prestito]]+ClientiBanca[[#This Row],[Mutuo]]</f>
        <v>38200</v>
      </c>
      <c r="L3332" t="str">
        <f>IF(ClientiBanca[[#This Row],[Reddito annuo]]&gt;=70000,"si","no")</f>
        <v>no</v>
      </c>
    </row>
    <row r="3333" spans="1:12">
      <c r="A3333">
        <v>103332</v>
      </c>
      <c r="B3333">
        <v>36</v>
      </c>
      <c r="C3333" s="2">
        <v>46100</v>
      </c>
      <c r="D3333" t="s">
        <v>12</v>
      </c>
      <c r="E3333" s="2">
        <v>24800</v>
      </c>
      <c r="F3333" s="2">
        <v>118000</v>
      </c>
      <c r="G3333" t="s">
        <v>28</v>
      </c>
      <c r="H3333" t="s">
        <v>14</v>
      </c>
      <c r="I3333" t="s">
        <v>18</v>
      </c>
      <c r="J3333" s="3">
        <v>45654</v>
      </c>
      <c r="K3333" s="4">
        <f>ClientiBanca[[#This Row],[Prestito]]+ClientiBanca[[#This Row],[Mutuo]]</f>
        <v>142800</v>
      </c>
      <c r="L3333" t="str">
        <f>IF(ClientiBanca[[#This Row],[Reddito annuo]]&gt;=70000,"si","no")</f>
        <v>no</v>
      </c>
    </row>
    <row r="3334" spans="1:12">
      <c r="A3334">
        <v>103333</v>
      </c>
      <c r="B3334">
        <v>74</v>
      </c>
      <c r="C3334" s="2">
        <v>55400</v>
      </c>
      <c r="D3334" t="s">
        <v>21</v>
      </c>
      <c r="E3334" s="2">
        <v>5300</v>
      </c>
      <c r="F3334" s="2">
        <v>191000</v>
      </c>
      <c r="G3334" t="s">
        <v>13</v>
      </c>
      <c r="H3334" t="s">
        <v>17</v>
      </c>
      <c r="I3334" t="s">
        <v>18</v>
      </c>
      <c r="J3334" s="3">
        <v>45569</v>
      </c>
      <c r="K3334" s="4">
        <f>ClientiBanca[[#This Row],[Prestito]]+ClientiBanca[[#This Row],[Mutuo]]</f>
        <v>196300</v>
      </c>
      <c r="L3334" t="str">
        <f>IF(ClientiBanca[[#This Row],[Reddito annuo]]&gt;=70000,"si","no")</f>
        <v>no</v>
      </c>
    </row>
    <row r="3335" spans="1:12">
      <c r="A3335">
        <v>103334</v>
      </c>
      <c r="B3335">
        <v>39</v>
      </c>
      <c r="C3335" s="2">
        <v>57100</v>
      </c>
      <c r="D3335" t="s">
        <v>12</v>
      </c>
      <c r="E3335" s="2">
        <v>50300</v>
      </c>
      <c r="F3335" s="2">
        <v>0</v>
      </c>
      <c r="G3335" t="s">
        <v>23</v>
      </c>
      <c r="H3335" t="s">
        <v>17</v>
      </c>
      <c r="I3335" t="s">
        <v>18</v>
      </c>
      <c r="J3335" s="3">
        <v>45711</v>
      </c>
      <c r="K3335" s="4">
        <f>ClientiBanca[[#This Row],[Prestito]]+ClientiBanca[[#This Row],[Mutuo]]</f>
        <v>50300</v>
      </c>
      <c r="L3335" t="str">
        <f>IF(ClientiBanca[[#This Row],[Reddito annuo]]&gt;=70000,"si","no")</f>
        <v>no</v>
      </c>
    </row>
    <row r="3336" spans="1:12">
      <c r="A3336">
        <v>103335</v>
      </c>
      <c r="B3336">
        <v>65</v>
      </c>
      <c r="C3336" s="2">
        <v>41900</v>
      </c>
      <c r="D3336" t="s">
        <v>21</v>
      </c>
      <c r="E3336" s="2">
        <v>22400</v>
      </c>
      <c r="F3336" s="2">
        <v>0</v>
      </c>
      <c r="G3336" t="s">
        <v>28</v>
      </c>
      <c r="H3336" t="s">
        <v>14</v>
      </c>
      <c r="I3336" t="s">
        <v>18</v>
      </c>
      <c r="J3336" s="3">
        <v>45991</v>
      </c>
      <c r="K3336" s="4">
        <f>ClientiBanca[[#This Row],[Prestito]]+ClientiBanca[[#This Row],[Mutuo]]</f>
        <v>22400</v>
      </c>
      <c r="L3336" t="str">
        <f>IF(ClientiBanca[[#This Row],[Reddito annuo]]&gt;=70000,"si","no")</f>
        <v>no</v>
      </c>
    </row>
    <row r="3337" spans="1:12">
      <c r="A3337">
        <v>103336</v>
      </c>
      <c r="B3337">
        <v>74</v>
      </c>
      <c r="C3337" s="2">
        <v>29100</v>
      </c>
      <c r="D3337" t="s">
        <v>21</v>
      </c>
      <c r="E3337" s="2">
        <v>36400</v>
      </c>
      <c r="F3337" s="2">
        <v>0</v>
      </c>
      <c r="G3337" t="s">
        <v>24</v>
      </c>
      <c r="H3337" t="s">
        <v>14</v>
      </c>
      <c r="I3337" t="s">
        <v>18</v>
      </c>
      <c r="J3337" s="3">
        <v>45943</v>
      </c>
      <c r="K3337" s="4">
        <f>ClientiBanca[[#This Row],[Prestito]]+ClientiBanca[[#This Row],[Mutuo]]</f>
        <v>36400</v>
      </c>
      <c r="L3337" t="str">
        <f>IF(ClientiBanca[[#This Row],[Reddito annuo]]&gt;=70000,"si","no")</f>
        <v>no</v>
      </c>
    </row>
    <row r="3338" spans="1:12">
      <c r="A3338">
        <v>103337</v>
      </c>
      <c r="B3338">
        <v>61</v>
      </c>
      <c r="C3338" s="2">
        <v>49200</v>
      </c>
      <c r="D3338" t="s">
        <v>21</v>
      </c>
      <c r="E3338" s="2">
        <v>49300</v>
      </c>
      <c r="F3338" s="2">
        <v>164000</v>
      </c>
      <c r="G3338" t="s">
        <v>26</v>
      </c>
      <c r="H3338" t="s">
        <v>17</v>
      </c>
      <c r="I3338" t="s">
        <v>18</v>
      </c>
      <c r="J3338" s="3">
        <v>46235</v>
      </c>
      <c r="K3338" s="4">
        <f>ClientiBanca[[#This Row],[Prestito]]+ClientiBanca[[#This Row],[Mutuo]]</f>
        <v>213300</v>
      </c>
      <c r="L3338" t="str">
        <f>IF(ClientiBanca[[#This Row],[Reddito annuo]]&gt;=70000,"si","no")</f>
        <v>no</v>
      </c>
    </row>
    <row r="3339" spans="1:12">
      <c r="A3339">
        <v>103338</v>
      </c>
      <c r="B3339">
        <v>74</v>
      </c>
      <c r="C3339" s="2">
        <v>46300</v>
      </c>
      <c r="D3339" t="s">
        <v>12</v>
      </c>
      <c r="E3339" s="2">
        <v>0</v>
      </c>
      <c r="F3339" s="2">
        <v>0</v>
      </c>
      <c r="G3339" t="s">
        <v>23</v>
      </c>
      <c r="H3339" t="s">
        <v>17</v>
      </c>
      <c r="I3339" t="s">
        <v>18</v>
      </c>
      <c r="J3339" s="3">
        <v>45651</v>
      </c>
      <c r="K3339" s="4">
        <f>ClientiBanca[[#This Row],[Prestito]]+ClientiBanca[[#This Row],[Mutuo]]</f>
        <v>0</v>
      </c>
      <c r="L3339" t="str">
        <f>IF(ClientiBanca[[#This Row],[Reddito annuo]]&gt;=70000,"si","no")</f>
        <v>no</v>
      </c>
    </row>
    <row r="3340" spans="1:12">
      <c r="A3340">
        <v>103339</v>
      </c>
      <c r="B3340">
        <v>69</v>
      </c>
      <c r="C3340" s="2">
        <v>38100</v>
      </c>
      <c r="D3340" t="s">
        <v>22</v>
      </c>
      <c r="E3340" s="2">
        <v>0</v>
      </c>
      <c r="F3340" s="2">
        <v>0</v>
      </c>
      <c r="G3340" t="s">
        <v>23</v>
      </c>
      <c r="H3340" t="s">
        <v>17</v>
      </c>
      <c r="I3340" t="s">
        <v>18</v>
      </c>
      <c r="J3340" s="3">
        <v>45982</v>
      </c>
      <c r="K3340" s="4">
        <f>ClientiBanca[[#This Row],[Prestito]]+ClientiBanca[[#This Row],[Mutuo]]</f>
        <v>0</v>
      </c>
      <c r="L3340" t="str">
        <f>IF(ClientiBanca[[#This Row],[Reddito annuo]]&gt;=70000,"si","no")</f>
        <v>no</v>
      </c>
    </row>
    <row r="3341" spans="1:12">
      <c r="A3341">
        <v>103340</v>
      </c>
      <c r="B3341">
        <v>54</v>
      </c>
      <c r="C3341" s="2">
        <v>86700</v>
      </c>
      <c r="D3341" t="s">
        <v>12</v>
      </c>
      <c r="E3341" s="2">
        <v>0</v>
      </c>
      <c r="F3341" s="2">
        <v>0</v>
      </c>
      <c r="G3341" t="s">
        <v>13</v>
      </c>
      <c r="H3341" t="s">
        <v>17</v>
      </c>
      <c r="I3341" t="s">
        <v>18</v>
      </c>
      <c r="J3341" s="3">
        <v>45341</v>
      </c>
      <c r="K3341" s="4">
        <f>ClientiBanca[[#This Row],[Prestito]]+ClientiBanca[[#This Row],[Mutuo]]</f>
        <v>0</v>
      </c>
      <c r="L3341" t="str">
        <f>IF(ClientiBanca[[#This Row],[Reddito annuo]]&gt;=70000,"si","no")</f>
        <v>si</v>
      </c>
    </row>
    <row r="3342" spans="1:12">
      <c r="A3342">
        <v>103341</v>
      </c>
      <c r="B3342">
        <v>28</v>
      </c>
      <c r="C3342" s="2">
        <v>54000</v>
      </c>
      <c r="D3342" t="s">
        <v>21</v>
      </c>
      <c r="E3342" s="2">
        <v>31300</v>
      </c>
      <c r="F3342" s="2">
        <v>0</v>
      </c>
      <c r="G3342" t="s">
        <v>13</v>
      </c>
      <c r="H3342" t="s">
        <v>14</v>
      </c>
      <c r="I3342" t="s">
        <v>18</v>
      </c>
      <c r="J3342" s="3">
        <v>45865</v>
      </c>
      <c r="K3342" s="4">
        <f>ClientiBanca[[#This Row],[Prestito]]+ClientiBanca[[#This Row],[Mutuo]]</f>
        <v>31300</v>
      </c>
      <c r="L3342" t="str">
        <f>IF(ClientiBanca[[#This Row],[Reddito annuo]]&gt;=70000,"si","no")</f>
        <v>no</v>
      </c>
    </row>
    <row r="3343" spans="1:12">
      <c r="A3343">
        <v>103342</v>
      </c>
      <c r="B3343">
        <v>28</v>
      </c>
      <c r="C3343" s="2">
        <v>96100</v>
      </c>
      <c r="D3343" t="s">
        <v>12</v>
      </c>
      <c r="E3343" s="2">
        <v>35100</v>
      </c>
      <c r="F3343" s="2">
        <v>0</v>
      </c>
      <c r="G3343" t="s">
        <v>28</v>
      </c>
      <c r="H3343" t="s">
        <v>14</v>
      </c>
      <c r="I3343" t="s">
        <v>18</v>
      </c>
      <c r="J3343" s="3">
        <v>45826</v>
      </c>
      <c r="K3343" s="4">
        <f>ClientiBanca[[#This Row],[Prestito]]+ClientiBanca[[#This Row],[Mutuo]]</f>
        <v>35100</v>
      </c>
      <c r="L3343" t="str">
        <f>IF(ClientiBanca[[#This Row],[Reddito annuo]]&gt;=70000,"si","no")</f>
        <v>si</v>
      </c>
    </row>
    <row r="3344" spans="1:12">
      <c r="A3344">
        <v>103343</v>
      </c>
      <c r="B3344">
        <v>70</v>
      </c>
      <c r="C3344" s="2">
        <v>66800</v>
      </c>
      <c r="D3344" t="s">
        <v>21</v>
      </c>
      <c r="E3344" s="2">
        <v>0</v>
      </c>
      <c r="F3344" s="2">
        <v>263000</v>
      </c>
      <c r="G3344" t="s">
        <v>13</v>
      </c>
      <c r="H3344" t="s">
        <v>20</v>
      </c>
      <c r="I3344" t="s">
        <v>18</v>
      </c>
      <c r="J3344" s="3">
        <v>45718</v>
      </c>
      <c r="K3344" s="4">
        <f>ClientiBanca[[#This Row],[Prestito]]+ClientiBanca[[#This Row],[Mutuo]]</f>
        <v>263000</v>
      </c>
      <c r="L3344" t="str">
        <f>IF(ClientiBanca[[#This Row],[Reddito annuo]]&gt;=70000,"si","no")</f>
        <v>no</v>
      </c>
    </row>
    <row r="3345" spans="1:12">
      <c r="A3345">
        <v>103344</v>
      </c>
      <c r="B3345">
        <v>27</v>
      </c>
      <c r="C3345" s="2">
        <v>32300</v>
      </c>
      <c r="D3345" t="s">
        <v>22</v>
      </c>
      <c r="E3345" s="2">
        <v>27400</v>
      </c>
      <c r="F3345" s="2">
        <v>0</v>
      </c>
      <c r="G3345" t="s">
        <v>13</v>
      </c>
      <c r="H3345" t="s">
        <v>25</v>
      </c>
      <c r="I3345" t="s">
        <v>18</v>
      </c>
      <c r="J3345" s="3">
        <v>45538</v>
      </c>
      <c r="K3345" s="4">
        <f>ClientiBanca[[#This Row],[Prestito]]+ClientiBanca[[#This Row],[Mutuo]]</f>
        <v>27400</v>
      </c>
      <c r="L3345" t="str">
        <f>IF(ClientiBanca[[#This Row],[Reddito annuo]]&gt;=70000,"si","no")</f>
        <v>no</v>
      </c>
    </row>
    <row r="3346" spans="1:12">
      <c r="A3346">
        <v>103345</v>
      </c>
      <c r="B3346">
        <v>23</v>
      </c>
      <c r="C3346" s="2">
        <v>81200</v>
      </c>
      <c r="D3346" t="s">
        <v>21</v>
      </c>
      <c r="E3346" s="2">
        <v>0</v>
      </c>
      <c r="F3346" s="2">
        <v>275000</v>
      </c>
      <c r="G3346" t="s">
        <v>28</v>
      </c>
      <c r="H3346" t="s">
        <v>20</v>
      </c>
      <c r="I3346" t="s">
        <v>18</v>
      </c>
      <c r="J3346" s="3">
        <v>46041</v>
      </c>
      <c r="K3346" s="4">
        <f>ClientiBanca[[#This Row],[Prestito]]+ClientiBanca[[#This Row],[Mutuo]]</f>
        <v>275000</v>
      </c>
      <c r="L3346" t="str">
        <f>IF(ClientiBanca[[#This Row],[Reddito annuo]]&gt;=70000,"si","no")</f>
        <v>si</v>
      </c>
    </row>
    <row r="3347" spans="1:12">
      <c r="A3347">
        <v>103346</v>
      </c>
      <c r="B3347">
        <v>72</v>
      </c>
      <c r="C3347" s="2">
        <v>82300</v>
      </c>
      <c r="D3347" t="s">
        <v>12</v>
      </c>
      <c r="E3347" s="2">
        <v>43000</v>
      </c>
      <c r="F3347" s="2">
        <v>0</v>
      </c>
      <c r="G3347" t="s">
        <v>24</v>
      </c>
      <c r="H3347" t="s">
        <v>20</v>
      </c>
      <c r="I3347" t="s">
        <v>18</v>
      </c>
      <c r="J3347" s="3">
        <v>45977</v>
      </c>
      <c r="K3347" s="4">
        <f>ClientiBanca[[#This Row],[Prestito]]+ClientiBanca[[#This Row],[Mutuo]]</f>
        <v>43000</v>
      </c>
      <c r="L3347" t="str">
        <f>IF(ClientiBanca[[#This Row],[Reddito annuo]]&gt;=70000,"si","no")</f>
        <v>si</v>
      </c>
    </row>
    <row r="3348" spans="1:12">
      <c r="A3348">
        <v>103347</v>
      </c>
      <c r="B3348">
        <v>50</v>
      </c>
      <c r="C3348" s="2">
        <v>112900</v>
      </c>
      <c r="D3348" t="s">
        <v>12</v>
      </c>
      <c r="E3348" s="2">
        <v>0</v>
      </c>
      <c r="F3348" s="2">
        <v>0</v>
      </c>
      <c r="G3348" t="s">
        <v>28</v>
      </c>
      <c r="H3348" t="s">
        <v>20</v>
      </c>
      <c r="I3348" t="s">
        <v>18</v>
      </c>
      <c r="J3348" s="3">
        <v>45772</v>
      </c>
      <c r="K3348" s="4">
        <f>ClientiBanca[[#This Row],[Prestito]]+ClientiBanca[[#This Row],[Mutuo]]</f>
        <v>0</v>
      </c>
      <c r="L3348" t="str">
        <f>IF(ClientiBanca[[#This Row],[Reddito annuo]]&gt;=70000,"si","no")</f>
        <v>si</v>
      </c>
    </row>
    <row r="3349" spans="1:12">
      <c r="A3349">
        <v>103348</v>
      </c>
      <c r="B3349">
        <v>55</v>
      </c>
      <c r="C3349" s="2">
        <v>64200</v>
      </c>
      <c r="D3349" t="s">
        <v>21</v>
      </c>
      <c r="E3349" s="2">
        <v>20700</v>
      </c>
      <c r="F3349" s="2">
        <v>0</v>
      </c>
      <c r="G3349" t="s">
        <v>13</v>
      </c>
      <c r="H3349" t="s">
        <v>20</v>
      </c>
      <c r="I3349" t="s">
        <v>18</v>
      </c>
      <c r="J3349" s="3">
        <v>46036</v>
      </c>
      <c r="K3349" s="4">
        <f>ClientiBanca[[#This Row],[Prestito]]+ClientiBanca[[#This Row],[Mutuo]]</f>
        <v>20700</v>
      </c>
      <c r="L3349" t="str">
        <f>IF(ClientiBanca[[#This Row],[Reddito annuo]]&gt;=70000,"si","no")</f>
        <v>no</v>
      </c>
    </row>
    <row r="3350" spans="1:12">
      <c r="A3350">
        <v>103349</v>
      </c>
      <c r="B3350">
        <v>69</v>
      </c>
      <c r="C3350" s="2">
        <v>63800</v>
      </c>
      <c r="D3350" t="s">
        <v>21</v>
      </c>
      <c r="E3350" s="2">
        <v>0</v>
      </c>
      <c r="F3350" s="2">
        <v>0</v>
      </c>
      <c r="G3350" t="s">
        <v>16</v>
      </c>
      <c r="H3350" t="s">
        <v>17</v>
      </c>
      <c r="I3350" t="s">
        <v>18</v>
      </c>
      <c r="J3350" s="3">
        <v>45891</v>
      </c>
      <c r="K3350" s="4">
        <f>ClientiBanca[[#This Row],[Prestito]]+ClientiBanca[[#This Row],[Mutuo]]</f>
        <v>0</v>
      </c>
      <c r="L3350" t="str">
        <f>IF(ClientiBanca[[#This Row],[Reddito annuo]]&gt;=70000,"si","no")</f>
        <v>no</v>
      </c>
    </row>
    <row r="3351" spans="1:12">
      <c r="A3351">
        <v>103350</v>
      </c>
      <c r="B3351">
        <v>23</v>
      </c>
      <c r="C3351" s="2">
        <v>68400</v>
      </c>
      <c r="D3351" t="s">
        <v>12</v>
      </c>
      <c r="E3351" s="2">
        <v>7200</v>
      </c>
      <c r="F3351" s="2">
        <v>0</v>
      </c>
      <c r="G3351" t="s">
        <v>19</v>
      </c>
      <c r="H3351" t="s">
        <v>14</v>
      </c>
      <c r="I3351" t="s">
        <v>18</v>
      </c>
      <c r="J3351" s="3">
        <v>45854</v>
      </c>
      <c r="K3351" s="4">
        <f>ClientiBanca[[#This Row],[Prestito]]+ClientiBanca[[#This Row],[Mutuo]]</f>
        <v>7200</v>
      </c>
      <c r="L3351" t="str">
        <f>IF(ClientiBanca[[#This Row],[Reddito annuo]]&gt;=70000,"si","no")</f>
        <v>no</v>
      </c>
    </row>
    <row r="3352" spans="1:12">
      <c r="A3352">
        <v>103351</v>
      </c>
      <c r="B3352">
        <v>33</v>
      </c>
      <c r="C3352" s="2">
        <v>88900</v>
      </c>
      <c r="D3352" t="s">
        <v>12</v>
      </c>
      <c r="E3352" s="2">
        <v>11400</v>
      </c>
      <c r="F3352" s="2">
        <v>0</v>
      </c>
      <c r="G3352" t="s">
        <v>24</v>
      </c>
      <c r="H3352" t="s">
        <v>25</v>
      </c>
      <c r="I3352" t="s">
        <v>18</v>
      </c>
      <c r="J3352" s="3">
        <v>45293</v>
      </c>
      <c r="K3352" s="4">
        <f>ClientiBanca[[#This Row],[Prestito]]+ClientiBanca[[#This Row],[Mutuo]]</f>
        <v>11400</v>
      </c>
      <c r="L3352" t="str">
        <f>IF(ClientiBanca[[#This Row],[Reddito annuo]]&gt;=70000,"si","no")</f>
        <v>si</v>
      </c>
    </row>
    <row r="3353" spans="1:12">
      <c r="A3353">
        <v>103352</v>
      </c>
      <c r="B3353">
        <v>73</v>
      </c>
      <c r="C3353" s="2">
        <v>24100</v>
      </c>
      <c r="D3353" t="s">
        <v>12</v>
      </c>
      <c r="E3353" s="2">
        <v>0</v>
      </c>
      <c r="F3353" s="2">
        <v>272000</v>
      </c>
      <c r="G3353" t="s">
        <v>27</v>
      </c>
      <c r="H3353" t="s">
        <v>17</v>
      </c>
      <c r="I3353" t="s">
        <v>18</v>
      </c>
      <c r="J3353" s="3">
        <v>46122</v>
      </c>
      <c r="K3353" s="4">
        <f>ClientiBanca[[#This Row],[Prestito]]+ClientiBanca[[#This Row],[Mutuo]]</f>
        <v>272000</v>
      </c>
      <c r="L3353" t="str">
        <f>IF(ClientiBanca[[#This Row],[Reddito annuo]]&gt;=70000,"si","no")</f>
        <v>no</v>
      </c>
    </row>
    <row r="3354" spans="1:12">
      <c r="A3354">
        <v>103353</v>
      </c>
      <c r="B3354">
        <v>35</v>
      </c>
      <c r="C3354" s="2">
        <v>58900</v>
      </c>
      <c r="D3354" t="s">
        <v>12</v>
      </c>
      <c r="E3354" s="2">
        <v>34400</v>
      </c>
      <c r="F3354" s="2">
        <v>0</v>
      </c>
      <c r="G3354" t="s">
        <v>16</v>
      </c>
      <c r="H3354" t="s">
        <v>14</v>
      </c>
      <c r="I3354" t="s">
        <v>18</v>
      </c>
      <c r="J3354" s="3">
        <v>45522</v>
      </c>
      <c r="K3354" s="4">
        <f>ClientiBanca[[#This Row],[Prestito]]+ClientiBanca[[#This Row],[Mutuo]]</f>
        <v>34400</v>
      </c>
      <c r="L3354" t="str">
        <f>IF(ClientiBanca[[#This Row],[Reddito annuo]]&gt;=70000,"si","no")</f>
        <v>no</v>
      </c>
    </row>
    <row r="3355" spans="1:12">
      <c r="A3355">
        <v>103354</v>
      </c>
      <c r="B3355">
        <v>30</v>
      </c>
      <c r="C3355" s="2">
        <v>27900</v>
      </c>
      <c r="D3355" t="s">
        <v>12</v>
      </c>
      <c r="E3355" s="2">
        <v>0</v>
      </c>
      <c r="F3355" s="2">
        <v>0</v>
      </c>
      <c r="G3355" t="s">
        <v>23</v>
      </c>
      <c r="H3355" t="s">
        <v>17</v>
      </c>
      <c r="I3355" t="s">
        <v>18</v>
      </c>
      <c r="J3355" s="3">
        <v>45569</v>
      </c>
      <c r="K3355" s="4">
        <f>ClientiBanca[[#This Row],[Prestito]]+ClientiBanca[[#This Row],[Mutuo]]</f>
        <v>0</v>
      </c>
      <c r="L3355" t="str">
        <f>IF(ClientiBanca[[#This Row],[Reddito annuo]]&gt;=70000,"si","no")</f>
        <v>no</v>
      </c>
    </row>
    <row r="3356" spans="1:12">
      <c r="A3356">
        <v>103355</v>
      </c>
      <c r="B3356">
        <v>58</v>
      </c>
      <c r="C3356" s="2">
        <v>38400</v>
      </c>
      <c r="D3356" t="s">
        <v>12</v>
      </c>
      <c r="E3356" s="2">
        <v>48000</v>
      </c>
      <c r="F3356" s="2">
        <v>0</v>
      </c>
      <c r="G3356" t="s">
        <v>16</v>
      </c>
      <c r="H3356" t="s">
        <v>25</v>
      </c>
      <c r="I3356" t="s">
        <v>15</v>
      </c>
      <c r="J3356" s="3">
        <v>45711</v>
      </c>
      <c r="K3356" s="4">
        <f>ClientiBanca[[#This Row],[Prestito]]+ClientiBanca[[#This Row],[Mutuo]]</f>
        <v>48000</v>
      </c>
      <c r="L3356" t="str">
        <f>IF(ClientiBanca[[#This Row],[Reddito annuo]]&gt;=70000,"si","no")</f>
        <v>no</v>
      </c>
    </row>
    <row r="3357" spans="1:12">
      <c r="A3357">
        <v>103356</v>
      </c>
      <c r="B3357">
        <v>42</v>
      </c>
      <c r="C3357" s="2">
        <v>30600</v>
      </c>
      <c r="D3357" t="s">
        <v>21</v>
      </c>
      <c r="E3357" s="2">
        <v>38200</v>
      </c>
      <c r="F3357" s="2">
        <v>0</v>
      </c>
      <c r="G3357" t="s">
        <v>16</v>
      </c>
      <c r="H3357" t="s">
        <v>17</v>
      </c>
      <c r="I3357" t="s">
        <v>18</v>
      </c>
      <c r="J3357" s="3">
        <v>45774</v>
      </c>
      <c r="K3357" s="4">
        <f>ClientiBanca[[#This Row],[Prestito]]+ClientiBanca[[#This Row],[Mutuo]]</f>
        <v>38200</v>
      </c>
      <c r="L3357" t="str">
        <f>IF(ClientiBanca[[#This Row],[Reddito annuo]]&gt;=70000,"si","no")</f>
        <v>no</v>
      </c>
    </row>
    <row r="3358" spans="1:12">
      <c r="A3358">
        <v>103357</v>
      </c>
      <c r="B3358">
        <v>45</v>
      </c>
      <c r="C3358" s="2">
        <v>50600</v>
      </c>
      <c r="D3358" t="s">
        <v>21</v>
      </c>
      <c r="E3358" s="2">
        <v>0</v>
      </c>
      <c r="F3358" s="2">
        <v>0</v>
      </c>
      <c r="G3358" t="s">
        <v>13</v>
      </c>
      <c r="H3358" t="s">
        <v>17</v>
      </c>
      <c r="I3358" t="s">
        <v>18</v>
      </c>
      <c r="J3358" s="3">
        <v>45892</v>
      </c>
      <c r="K3358" s="4">
        <f>ClientiBanca[[#This Row],[Prestito]]+ClientiBanca[[#This Row],[Mutuo]]</f>
        <v>0</v>
      </c>
      <c r="L3358" t="str">
        <f>IF(ClientiBanca[[#This Row],[Reddito annuo]]&gt;=70000,"si","no")</f>
        <v>no</v>
      </c>
    </row>
    <row r="3359" spans="1:12">
      <c r="A3359">
        <v>103358</v>
      </c>
      <c r="B3359">
        <v>37</v>
      </c>
      <c r="C3359" s="2">
        <v>59700</v>
      </c>
      <c r="D3359" t="s">
        <v>12</v>
      </c>
      <c r="E3359" s="2">
        <v>67400</v>
      </c>
      <c r="F3359" s="2">
        <v>170000</v>
      </c>
      <c r="G3359" t="s">
        <v>24</v>
      </c>
      <c r="H3359" t="s">
        <v>14</v>
      </c>
      <c r="I3359" t="s">
        <v>15</v>
      </c>
      <c r="J3359" s="3">
        <v>45739</v>
      </c>
      <c r="K3359" s="4">
        <f>ClientiBanca[[#This Row],[Prestito]]+ClientiBanca[[#This Row],[Mutuo]]</f>
        <v>237400</v>
      </c>
      <c r="L3359" t="str">
        <f>IF(ClientiBanca[[#This Row],[Reddito annuo]]&gt;=70000,"si","no")</f>
        <v>no</v>
      </c>
    </row>
    <row r="3360" spans="1:12">
      <c r="A3360">
        <v>103359</v>
      </c>
      <c r="B3360">
        <v>31</v>
      </c>
      <c r="C3360" s="2">
        <v>52900</v>
      </c>
      <c r="D3360" t="s">
        <v>22</v>
      </c>
      <c r="E3360" s="2">
        <v>19600</v>
      </c>
      <c r="F3360" s="2">
        <v>0</v>
      </c>
      <c r="G3360" t="s">
        <v>16</v>
      </c>
      <c r="H3360" t="s">
        <v>17</v>
      </c>
      <c r="I3360" t="s">
        <v>18</v>
      </c>
      <c r="J3360" s="3">
        <v>45645</v>
      </c>
      <c r="K3360" s="4">
        <f>ClientiBanca[[#This Row],[Prestito]]+ClientiBanca[[#This Row],[Mutuo]]</f>
        <v>19600</v>
      </c>
      <c r="L3360" t="str">
        <f>IF(ClientiBanca[[#This Row],[Reddito annuo]]&gt;=70000,"si","no")</f>
        <v>no</v>
      </c>
    </row>
    <row r="3361" spans="1:12">
      <c r="A3361">
        <v>103360</v>
      </c>
      <c r="B3361">
        <v>30</v>
      </c>
      <c r="C3361" s="2">
        <v>108500</v>
      </c>
      <c r="D3361" t="s">
        <v>21</v>
      </c>
      <c r="E3361" s="2">
        <v>20700</v>
      </c>
      <c r="F3361" s="2">
        <v>0</v>
      </c>
      <c r="G3361" t="s">
        <v>27</v>
      </c>
      <c r="H3361" t="s">
        <v>25</v>
      </c>
      <c r="I3361" t="s">
        <v>18</v>
      </c>
      <c r="J3361" s="3">
        <v>46085</v>
      </c>
      <c r="K3361" s="4">
        <f>ClientiBanca[[#This Row],[Prestito]]+ClientiBanca[[#This Row],[Mutuo]]</f>
        <v>20700</v>
      </c>
      <c r="L3361" t="str">
        <f>IF(ClientiBanca[[#This Row],[Reddito annuo]]&gt;=70000,"si","no")</f>
        <v>si</v>
      </c>
    </row>
    <row r="3362" spans="1:12">
      <c r="A3362">
        <v>103361</v>
      </c>
      <c r="B3362">
        <v>72</v>
      </c>
      <c r="C3362" s="2">
        <v>44500</v>
      </c>
      <c r="D3362" t="s">
        <v>12</v>
      </c>
      <c r="E3362" s="2">
        <v>0</v>
      </c>
      <c r="F3362" s="2">
        <v>0</v>
      </c>
      <c r="G3362" t="s">
        <v>13</v>
      </c>
      <c r="H3362" t="s">
        <v>17</v>
      </c>
      <c r="I3362" t="s">
        <v>18</v>
      </c>
      <c r="J3362" s="3">
        <v>45643</v>
      </c>
      <c r="K3362" s="4">
        <f>ClientiBanca[[#This Row],[Prestito]]+ClientiBanca[[#This Row],[Mutuo]]</f>
        <v>0</v>
      </c>
      <c r="L3362" t="str">
        <f>IF(ClientiBanca[[#This Row],[Reddito annuo]]&gt;=70000,"si","no")</f>
        <v>no</v>
      </c>
    </row>
    <row r="3363" spans="1:12">
      <c r="A3363">
        <v>103362</v>
      </c>
      <c r="B3363">
        <v>29</v>
      </c>
      <c r="C3363" s="2">
        <v>71000</v>
      </c>
      <c r="D3363" t="s">
        <v>21</v>
      </c>
      <c r="E3363" s="2">
        <v>32500</v>
      </c>
      <c r="F3363" s="2">
        <v>177000</v>
      </c>
      <c r="G3363" t="s">
        <v>23</v>
      </c>
      <c r="H3363" t="s">
        <v>17</v>
      </c>
      <c r="I3363" t="s">
        <v>18</v>
      </c>
      <c r="J3363" s="3">
        <v>45899</v>
      </c>
      <c r="K3363" s="4">
        <f>ClientiBanca[[#This Row],[Prestito]]+ClientiBanca[[#This Row],[Mutuo]]</f>
        <v>209500</v>
      </c>
      <c r="L3363" t="str">
        <f>IF(ClientiBanca[[#This Row],[Reddito annuo]]&gt;=70000,"si","no")</f>
        <v>si</v>
      </c>
    </row>
    <row r="3364" spans="1:12">
      <c r="A3364">
        <v>103363</v>
      </c>
      <c r="B3364">
        <v>21</v>
      </c>
      <c r="C3364" s="2">
        <v>30900</v>
      </c>
      <c r="D3364" t="s">
        <v>12</v>
      </c>
      <c r="E3364" s="2">
        <v>0</v>
      </c>
      <c r="F3364" s="2">
        <v>0</v>
      </c>
      <c r="G3364" t="s">
        <v>16</v>
      </c>
      <c r="H3364" t="s">
        <v>14</v>
      </c>
      <c r="I3364" t="s">
        <v>18</v>
      </c>
      <c r="J3364" s="3">
        <v>46077</v>
      </c>
      <c r="K3364" s="4">
        <f>ClientiBanca[[#This Row],[Prestito]]+ClientiBanca[[#This Row],[Mutuo]]</f>
        <v>0</v>
      </c>
      <c r="L3364" t="str">
        <f>IF(ClientiBanca[[#This Row],[Reddito annuo]]&gt;=70000,"si","no")</f>
        <v>no</v>
      </c>
    </row>
    <row r="3365" spans="1:12">
      <c r="A3365">
        <v>103364</v>
      </c>
      <c r="B3365">
        <v>46</v>
      </c>
      <c r="C3365" s="2">
        <v>67200</v>
      </c>
      <c r="D3365" t="s">
        <v>21</v>
      </c>
      <c r="E3365" s="2">
        <v>30100</v>
      </c>
      <c r="F3365" s="2">
        <v>161000</v>
      </c>
      <c r="G3365" t="s">
        <v>24</v>
      </c>
      <c r="H3365" t="s">
        <v>17</v>
      </c>
      <c r="I3365" t="s">
        <v>18</v>
      </c>
      <c r="J3365" s="3">
        <v>45701</v>
      </c>
      <c r="K3365" s="4">
        <f>ClientiBanca[[#This Row],[Prestito]]+ClientiBanca[[#This Row],[Mutuo]]</f>
        <v>191100</v>
      </c>
      <c r="L3365" t="str">
        <f>IF(ClientiBanca[[#This Row],[Reddito annuo]]&gt;=70000,"si","no")</f>
        <v>no</v>
      </c>
    </row>
    <row r="3366" spans="1:12">
      <c r="A3366">
        <v>103365</v>
      </c>
      <c r="B3366">
        <v>30</v>
      </c>
      <c r="C3366" s="2">
        <v>82700</v>
      </c>
      <c r="D3366" t="s">
        <v>12</v>
      </c>
      <c r="E3366" s="2">
        <v>16000</v>
      </c>
      <c r="F3366" s="2">
        <v>0</v>
      </c>
      <c r="G3366" t="s">
        <v>23</v>
      </c>
      <c r="H3366" t="s">
        <v>20</v>
      </c>
      <c r="I3366" t="s">
        <v>18</v>
      </c>
      <c r="J3366" s="3">
        <v>45637</v>
      </c>
      <c r="K3366" s="4">
        <f>ClientiBanca[[#This Row],[Prestito]]+ClientiBanca[[#This Row],[Mutuo]]</f>
        <v>16000</v>
      </c>
      <c r="L3366" t="str">
        <f>IF(ClientiBanca[[#This Row],[Reddito annuo]]&gt;=70000,"si","no")</f>
        <v>si</v>
      </c>
    </row>
    <row r="3367" spans="1:12">
      <c r="A3367">
        <v>103366</v>
      </c>
      <c r="B3367">
        <v>68</v>
      </c>
      <c r="C3367" s="2">
        <v>65600</v>
      </c>
      <c r="D3367" t="s">
        <v>21</v>
      </c>
      <c r="E3367" s="2">
        <v>20100</v>
      </c>
      <c r="F3367" s="2">
        <v>0</v>
      </c>
      <c r="G3367" t="s">
        <v>27</v>
      </c>
      <c r="H3367" t="s">
        <v>20</v>
      </c>
      <c r="I3367" t="s">
        <v>18</v>
      </c>
      <c r="J3367" s="3">
        <v>45611</v>
      </c>
      <c r="K3367" s="4">
        <f>ClientiBanca[[#This Row],[Prestito]]+ClientiBanca[[#This Row],[Mutuo]]</f>
        <v>20100</v>
      </c>
      <c r="L3367" t="str">
        <f>IF(ClientiBanca[[#This Row],[Reddito annuo]]&gt;=70000,"si","no")</f>
        <v>no</v>
      </c>
    </row>
    <row r="3368" spans="1:12">
      <c r="A3368">
        <v>103367</v>
      </c>
      <c r="B3368">
        <v>29</v>
      </c>
      <c r="C3368" s="2">
        <v>71700</v>
      </c>
      <c r="D3368" t="s">
        <v>21</v>
      </c>
      <c r="E3368" s="2">
        <v>0</v>
      </c>
      <c r="F3368" s="2">
        <v>197000</v>
      </c>
      <c r="G3368" t="s">
        <v>26</v>
      </c>
      <c r="H3368" t="s">
        <v>20</v>
      </c>
      <c r="I3368" t="s">
        <v>18</v>
      </c>
      <c r="J3368" s="3">
        <v>45530</v>
      </c>
      <c r="K3368" s="4">
        <f>ClientiBanca[[#This Row],[Prestito]]+ClientiBanca[[#This Row],[Mutuo]]</f>
        <v>197000</v>
      </c>
      <c r="L3368" t="str">
        <f>IF(ClientiBanca[[#This Row],[Reddito annuo]]&gt;=70000,"si","no")</f>
        <v>si</v>
      </c>
    </row>
    <row r="3369" spans="1:12">
      <c r="A3369">
        <v>103368</v>
      </c>
      <c r="B3369">
        <v>68</v>
      </c>
      <c r="C3369" s="2">
        <v>41000</v>
      </c>
      <c r="D3369" t="s">
        <v>21</v>
      </c>
      <c r="E3369" s="2">
        <v>51200</v>
      </c>
      <c r="F3369" s="2">
        <v>0</v>
      </c>
      <c r="G3369" t="s">
        <v>26</v>
      </c>
      <c r="H3369" t="s">
        <v>17</v>
      </c>
      <c r="I3369" t="s">
        <v>18</v>
      </c>
      <c r="J3369" s="3">
        <v>45376</v>
      </c>
      <c r="K3369" s="4">
        <f>ClientiBanca[[#This Row],[Prestito]]+ClientiBanca[[#This Row],[Mutuo]]</f>
        <v>51200</v>
      </c>
      <c r="L3369" t="str">
        <f>IF(ClientiBanca[[#This Row],[Reddito annuo]]&gt;=70000,"si","no")</f>
        <v>no</v>
      </c>
    </row>
    <row r="3370" spans="1:12">
      <c r="A3370">
        <v>103369</v>
      </c>
      <c r="B3370">
        <v>28</v>
      </c>
      <c r="C3370" s="2">
        <v>50600</v>
      </c>
      <c r="D3370" t="s">
        <v>21</v>
      </c>
      <c r="E3370" s="2">
        <v>63200</v>
      </c>
      <c r="F3370" s="2">
        <v>153000</v>
      </c>
      <c r="G3370" t="s">
        <v>13</v>
      </c>
      <c r="H3370" t="s">
        <v>17</v>
      </c>
      <c r="I3370" t="s">
        <v>18</v>
      </c>
      <c r="J3370" s="3">
        <v>45949</v>
      </c>
      <c r="K3370" s="4">
        <f>ClientiBanca[[#This Row],[Prestito]]+ClientiBanca[[#This Row],[Mutuo]]</f>
        <v>216200</v>
      </c>
      <c r="L3370" t="str">
        <f>IF(ClientiBanca[[#This Row],[Reddito annuo]]&gt;=70000,"si","no")</f>
        <v>no</v>
      </c>
    </row>
    <row r="3371" spans="1:12">
      <c r="A3371">
        <v>103370</v>
      </c>
      <c r="B3371">
        <v>60</v>
      </c>
      <c r="C3371" s="2">
        <v>51300</v>
      </c>
      <c r="D3371" t="s">
        <v>22</v>
      </c>
      <c r="E3371" s="2">
        <v>32500</v>
      </c>
      <c r="F3371" s="2">
        <v>0</v>
      </c>
      <c r="G3371" t="s">
        <v>16</v>
      </c>
      <c r="H3371" t="s">
        <v>17</v>
      </c>
      <c r="I3371" t="s">
        <v>18</v>
      </c>
      <c r="J3371" s="3">
        <v>45960</v>
      </c>
      <c r="K3371" s="4">
        <f>ClientiBanca[[#This Row],[Prestito]]+ClientiBanca[[#This Row],[Mutuo]]</f>
        <v>32500</v>
      </c>
      <c r="L3371" t="str">
        <f>IF(ClientiBanca[[#This Row],[Reddito annuo]]&gt;=70000,"si","no")</f>
        <v>no</v>
      </c>
    </row>
    <row r="3372" spans="1:12">
      <c r="A3372">
        <v>103371</v>
      </c>
      <c r="B3372">
        <v>60</v>
      </c>
      <c r="C3372" s="2">
        <v>52200</v>
      </c>
      <c r="D3372" t="s">
        <v>21</v>
      </c>
      <c r="E3372" s="2">
        <v>23700</v>
      </c>
      <c r="F3372" s="2">
        <v>0</v>
      </c>
      <c r="G3372" t="s">
        <v>24</v>
      </c>
      <c r="H3372" t="s">
        <v>20</v>
      </c>
      <c r="I3372" t="s">
        <v>18</v>
      </c>
      <c r="J3372" s="3">
        <v>46005</v>
      </c>
      <c r="K3372" s="4">
        <f>ClientiBanca[[#This Row],[Prestito]]+ClientiBanca[[#This Row],[Mutuo]]</f>
        <v>23700</v>
      </c>
      <c r="L3372" t="str">
        <f>IF(ClientiBanca[[#This Row],[Reddito annuo]]&gt;=70000,"si","no")</f>
        <v>no</v>
      </c>
    </row>
    <row r="3373" spans="1:12">
      <c r="A3373">
        <v>103372</v>
      </c>
      <c r="B3373">
        <v>54</v>
      </c>
      <c r="C3373" s="2">
        <v>84700</v>
      </c>
      <c r="D3373" t="s">
        <v>21</v>
      </c>
      <c r="E3373" s="2">
        <v>30200</v>
      </c>
      <c r="F3373" s="2">
        <v>150000</v>
      </c>
      <c r="G3373" t="s">
        <v>24</v>
      </c>
      <c r="H3373" t="s">
        <v>17</v>
      </c>
      <c r="I3373" t="s">
        <v>18</v>
      </c>
      <c r="J3373" s="3">
        <v>45955</v>
      </c>
      <c r="K3373" s="4">
        <f>ClientiBanca[[#This Row],[Prestito]]+ClientiBanca[[#This Row],[Mutuo]]</f>
        <v>180200</v>
      </c>
      <c r="L3373" t="str">
        <f>IF(ClientiBanca[[#This Row],[Reddito annuo]]&gt;=70000,"si","no")</f>
        <v>si</v>
      </c>
    </row>
    <row r="3374" spans="1:12">
      <c r="A3374">
        <v>103373</v>
      </c>
      <c r="B3374">
        <v>58</v>
      </c>
      <c r="C3374" s="2">
        <v>55000</v>
      </c>
      <c r="D3374" t="s">
        <v>12</v>
      </c>
      <c r="E3374" s="2">
        <v>21700</v>
      </c>
      <c r="F3374" s="2">
        <v>0</v>
      </c>
      <c r="G3374" t="s">
        <v>23</v>
      </c>
      <c r="H3374" t="s">
        <v>17</v>
      </c>
      <c r="I3374" t="s">
        <v>18</v>
      </c>
      <c r="J3374" s="3">
        <v>45518</v>
      </c>
      <c r="K3374" s="4">
        <f>ClientiBanca[[#This Row],[Prestito]]+ClientiBanca[[#This Row],[Mutuo]]</f>
        <v>21700</v>
      </c>
      <c r="L3374" t="str">
        <f>IF(ClientiBanca[[#This Row],[Reddito annuo]]&gt;=70000,"si","no")</f>
        <v>no</v>
      </c>
    </row>
    <row r="3375" spans="1:12">
      <c r="A3375">
        <v>103374</v>
      </c>
      <c r="B3375">
        <v>58</v>
      </c>
      <c r="C3375" s="2">
        <v>56800</v>
      </c>
      <c r="D3375" t="s">
        <v>22</v>
      </c>
      <c r="E3375" s="2">
        <v>67000</v>
      </c>
      <c r="F3375" s="2">
        <v>0</v>
      </c>
      <c r="G3375" t="s">
        <v>23</v>
      </c>
      <c r="H3375" t="s">
        <v>17</v>
      </c>
      <c r="I3375" t="s">
        <v>18</v>
      </c>
      <c r="J3375" s="3">
        <v>45673</v>
      </c>
      <c r="K3375" s="4">
        <f>ClientiBanca[[#This Row],[Prestito]]+ClientiBanca[[#This Row],[Mutuo]]</f>
        <v>67000</v>
      </c>
      <c r="L3375" t="str">
        <f>IF(ClientiBanca[[#This Row],[Reddito annuo]]&gt;=70000,"si","no")</f>
        <v>no</v>
      </c>
    </row>
    <row r="3376" spans="1:12">
      <c r="A3376">
        <v>103375</v>
      </c>
      <c r="B3376">
        <v>21</v>
      </c>
      <c r="C3376" s="2">
        <v>43300</v>
      </c>
      <c r="D3376" t="s">
        <v>21</v>
      </c>
      <c r="E3376" s="2">
        <v>50800</v>
      </c>
      <c r="F3376" s="2">
        <v>0</v>
      </c>
      <c r="G3376" t="s">
        <v>16</v>
      </c>
      <c r="H3376" t="s">
        <v>25</v>
      </c>
      <c r="I3376" t="s">
        <v>18</v>
      </c>
      <c r="J3376" s="3">
        <v>46090</v>
      </c>
      <c r="K3376" s="4">
        <f>ClientiBanca[[#This Row],[Prestito]]+ClientiBanca[[#This Row],[Mutuo]]</f>
        <v>50800</v>
      </c>
      <c r="L3376" t="str">
        <f>IF(ClientiBanca[[#This Row],[Reddito annuo]]&gt;=70000,"si","no")</f>
        <v>no</v>
      </c>
    </row>
    <row r="3377" spans="1:12">
      <c r="A3377">
        <v>103376</v>
      </c>
      <c r="B3377">
        <v>25</v>
      </c>
      <c r="C3377" s="2">
        <v>73900</v>
      </c>
      <c r="D3377" t="s">
        <v>12</v>
      </c>
      <c r="E3377" s="2">
        <v>6100</v>
      </c>
      <c r="F3377" s="2">
        <v>0</v>
      </c>
      <c r="G3377" t="s">
        <v>16</v>
      </c>
      <c r="H3377" t="s">
        <v>17</v>
      </c>
      <c r="I3377" t="s">
        <v>18</v>
      </c>
      <c r="J3377" s="3">
        <v>45704</v>
      </c>
      <c r="K3377" s="4">
        <f>ClientiBanca[[#This Row],[Prestito]]+ClientiBanca[[#This Row],[Mutuo]]</f>
        <v>6100</v>
      </c>
      <c r="L3377" t="str">
        <f>IF(ClientiBanca[[#This Row],[Reddito annuo]]&gt;=70000,"si","no")</f>
        <v>si</v>
      </c>
    </row>
    <row r="3378" spans="1:12">
      <c r="A3378">
        <v>103377</v>
      </c>
      <c r="B3378">
        <v>61</v>
      </c>
      <c r="C3378" s="2">
        <v>56900</v>
      </c>
      <c r="D3378" t="s">
        <v>22</v>
      </c>
      <c r="E3378" s="2">
        <v>32100</v>
      </c>
      <c r="F3378" s="2">
        <v>0</v>
      </c>
      <c r="G3378" t="s">
        <v>16</v>
      </c>
      <c r="H3378" t="s">
        <v>20</v>
      </c>
      <c r="I3378" t="s">
        <v>18</v>
      </c>
      <c r="J3378" s="3">
        <v>45658</v>
      </c>
      <c r="K3378" s="4">
        <f>ClientiBanca[[#This Row],[Prestito]]+ClientiBanca[[#This Row],[Mutuo]]</f>
        <v>32100</v>
      </c>
      <c r="L3378" t="str">
        <f>IF(ClientiBanca[[#This Row],[Reddito annuo]]&gt;=70000,"si","no")</f>
        <v>no</v>
      </c>
    </row>
    <row r="3379" spans="1:12">
      <c r="A3379">
        <v>103378</v>
      </c>
      <c r="B3379">
        <v>66</v>
      </c>
      <c r="C3379" s="2">
        <v>68500</v>
      </c>
      <c r="D3379" t="s">
        <v>22</v>
      </c>
      <c r="E3379" s="2">
        <v>35300</v>
      </c>
      <c r="F3379" s="2">
        <v>136000</v>
      </c>
      <c r="G3379" t="s">
        <v>28</v>
      </c>
      <c r="H3379" t="s">
        <v>17</v>
      </c>
      <c r="I3379" t="s">
        <v>18</v>
      </c>
      <c r="J3379" s="3">
        <v>45625</v>
      </c>
      <c r="K3379" s="4">
        <f>ClientiBanca[[#This Row],[Prestito]]+ClientiBanca[[#This Row],[Mutuo]]</f>
        <v>171300</v>
      </c>
      <c r="L3379" t="str">
        <f>IF(ClientiBanca[[#This Row],[Reddito annuo]]&gt;=70000,"si","no")</f>
        <v>no</v>
      </c>
    </row>
    <row r="3380" spans="1:12">
      <c r="A3380">
        <v>103379</v>
      </c>
      <c r="B3380">
        <v>42</v>
      </c>
      <c r="C3380" s="2">
        <v>64600</v>
      </c>
      <c r="D3380" t="s">
        <v>21</v>
      </c>
      <c r="E3380" s="2">
        <v>0</v>
      </c>
      <c r="F3380" s="2">
        <v>0</v>
      </c>
      <c r="G3380" t="s">
        <v>23</v>
      </c>
      <c r="H3380" t="s">
        <v>17</v>
      </c>
      <c r="I3380" t="s">
        <v>18</v>
      </c>
      <c r="J3380" s="3">
        <v>45716</v>
      </c>
      <c r="K3380" s="4">
        <f>ClientiBanca[[#This Row],[Prestito]]+ClientiBanca[[#This Row],[Mutuo]]</f>
        <v>0</v>
      </c>
      <c r="L3380" t="str">
        <f>IF(ClientiBanca[[#This Row],[Reddito annuo]]&gt;=70000,"si","no")</f>
        <v>no</v>
      </c>
    </row>
    <row r="3381" spans="1:12">
      <c r="A3381">
        <v>103380</v>
      </c>
      <c r="B3381">
        <v>34</v>
      </c>
      <c r="C3381" s="2">
        <v>66900</v>
      </c>
      <c r="D3381" t="s">
        <v>21</v>
      </c>
      <c r="E3381" s="2">
        <v>39400</v>
      </c>
      <c r="F3381" s="2">
        <v>220000</v>
      </c>
      <c r="G3381" t="s">
        <v>19</v>
      </c>
      <c r="H3381" t="s">
        <v>17</v>
      </c>
      <c r="I3381" t="s">
        <v>18</v>
      </c>
      <c r="J3381" s="3">
        <v>45716</v>
      </c>
      <c r="K3381" s="4">
        <f>ClientiBanca[[#This Row],[Prestito]]+ClientiBanca[[#This Row],[Mutuo]]</f>
        <v>259400</v>
      </c>
      <c r="L3381" t="str">
        <f>IF(ClientiBanca[[#This Row],[Reddito annuo]]&gt;=70000,"si","no")</f>
        <v>no</v>
      </c>
    </row>
    <row r="3382" spans="1:12">
      <c r="A3382">
        <v>103381</v>
      </c>
      <c r="B3382">
        <v>43</v>
      </c>
      <c r="C3382" s="2">
        <v>55400</v>
      </c>
      <c r="D3382" t="s">
        <v>12</v>
      </c>
      <c r="E3382" s="2">
        <v>12200</v>
      </c>
      <c r="F3382" s="2">
        <v>206000</v>
      </c>
      <c r="G3382" t="s">
        <v>27</v>
      </c>
      <c r="H3382" t="s">
        <v>20</v>
      </c>
      <c r="I3382" t="s">
        <v>18</v>
      </c>
      <c r="J3382" s="3">
        <v>45385</v>
      </c>
      <c r="K3382" s="4">
        <f>ClientiBanca[[#This Row],[Prestito]]+ClientiBanca[[#This Row],[Mutuo]]</f>
        <v>218200</v>
      </c>
      <c r="L3382" t="str">
        <f>IF(ClientiBanca[[#This Row],[Reddito annuo]]&gt;=70000,"si","no")</f>
        <v>no</v>
      </c>
    </row>
    <row r="3383" spans="1:12">
      <c r="A3383">
        <v>103382</v>
      </c>
      <c r="B3383">
        <v>21</v>
      </c>
      <c r="C3383" s="2">
        <v>72300</v>
      </c>
      <c r="D3383" t="s">
        <v>12</v>
      </c>
      <c r="E3383" s="2">
        <v>0</v>
      </c>
      <c r="F3383" s="2">
        <v>0</v>
      </c>
      <c r="G3383" t="s">
        <v>16</v>
      </c>
      <c r="H3383" t="s">
        <v>17</v>
      </c>
      <c r="I3383" t="s">
        <v>18</v>
      </c>
      <c r="J3383" s="3">
        <v>45518</v>
      </c>
      <c r="K3383" s="4">
        <f>ClientiBanca[[#This Row],[Prestito]]+ClientiBanca[[#This Row],[Mutuo]]</f>
        <v>0</v>
      </c>
      <c r="L3383" t="str">
        <f>IF(ClientiBanca[[#This Row],[Reddito annuo]]&gt;=70000,"si","no")</f>
        <v>si</v>
      </c>
    </row>
    <row r="3384" spans="1:12">
      <c r="A3384">
        <v>103383</v>
      </c>
      <c r="B3384">
        <v>63</v>
      </c>
      <c r="C3384" s="2">
        <v>79700</v>
      </c>
      <c r="D3384" t="s">
        <v>21</v>
      </c>
      <c r="E3384" s="2">
        <v>0</v>
      </c>
      <c r="F3384" s="2">
        <v>0</v>
      </c>
      <c r="G3384" t="s">
        <v>28</v>
      </c>
      <c r="H3384" t="s">
        <v>20</v>
      </c>
      <c r="I3384" t="s">
        <v>18</v>
      </c>
      <c r="J3384" s="3">
        <v>46013</v>
      </c>
      <c r="K3384" s="4">
        <f>ClientiBanca[[#This Row],[Prestito]]+ClientiBanca[[#This Row],[Mutuo]]</f>
        <v>0</v>
      </c>
      <c r="L3384" t="str">
        <f>IF(ClientiBanca[[#This Row],[Reddito annuo]]&gt;=70000,"si","no")</f>
        <v>si</v>
      </c>
    </row>
    <row r="3385" spans="1:12">
      <c r="A3385">
        <v>103384</v>
      </c>
      <c r="B3385">
        <v>72</v>
      </c>
      <c r="C3385" s="2">
        <v>40400</v>
      </c>
      <c r="D3385" t="s">
        <v>22</v>
      </c>
      <c r="E3385" s="2">
        <v>50500</v>
      </c>
      <c r="F3385" s="2">
        <v>0</v>
      </c>
      <c r="G3385" t="s">
        <v>23</v>
      </c>
      <c r="H3385" t="s">
        <v>14</v>
      </c>
      <c r="I3385" t="s">
        <v>15</v>
      </c>
      <c r="J3385" s="3">
        <v>45975</v>
      </c>
      <c r="K3385" s="4">
        <f>ClientiBanca[[#This Row],[Prestito]]+ClientiBanca[[#This Row],[Mutuo]]</f>
        <v>50500</v>
      </c>
      <c r="L3385" t="str">
        <f>IF(ClientiBanca[[#This Row],[Reddito annuo]]&gt;=70000,"si","no")</f>
        <v>no</v>
      </c>
    </row>
    <row r="3386" spans="1:12">
      <c r="A3386">
        <v>103385</v>
      </c>
      <c r="B3386">
        <v>45</v>
      </c>
      <c r="C3386" s="2">
        <v>21700</v>
      </c>
      <c r="D3386" t="s">
        <v>21</v>
      </c>
      <c r="E3386" s="2">
        <v>27100</v>
      </c>
      <c r="F3386" s="2">
        <v>0</v>
      </c>
      <c r="G3386" t="s">
        <v>16</v>
      </c>
      <c r="H3386" t="s">
        <v>17</v>
      </c>
      <c r="I3386" t="s">
        <v>18</v>
      </c>
      <c r="J3386" s="3">
        <v>45315</v>
      </c>
      <c r="K3386" s="4">
        <f>ClientiBanca[[#This Row],[Prestito]]+ClientiBanca[[#This Row],[Mutuo]]</f>
        <v>27100</v>
      </c>
      <c r="L3386" t="str">
        <f>IF(ClientiBanca[[#This Row],[Reddito annuo]]&gt;=70000,"si","no")</f>
        <v>no</v>
      </c>
    </row>
    <row r="3387" spans="1:12">
      <c r="A3387">
        <v>103386</v>
      </c>
      <c r="B3387">
        <v>67</v>
      </c>
      <c r="C3387" s="2">
        <v>55900</v>
      </c>
      <c r="D3387" t="s">
        <v>22</v>
      </c>
      <c r="E3387" s="2">
        <v>0</v>
      </c>
      <c r="F3387" s="2">
        <v>0</v>
      </c>
      <c r="G3387" t="s">
        <v>26</v>
      </c>
      <c r="H3387" t="s">
        <v>14</v>
      </c>
      <c r="I3387" t="s">
        <v>18</v>
      </c>
      <c r="J3387" s="3">
        <v>45750</v>
      </c>
      <c r="K3387" s="4">
        <f>ClientiBanca[[#This Row],[Prestito]]+ClientiBanca[[#This Row],[Mutuo]]</f>
        <v>0</v>
      </c>
      <c r="L3387" t="str">
        <f>IF(ClientiBanca[[#This Row],[Reddito annuo]]&gt;=70000,"si","no")</f>
        <v>no</v>
      </c>
    </row>
    <row r="3388" spans="1:12">
      <c r="A3388">
        <v>103387</v>
      </c>
      <c r="B3388">
        <v>69</v>
      </c>
      <c r="C3388" s="2">
        <v>82300</v>
      </c>
      <c r="D3388" t="s">
        <v>22</v>
      </c>
      <c r="E3388" s="2">
        <v>18700</v>
      </c>
      <c r="F3388" s="2">
        <v>0</v>
      </c>
      <c r="G3388" t="s">
        <v>19</v>
      </c>
      <c r="H3388" t="s">
        <v>17</v>
      </c>
      <c r="I3388" t="s">
        <v>18</v>
      </c>
      <c r="J3388" s="3">
        <v>45578</v>
      </c>
      <c r="K3388" s="4">
        <f>ClientiBanca[[#This Row],[Prestito]]+ClientiBanca[[#This Row],[Mutuo]]</f>
        <v>18700</v>
      </c>
      <c r="L3388" t="str">
        <f>IF(ClientiBanca[[#This Row],[Reddito annuo]]&gt;=70000,"si","no")</f>
        <v>si</v>
      </c>
    </row>
    <row r="3389" spans="1:12">
      <c r="A3389">
        <v>103388</v>
      </c>
      <c r="B3389">
        <v>25</v>
      </c>
      <c r="C3389" s="2">
        <v>58700</v>
      </c>
      <c r="D3389" t="s">
        <v>21</v>
      </c>
      <c r="E3389" s="2">
        <v>55900</v>
      </c>
      <c r="F3389" s="2">
        <v>0</v>
      </c>
      <c r="G3389" t="s">
        <v>23</v>
      </c>
      <c r="H3389" t="s">
        <v>17</v>
      </c>
      <c r="I3389" t="s">
        <v>18</v>
      </c>
      <c r="J3389" s="3">
        <v>45591</v>
      </c>
      <c r="K3389" s="4">
        <f>ClientiBanca[[#This Row],[Prestito]]+ClientiBanca[[#This Row],[Mutuo]]</f>
        <v>55900</v>
      </c>
      <c r="L3389" t="str">
        <f>IF(ClientiBanca[[#This Row],[Reddito annuo]]&gt;=70000,"si","no")</f>
        <v>no</v>
      </c>
    </row>
    <row r="3390" spans="1:12">
      <c r="A3390">
        <v>103389</v>
      </c>
      <c r="B3390">
        <v>69</v>
      </c>
      <c r="C3390" s="2">
        <v>76300</v>
      </c>
      <c r="D3390" t="s">
        <v>12</v>
      </c>
      <c r="E3390" s="2">
        <v>37200</v>
      </c>
      <c r="F3390" s="2">
        <v>178000</v>
      </c>
      <c r="G3390" t="s">
        <v>28</v>
      </c>
      <c r="H3390" t="s">
        <v>17</v>
      </c>
      <c r="I3390" t="s">
        <v>18</v>
      </c>
      <c r="J3390" s="3">
        <v>45720</v>
      </c>
      <c r="K3390" s="4">
        <f>ClientiBanca[[#This Row],[Prestito]]+ClientiBanca[[#This Row],[Mutuo]]</f>
        <v>215200</v>
      </c>
      <c r="L3390" t="str">
        <f>IF(ClientiBanca[[#This Row],[Reddito annuo]]&gt;=70000,"si","no")</f>
        <v>si</v>
      </c>
    </row>
    <row r="3391" spans="1:12">
      <c r="A3391">
        <v>103390</v>
      </c>
      <c r="B3391">
        <v>47</v>
      </c>
      <c r="C3391" s="2">
        <v>110500</v>
      </c>
      <c r="D3391" t="s">
        <v>22</v>
      </c>
      <c r="E3391" s="2">
        <v>33400</v>
      </c>
      <c r="F3391" s="2">
        <v>360000</v>
      </c>
      <c r="G3391" t="s">
        <v>23</v>
      </c>
      <c r="H3391" t="s">
        <v>17</v>
      </c>
      <c r="I3391" t="s">
        <v>18</v>
      </c>
      <c r="J3391" s="3">
        <v>46195</v>
      </c>
      <c r="K3391" s="4">
        <f>ClientiBanca[[#This Row],[Prestito]]+ClientiBanca[[#This Row],[Mutuo]]</f>
        <v>393400</v>
      </c>
      <c r="L3391" t="str">
        <f>IF(ClientiBanca[[#This Row],[Reddito annuo]]&gt;=70000,"si","no")</f>
        <v>si</v>
      </c>
    </row>
    <row r="3392" spans="1:12">
      <c r="A3392">
        <v>103391</v>
      </c>
      <c r="B3392">
        <v>23</v>
      </c>
      <c r="C3392" s="2">
        <v>79800</v>
      </c>
      <c r="D3392" t="s">
        <v>12</v>
      </c>
      <c r="E3392" s="2">
        <v>0</v>
      </c>
      <c r="F3392" s="2">
        <v>0</v>
      </c>
      <c r="G3392" t="s">
        <v>27</v>
      </c>
      <c r="H3392" t="s">
        <v>17</v>
      </c>
      <c r="I3392" t="s">
        <v>18</v>
      </c>
      <c r="J3392" s="3">
        <v>45690</v>
      </c>
      <c r="K3392" s="4">
        <f>ClientiBanca[[#This Row],[Prestito]]+ClientiBanca[[#This Row],[Mutuo]]</f>
        <v>0</v>
      </c>
      <c r="L3392" t="str">
        <f>IF(ClientiBanca[[#This Row],[Reddito annuo]]&gt;=70000,"si","no")</f>
        <v>si</v>
      </c>
    </row>
    <row r="3393" spans="1:12">
      <c r="A3393">
        <v>103392</v>
      </c>
      <c r="B3393">
        <v>47</v>
      </c>
      <c r="C3393" s="2">
        <v>49600</v>
      </c>
      <c r="D3393" t="s">
        <v>22</v>
      </c>
      <c r="E3393" s="2">
        <v>30600</v>
      </c>
      <c r="F3393" s="2">
        <v>0</v>
      </c>
      <c r="G3393" t="s">
        <v>26</v>
      </c>
      <c r="H3393" t="s">
        <v>14</v>
      </c>
      <c r="I3393" t="s">
        <v>18</v>
      </c>
      <c r="J3393" s="3">
        <v>45899</v>
      </c>
      <c r="K3393" s="4">
        <f>ClientiBanca[[#This Row],[Prestito]]+ClientiBanca[[#This Row],[Mutuo]]</f>
        <v>30600</v>
      </c>
      <c r="L3393" t="str">
        <f>IF(ClientiBanca[[#This Row],[Reddito annuo]]&gt;=70000,"si","no")</f>
        <v>no</v>
      </c>
    </row>
    <row r="3394" spans="1:12">
      <c r="A3394">
        <v>103393</v>
      </c>
      <c r="B3394">
        <v>53</v>
      </c>
      <c r="C3394" s="2">
        <v>102300</v>
      </c>
      <c r="D3394" t="s">
        <v>12</v>
      </c>
      <c r="E3394" s="2">
        <v>30700</v>
      </c>
      <c r="F3394" s="2">
        <v>162000</v>
      </c>
      <c r="G3394" t="s">
        <v>27</v>
      </c>
      <c r="H3394" t="s">
        <v>17</v>
      </c>
      <c r="I3394" t="s">
        <v>18</v>
      </c>
      <c r="J3394" s="3">
        <v>45618</v>
      </c>
      <c r="K3394" s="4">
        <f>ClientiBanca[[#This Row],[Prestito]]+ClientiBanca[[#This Row],[Mutuo]]</f>
        <v>192700</v>
      </c>
      <c r="L3394" t="str">
        <f>IF(ClientiBanca[[#This Row],[Reddito annuo]]&gt;=70000,"si","no")</f>
        <v>si</v>
      </c>
    </row>
    <row r="3395" spans="1:12">
      <c r="A3395">
        <v>103394</v>
      </c>
      <c r="B3395">
        <v>59</v>
      </c>
      <c r="C3395" s="2">
        <v>42000</v>
      </c>
      <c r="D3395" t="s">
        <v>21</v>
      </c>
      <c r="E3395" s="2">
        <v>24500</v>
      </c>
      <c r="F3395" s="2">
        <v>0</v>
      </c>
      <c r="G3395" t="s">
        <v>27</v>
      </c>
      <c r="H3395" t="s">
        <v>17</v>
      </c>
      <c r="I3395" t="s">
        <v>18</v>
      </c>
      <c r="J3395" s="3">
        <v>45897</v>
      </c>
      <c r="K3395" s="4">
        <f>ClientiBanca[[#This Row],[Prestito]]+ClientiBanca[[#This Row],[Mutuo]]</f>
        <v>24500</v>
      </c>
      <c r="L3395" t="str">
        <f>IF(ClientiBanca[[#This Row],[Reddito annuo]]&gt;=70000,"si","no")</f>
        <v>no</v>
      </c>
    </row>
    <row r="3396" spans="1:12">
      <c r="A3396">
        <v>103395</v>
      </c>
      <c r="B3396">
        <v>73</v>
      </c>
      <c r="C3396" s="2">
        <v>73200</v>
      </c>
      <c r="D3396" t="s">
        <v>21</v>
      </c>
      <c r="E3396" s="2">
        <v>0</v>
      </c>
      <c r="F3396" s="2">
        <v>0</v>
      </c>
      <c r="G3396" t="s">
        <v>24</v>
      </c>
      <c r="H3396" t="s">
        <v>20</v>
      </c>
      <c r="I3396" t="s">
        <v>18</v>
      </c>
      <c r="J3396" s="3">
        <v>45519</v>
      </c>
      <c r="K3396" s="4">
        <f>ClientiBanca[[#This Row],[Prestito]]+ClientiBanca[[#This Row],[Mutuo]]</f>
        <v>0</v>
      </c>
      <c r="L3396" t="str">
        <f>IF(ClientiBanca[[#This Row],[Reddito annuo]]&gt;=70000,"si","no")</f>
        <v>si</v>
      </c>
    </row>
    <row r="3397" spans="1:12">
      <c r="A3397">
        <v>103396</v>
      </c>
      <c r="B3397">
        <v>39</v>
      </c>
      <c r="C3397" s="2">
        <v>82900</v>
      </c>
      <c r="D3397" t="s">
        <v>21</v>
      </c>
      <c r="E3397" s="2">
        <v>28600</v>
      </c>
      <c r="F3397" s="2">
        <v>0</v>
      </c>
      <c r="G3397" t="s">
        <v>13</v>
      </c>
      <c r="H3397" t="s">
        <v>20</v>
      </c>
      <c r="I3397" t="s">
        <v>18</v>
      </c>
      <c r="J3397" s="3">
        <v>45656</v>
      </c>
      <c r="K3397" s="4">
        <f>ClientiBanca[[#This Row],[Prestito]]+ClientiBanca[[#This Row],[Mutuo]]</f>
        <v>28600</v>
      </c>
      <c r="L3397" t="str">
        <f>IF(ClientiBanca[[#This Row],[Reddito annuo]]&gt;=70000,"si","no")</f>
        <v>si</v>
      </c>
    </row>
    <row r="3398" spans="1:12">
      <c r="A3398">
        <v>103397</v>
      </c>
      <c r="B3398">
        <v>44</v>
      </c>
      <c r="C3398" s="2">
        <v>27300</v>
      </c>
      <c r="D3398" t="s">
        <v>21</v>
      </c>
      <c r="E3398" s="2">
        <v>4700</v>
      </c>
      <c r="F3398" s="2">
        <v>0</v>
      </c>
      <c r="G3398" t="s">
        <v>23</v>
      </c>
      <c r="H3398" t="s">
        <v>17</v>
      </c>
      <c r="I3398" t="s">
        <v>18</v>
      </c>
      <c r="J3398" s="3">
        <v>45928</v>
      </c>
      <c r="K3398" s="4">
        <f>ClientiBanca[[#This Row],[Prestito]]+ClientiBanca[[#This Row],[Mutuo]]</f>
        <v>4700</v>
      </c>
      <c r="L3398" t="str">
        <f>IF(ClientiBanca[[#This Row],[Reddito annuo]]&gt;=70000,"si","no")</f>
        <v>no</v>
      </c>
    </row>
    <row r="3399" spans="1:12">
      <c r="A3399">
        <v>103398</v>
      </c>
      <c r="B3399">
        <v>38</v>
      </c>
      <c r="C3399" s="2">
        <v>51900</v>
      </c>
      <c r="D3399" t="s">
        <v>21</v>
      </c>
      <c r="E3399" s="2">
        <v>54600</v>
      </c>
      <c r="F3399" s="2">
        <v>188000</v>
      </c>
      <c r="G3399" t="s">
        <v>28</v>
      </c>
      <c r="H3399" t="s">
        <v>20</v>
      </c>
      <c r="I3399" t="s">
        <v>18</v>
      </c>
      <c r="J3399" s="3">
        <v>46227</v>
      </c>
      <c r="K3399" s="4">
        <f>ClientiBanca[[#This Row],[Prestito]]+ClientiBanca[[#This Row],[Mutuo]]</f>
        <v>242600</v>
      </c>
      <c r="L3399" t="str">
        <f>IF(ClientiBanca[[#This Row],[Reddito annuo]]&gt;=70000,"si","no")</f>
        <v>no</v>
      </c>
    </row>
    <row r="3400" spans="1:12">
      <c r="A3400">
        <v>103399</v>
      </c>
      <c r="B3400">
        <v>57</v>
      </c>
      <c r="C3400" s="2">
        <v>36100</v>
      </c>
      <c r="D3400" t="s">
        <v>12</v>
      </c>
      <c r="E3400" s="2">
        <v>12700</v>
      </c>
      <c r="F3400" s="2">
        <v>0</v>
      </c>
      <c r="G3400" t="s">
        <v>19</v>
      </c>
      <c r="H3400" t="s">
        <v>20</v>
      </c>
      <c r="I3400" t="s">
        <v>18</v>
      </c>
      <c r="J3400" s="3">
        <v>46036</v>
      </c>
      <c r="K3400" s="4">
        <f>ClientiBanca[[#This Row],[Prestito]]+ClientiBanca[[#This Row],[Mutuo]]</f>
        <v>12700</v>
      </c>
      <c r="L3400" t="str">
        <f>IF(ClientiBanca[[#This Row],[Reddito annuo]]&gt;=70000,"si","no")</f>
        <v>no</v>
      </c>
    </row>
    <row r="3401" spans="1:12">
      <c r="A3401">
        <v>103400</v>
      </c>
      <c r="B3401">
        <v>56</v>
      </c>
      <c r="C3401" s="2">
        <v>87400</v>
      </c>
      <c r="D3401" t="s">
        <v>21</v>
      </c>
      <c r="E3401" s="2">
        <v>25900</v>
      </c>
      <c r="F3401" s="2">
        <v>0</v>
      </c>
      <c r="G3401" t="s">
        <v>13</v>
      </c>
      <c r="H3401" t="s">
        <v>17</v>
      </c>
      <c r="I3401" t="s">
        <v>18</v>
      </c>
      <c r="J3401" s="3">
        <v>45337</v>
      </c>
      <c r="K3401" s="4">
        <f>ClientiBanca[[#This Row],[Prestito]]+ClientiBanca[[#This Row],[Mutuo]]</f>
        <v>25900</v>
      </c>
      <c r="L3401" t="str">
        <f>IF(ClientiBanca[[#This Row],[Reddito annuo]]&gt;=70000,"si","no")</f>
        <v>si</v>
      </c>
    </row>
    <row r="3402" spans="1:12">
      <c r="A3402">
        <v>103401</v>
      </c>
      <c r="B3402">
        <v>22</v>
      </c>
      <c r="C3402" s="2">
        <v>84300</v>
      </c>
      <c r="D3402" t="s">
        <v>21</v>
      </c>
      <c r="E3402" s="2">
        <v>39800</v>
      </c>
      <c r="F3402" s="2">
        <v>182000</v>
      </c>
      <c r="G3402" t="s">
        <v>16</v>
      </c>
      <c r="H3402" t="s">
        <v>17</v>
      </c>
      <c r="I3402" t="s">
        <v>18</v>
      </c>
      <c r="J3402" s="3">
        <v>45293</v>
      </c>
      <c r="K3402" s="4">
        <f>ClientiBanca[[#This Row],[Prestito]]+ClientiBanca[[#This Row],[Mutuo]]</f>
        <v>221800</v>
      </c>
      <c r="L3402" t="str">
        <f>IF(ClientiBanca[[#This Row],[Reddito annuo]]&gt;=70000,"si","no")</f>
        <v>si</v>
      </c>
    </row>
    <row r="3403" spans="1:12">
      <c r="A3403">
        <v>103402</v>
      </c>
      <c r="B3403">
        <v>26</v>
      </c>
      <c r="C3403" s="2">
        <v>87300</v>
      </c>
      <c r="D3403" t="s">
        <v>12</v>
      </c>
      <c r="E3403" s="2">
        <v>2700</v>
      </c>
      <c r="F3403" s="2">
        <v>0</v>
      </c>
      <c r="G3403" t="s">
        <v>24</v>
      </c>
      <c r="H3403" t="s">
        <v>17</v>
      </c>
      <c r="I3403" t="s">
        <v>18</v>
      </c>
      <c r="J3403" s="3">
        <v>45785</v>
      </c>
      <c r="K3403" s="4">
        <f>ClientiBanca[[#This Row],[Prestito]]+ClientiBanca[[#This Row],[Mutuo]]</f>
        <v>2700</v>
      </c>
      <c r="L3403" t="str">
        <f>IF(ClientiBanca[[#This Row],[Reddito annuo]]&gt;=70000,"si","no")</f>
        <v>si</v>
      </c>
    </row>
    <row r="3404" spans="1:12">
      <c r="A3404">
        <v>103403</v>
      </c>
      <c r="B3404">
        <v>32</v>
      </c>
      <c r="C3404" s="2">
        <v>84500</v>
      </c>
      <c r="D3404" t="s">
        <v>21</v>
      </c>
      <c r="E3404" s="2">
        <v>0</v>
      </c>
      <c r="F3404" s="2">
        <v>0</v>
      </c>
      <c r="G3404" t="s">
        <v>13</v>
      </c>
      <c r="H3404" t="s">
        <v>20</v>
      </c>
      <c r="I3404" t="s">
        <v>18</v>
      </c>
      <c r="J3404" s="3">
        <v>45593</v>
      </c>
      <c r="K3404" s="4">
        <f>ClientiBanca[[#This Row],[Prestito]]+ClientiBanca[[#This Row],[Mutuo]]</f>
        <v>0</v>
      </c>
      <c r="L3404" t="str">
        <f>IF(ClientiBanca[[#This Row],[Reddito annuo]]&gt;=70000,"si","no")</f>
        <v>si</v>
      </c>
    </row>
    <row r="3405" spans="1:12">
      <c r="A3405">
        <v>103404</v>
      </c>
      <c r="B3405">
        <v>71</v>
      </c>
      <c r="C3405" s="2">
        <v>50200</v>
      </c>
      <c r="D3405" t="s">
        <v>21</v>
      </c>
      <c r="E3405" s="2">
        <v>0</v>
      </c>
      <c r="F3405" s="2">
        <v>183000</v>
      </c>
      <c r="G3405" t="s">
        <v>27</v>
      </c>
      <c r="H3405" t="s">
        <v>17</v>
      </c>
      <c r="I3405" t="s">
        <v>18</v>
      </c>
      <c r="J3405" s="3">
        <v>46228</v>
      </c>
      <c r="K3405" s="4">
        <f>ClientiBanca[[#This Row],[Prestito]]+ClientiBanca[[#This Row],[Mutuo]]</f>
        <v>183000</v>
      </c>
      <c r="L3405" t="str">
        <f>IF(ClientiBanca[[#This Row],[Reddito annuo]]&gt;=70000,"si","no")</f>
        <v>no</v>
      </c>
    </row>
    <row r="3406" spans="1:12">
      <c r="A3406">
        <v>103405</v>
      </c>
      <c r="B3406">
        <v>61</v>
      </c>
      <c r="C3406" s="2">
        <v>86500</v>
      </c>
      <c r="D3406" t="s">
        <v>12</v>
      </c>
      <c r="E3406" s="2">
        <v>51900</v>
      </c>
      <c r="F3406" s="2">
        <v>332000</v>
      </c>
      <c r="G3406" t="s">
        <v>19</v>
      </c>
      <c r="H3406" t="s">
        <v>20</v>
      </c>
      <c r="I3406" t="s">
        <v>18</v>
      </c>
      <c r="J3406" s="3">
        <v>45415</v>
      </c>
      <c r="K3406" s="4">
        <f>ClientiBanca[[#This Row],[Prestito]]+ClientiBanca[[#This Row],[Mutuo]]</f>
        <v>383900</v>
      </c>
      <c r="L3406" t="str">
        <f>IF(ClientiBanca[[#This Row],[Reddito annuo]]&gt;=70000,"si","no")</f>
        <v>si</v>
      </c>
    </row>
    <row r="3407" spans="1:12">
      <c r="A3407">
        <v>103406</v>
      </c>
      <c r="B3407">
        <v>56</v>
      </c>
      <c r="C3407" s="2">
        <v>34000</v>
      </c>
      <c r="D3407" t="s">
        <v>12</v>
      </c>
      <c r="E3407" s="2">
        <v>0</v>
      </c>
      <c r="F3407" s="2">
        <v>0</v>
      </c>
      <c r="G3407" t="s">
        <v>16</v>
      </c>
      <c r="H3407" t="s">
        <v>14</v>
      </c>
      <c r="I3407" t="s">
        <v>18</v>
      </c>
      <c r="J3407" s="3">
        <v>45375</v>
      </c>
      <c r="K3407" s="4">
        <f>ClientiBanca[[#This Row],[Prestito]]+ClientiBanca[[#This Row],[Mutuo]]</f>
        <v>0</v>
      </c>
      <c r="L3407" t="str">
        <f>IF(ClientiBanca[[#This Row],[Reddito annuo]]&gt;=70000,"si","no")</f>
        <v>no</v>
      </c>
    </row>
    <row r="3408" spans="1:12">
      <c r="A3408">
        <v>103407</v>
      </c>
      <c r="B3408">
        <v>52</v>
      </c>
      <c r="C3408" s="2">
        <v>55300</v>
      </c>
      <c r="D3408" t="s">
        <v>12</v>
      </c>
      <c r="E3408" s="2">
        <v>5300</v>
      </c>
      <c r="F3408" s="2">
        <v>171000</v>
      </c>
      <c r="G3408" t="s">
        <v>24</v>
      </c>
      <c r="H3408" t="s">
        <v>17</v>
      </c>
      <c r="I3408" t="s">
        <v>18</v>
      </c>
      <c r="J3408" s="3">
        <v>45458</v>
      </c>
      <c r="K3408" s="4">
        <f>ClientiBanca[[#This Row],[Prestito]]+ClientiBanca[[#This Row],[Mutuo]]</f>
        <v>176300</v>
      </c>
      <c r="L3408" t="str">
        <f>IF(ClientiBanca[[#This Row],[Reddito annuo]]&gt;=70000,"si","no")</f>
        <v>no</v>
      </c>
    </row>
    <row r="3409" spans="1:12">
      <c r="A3409">
        <v>103408</v>
      </c>
      <c r="B3409">
        <v>68</v>
      </c>
      <c r="C3409" s="2">
        <v>89700</v>
      </c>
      <c r="D3409" t="s">
        <v>22</v>
      </c>
      <c r="E3409" s="2">
        <v>47500</v>
      </c>
      <c r="F3409" s="2">
        <v>0</v>
      </c>
      <c r="G3409" t="s">
        <v>19</v>
      </c>
      <c r="H3409" t="s">
        <v>20</v>
      </c>
      <c r="I3409" t="s">
        <v>18</v>
      </c>
      <c r="J3409" s="3">
        <v>46010</v>
      </c>
      <c r="K3409" s="4">
        <f>ClientiBanca[[#This Row],[Prestito]]+ClientiBanca[[#This Row],[Mutuo]]</f>
        <v>47500</v>
      </c>
      <c r="L3409" t="str">
        <f>IF(ClientiBanca[[#This Row],[Reddito annuo]]&gt;=70000,"si","no")</f>
        <v>si</v>
      </c>
    </row>
    <row r="3410" spans="1:12">
      <c r="A3410">
        <v>103409</v>
      </c>
      <c r="B3410">
        <v>26</v>
      </c>
      <c r="C3410" s="2">
        <v>67200</v>
      </c>
      <c r="D3410" t="s">
        <v>21</v>
      </c>
      <c r="E3410" s="2">
        <v>0</v>
      </c>
      <c r="F3410" s="2">
        <v>0</v>
      </c>
      <c r="G3410" t="s">
        <v>24</v>
      </c>
      <c r="H3410" t="s">
        <v>20</v>
      </c>
      <c r="I3410" t="s">
        <v>18</v>
      </c>
      <c r="J3410" s="3">
        <v>45491</v>
      </c>
      <c r="K3410" s="4">
        <f>ClientiBanca[[#This Row],[Prestito]]+ClientiBanca[[#This Row],[Mutuo]]</f>
        <v>0</v>
      </c>
      <c r="L3410" t="str">
        <f>IF(ClientiBanca[[#This Row],[Reddito annuo]]&gt;=70000,"si","no")</f>
        <v>no</v>
      </c>
    </row>
    <row r="3411" spans="1:12">
      <c r="A3411">
        <v>103410</v>
      </c>
      <c r="B3411">
        <v>37</v>
      </c>
      <c r="C3411" s="2">
        <v>65400</v>
      </c>
      <c r="D3411" t="s">
        <v>21</v>
      </c>
      <c r="E3411" s="2">
        <v>37400</v>
      </c>
      <c r="F3411" s="2">
        <v>0</v>
      </c>
      <c r="G3411" t="s">
        <v>26</v>
      </c>
      <c r="H3411" t="s">
        <v>20</v>
      </c>
      <c r="I3411" t="s">
        <v>18</v>
      </c>
      <c r="J3411" s="3">
        <v>46138</v>
      </c>
      <c r="K3411" s="4">
        <f>ClientiBanca[[#This Row],[Prestito]]+ClientiBanca[[#This Row],[Mutuo]]</f>
        <v>37400</v>
      </c>
      <c r="L3411" t="str">
        <f>IF(ClientiBanca[[#This Row],[Reddito annuo]]&gt;=70000,"si","no")</f>
        <v>no</v>
      </c>
    </row>
    <row r="3412" spans="1:12">
      <c r="A3412">
        <v>103411</v>
      </c>
      <c r="B3412">
        <v>33</v>
      </c>
      <c r="C3412" s="2">
        <v>58300</v>
      </c>
      <c r="D3412" t="s">
        <v>12</v>
      </c>
      <c r="E3412" s="2">
        <v>0</v>
      </c>
      <c r="F3412" s="2">
        <v>0</v>
      </c>
      <c r="G3412" t="s">
        <v>19</v>
      </c>
      <c r="H3412" t="s">
        <v>17</v>
      </c>
      <c r="I3412" t="s">
        <v>18</v>
      </c>
      <c r="J3412" s="3">
        <v>45649</v>
      </c>
      <c r="K3412" s="4">
        <f>ClientiBanca[[#This Row],[Prestito]]+ClientiBanca[[#This Row],[Mutuo]]</f>
        <v>0</v>
      </c>
      <c r="L3412" t="str">
        <f>IF(ClientiBanca[[#This Row],[Reddito annuo]]&gt;=70000,"si","no")</f>
        <v>no</v>
      </c>
    </row>
    <row r="3413" spans="1:12">
      <c r="A3413">
        <v>103412</v>
      </c>
      <c r="B3413">
        <v>44</v>
      </c>
      <c r="C3413" s="2">
        <v>38400</v>
      </c>
      <c r="D3413" t="s">
        <v>21</v>
      </c>
      <c r="E3413" s="2">
        <v>27800</v>
      </c>
      <c r="F3413" s="2">
        <v>253000</v>
      </c>
      <c r="G3413" t="s">
        <v>24</v>
      </c>
      <c r="H3413" t="s">
        <v>25</v>
      </c>
      <c r="I3413" t="s">
        <v>18</v>
      </c>
      <c r="J3413" s="3">
        <v>46050</v>
      </c>
      <c r="K3413" s="4">
        <f>ClientiBanca[[#This Row],[Prestito]]+ClientiBanca[[#This Row],[Mutuo]]</f>
        <v>280800</v>
      </c>
      <c r="L3413" t="str">
        <f>IF(ClientiBanca[[#This Row],[Reddito annuo]]&gt;=70000,"si","no")</f>
        <v>no</v>
      </c>
    </row>
    <row r="3414" spans="1:12">
      <c r="A3414">
        <v>103413</v>
      </c>
      <c r="B3414">
        <v>28</v>
      </c>
      <c r="C3414" s="2">
        <v>77500</v>
      </c>
      <c r="D3414" t="s">
        <v>12</v>
      </c>
      <c r="E3414" s="2">
        <v>0</v>
      </c>
      <c r="F3414" s="2">
        <v>0</v>
      </c>
      <c r="G3414" t="s">
        <v>19</v>
      </c>
      <c r="H3414" t="s">
        <v>14</v>
      </c>
      <c r="I3414" t="s">
        <v>18</v>
      </c>
      <c r="J3414" s="3">
        <v>45731</v>
      </c>
      <c r="K3414" s="4">
        <f>ClientiBanca[[#This Row],[Prestito]]+ClientiBanca[[#This Row],[Mutuo]]</f>
        <v>0</v>
      </c>
      <c r="L3414" t="str">
        <f>IF(ClientiBanca[[#This Row],[Reddito annuo]]&gt;=70000,"si","no")</f>
        <v>si</v>
      </c>
    </row>
    <row r="3415" spans="1:12">
      <c r="A3415">
        <v>103414</v>
      </c>
      <c r="B3415">
        <v>40</v>
      </c>
      <c r="C3415" s="2">
        <v>59100</v>
      </c>
      <c r="D3415" t="s">
        <v>21</v>
      </c>
      <c r="E3415" s="2">
        <v>36900</v>
      </c>
      <c r="F3415" s="2">
        <v>241000</v>
      </c>
      <c r="G3415" t="s">
        <v>13</v>
      </c>
      <c r="H3415" t="s">
        <v>14</v>
      </c>
      <c r="I3415" t="s">
        <v>18</v>
      </c>
      <c r="J3415" s="3">
        <v>45426</v>
      </c>
      <c r="K3415" s="4">
        <f>ClientiBanca[[#This Row],[Prestito]]+ClientiBanca[[#This Row],[Mutuo]]</f>
        <v>277900</v>
      </c>
      <c r="L3415" t="str">
        <f>IF(ClientiBanca[[#This Row],[Reddito annuo]]&gt;=70000,"si","no")</f>
        <v>no</v>
      </c>
    </row>
    <row r="3416" spans="1:12">
      <c r="A3416">
        <v>103415</v>
      </c>
      <c r="B3416">
        <v>75</v>
      </c>
      <c r="C3416" s="2">
        <v>72800</v>
      </c>
      <c r="D3416" t="s">
        <v>12</v>
      </c>
      <c r="E3416" s="2">
        <v>44900</v>
      </c>
      <c r="F3416" s="2">
        <v>0</v>
      </c>
      <c r="G3416" t="s">
        <v>23</v>
      </c>
      <c r="H3416" t="s">
        <v>20</v>
      </c>
      <c r="I3416" t="s">
        <v>18</v>
      </c>
      <c r="J3416" s="3">
        <v>45657</v>
      </c>
      <c r="K3416" s="4">
        <f>ClientiBanca[[#This Row],[Prestito]]+ClientiBanca[[#This Row],[Mutuo]]</f>
        <v>44900</v>
      </c>
      <c r="L3416" t="str">
        <f>IF(ClientiBanca[[#This Row],[Reddito annuo]]&gt;=70000,"si","no")</f>
        <v>si</v>
      </c>
    </row>
    <row r="3417" spans="1:12">
      <c r="A3417">
        <v>103416</v>
      </c>
      <c r="B3417">
        <v>57</v>
      </c>
      <c r="C3417" s="2">
        <v>94900</v>
      </c>
      <c r="D3417" t="s">
        <v>12</v>
      </c>
      <c r="E3417" s="2">
        <v>47900</v>
      </c>
      <c r="F3417" s="2">
        <v>193000</v>
      </c>
      <c r="G3417" t="s">
        <v>24</v>
      </c>
      <c r="H3417" t="s">
        <v>20</v>
      </c>
      <c r="I3417" t="s">
        <v>18</v>
      </c>
      <c r="J3417" s="3">
        <v>46127</v>
      </c>
      <c r="K3417" s="4">
        <f>ClientiBanca[[#This Row],[Prestito]]+ClientiBanca[[#This Row],[Mutuo]]</f>
        <v>240900</v>
      </c>
      <c r="L3417" t="str">
        <f>IF(ClientiBanca[[#This Row],[Reddito annuo]]&gt;=70000,"si","no")</f>
        <v>si</v>
      </c>
    </row>
    <row r="3418" spans="1:12">
      <c r="A3418">
        <v>103417</v>
      </c>
      <c r="B3418">
        <v>62</v>
      </c>
      <c r="C3418" s="2">
        <v>49400</v>
      </c>
      <c r="D3418" t="s">
        <v>21</v>
      </c>
      <c r="E3418" s="2">
        <v>34000</v>
      </c>
      <c r="F3418" s="2">
        <v>0</v>
      </c>
      <c r="G3418" t="s">
        <v>13</v>
      </c>
      <c r="H3418" t="s">
        <v>14</v>
      </c>
      <c r="I3418" t="s">
        <v>18</v>
      </c>
      <c r="J3418" s="3">
        <v>46012</v>
      </c>
      <c r="K3418" s="4">
        <f>ClientiBanca[[#This Row],[Prestito]]+ClientiBanca[[#This Row],[Mutuo]]</f>
        <v>34000</v>
      </c>
      <c r="L3418" t="str">
        <f>IF(ClientiBanca[[#This Row],[Reddito annuo]]&gt;=70000,"si","no")</f>
        <v>no</v>
      </c>
    </row>
    <row r="3419" spans="1:12">
      <c r="A3419">
        <v>103418</v>
      </c>
      <c r="B3419">
        <v>44</v>
      </c>
      <c r="C3419" s="2">
        <v>69900</v>
      </c>
      <c r="D3419" t="s">
        <v>12</v>
      </c>
      <c r="E3419" s="2">
        <v>36500</v>
      </c>
      <c r="F3419" s="2">
        <v>0</v>
      </c>
      <c r="G3419" t="s">
        <v>19</v>
      </c>
      <c r="H3419" t="s">
        <v>20</v>
      </c>
      <c r="I3419" t="s">
        <v>18</v>
      </c>
      <c r="J3419" s="3">
        <v>45358</v>
      </c>
      <c r="K3419" s="4">
        <f>ClientiBanca[[#This Row],[Prestito]]+ClientiBanca[[#This Row],[Mutuo]]</f>
        <v>36500</v>
      </c>
      <c r="L3419" t="str">
        <f>IF(ClientiBanca[[#This Row],[Reddito annuo]]&gt;=70000,"si","no")</f>
        <v>no</v>
      </c>
    </row>
    <row r="3420" spans="1:12">
      <c r="A3420">
        <v>103419</v>
      </c>
      <c r="B3420">
        <v>29</v>
      </c>
      <c r="C3420" s="2">
        <v>80800</v>
      </c>
      <c r="D3420" t="s">
        <v>22</v>
      </c>
      <c r="E3420" s="2">
        <v>0</v>
      </c>
      <c r="F3420" s="2">
        <v>130000</v>
      </c>
      <c r="G3420" t="s">
        <v>26</v>
      </c>
      <c r="H3420" t="s">
        <v>17</v>
      </c>
      <c r="I3420" t="s">
        <v>18</v>
      </c>
      <c r="J3420" s="3">
        <v>46256</v>
      </c>
      <c r="K3420" s="4">
        <f>ClientiBanca[[#This Row],[Prestito]]+ClientiBanca[[#This Row],[Mutuo]]</f>
        <v>130000</v>
      </c>
      <c r="L3420" t="str">
        <f>IF(ClientiBanca[[#This Row],[Reddito annuo]]&gt;=70000,"si","no")</f>
        <v>si</v>
      </c>
    </row>
    <row r="3421" spans="1:12">
      <c r="A3421">
        <v>103420</v>
      </c>
      <c r="B3421">
        <v>64</v>
      </c>
      <c r="C3421" s="2">
        <v>97100</v>
      </c>
      <c r="D3421" t="s">
        <v>12</v>
      </c>
      <c r="E3421" s="2">
        <v>50000</v>
      </c>
      <c r="F3421" s="2">
        <v>0</v>
      </c>
      <c r="G3421" t="s">
        <v>27</v>
      </c>
      <c r="H3421" t="s">
        <v>14</v>
      </c>
      <c r="I3421" t="s">
        <v>18</v>
      </c>
      <c r="J3421" s="3">
        <v>46000</v>
      </c>
      <c r="K3421" s="4">
        <f>ClientiBanca[[#This Row],[Prestito]]+ClientiBanca[[#This Row],[Mutuo]]</f>
        <v>50000</v>
      </c>
      <c r="L3421" t="str">
        <f>IF(ClientiBanca[[#This Row],[Reddito annuo]]&gt;=70000,"si","no")</f>
        <v>si</v>
      </c>
    </row>
    <row r="3422" spans="1:12">
      <c r="A3422">
        <v>103421</v>
      </c>
      <c r="B3422">
        <v>59</v>
      </c>
      <c r="C3422" s="2">
        <v>59800</v>
      </c>
      <c r="D3422" t="s">
        <v>21</v>
      </c>
      <c r="E3422" s="2">
        <v>52200</v>
      </c>
      <c r="F3422" s="2">
        <v>0</v>
      </c>
      <c r="G3422" t="s">
        <v>26</v>
      </c>
      <c r="H3422" t="s">
        <v>17</v>
      </c>
      <c r="I3422" t="s">
        <v>18</v>
      </c>
      <c r="J3422" s="3">
        <v>45579</v>
      </c>
      <c r="K3422" s="4">
        <f>ClientiBanca[[#This Row],[Prestito]]+ClientiBanca[[#This Row],[Mutuo]]</f>
        <v>52200</v>
      </c>
      <c r="L3422" t="str">
        <f>IF(ClientiBanca[[#This Row],[Reddito annuo]]&gt;=70000,"si","no")</f>
        <v>no</v>
      </c>
    </row>
    <row r="3423" spans="1:12">
      <c r="A3423">
        <v>103422</v>
      </c>
      <c r="B3423">
        <v>56</v>
      </c>
      <c r="C3423" s="2">
        <v>94900</v>
      </c>
      <c r="D3423" t="s">
        <v>21</v>
      </c>
      <c r="E3423" s="2">
        <v>39100</v>
      </c>
      <c r="F3423" s="2">
        <v>0</v>
      </c>
      <c r="G3423" t="s">
        <v>19</v>
      </c>
      <c r="H3423" t="s">
        <v>14</v>
      </c>
      <c r="I3423" t="s">
        <v>18</v>
      </c>
      <c r="J3423" s="3">
        <v>45327</v>
      </c>
      <c r="K3423" s="4">
        <f>ClientiBanca[[#This Row],[Prestito]]+ClientiBanca[[#This Row],[Mutuo]]</f>
        <v>39100</v>
      </c>
      <c r="L3423" t="str">
        <f>IF(ClientiBanca[[#This Row],[Reddito annuo]]&gt;=70000,"si","no")</f>
        <v>si</v>
      </c>
    </row>
    <row r="3424" spans="1:12">
      <c r="A3424">
        <v>103423</v>
      </c>
      <c r="B3424">
        <v>46</v>
      </c>
      <c r="C3424" s="2">
        <v>88800</v>
      </c>
      <c r="D3424" t="s">
        <v>12</v>
      </c>
      <c r="E3424" s="2">
        <v>25400</v>
      </c>
      <c r="F3424" s="2">
        <v>0</v>
      </c>
      <c r="G3424" t="s">
        <v>23</v>
      </c>
      <c r="H3424" t="s">
        <v>17</v>
      </c>
      <c r="I3424" t="s">
        <v>18</v>
      </c>
      <c r="J3424" s="3">
        <v>46228</v>
      </c>
      <c r="K3424" s="4">
        <f>ClientiBanca[[#This Row],[Prestito]]+ClientiBanca[[#This Row],[Mutuo]]</f>
        <v>25400</v>
      </c>
      <c r="L3424" t="str">
        <f>IF(ClientiBanca[[#This Row],[Reddito annuo]]&gt;=70000,"si","no")</f>
        <v>si</v>
      </c>
    </row>
    <row r="3425" spans="1:12">
      <c r="A3425">
        <v>103424</v>
      </c>
      <c r="B3425">
        <v>73</v>
      </c>
      <c r="C3425" s="2">
        <v>49900</v>
      </c>
      <c r="D3425" t="s">
        <v>12</v>
      </c>
      <c r="E3425" s="2">
        <v>16100</v>
      </c>
      <c r="F3425" s="2">
        <v>0</v>
      </c>
      <c r="G3425" t="s">
        <v>13</v>
      </c>
      <c r="H3425" t="s">
        <v>17</v>
      </c>
      <c r="I3425" t="s">
        <v>18</v>
      </c>
      <c r="J3425" s="3">
        <v>45965</v>
      </c>
      <c r="K3425" s="4">
        <f>ClientiBanca[[#This Row],[Prestito]]+ClientiBanca[[#This Row],[Mutuo]]</f>
        <v>16100</v>
      </c>
      <c r="L3425" t="str">
        <f>IF(ClientiBanca[[#This Row],[Reddito annuo]]&gt;=70000,"si","no")</f>
        <v>no</v>
      </c>
    </row>
    <row r="3426" spans="1:12">
      <c r="A3426">
        <v>103425</v>
      </c>
      <c r="B3426">
        <v>21</v>
      </c>
      <c r="C3426" s="2">
        <v>46400</v>
      </c>
      <c r="D3426" t="s">
        <v>21</v>
      </c>
      <c r="E3426" s="2">
        <v>0</v>
      </c>
      <c r="F3426" s="2">
        <v>0</v>
      </c>
      <c r="G3426" t="s">
        <v>28</v>
      </c>
      <c r="H3426" t="s">
        <v>14</v>
      </c>
      <c r="I3426" t="s">
        <v>18</v>
      </c>
      <c r="J3426" s="3">
        <v>45475</v>
      </c>
      <c r="K3426" s="4">
        <f>ClientiBanca[[#This Row],[Prestito]]+ClientiBanca[[#This Row],[Mutuo]]</f>
        <v>0</v>
      </c>
      <c r="L3426" t="str">
        <f>IF(ClientiBanca[[#This Row],[Reddito annuo]]&gt;=70000,"si","no")</f>
        <v>no</v>
      </c>
    </row>
    <row r="3427" spans="1:12">
      <c r="A3427">
        <v>103426</v>
      </c>
      <c r="B3427">
        <v>40</v>
      </c>
      <c r="C3427" s="2">
        <v>91300</v>
      </c>
      <c r="D3427" t="s">
        <v>12</v>
      </c>
      <c r="E3427" s="2">
        <v>22800</v>
      </c>
      <c r="F3427" s="2">
        <v>0</v>
      </c>
      <c r="G3427" t="s">
        <v>16</v>
      </c>
      <c r="H3427" t="s">
        <v>17</v>
      </c>
      <c r="I3427" t="s">
        <v>18</v>
      </c>
      <c r="J3427" s="3">
        <v>46117</v>
      </c>
      <c r="K3427" s="4">
        <f>ClientiBanca[[#This Row],[Prestito]]+ClientiBanca[[#This Row],[Mutuo]]</f>
        <v>22800</v>
      </c>
      <c r="L3427" t="str">
        <f>IF(ClientiBanca[[#This Row],[Reddito annuo]]&gt;=70000,"si","no")</f>
        <v>si</v>
      </c>
    </row>
    <row r="3428" spans="1:12">
      <c r="A3428">
        <v>103427</v>
      </c>
      <c r="B3428">
        <v>42</v>
      </c>
      <c r="C3428" s="2">
        <v>40900</v>
      </c>
      <c r="D3428" t="s">
        <v>21</v>
      </c>
      <c r="E3428" s="2">
        <v>0</v>
      </c>
      <c r="F3428" s="2">
        <v>0</v>
      </c>
      <c r="G3428" t="s">
        <v>28</v>
      </c>
      <c r="H3428" t="s">
        <v>20</v>
      </c>
      <c r="I3428" t="s">
        <v>18</v>
      </c>
      <c r="J3428" s="3">
        <v>45937</v>
      </c>
      <c r="K3428" s="4">
        <f>ClientiBanca[[#This Row],[Prestito]]+ClientiBanca[[#This Row],[Mutuo]]</f>
        <v>0</v>
      </c>
      <c r="L3428" t="str">
        <f>IF(ClientiBanca[[#This Row],[Reddito annuo]]&gt;=70000,"si","no")</f>
        <v>no</v>
      </c>
    </row>
    <row r="3429" spans="1:12">
      <c r="A3429">
        <v>103428</v>
      </c>
      <c r="B3429">
        <v>45</v>
      </c>
      <c r="C3429" s="2">
        <v>36200</v>
      </c>
      <c r="D3429" t="s">
        <v>22</v>
      </c>
      <c r="E3429" s="2">
        <v>27100</v>
      </c>
      <c r="F3429" s="2">
        <v>0</v>
      </c>
      <c r="G3429" t="s">
        <v>27</v>
      </c>
      <c r="H3429" t="s">
        <v>20</v>
      </c>
      <c r="I3429" t="s">
        <v>18</v>
      </c>
      <c r="J3429" s="3">
        <v>45994</v>
      </c>
      <c r="K3429" s="4">
        <f>ClientiBanca[[#This Row],[Prestito]]+ClientiBanca[[#This Row],[Mutuo]]</f>
        <v>27100</v>
      </c>
      <c r="L3429" t="str">
        <f>IF(ClientiBanca[[#This Row],[Reddito annuo]]&gt;=70000,"si","no")</f>
        <v>no</v>
      </c>
    </row>
    <row r="3430" spans="1:12">
      <c r="A3430">
        <v>103429</v>
      </c>
      <c r="B3430">
        <v>44</v>
      </c>
      <c r="C3430" s="2">
        <v>36700</v>
      </c>
      <c r="D3430" t="s">
        <v>12</v>
      </c>
      <c r="E3430" s="2">
        <v>0</v>
      </c>
      <c r="F3430" s="2">
        <v>273000</v>
      </c>
      <c r="G3430" t="s">
        <v>16</v>
      </c>
      <c r="H3430" t="s">
        <v>20</v>
      </c>
      <c r="I3430" t="s">
        <v>18</v>
      </c>
      <c r="J3430" s="3">
        <v>46028</v>
      </c>
      <c r="K3430" s="4">
        <f>ClientiBanca[[#This Row],[Prestito]]+ClientiBanca[[#This Row],[Mutuo]]</f>
        <v>273000</v>
      </c>
      <c r="L3430" t="str">
        <f>IF(ClientiBanca[[#This Row],[Reddito annuo]]&gt;=70000,"si","no")</f>
        <v>no</v>
      </c>
    </row>
    <row r="3431" spans="1:12">
      <c r="A3431">
        <v>103430</v>
      </c>
      <c r="B3431">
        <v>54</v>
      </c>
      <c r="C3431" s="2">
        <v>53000</v>
      </c>
      <c r="D3431" t="s">
        <v>21</v>
      </c>
      <c r="E3431" s="2">
        <v>39500</v>
      </c>
      <c r="F3431" s="2">
        <v>289000</v>
      </c>
      <c r="G3431" t="s">
        <v>16</v>
      </c>
      <c r="H3431" t="s">
        <v>14</v>
      </c>
      <c r="I3431" t="s">
        <v>18</v>
      </c>
      <c r="J3431" s="3">
        <v>45938</v>
      </c>
      <c r="K3431" s="4">
        <f>ClientiBanca[[#This Row],[Prestito]]+ClientiBanca[[#This Row],[Mutuo]]</f>
        <v>328500</v>
      </c>
      <c r="L3431" t="str">
        <f>IF(ClientiBanca[[#This Row],[Reddito annuo]]&gt;=70000,"si","no")</f>
        <v>no</v>
      </c>
    </row>
    <row r="3432" spans="1:12">
      <c r="A3432">
        <v>103431</v>
      </c>
      <c r="B3432">
        <v>70</v>
      </c>
      <c r="C3432" s="2">
        <v>73400</v>
      </c>
      <c r="D3432" t="s">
        <v>21</v>
      </c>
      <c r="E3432" s="2">
        <v>28100</v>
      </c>
      <c r="F3432" s="2">
        <v>0</v>
      </c>
      <c r="G3432" t="s">
        <v>28</v>
      </c>
      <c r="H3432" t="s">
        <v>14</v>
      </c>
      <c r="I3432" t="s">
        <v>18</v>
      </c>
      <c r="J3432" s="3">
        <v>45594</v>
      </c>
      <c r="K3432" s="4">
        <f>ClientiBanca[[#This Row],[Prestito]]+ClientiBanca[[#This Row],[Mutuo]]</f>
        <v>28100</v>
      </c>
      <c r="L3432" t="str">
        <f>IF(ClientiBanca[[#This Row],[Reddito annuo]]&gt;=70000,"si","no")</f>
        <v>si</v>
      </c>
    </row>
    <row r="3433" spans="1:12">
      <c r="A3433">
        <v>103432</v>
      </c>
      <c r="B3433">
        <v>22</v>
      </c>
      <c r="C3433" s="2">
        <v>38600</v>
      </c>
      <c r="D3433" t="s">
        <v>22</v>
      </c>
      <c r="E3433" s="2">
        <v>0</v>
      </c>
      <c r="F3433" s="2">
        <v>0</v>
      </c>
      <c r="G3433" t="s">
        <v>24</v>
      </c>
      <c r="H3433" t="s">
        <v>17</v>
      </c>
      <c r="I3433" t="s">
        <v>18</v>
      </c>
      <c r="J3433" s="3">
        <v>46026</v>
      </c>
      <c r="K3433" s="4">
        <f>ClientiBanca[[#This Row],[Prestito]]+ClientiBanca[[#This Row],[Mutuo]]</f>
        <v>0</v>
      </c>
      <c r="L3433" t="str">
        <f>IF(ClientiBanca[[#This Row],[Reddito annuo]]&gt;=70000,"si","no")</f>
        <v>no</v>
      </c>
    </row>
    <row r="3434" spans="1:12">
      <c r="A3434">
        <v>103433</v>
      </c>
      <c r="B3434">
        <v>29</v>
      </c>
      <c r="C3434" s="2">
        <v>48300</v>
      </c>
      <c r="D3434" t="s">
        <v>21</v>
      </c>
      <c r="E3434" s="2">
        <v>0</v>
      </c>
      <c r="F3434" s="2">
        <v>0</v>
      </c>
      <c r="G3434" t="s">
        <v>19</v>
      </c>
      <c r="H3434" t="s">
        <v>14</v>
      </c>
      <c r="I3434" t="s">
        <v>18</v>
      </c>
      <c r="J3434" s="3">
        <v>45691</v>
      </c>
      <c r="K3434" s="4">
        <f>ClientiBanca[[#This Row],[Prestito]]+ClientiBanca[[#This Row],[Mutuo]]</f>
        <v>0</v>
      </c>
      <c r="L3434" t="str">
        <f>IF(ClientiBanca[[#This Row],[Reddito annuo]]&gt;=70000,"si","no")</f>
        <v>no</v>
      </c>
    </row>
    <row r="3435" spans="1:12">
      <c r="A3435">
        <v>103434</v>
      </c>
      <c r="B3435">
        <v>73</v>
      </c>
      <c r="C3435" s="2">
        <v>27500</v>
      </c>
      <c r="D3435" t="s">
        <v>12</v>
      </c>
      <c r="E3435" s="2">
        <v>0</v>
      </c>
      <c r="F3435" s="2">
        <v>0</v>
      </c>
      <c r="G3435" t="s">
        <v>26</v>
      </c>
      <c r="H3435" t="s">
        <v>14</v>
      </c>
      <c r="I3435" t="s">
        <v>18</v>
      </c>
      <c r="J3435" s="3">
        <v>46191</v>
      </c>
      <c r="K3435" s="4">
        <f>ClientiBanca[[#This Row],[Prestito]]+ClientiBanca[[#This Row],[Mutuo]]</f>
        <v>0</v>
      </c>
      <c r="L3435" t="str">
        <f>IF(ClientiBanca[[#This Row],[Reddito annuo]]&gt;=70000,"si","no")</f>
        <v>no</v>
      </c>
    </row>
    <row r="3436" spans="1:12">
      <c r="A3436">
        <v>103435</v>
      </c>
      <c r="B3436">
        <v>24</v>
      </c>
      <c r="C3436" s="2">
        <v>56500</v>
      </c>
      <c r="D3436" t="s">
        <v>21</v>
      </c>
      <c r="E3436" s="2">
        <v>0</v>
      </c>
      <c r="F3436" s="2">
        <v>277000</v>
      </c>
      <c r="G3436" t="s">
        <v>27</v>
      </c>
      <c r="H3436" t="s">
        <v>17</v>
      </c>
      <c r="I3436" t="s">
        <v>18</v>
      </c>
      <c r="J3436" s="3">
        <v>46221</v>
      </c>
      <c r="K3436" s="4">
        <f>ClientiBanca[[#This Row],[Prestito]]+ClientiBanca[[#This Row],[Mutuo]]</f>
        <v>277000</v>
      </c>
      <c r="L3436" t="str">
        <f>IF(ClientiBanca[[#This Row],[Reddito annuo]]&gt;=70000,"si","no")</f>
        <v>no</v>
      </c>
    </row>
    <row r="3437" spans="1:12">
      <c r="A3437">
        <v>103436</v>
      </c>
      <c r="B3437">
        <v>66</v>
      </c>
      <c r="C3437" s="2">
        <v>98200</v>
      </c>
      <c r="D3437" t="s">
        <v>21</v>
      </c>
      <c r="E3437" s="2">
        <v>0</v>
      </c>
      <c r="F3437" s="2">
        <v>129000</v>
      </c>
      <c r="G3437" t="s">
        <v>26</v>
      </c>
      <c r="H3437" t="s">
        <v>20</v>
      </c>
      <c r="I3437" t="s">
        <v>18</v>
      </c>
      <c r="J3437" s="3">
        <v>45715</v>
      </c>
      <c r="K3437" s="4">
        <f>ClientiBanca[[#This Row],[Prestito]]+ClientiBanca[[#This Row],[Mutuo]]</f>
        <v>129000</v>
      </c>
      <c r="L3437" t="str">
        <f>IF(ClientiBanca[[#This Row],[Reddito annuo]]&gt;=70000,"si","no")</f>
        <v>si</v>
      </c>
    </row>
    <row r="3438" spans="1:12">
      <c r="A3438">
        <v>103437</v>
      </c>
      <c r="B3438">
        <v>21</v>
      </c>
      <c r="C3438" s="2">
        <v>48700</v>
      </c>
      <c r="D3438" t="s">
        <v>22</v>
      </c>
      <c r="E3438" s="2">
        <v>22800</v>
      </c>
      <c r="F3438" s="2">
        <v>137000</v>
      </c>
      <c r="G3438" t="s">
        <v>13</v>
      </c>
      <c r="H3438" t="s">
        <v>20</v>
      </c>
      <c r="I3438" t="s">
        <v>18</v>
      </c>
      <c r="J3438" s="3">
        <v>45442</v>
      </c>
      <c r="K3438" s="4">
        <f>ClientiBanca[[#This Row],[Prestito]]+ClientiBanca[[#This Row],[Mutuo]]</f>
        <v>159800</v>
      </c>
      <c r="L3438" t="str">
        <f>IF(ClientiBanca[[#This Row],[Reddito annuo]]&gt;=70000,"si","no")</f>
        <v>no</v>
      </c>
    </row>
    <row r="3439" spans="1:12">
      <c r="A3439">
        <v>103438</v>
      </c>
      <c r="B3439">
        <v>57</v>
      </c>
      <c r="C3439" s="2">
        <v>45200</v>
      </c>
      <c r="D3439" t="s">
        <v>21</v>
      </c>
      <c r="E3439" s="2">
        <v>0</v>
      </c>
      <c r="F3439" s="2">
        <v>0</v>
      </c>
      <c r="G3439" t="s">
        <v>26</v>
      </c>
      <c r="H3439" t="s">
        <v>14</v>
      </c>
      <c r="I3439" t="s">
        <v>18</v>
      </c>
      <c r="J3439" s="3">
        <v>45948</v>
      </c>
      <c r="K3439" s="4">
        <f>ClientiBanca[[#This Row],[Prestito]]+ClientiBanca[[#This Row],[Mutuo]]</f>
        <v>0</v>
      </c>
      <c r="L3439" t="str">
        <f>IF(ClientiBanca[[#This Row],[Reddito annuo]]&gt;=70000,"si","no")</f>
        <v>no</v>
      </c>
    </row>
    <row r="3440" spans="1:12">
      <c r="A3440">
        <v>103439</v>
      </c>
      <c r="B3440">
        <v>71</v>
      </c>
      <c r="C3440" s="2">
        <v>32200</v>
      </c>
      <c r="D3440" t="s">
        <v>22</v>
      </c>
      <c r="E3440" s="2">
        <v>0</v>
      </c>
      <c r="F3440" s="2">
        <v>0</v>
      </c>
      <c r="G3440" t="s">
        <v>28</v>
      </c>
      <c r="H3440" t="s">
        <v>17</v>
      </c>
      <c r="I3440" t="s">
        <v>18</v>
      </c>
      <c r="J3440" s="3">
        <v>45563</v>
      </c>
      <c r="K3440" s="4">
        <f>ClientiBanca[[#This Row],[Prestito]]+ClientiBanca[[#This Row],[Mutuo]]</f>
        <v>0</v>
      </c>
      <c r="L3440" t="str">
        <f>IF(ClientiBanca[[#This Row],[Reddito annuo]]&gt;=70000,"si","no")</f>
        <v>no</v>
      </c>
    </row>
    <row r="3441" spans="1:12">
      <c r="A3441">
        <v>103440</v>
      </c>
      <c r="B3441">
        <v>64</v>
      </c>
      <c r="C3441" s="2">
        <v>99700</v>
      </c>
      <c r="D3441" t="s">
        <v>22</v>
      </c>
      <c r="E3441" s="2">
        <v>41900</v>
      </c>
      <c r="F3441" s="2">
        <v>0</v>
      </c>
      <c r="G3441" t="s">
        <v>28</v>
      </c>
      <c r="H3441" t="s">
        <v>17</v>
      </c>
      <c r="I3441" t="s">
        <v>18</v>
      </c>
      <c r="J3441" s="3">
        <v>45997</v>
      </c>
      <c r="K3441" s="4">
        <f>ClientiBanca[[#This Row],[Prestito]]+ClientiBanca[[#This Row],[Mutuo]]</f>
        <v>41900</v>
      </c>
      <c r="L3441" t="str">
        <f>IF(ClientiBanca[[#This Row],[Reddito annuo]]&gt;=70000,"si","no")</f>
        <v>si</v>
      </c>
    </row>
    <row r="3442" spans="1:12">
      <c r="A3442">
        <v>103441</v>
      </c>
      <c r="B3442">
        <v>75</v>
      </c>
      <c r="C3442" s="2">
        <v>47200</v>
      </c>
      <c r="D3442" t="s">
        <v>12</v>
      </c>
      <c r="E3442" s="2">
        <v>14700</v>
      </c>
      <c r="F3442" s="2">
        <v>0</v>
      </c>
      <c r="G3442" t="s">
        <v>24</v>
      </c>
      <c r="H3442" t="s">
        <v>20</v>
      </c>
      <c r="I3442" t="s">
        <v>18</v>
      </c>
      <c r="J3442" s="3">
        <v>45929</v>
      </c>
      <c r="K3442" s="4">
        <f>ClientiBanca[[#This Row],[Prestito]]+ClientiBanca[[#This Row],[Mutuo]]</f>
        <v>14700</v>
      </c>
      <c r="L3442" t="str">
        <f>IF(ClientiBanca[[#This Row],[Reddito annuo]]&gt;=70000,"si","no")</f>
        <v>no</v>
      </c>
    </row>
    <row r="3443" spans="1:12">
      <c r="A3443">
        <v>103442</v>
      </c>
      <c r="B3443">
        <v>56</v>
      </c>
      <c r="C3443" s="2">
        <v>93600</v>
      </c>
      <c r="D3443" t="s">
        <v>22</v>
      </c>
      <c r="E3443" s="2">
        <v>33800</v>
      </c>
      <c r="F3443" s="2">
        <v>0</v>
      </c>
      <c r="G3443" t="s">
        <v>27</v>
      </c>
      <c r="H3443" t="s">
        <v>17</v>
      </c>
      <c r="I3443" t="s">
        <v>18</v>
      </c>
      <c r="J3443" s="3">
        <v>45446</v>
      </c>
      <c r="K3443" s="4">
        <f>ClientiBanca[[#This Row],[Prestito]]+ClientiBanca[[#This Row],[Mutuo]]</f>
        <v>33800</v>
      </c>
      <c r="L3443" t="str">
        <f>IF(ClientiBanca[[#This Row],[Reddito annuo]]&gt;=70000,"si","no")</f>
        <v>si</v>
      </c>
    </row>
    <row r="3444" spans="1:12">
      <c r="A3444">
        <v>103443</v>
      </c>
      <c r="B3444">
        <v>75</v>
      </c>
      <c r="C3444" s="2">
        <v>47600</v>
      </c>
      <c r="D3444" t="s">
        <v>22</v>
      </c>
      <c r="E3444" s="2">
        <v>31700</v>
      </c>
      <c r="F3444" s="2">
        <v>0</v>
      </c>
      <c r="G3444" t="s">
        <v>16</v>
      </c>
      <c r="H3444" t="s">
        <v>14</v>
      </c>
      <c r="I3444" t="s">
        <v>18</v>
      </c>
      <c r="J3444" s="3">
        <v>45662</v>
      </c>
      <c r="K3444" s="4">
        <f>ClientiBanca[[#This Row],[Prestito]]+ClientiBanca[[#This Row],[Mutuo]]</f>
        <v>31700</v>
      </c>
      <c r="L3444" t="str">
        <f>IF(ClientiBanca[[#This Row],[Reddito annuo]]&gt;=70000,"si","no")</f>
        <v>no</v>
      </c>
    </row>
    <row r="3445" spans="1:12">
      <c r="A3445">
        <v>103444</v>
      </c>
      <c r="B3445">
        <v>52</v>
      </c>
      <c r="C3445" s="2">
        <v>58000</v>
      </c>
      <c r="D3445" t="s">
        <v>22</v>
      </c>
      <c r="E3445" s="2">
        <v>0</v>
      </c>
      <c r="F3445" s="2">
        <v>0</v>
      </c>
      <c r="G3445" t="s">
        <v>24</v>
      </c>
      <c r="H3445" t="s">
        <v>17</v>
      </c>
      <c r="I3445" t="s">
        <v>18</v>
      </c>
      <c r="J3445" s="3">
        <v>46077</v>
      </c>
      <c r="K3445" s="4">
        <f>ClientiBanca[[#This Row],[Prestito]]+ClientiBanca[[#This Row],[Mutuo]]</f>
        <v>0</v>
      </c>
      <c r="L3445" t="str">
        <f>IF(ClientiBanca[[#This Row],[Reddito annuo]]&gt;=70000,"si","no")</f>
        <v>no</v>
      </c>
    </row>
    <row r="3446" spans="1:12">
      <c r="A3446">
        <v>103445</v>
      </c>
      <c r="B3446">
        <v>64</v>
      </c>
      <c r="C3446" s="2">
        <v>47000</v>
      </c>
      <c r="D3446" t="s">
        <v>12</v>
      </c>
      <c r="E3446" s="2">
        <v>18600</v>
      </c>
      <c r="F3446" s="2">
        <v>0</v>
      </c>
      <c r="G3446" t="s">
        <v>28</v>
      </c>
      <c r="H3446" t="s">
        <v>14</v>
      </c>
      <c r="I3446" t="s">
        <v>18</v>
      </c>
      <c r="J3446" s="3">
        <v>45610</v>
      </c>
      <c r="K3446" s="4">
        <f>ClientiBanca[[#This Row],[Prestito]]+ClientiBanca[[#This Row],[Mutuo]]</f>
        <v>18600</v>
      </c>
      <c r="L3446" t="str">
        <f>IF(ClientiBanca[[#This Row],[Reddito annuo]]&gt;=70000,"si","no")</f>
        <v>no</v>
      </c>
    </row>
    <row r="3447" spans="1:12">
      <c r="A3447">
        <v>103446</v>
      </c>
      <c r="B3447">
        <v>38</v>
      </c>
      <c r="C3447" s="2">
        <v>80100</v>
      </c>
      <c r="D3447" t="s">
        <v>21</v>
      </c>
      <c r="E3447" s="2">
        <v>24700</v>
      </c>
      <c r="F3447" s="2">
        <v>201000</v>
      </c>
      <c r="G3447" t="s">
        <v>24</v>
      </c>
      <c r="H3447" t="s">
        <v>17</v>
      </c>
      <c r="I3447" t="s">
        <v>18</v>
      </c>
      <c r="J3447" s="3">
        <v>45547</v>
      </c>
      <c r="K3447" s="4">
        <f>ClientiBanca[[#This Row],[Prestito]]+ClientiBanca[[#This Row],[Mutuo]]</f>
        <v>225700</v>
      </c>
      <c r="L3447" t="str">
        <f>IF(ClientiBanca[[#This Row],[Reddito annuo]]&gt;=70000,"si","no")</f>
        <v>si</v>
      </c>
    </row>
    <row r="3448" spans="1:12">
      <c r="A3448">
        <v>103447</v>
      </c>
      <c r="B3448">
        <v>36</v>
      </c>
      <c r="C3448" s="2">
        <v>49100</v>
      </c>
      <c r="D3448" t="s">
        <v>21</v>
      </c>
      <c r="E3448" s="2">
        <v>0</v>
      </c>
      <c r="F3448" s="2">
        <v>362000</v>
      </c>
      <c r="G3448" t="s">
        <v>24</v>
      </c>
      <c r="H3448" t="s">
        <v>20</v>
      </c>
      <c r="I3448" t="s">
        <v>18</v>
      </c>
      <c r="J3448" s="3">
        <v>45560</v>
      </c>
      <c r="K3448" s="4">
        <f>ClientiBanca[[#This Row],[Prestito]]+ClientiBanca[[#This Row],[Mutuo]]</f>
        <v>362000</v>
      </c>
      <c r="L3448" t="str">
        <f>IF(ClientiBanca[[#This Row],[Reddito annuo]]&gt;=70000,"si","no")</f>
        <v>no</v>
      </c>
    </row>
    <row r="3449" spans="1:12">
      <c r="A3449">
        <v>103448</v>
      </c>
      <c r="B3449">
        <v>48</v>
      </c>
      <c r="C3449" s="2">
        <v>52900</v>
      </c>
      <c r="D3449" t="s">
        <v>21</v>
      </c>
      <c r="E3449" s="2">
        <v>0</v>
      </c>
      <c r="F3449" s="2">
        <v>0</v>
      </c>
      <c r="G3449" t="s">
        <v>24</v>
      </c>
      <c r="H3449" t="s">
        <v>17</v>
      </c>
      <c r="I3449" t="s">
        <v>18</v>
      </c>
      <c r="J3449" s="3">
        <v>45799</v>
      </c>
      <c r="K3449" s="4">
        <f>ClientiBanca[[#This Row],[Prestito]]+ClientiBanca[[#This Row],[Mutuo]]</f>
        <v>0</v>
      </c>
      <c r="L3449" t="str">
        <f>IF(ClientiBanca[[#This Row],[Reddito annuo]]&gt;=70000,"si","no")</f>
        <v>no</v>
      </c>
    </row>
    <row r="3450" spans="1:12">
      <c r="A3450">
        <v>103449</v>
      </c>
      <c r="B3450">
        <v>39</v>
      </c>
      <c r="C3450" s="2">
        <v>48200</v>
      </c>
      <c r="D3450" t="s">
        <v>12</v>
      </c>
      <c r="E3450" s="2">
        <v>12500</v>
      </c>
      <c r="F3450" s="2">
        <v>0</v>
      </c>
      <c r="G3450" t="s">
        <v>27</v>
      </c>
      <c r="H3450" t="s">
        <v>17</v>
      </c>
      <c r="I3450" t="s">
        <v>18</v>
      </c>
      <c r="J3450" s="3">
        <v>45365</v>
      </c>
      <c r="K3450" s="4">
        <f>ClientiBanca[[#This Row],[Prestito]]+ClientiBanca[[#This Row],[Mutuo]]</f>
        <v>12500</v>
      </c>
      <c r="L3450" t="str">
        <f>IF(ClientiBanca[[#This Row],[Reddito annuo]]&gt;=70000,"si","no")</f>
        <v>no</v>
      </c>
    </row>
    <row r="3451" spans="1:12">
      <c r="A3451">
        <v>103450</v>
      </c>
      <c r="B3451">
        <v>63</v>
      </c>
      <c r="C3451" s="2">
        <v>90500</v>
      </c>
      <c r="D3451" t="s">
        <v>21</v>
      </c>
      <c r="E3451" s="2">
        <v>0</v>
      </c>
      <c r="F3451" s="2">
        <v>0</v>
      </c>
      <c r="G3451" t="s">
        <v>23</v>
      </c>
      <c r="H3451" t="s">
        <v>20</v>
      </c>
      <c r="I3451" t="s">
        <v>18</v>
      </c>
      <c r="J3451" s="3">
        <v>46087</v>
      </c>
      <c r="K3451" s="4">
        <f>ClientiBanca[[#This Row],[Prestito]]+ClientiBanca[[#This Row],[Mutuo]]</f>
        <v>0</v>
      </c>
      <c r="L3451" t="str">
        <f>IF(ClientiBanca[[#This Row],[Reddito annuo]]&gt;=70000,"si","no")</f>
        <v>si</v>
      </c>
    </row>
    <row r="3452" spans="1:12">
      <c r="A3452">
        <v>103451</v>
      </c>
      <c r="B3452">
        <v>68</v>
      </c>
      <c r="C3452" s="2">
        <v>76500</v>
      </c>
      <c r="D3452" t="s">
        <v>21</v>
      </c>
      <c r="E3452" s="2">
        <v>43200</v>
      </c>
      <c r="F3452" s="2">
        <v>0</v>
      </c>
      <c r="G3452" t="s">
        <v>26</v>
      </c>
      <c r="H3452" t="s">
        <v>17</v>
      </c>
      <c r="I3452" t="s">
        <v>18</v>
      </c>
      <c r="J3452" s="3">
        <v>45555</v>
      </c>
      <c r="K3452" s="4">
        <f>ClientiBanca[[#This Row],[Prestito]]+ClientiBanca[[#This Row],[Mutuo]]</f>
        <v>43200</v>
      </c>
      <c r="L3452" t="str">
        <f>IF(ClientiBanca[[#This Row],[Reddito annuo]]&gt;=70000,"si","no")</f>
        <v>si</v>
      </c>
    </row>
    <row r="3453" spans="1:12">
      <c r="A3453">
        <v>103452</v>
      </c>
      <c r="B3453">
        <v>70</v>
      </c>
      <c r="C3453" s="2">
        <v>108900</v>
      </c>
      <c r="D3453" t="s">
        <v>21</v>
      </c>
      <c r="E3453" s="2">
        <v>15100</v>
      </c>
      <c r="F3453" s="2">
        <v>0</v>
      </c>
      <c r="G3453" t="s">
        <v>13</v>
      </c>
      <c r="H3453" t="s">
        <v>20</v>
      </c>
      <c r="I3453" t="s">
        <v>18</v>
      </c>
      <c r="J3453" s="3">
        <v>45437</v>
      </c>
      <c r="K3453" s="4">
        <f>ClientiBanca[[#This Row],[Prestito]]+ClientiBanca[[#This Row],[Mutuo]]</f>
        <v>15100</v>
      </c>
      <c r="L3453" t="str">
        <f>IF(ClientiBanca[[#This Row],[Reddito annuo]]&gt;=70000,"si","no")</f>
        <v>si</v>
      </c>
    </row>
    <row r="3454" spans="1:12">
      <c r="A3454">
        <v>103453</v>
      </c>
      <c r="B3454">
        <v>57</v>
      </c>
      <c r="C3454" s="2">
        <v>84300</v>
      </c>
      <c r="D3454" t="s">
        <v>12</v>
      </c>
      <c r="E3454" s="2">
        <v>0</v>
      </c>
      <c r="F3454" s="2">
        <v>0</v>
      </c>
      <c r="G3454" t="s">
        <v>28</v>
      </c>
      <c r="H3454" t="s">
        <v>20</v>
      </c>
      <c r="I3454" t="s">
        <v>18</v>
      </c>
      <c r="J3454" s="3">
        <v>46245</v>
      </c>
      <c r="K3454" s="4">
        <f>ClientiBanca[[#This Row],[Prestito]]+ClientiBanca[[#This Row],[Mutuo]]</f>
        <v>0</v>
      </c>
      <c r="L3454" t="str">
        <f>IF(ClientiBanca[[#This Row],[Reddito annuo]]&gt;=70000,"si","no")</f>
        <v>si</v>
      </c>
    </row>
    <row r="3455" spans="1:12">
      <c r="A3455">
        <v>103454</v>
      </c>
      <c r="B3455">
        <v>33</v>
      </c>
      <c r="C3455" s="2">
        <v>42000</v>
      </c>
      <c r="D3455" t="s">
        <v>12</v>
      </c>
      <c r="E3455" s="2">
        <v>32500</v>
      </c>
      <c r="F3455" s="2">
        <v>0</v>
      </c>
      <c r="G3455" t="s">
        <v>19</v>
      </c>
      <c r="H3455" t="s">
        <v>17</v>
      </c>
      <c r="I3455" t="s">
        <v>18</v>
      </c>
      <c r="J3455" s="3">
        <v>46200</v>
      </c>
      <c r="K3455" s="4">
        <f>ClientiBanca[[#This Row],[Prestito]]+ClientiBanca[[#This Row],[Mutuo]]</f>
        <v>32500</v>
      </c>
      <c r="L3455" t="str">
        <f>IF(ClientiBanca[[#This Row],[Reddito annuo]]&gt;=70000,"si","no")</f>
        <v>no</v>
      </c>
    </row>
    <row r="3456" spans="1:12">
      <c r="A3456">
        <v>103455</v>
      </c>
      <c r="B3456">
        <v>37</v>
      </c>
      <c r="C3456" s="2">
        <v>84000</v>
      </c>
      <c r="D3456" t="s">
        <v>22</v>
      </c>
      <c r="E3456" s="2">
        <v>30000</v>
      </c>
      <c r="F3456" s="2">
        <v>0</v>
      </c>
      <c r="G3456" t="s">
        <v>27</v>
      </c>
      <c r="H3456" t="s">
        <v>20</v>
      </c>
      <c r="I3456" t="s">
        <v>18</v>
      </c>
      <c r="J3456" s="3">
        <v>46056</v>
      </c>
      <c r="K3456" s="4">
        <f>ClientiBanca[[#This Row],[Prestito]]+ClientiBanca[[#This Row],[Mutuo]]</f>
        <v>30000</v>
      </c>
      <c r="L3456" t="str">
        <f>IF(ClientiBanca[[#This Row],[Reddito annuo]]&gt;=70000,"si","no")</f>
        <v>si</v>
      </c>
    </row>
    <row r="3457" spans="1:12">
      <c r="A3457">
        <v>103456</v>
      </c>
      <c r="B3457">
        <v>33</v>
      </c>
      <c r="C3457" s="2">
        <v>84700</v>
      </c>
      <c r="D3457" t="s">
        <v>21</v>
      </c>
      <c r="E3457" s="2">
        <v>39600</v>
      </c>
      <c r="F3457" s="2">
        <v>0</v>
      </c>
      <c r="G3457" t="s">
        <v>19</v>
      </c>
      <c r="H3457" t="s">
        <v>17</v>
      </c>
      <c r="I3457" t="s">
        <v>18</v>
      </c>
      <c r="J3457" s="3">
        <v>45933</v>
      </c>
      <c r="K3457" s="4">
        <f>ClientiBanca[[#This Row],[Prestito]]+ClientiBanca[[#This Row],[Mutuo]]</f>
        <v>39600</v>
      </c>
      <c r="L3457" t="str">
        <f>IF(ClientiBanca[[#This Row],[Reddito annuo]]&gt;=70000,"si","no")</f>
        <v>si</v>
      </c>
    </row>
    <row r="3458" spans="1:12">
      <c r="A3458">
        <v>103457</v>
      </c>
      <c r="B3458">
        <v>24</v>
      </c>
      <c r="C3458" s="2">
        <v>78800</v>
      </c>
      <c r="D3458" t="s">
        <v>12</v>
      </c>
      <c r="E3458" s="2">
        <v>69300</v>
      </c>
      <c r="F3458" s="2">
        <v>0</v>
      </c>
      <c r="G3458" t="s">
        <v>27</v>
      </c>
      <c r="H3458" t="s">
        <v>14</v>
      </c>
      <c r="I3458" t="s">
        <v>18</v>
      </c>
      <c r="J3458" s="3">
        <v>46120</v>
      </c>
      <c r="K3458" s="4">
        <f>ClientiBanca[[#This Row],[Prestito]]+ClientiBanca[[#This Row],[Mutuo]]</f>
        <v>69300</v>
      </c>
      <c r="L3458" t="str">
        <f>IF(ClientiBanca[[#This Row],[Reddito annuo]]&gt;=70000,"si","no")</f>
        <v>si</v>
      </c>
    </row>
    <row r="3459" spans="1:12">
      <c r="A3459">
        <v>103458</v>
      </c>
      <c r="B3459">
        <v>28</v>
      </c>
      <c r="C3459" s="2">
        <v>35600</v>
      </c>
      <c r="D3459" t="s">
        <v>12</v>
      </c>
      <c r="E3459" s="2">
        <v>40100</v>
      </c>
      <c r="F3459" s="2">
        <v>0</v>
      </c>
      <c r="G3459" t="s">
        <v>16</v>
      </c>
      <c r="H3459" t="s">
        <v>25</v>
      </c>
      <c r="I3459" t="s">
        <v>15</v>
      </c>
      <c r="J3459" s="3">
        <v>45422</v>
      </c>
      <c r="K3459" s="4">
        <f>ClientiBanca[[#This Row],[Prestito]]+ClientiBanca[[#This Row],[Mutuo]]</f>
        <v>40100</v>
      </c>
      <c r="L3459" t="str">
        <f>IF(ClientiBanca[[#This Row],[Reddito annuo]]&gt;=70000,"si","no")</f>
        <v>no</v>
      </c>
    </row>
    <row r="3460" spans="1:12">
      <c r="A3460">
        <v>103459</v>
      </c>
      <c r="B3460">
        <v>51</v>
      </c>
      <c r="C3460" s="2">
        <v>99100</v>
      </c>
      <c r="D3460" t="s">
        <v>12</v>
      </c>
      <c r="E3460" s="2">
        <v>67500</v>
      </c>
      <c r="F3460" s="2">
        <v>140000</v>
      </c>
      <c r="G3460" t="s">
        <v>24</v>
      </c>
      <c r="H3460" t="s">
        <v>20</v>
      </c>
      <c r="I3460" t="s">
        <v>18</v>
      </c>
      <c r="J3460" s="3">
        <v>45562</v>
      </c>
      <c r="K3460" s="4">
        <f>ClientiBanca[[#This Row],[Prestito]]+ClientiBanca[[#This Row],[Mutuo]]</f>
        <v>207500</v>
      </c>
      <c r="L3460" t="str">
        <f>IF(ClientiBanca[[#This Row],[Reddito annuo]]&gt;=70000,"si","no")</f>
        <v>si</v>
      </c>
    </row>
    <row r="3461" spans="1:12">
      <c r="A3461">
        <v>103460</v>
      </c>
      <c r="B3461">
        <v>55</v>
      </c>
      <c r="C3461" s="2">
        <v>28500</v>
      </c>
      <c r="D3461" t="s">
        <v>22</v>
      </c>
      <c r="E3461" s="2">
        <v>31000</v>
      </c>
      <c r="F3461" s="2">
        <v>0</v>
      </c>
      <c r="G3461" t="s">
        <v>26</v>
      </c>
      <c r="H3461" t="s">
        <v>14</v>
      </c>
      <c r="I3461" t="s">
        <v>18</v>
      </c>
      <c r="J3461" s="3">
        <v>46190</v>
      </c>
      <c r="K3461" s="4">
        <f>ClientiBanca[[#This Row],[Prestito]]+ClientiBanca[[#This Row],[Mutuo]]</f>
        <v>31000</v>
      </c>
      <c r="L3461" t="str">
        <f>IF(ClientiBanca[[#This Row],[Reddito annuo]]&gt;=70000,"si","no")</f>
        <v>no</v>
      </c>
    </row>
    <row r="3462" spans="1:12">
      <c r="A3462">
        <v>103461</v>
      </c>
      <c r="B3462">
        <v>53</v>
      </c>
      <c r="C3462" s="2">
        <v>42200</v>
      </c>
      <c r="D3462" t="s">
        <v>21</v>
      </c>
      <c r="E3462" s="2">
        <v>31500</v>
      </c>
      <c r="F3462" s="2">
        <v>0</v>
      </c>
      <c r="G3462" t="s">
        <v>28</v>
      </c>
      <c r="H3462" t="s">
        <v>17</v>
      </c>
      <c r="I3462" t="s">
        <v>18</v>
      </c>
      <c r="J3462" s="3">
        <v>45518</v>
      </c>
      <c r="K3462" s="4">
        <f>ClientiBanca[[#This Row],[Prestito]]+ClientiBanca[[#This Row],[Mutuo]]</f>
        <v>31500</v>
      </c>
      <c r="L3462" t="str">
        <f>IF(ClientiBanca[[#This Row],[Reddito annuo]]&gt;=70000,"si","no")</f>
        <v>no</v>
      </c>
    </row>
    <row r="3463" spans="1:12">
      <c r="A3463">
        <v>103462</v>
      </c>
      <c r="B3463">
        <v>45</v>
      </c>
      <c r="C3463" s="2">
        <v>52100</v>
      </c>
      <c r="D3463" t="s">
        <v>22</v>
      </c>
      <c r="E3463" s="2">
        <v>0</v>
      </c>
      <c r="F3463" s="2">
        <v>0</v>
      </c>
      <c r="G3463" t="s">
        <v>27</v>
      </c>
      <c r="H3463" t="s">
        <v>20</v>
      </c>
      <c r="I3463" t="s">
        <v>18</v>
      </c>
      <c r="J3463" s="3">
        <v>45752</v>
      </c>
      <c r="K3463" s="4">
        <f>ClientiBanca[[#This Row],[Prestito]]+ClientiBanca[[#This Row],[Mutuo]]</f>
        <v>0</v>
      </c>
      <c r="L3463" t="str">
        <f>IF(ClientiBanca[[#This Row],[Reddito annuo]]&gt;=70000,"si","no")</f>
        <v>no</v>
      </c>
    </row>
    <row r="3464" spans="1:12">
      <c r="A3464">
        <v>103463</v>
      </c>
      <c r="B3464">
        <v>44</v>
      </c>
      <c r="C3464" s="2">
        <v>110700</v>
      </c>
      <c r="D3464" t="s">
        <v>21</v>
      </c>
      <c r="E3464" s="2">
        <v>0</v>
      </c>
      <c r="F3464" s="2">
        <v>0</v>
      </c>
      <c r="G3464" t="s">
        <v>24</v>
      </c>
      <c r="H3464" t="s">
        <v>20</v>
      </c>
      <c r="I3464" t="s">
        <v>18</v>
      </c>
      <c r="J3464" s="3">
        <v>45477</v>
      </c>
      <c r="K3464" s="4">
        <f>ClientiBanca[[#This Row],[Prestito]]+ClientiBanca[[#This Row],[Mutuo]]</f>
        <v>0</v>
      </c>
      <c r="L3464" t="str">
        <f>IF(ClientiBanca[[#This Row],[Reddito annuo]]&gt;=70000,"si","no")</f>
        <v>si</v>
      </c>
    </row>
    <row r="3465" spans="1:12">
      <c r="A3465">
        <v>103464</v>
      </c>
      <c r="B3465">
        <v>70</v>
      </c>
      <c r="C3465" s="2">
        <v>74500</v>
      </c>
      <c r="D3465" t="s">
        <v>12</v>
      </c>
      <c r="E3465" s="2">
        <v>57100</v>
      </c>
      <c r="F3465" s="2">
        <v>306000</v>
      </c>
      <c r="G3465" t="s">
        <v>16</v>
      </c>
      <c r="H3465" t="s">
        <v>14</v>
      </c>
      <c r="I3465" t="s">
        <v>18</v>
      </c>
      <c r="J3465" s="3">
        <v>45784</v>
      </c>
      <c r="K3465" s="4">
        <f>ClientiBanca[[#This Row],[Prestito]]+ClientiBanca[[#This Row],[Mutuo]]</f>
        <v>363100</v>
      </c>
      <c r="L3465" t="str">
        <f>IF(ClientiBanca[[#This Row],[Reddito annuo]]&gt;=70000,"si","no")</f>
        <v>si</v>
      </c>
    </row>
    <row r="3466" spans="1:12">
      <c r="A3466">
        <v>103465</v>
      </c>
      <c r="B3466">
        <v>55</v>
      </c>
      <c r="C3466" s="2">
        <v>84500</v>
      </c>
      <c r="D3466" t="s">
        <v>12</v>
      </c>
      <c r="E3466" s="2">
        <v>21600</v>
      </c>
      <c r="F3466" s="2">
        <v>0</v>
      </c>
      <c r="G3466" t="s">
        <v>23</v>
      </c>
      <c r="H3466" t="s">
        <v>20</v>
      </c>
      <c r="I3466" t="s">
        <v>15</v>
      </c>
      <c r="J3466" s="3">
        <v>45598</v>
      </c>
      <c r="K3466" s="4">
        <f>ClientiBanca[[#This Row],[Prestito]]+ClientiBanca[[#This Row],[Mutuo]]</f>
        <v>21600</v>
      </c>
      <c r="L3466" t="str">
        <f>IF(ClientiBanca[[#This Row],[Reddito annuo]]&gt;=70000,"si","no")</f>
        <v>si</v>
      </c>
    </row>
    <row r="3467" spans="1:12">
      <c r="A3467">
        <v>103466</v>
      </c>
      <c r="B3467">
        <v>66</v>
      </c>
      <c r="C3467" s="2">
        <v>83400</v>
      </c>
      <c r="D3467" t="s">
        <v>12</v>
      </c>
      <c r="E3467" s="2">
        <v>0</v>
      </c>
      <c r="F3467" s="2">
        <v>0</v>
      </c>
      <c r="G3467" t="s">
        <v>24</v>
      </c>
      <c r="H3467" t="s">
        <v>17</v>
      </c>
      <c r="I3467" t="s">
        <v>18</v>
      </c>
      <c r="J3467" s="3">
        <v>45329</v>
      </c>
      <c r="K3467" s="4">
        <f>ClientiBanca[[#This Row],[Prestito]]+ClientiBanca[[#This Row],[Mutuo]]</f>
        <v>0</v>
      </c>
      <c r="L3467" t="str">
        <f>IF(ClientiBanca[[#This Row],[Reddito annuo]]&gt;=70000,"si","no")</f>
        <v>si</v>
      </c>
    </row>
    <row r="3468" spans="1:12">
      <c r="A3468">
        <v>103467</v>
      </c>
      <c r="B3468">
        <v>45</v>
      </c>
      <c r="C3468" s="2">
        <v>53200</v>
      </c>
      <c r="D3468" t="s">
        <v>22</v>
      </c>
      <c r="E3468" s="2">
        <v>22100</v>
      </c>
      <c r="F3468" s="2">
        <v>0</v>
      </c>
      <c r="G3468" t="s">
        <v>23</v>
      </c>
      <c r="H3468" t="s">
        <v>20</v>
      </c>
      <c r="I3468" t="s">
        <v>18</v>
      </c>
      <c r="J3468" s="3">
        <v>45961</v>
      </c>
      <c r="K3468" s="4">
        <f>ClientiBanca[[#This Row],[Prestito]]+ClientiBanca[[#This Row],[Mutuo]]</f>
        <v>22100</v>
      </c>
      <c r="L3468" t="str">
        <f>IF(ClientiBanca[[#This Row],[Reddito annuo]]&gt;=70000,"si","no")</f>
        <v>no</v>
      </c>
    </row>
    <row r="3469" spans="1:12">
      <c r="A3469">
        <v>103468</v>
      </c>
      <c r="B3469">
        <v>36</v>
      </c>
      <c r="C3469" s="2">
        <v>41500</v>
      </c>
      <c r="D3469" t="s">
        <v>21</v>
      </c>
      <c r="E3469" s="2">
        <v>0</v>
      </c>
      <c r="F3469" s="2">
        <v>0</v>
      </c>
      <c r="G3469" t="s">
        <v>13</v>
      </c>
      <c r="H3469" t="s">
        <v>20</v>
      </c>
      <c r="I3469" t="s">
        <v>18</v>
      </c>
      <c r="J3469" s="3">
        <v>45825</v>
      </c>
      <c r="K3469" s="4">
        <f>ClientiBanca[[#This Row],[Prestito]]+ClientiBanca[[#This Row],[Mutuo]]</f>
        <v>0</v>
      </c>
      <c r="L3469" t="str">
        <f>IF(ClientiBanca[[#This Row],[Reddito annuo]]&gt;=70000,"si","no")</f>
        <v>no</v>
      </c>
    </row>
    <row r="3470" spans="1:12">
      <c r="A3470">
        <v>103469</v>
      </c>
      <c r="B3470">
        <v>62</v>
      </c>
      <c r="C3470" s="2">
        <v>47500</v>
      </c>
      <c r="D3470" t="s">
        <v>22</v>
      </c>
      <c r="E3470" s="2">
        <v>13800</v>
      </c>
      <c r="F3470" s="2">
        <v>0</v>
      </c>
      <c r="G3470" t="s">
        <v>24</v>
      </c>
      <c r="H3470" t="s">
        <v>20</v>
      </c>
      <c r="I3470" t="s">
        <v>18</v>
      </c>
      <c r="J3470" s="3">
        <v>46059</v>
      </c>
      <c r="K3470" s="4">
        <f>ClientiBanca[[#This Row],[Prestito]]+ClientiBanca[[#This Row],[Mutuo]]</f>
        <v>13800</v>
      </c>
      <c r="L3470" t="str">
        <f>IF(ClientiBanca[[#This Row],[Reddito annuo]]&gt;=70000,"si","no")</f>
        <v>no</v>
      </c>
    </row>
    <row r="3471" spans="1:12">
      <c r="A3471">
        <v>103470</v>
      </c>
      <c r="B3471">
        <v>35</v>
      </c>
      <c r="C3471" s="2">
        <v>57600</v>
      </c>
      <c r="D3471" t="s">
        <v>12</v>
      </c>
      <c r="E3471" s="2">
        <v>47000</v>
      </c>
      <c r="F3471" s="2">
        <v>0</v>
      </c>
      <c r="G3471" t="s">
        <v>23</v>
      </c>
      <c r="H3471" t="s">
        <v>14</v>
      </c>
      <c r="I3471" t="s">
        <v>18</v>
      </c>
      <c r="J3471" s="3">
        <v>46264</v>
      </c>
      <c r="K3471" s="4">
        <f>ClientiBanca[[#This Row],[Prestito]]+ClientiBanca[[#This Row],[Mutuo]]</f>
        <v>47000</v>
      </c>
      <c r="L3471" t="str">
        <f>IF(ClientiBanca[[#This Row],[Reddito annuo]]&gt;=70000,"si","no")</f>
        <v>no</v>
      </c>
    </row>
    <row r="3472" spans="1:12">
      <c r="A3472">
        <v>103471</v>
      </c>
      <c r="B3472">
        <v>53</v>
      </c>
      <c r="C3472" s="2">
        <v>34000</v>
      </c>
      <c r="D3472" t="s">
        <v>12</v>
      </c>
      <c r="E3472" s="2">
        <v>0</v>
      </c>
      <c r="F3472" s="2">
        <v>0</v>
      </c>
      <c r="G3472" t="s">
        <v>19</v>
      </c>
      <c r="H3472" t="s">
        <v>14</v>
      </c>
      <c r="I3472" t="s">
        <v>18</v>
      </c>
      <c r="J3472" s="3">
        <v>46131</v>
      </c>
      <c r="K3472" s="4">
        <f>ClientiBanca[[#This Row],[Prestito]]+ClientiBanca[[#This Row],[Mutuo]]</f>
        <v>0</v>
      </c>
      <c r="L3472" t="str">
        <f>IF(ClientiBanca[[#This Row],[Reddito annuo]]&gt;=70000,"si","no")</f>
        <v>no</v>
      </c>
    </row>
    <row r="3473" spans="1:12">
      <c r="A3473">
        <v>103472</v>
      </c>
      <c r="B3473">
        <v>55</v>
      </c>
      <c r="C3473" s="2">
        <v>86300</v>
      </c>
      <c r="D3473" t="s">
        <v>12</v>
      </c>
      <c r="E3473" s="2">
        <v>21400</v>
      </c>
      <c r="F3473" s="2">
        <v>159000</v>
      </c>
      <c r="G3473" t="s">
        <v>23</v>
      </c>
      <c r="H3473" t="s">
        <v>14</v>
      </c>
      <c r="I3473" t="s">
        <v>18</v>
      </c>
      <c r="J3473" s="3">
        <v>46165</v>
      </c>
      <c r="K3473" s="4">
        <f>ClientiBanca[[#This Row],[Prestito]]+ClientiBanca[[#This Row],[Mutuo]]</f>
        <v>180400</v>
      </c>
      <c r="L3473" t="str">
        <f>IF(ClientiBanca[[#This Row],[Reddito annuo]]&gt;=70000,"si","no")</f>
        <v>si</v>
      </c>
    </row>
    <row r="3474" spans="1:12">
      <c r="A3474">
        <v>103473</v>
      </c>
      <c r="B3474">
        <v>46</v>
      </c>
      <c r="C3474" s="2">
        <v>40800</v>
      </c>
      <c r="D3474" t="s">
        <v>12</v>
      </c>
      <c r="E3474" s="2">
        <v>33500</v>
      </c>
      <c r="F3474" s="2">
        <v>0</v>
      </c>
      <c r="G3474" t="s">
        <v>28</v>
      </c>
      <c r="H3474" t="s">
        <v>17</v>
      </c>
      <c r="I3474" t="s">
        <v>18</v>
      </c>
      <c r="J3474" s="3">
        <v>45791</v>
      </c>
      <c r="K3474" s="4">
        <f>ClientiBanca[[#This Row],[Prestito]]+ClientiBanca[[#This Row],[Mutuo]]</f>
        <v>33500</v>
      </c>
      <c r="L3474" t="str">
        <f>IF(ClientiBanca[[#This Row],[Reddito annuo]]&gt;=70000,"si","no")</f>
        <v>no</v>
      </c>
    </row>
    <row r="3475" spans="1:12">
      <c r="A3475">
        <v>103474</v>
      </c>
      <c r="B3475">
        <v>43</v>
      </c>
      <c r="C3475" s="2">
        <v>64700</v>
      </c>
      <c r="D3475" t="s">
        <v>21</v>
      </c>
      <c r="E3475" s="2">
        <v>12100</v>
      </c>
      <c r="F3475" s="2">
        <v>0</v>
      </c>
      <c r="G3475" t="s">
        <v>26</v>
      </c>
      <c r="H3475" t="s">
        <v>20</v>
      </c>
      <c r="I3475" t="s">
        <v>18</v>
      </c>
      <c r="J3475" s="3">
        <v>45901</v>
      </c>
      <c r="K3475" s="4">
        <f>ClientiBanca[[#This Row],[Prestito]]+ClientiBanca[[#This Row],[Mutuo]]</f>
        <v>12100</v>
      </c>
      <c r="L3475" t="str">
        <f>IF(ClientiBanca[[#This Row],[Reddito annuo]]&gt;=70000,"si","no")</f>
        <v>no</v>
      </c>
    </row>
    <row r="3476" spans="1:12">
      <c r="A3476">
        <v>103475</v>
      </c>
      <c r="B3476">
        <v>24</v>
      </c>
      <c r="C3476" s="2">
        <v>66000</v>
      </c>
      <c r="D3476" t="s">
        <v>21</v>
      </c>
      <c r="E3476" s="2">
        <v>0</v>
      </c>
      <c r="F3476" s="2">
        <v>0</v>
      </c>
      <c r="G3476" t="s">
        <v>26</v>
      </c>
      <c r="H3476" t="s">
        <v>20</v>
      </c>
      <c r="I3476" t="s">
        <v>18</v>
      </c>
      <c r="J3476" s="3">
        <v>46097</v>
      </c>
      <c r="K3476" s="4">
        <f>ClientiBanca[[#This Row],[Prestito]]+ClientiBanca[[#This Row],[Mutuo]]</f>
        <v>0</v>
      </c>
      <c r="L3476" t="str">
        <f>IF(ClientiBanca[[#This Row],[Reddito annuo]]&gt;=70000,"si","no")</f>
        <v>no</v>
      </c>
    </row>
    <row r="3477" spans="1:12">
      <c r="A3477">
        <v>103476</v>
      </c>
      <c r="B3477">
        <v>51</v>
      </c>
      <c r="C3477" s="2">
        <v>92200</v>
      </c>
      <c r="D3477" t="s">
        <v>21</v>
      </c>
      <c r="E3477" s="2">
        <v>6300</v>
      </c>
      <c r="F3477" s="2">
        <v>0</v>
      </c>
      <c r="G3477" t="s">
        <v>16</v>
      </c>
      <c r="H3477" t="s">
        <v>20</v>
      </c>
      <c r="I3477" t="s">
        <v>18</v>
      </c>
      <c r="J3477" s="3">
        <v>45325</v>
      </c>
      <c r="K3477" s="4">
        <f>ClientiBanca[[#This Row],[Prestito]]+ClientiBanca[[#This Row],[Mutuo]]</f>
        <v>6300</v>
      </c>
      <c r="L3477" t="str">
        <f>IF(ClientiBanca[[#This Row],[Reddito annuo]]&gt;=70000,"si","no")</f>
        <v>si</v>
      </c>
    </row>
    <row r="3478" spans="1:12">
      <c r="A3478">
        <v>103477</v>
      </c>
      <c r="B3478">
        <v>26</v>
      </c>
      <c r="C3478" s="2">
        <v>32200</v>
      </c>
      <c r="D3478" t="s">
        <v>21</v>
      </c>
      <c r="E3478" s="2">
        <v>23800</v>
      </c>
      <c r="F3478" s="2">
        <v>0</v>
      </c>
      <c r="G3478" t="s">
        <v>26</v>
      </c>
      <c r="H3478" t="s">
        <v>17</v>
      </c>
      <c r="I3478" t="s">
        <v>18</v>
      </c>
      <c r="J3478" s="3">
        <v>45714</v>
      </c>
      <c r="K3478" s="4">
        <f>ClientiBanca[[#This Row],[Prestito]]+ClientiBanca[[#This Row],[Mutuo]]</f>
        <v>23800</v>
      </c>
      <c r="L3478" t="str">
        <f>IF(ClientiBanca[[#This Row],[Reddito annuo]]&gt;=70000,"si","no")</f>
        <v>no</v>
      </c>
    </row>
    <row r="3479" spans="1:12">
      <c r="A3479">
        <v>103478</v>
      </c>
      <c r="B3479">
        <v>36</v>
      </c>
      <c r="C3479" s="2">
        <v>59800</v>
      </c>
      <c r="D3479" t="s">
        <v>21</v>
      </c>
      <c r="E3479" s="2">
        <v>74800</v>
      </c>
      <c r="F3479" s="2">
        <v>0</v>
      </c>
      <c r="G3479" t="s">
        <v>13</v>
      </c>
      <c r="H3479" t="s">
        <v>20</v>
      </c>
      <c r="I3479" t="s">
        <v>18</v>
      </c>
      <c r="J3479" s="3">
        <v>46265</v>
      </c>
      <c r="K3479" s="4">
        <f>ClientiBanca[[#This Row],[Prestito]]+ClientiBanca[[#This Row],[Mutuo]]</f>
        <v>74800</v>
      </c>
      <c r="L3479" t="str">
        <f>IF(ClientiBanca[[#This Row],[Reddito annuo]]&gt;=70000,"si","no")</f>
        <v>no</v>
      </c>
    </row>
    <row r="3480" spans="1:12">
      <c r="A3480">
        <v>103479</v>
      </c>
      <c r="B3480">
        <v>45</v>
      </c>
      <c r="C3480" s="2">
        <v>34200</v>
      </c>
      <c r="D3480" t="s">
        <v>22</v>
      </c>
      <c r="E3480" s="2">
        <v>0</v>
      </c>
      <c r="F3480" s="2">
        <v>0</v>
      </c>
      <c r="G3480" t="s">
        <v>26</v>
      </c>
      <c r="H3480" t="s">
        <v>14</v>
      </c>
      <c r="I3480" t="s">
        <v>18</v>
      </c>
      <c r="J3480" s="3">
        <v>46012</v>
      </c>
      <c r="K3480" s="4">
        <f>ClientiBanca[[#This Row],[Prestito]]+ClientiBanca[[#This Row],[Mutuo]]</f>
        <v>0</v>
      </c>
      <c r="L3480" t="str">
        <f>IF(ClientiBanca[[#This Row],[Reddito annuo]]&gt;=70000,"si","no")</f>
        <v>no</v>
      </c>
    </row>
    <row r="3481" spans="1:12">
      <c r="A3481">
        <v>103480</v>
      </c>
      <c r="B3481">
        <v>58</v>
      </c>
      <c r="C3481" s="2">
        <v>25100</v>
      </c>
      <c r="D3481" t="s">
        <v>22</v>
      </c>
      <c r="E3481" s="2">
        <v>0</v>
      </c>
      <c r="F3481" s="2">
        <v>0</v>
      </c>
      <c r="G3481" t="s">
        <v>13</v>
      </c>
      <c r="H3481" t="s">
        <v>17</v>
      </c>
      <c r="I3481" t="s">
        <v>18</v>
      </c>
      <c r="J3481" s="3">
        <v>46219</v>
      </c>
      <c r="K3481" s="4">
        <f>ClientiBanca[[#This Row],[Prestito]]+ClientiBanca[[#This Row],[Mutuo]]</f>
        <v>0</v>
      </c>
      <c r="L3481" t="str">
        <f>IF(ClientiBanca[[#This Row],[Reddito annuo]]&gt;=70000,"si","no")</f>
        <v>no</v>
      </c>
    </row>
    <row r="3482" spans="1:12">
      <c r="A3482">
        <v>103481</v>
      </c>
      <c r="B3482">
        <v>50</v>
      </c>
      <c r="C3482" s="2">
        <v>42600</v>
      </c>
      <c r="D3482" t="s">
        <v>12</v>
      </c>
      <c r="E3482" s="2">
        <v>31200</v>
      </c>
      <c r="F3482" s="2">
        <v>0</v>
      </c>
      <c r="G3482" t="s">
        <v>16</v>
      </c>
      <c r="H3482" t="s">
        <v>17</v>
      </c>
      <c r="I3482" t="s">
        <v>18</v>
      </c>
      <c r="J3482" s="3">
        <v>45754</v>
      </c>
      <c r="K3482" s="4">
        <f>ClientiBanca[[#This Row],[Prestito]]+ClientiBanca[[#This Row],[Mutuo]]</f>
        <v>31200</v>
      </c>
      <c r="L3482" t="str">
        <f>IF(ClientiBanca[[#This Row],[Reddito annuo]]&gt;=70000,"si","no")</f>
        <v>no</v>
      </c>
    </row>
    <row r="3483" spans="1:12">
      <c r="A3483">
        <v>103482</v>
      </c>
      <c r="B3483">
        <v>31</v>
      </c>
      <c r="C3483" s="2">
        <v>115200</v>
      </c>
      <c r="D3483" t="s">
        <v>12</v>
      </c>
      <c r="E3483" s="2">
        <v>10000</v>
      </c>
      <c r="F3483" s="2">
        <v>148000</v>
      </c>
      <c r="G3483" t="s">
        <v>24</v>
      </c>
      <c r="H3483" t="s">
        <v>20</v>
      </c>
      <c r="I3483" t="s">
        <v>18</v>
      </c>
      <c r="J3483" s="3">
        <v>45469</v>
      </c>
      <c r="K3483" s="4">
        <f>ClientiBanca[[#This Row],[Prestito]]+ClientiBanca[[#This Row],[Mutuo]]</f>
        <v>158000</v>
      </c>
      <c r="L3483" t="str">
        <f>IF(ClientiBanca[[#This Row],[Reddito annuo]]&gt;=70000,"si","no")</f>
        <v>si</v>
      </c>
    </row>
    <row r="3484" spans="1:12">
      <c r="A3484">
        <v>103483</v>
      </c>
      <c r="B3484">
        <v>23</v>
      </c>
      <c r="C3484" s="2">
        <v>50800</v>
      </c>
      <c r="D3484" t="s">
        <v>12</v>
      </c>
      <c r="E3484" s="2">
        <v>30400</v>
      </c>
      <c r="F3484" s="2">
        <v>163000</v>
      </c>
      <c r="G3484" t="s">
        <v>19</v>
      </c>
      <c r="H3484" t="s">
        <v>17</v>
      </c>
      <c r="I3484" t="s">
        <v>18</v>
      </c>
      <c r="J3484" s="3">
        <v>45972</v>
      </c>
      <c r="K3484" s="4">
        <f>ClientiBanca[[#This Row],[Prestito]]+ClientiBanca[[#This Row],[Mutuo]]</f>
        <v>193400</v>
      </c>
      <c r="L3484" t="str">
        <f>IF(ClientiBanca[[#This Row],[Reddito annuo]]&gt;=70000,"si","no")</f>
        <v>no</v>
      </c>
    </row>
    <row r="3485" spans="1:12">
      <c r="A3485">
        <v>103484</v>
      </c>
      <c r="B3485">
        <v>74</v>
      </c>
      <c r="C3485" s="2">
        <v>80700</v>
      </c>
      <c r="D3485" t="s">
        <v>21</v>
      </c>
      <c r="E3485" s="2">
        <v>0</v>
      </c>
      <c r="F3485" s="2">
        <v>0</v>
      </c>
      <c r="G3485" t="s">
        <v>23</v>
      </c>
      <c r="H3485" t="s">
        <v>20</v>
      </c>
      <c r="I3485" t="s">
        <v>18</v>
      </c>
      <c r="J3485" s="3">
        <v>46189</v>
      </c>
      <c r="K3485" s="4">
        <f>ClientiBanca[[#This Row],[Prestito]]+ClientiBanca[[#This Row],[Mutuo]]</f>
        <v>0</v>
      </c>
      <c r="L3485" t="str">
        <f>IF(ClientiBanca[[#This Row],[Reddito annuo]]&gt;=70000,"si","no")</f>
        <v>si</v>
      </c>
    </row>
    <row r="3486" spans="1:12">
      <c r="A3486">
        <v>103485</v>
      </c>
      <c r="B3486">
        <v>51</v>
      </c>
      <c r="C3486" s="2">
        <v>57500</v>
      </c>
      <c r="D3486" t="s">
        <v>21</v>
      </c>
      <c r="E3486" s="2">
        <v>23800</v>
      </c>
      <c r="F3486" s="2">
        <v>0</v>
      </c>
      <c r="G3486" t="s">
        <v>28</v>
      </c>
      <c r="H3486" t="s">
        <v>17</v>
      </c>
      <c r="I3486" t="s">
        <v>18</v>
      </c>
      <c r="J3486" s="3">
        <v>46119</v>
      </c>
      <c r="K3486" s="4">
        <f>ClientiBanca[[#This Row],[Prestito]]+ClientiBanca[[#This Row],[Mutuo]]</f>
        <v>23800</v>
      </c>
      <c r="L3486" t="str">
        <f>IF(ClientiBanca[[#This Row],[Reddito annuo]]&gt;=70000,"si","no")</f>
        <v>no</v>
      </c>
    </row>
    <row r="3487" spans="1:12">
      <c r="A3487">
        <v>103486</v>
      </c>
      <c r="B3487">
        <v>31</v>
      </c>
      <c r="C3487" s="2">
        <v>78400</v>
      </c>
      <c r="D3487" t="s">
        <v>22</v>
      </c>
      <c r="E3487" s="2">
        <v>75400</v>
      </c>
      <c r="F3487" s="2">
        <v>0</v>
      </c>
      <c r="G3487" t="s">
        <v>19</v>
      </c>
      <c r="H3487" t="s">
        <v>20</v>
      </c>
      <c r="I3487" t="s">
        <v>18</v>
      </c>
      <c r="J3487" s="3">
        <v>45840</v>
      </c>
      <c r="K3487" s="4">
        <f>ClientiBanca[[#This Row],[Prestito]]+ClientiBanca[[#This Row],[Mutuo]]</f>
        <v>75400</v>
      </c>
      <c r="L3487" t="str">
        <f>IF(ClientiBanca[[#This Row],[Reddito annuo]]&gt;=70000,"si","no")</f>
        <v>si</v>
      </c>
    </row>
    <row r="3488" spans="1:12">
      <c r="A3488">
        <v>103487</v>
      </c>
      <c r="B3488">
        <v>75</v>
      </c>
      <c r="C3488" s="2">
        <v>70500</v>
      </c>
      <c r="D3488" t="s">
        <v>12</v>
      </c>
      <c r="E3488" s="2">
        <v>0</v>
      </c>
      <c r="F3488" s="2">
        <v>272000</v>
      </c>
      <c r="G3488" t="s">
        <v>19</v>
      </c>
      <c r="H3488" t="s">
        <v>17</v>
      </c>
      <c r="I3488" t="s">
        <v>18</v>
      </c>
      <c r="J3488" s="3">
        <v>45777</v>
      </c>
      <c r="K3488" s="4">
        <f>ClientiBanca[[#This Row],[Prestito]]+ClientiBanca[[#This Row],[Mutuo]]</f>
        <v>272000</v>
      </c>
      <c r="L3488" t="str">
        <f>IF(ClientiBanca[[#This Row],[Reddito annuo]]&gt;=70000,"si","no")</f>
        <v>si</v>
      </c>
    </row>
    <row r="3489" spans="1:12">
      <c r="A3489">
        <v>103488</v>
      </c>
      <c r="B3489">
        <v>32</v>
      </c>
      <c r="C3489" s="2">
        <v>106000</v>
      </c>
      <c r="D3489" t="s">
        <v>12</v>
      </c>
      <c r="E3489" s="2">
        <v>0</v>
      </c>
      <c r="F3489" s="2">
        <v>0</v>
      </c>
      <c r="G3489" t="s">
        <v>26</v>
      </c>
      <c r="H3489" t="s">
        <v>14</v>
      </c>
      <c r="I3489" t="s">
        <v>18</v>
      </c>
      <c r="J3489" s="3">
        <v>46263</v>
      </c>
      <c r="K3489" s="4">
        <f>ClientiBanca[[#This Row],[Prestito]]+ClientiBanca[[#This Row],[Mutuo]]</f>
        <v>0</v>
      </c>
      <c r="L3489" t="str">
        <f>IF(ClientiBanca[[#This Row],[Reddito annuo]]&gt;=70000,"si","no")</f>
        <v>si</v>
      </c>
    </row>
    <row r="3490" spans="1:12">
      <c r="A3490">
        <v>103489</v>
      </c>
      <c r="B3490">
        <v>64</v>
      </c>
      <c r="C3490" s="2">
        <v>101200</v>
      </c>
      <c r="D3490" t="s">
        <v>22</v>
      </c>
      <c r="E3490" s="2">
        <v>22100</v>
      </c>
      <c r="F3490" s="2">
        <v>0</v>
      </c>
      <c r="G3490" t="s">
        <v>24</v>
      </c>
      <c r="H3490" t="s">
        <v>20</v>
      </c>
      <c r="I3490" t="s">
        <v>18</v>
      </c>
      <c r="J3490" s="3">
        <v>45697</v>
      </c>
      <c r="K3490" s="4">
        <f>ClientiBanca[[#This Row],[Prestito]]+ClientiBanca[[#This Row],[Mutuo]]</f>
        <v>22100</v>
      </c>
      <c r="L3490" t="str">
        <f>IF(ClientiBanca[[#This Row],[Reddito annuo]]&gt;=70000,"si","no")</f>
        <v>si</v>
      </c>
    </row>
    <row r="3491" spans="1:12">
      <c r="A3491">
        <v>103490</v>
      </c>
      <c r="B3491">
        <v>73</v>
      </c>
      <c r="C3491" s="2">
        <v>59300</v>
      </c>
      <c r="D3491" t="s">
        <v>21</v>
      </c>
      <c r="E3491" s="2">
        <v>0</v>
      </c>
      <c r="F3491" s="2">
        <v>0</v>
      </c>
      <c r="G3491" t="s">
        <v>16</v>
      </c>
      <c r="H3491" t="s">
        <v>14</v>
      </c>
      <c r="I3491" t="s">
        <v>18</v>
      </c>
      <c r="J3491" s="3">
        <v>46109</v>
      </c>
      <c r="K3491" s="4">
        <f>ClientiBanca[[#This Row],[Prestito]]+ClientiBanca[[#This Row],[Mutuo]]</f>
        <v>0</v>
      </c>
      <c r="L3491" t="str">
        <f>IF(ClientiBanca[[#This Row],[Reddito annuo]]&gt;=70000,"si","no")</f>
        <v>no</v>
      </c>
    </row>
    <row r="3492" spans="1:12">
      <c r="A3492">
        <v>103491</v>
      </c>
      <c r="B3492">
        <v>36</v>
      </c>
      <c r="C3492" s="2">
        <v>78900</v>
      </c>
      <c r="D3492" t="s">
        <v>12</v>
      </c>
      <c r="E3492" s="2">
        <v>27700</v>
      </c>
      <c r="F3492" s="2">
        <v>0</v>
      </c>
      <c r="G3492" t="s">
        <v>26</v>
      </c>
      <c r="H3492" t="s">
        <v>25</v>
      </c>
      <c r="I3492" t="s">
        <v>18</v>
      </c>
      <c r="J3492" s="3">
        <v>45649</v>
      </c>
      <c r="K3492" s="4">
        <f>ClientiBanca[[#This Row],[Prestito]]+ClientiBanca[[#This Row],[Mutuo]]</f>
        <v>27700</v>
      </c>
      <c r="L3492" t="str">
        <f>IF(ClientiBanca[[#This Row],[Reddito annuo]]&gt;=70000,"si","no")</f>
        <v>si</v>
      </c>
    </row>
    <row r="3493" spans="1:12">
      <c r="A3493">
        <v>103492</v>
      </c>
      <c r="B3493">
        <v>42</v>
      </c>
      <c r="C3493" s="2">
        <v>90500</v>
      </c>
      <c r="D3493" t="s">
        <v>12</v>
      </c>
      <c r="E3493" s="2">
        <v>59600</v>
      </c>
      <c r="F3493" s="2">
        <v>0</v>
      </c>
      <c r="G3493" t="s">
        <v>19</v>
      </c>
      <c r="H3493" t="s">
        <v>17</v>
      </c>
      <c r="I3493" t="s">
        <v>18</v>
      </c>
      <c r="J3493" s="3">
        <v>45424</v>
      </c>
      <c r="K3493" s="4">
        <f>ClientiBanca[[#This Row],[Prestito]]+ClientiBanca[[#This Row],[Mutuo]]</f>
        <v>59600</v>
      </c>
      <c r="L3493" t="str">
        <f>IF(ClientiBanca[[#This Row],[Reddito annuo]]&gt;=70000,"si","no")</f>
        <v>si</v>
      </c>
    </row>
    <row r="3494" spans="1:12">
      <c r="A3494">
        <v>103493</v>
      </c>
      <c r="B3494">
        <v>36</v>
      </c>
      <c r="C3494" s="2">
        <v>26000</v>
      </c>
      <c r="D3494" t="s">
        <v>21</v>
      </c>
      <c r="E3494" s="2">
        <v>17500</v>
      </c>
      <c r="F3494" s="2">
        <v>0</v>
      </c>
      <c r="G3494" t="s">
        <v>26</v>
      </c>
      <c r="H3494" t="s">
        <v>14</v>
      </c>
      <c r="I3494" t="s">
        <v>18</v>
      </c>
      <c r="J3494" s="3">
        <v>45917</v>
      </c>
      <c r="K3494" s="4">
        <f>ClientiBanca[[#This Row],[Prestito]]+ClientiBanca[[#This Row],[Mutuo]]</f>
        <v>17500</v>
      </c>
      <c r="L3494" t="str">
        <f>IF(ClientiBanca[[#This Row],[Reddito annuo]]&gt;=70000,"si","no")</f>
        <v>no</v>
      </c>
    </row>
    <row r="3495" spans="1:12">
      <c r="A3495">
        <v>103494</v>
      </c>
      <c r="B3495">
        <v>45</v>
      </c>
      <c r="C3495" s="2">
        <v>47800</v>
      </c>
      <c r="D3495" t="s">
        <v>21</v>
      </c>
      <c r="E3495" s="2">
        <v>25000</v>
      </c>
      <c r="F3495" s="2">
        <v>196000</v>
      </c>
      <c r="G3495" t="s">
        <v>19</v>
      </c>
      <c r="H3495" t="s">
        <v>20</v>
      </c>
      <c r="I3495" t="s">
        <v>18</v>
      </c>
      <c r="J3495" s="3">
        <v>45325</v>
      </c>
      <c r="K3495" s="4">
        <f>ClientiBanca[[#This Row],[Prestito]]+ClientiBanca[[#This Row],[Mutuo]]</f>
        <v>221000</v>
      </c>
      <c r="L3495" t="str">
        <f>IF(ClientiBanca[[#This Row],[Reddito annuo]]&gt;=70000,"si","no")</f>
        <v>no</v>
      </c>
    </row>
    <row r="3496" spans="1:12">
      <c r="A3496">
        <v>103495</v>
      </c>
      <c r="B3496">
        <v>69</v>
      </c>
      <c r="C3496" s="2">
        <v>112200</v>
      </c>
      <c r="D3496" t="s">
        <v>12</v>
      </c>
      <c r="E3496" s="2">
        <v>35600</v>
      </c>
      <c r="F3496" s="2">
        <v>215000</v>
      </c>
      <c r="G3496" t="s">
        <v>16</v>
      </c>
      <c r="H3496" t="s">
        <v>17</v>
      </c>
      <c r="I3496" t="s">
        <v>18</v>
      </c>
      <c r="J3496" s="3">
        <v>45913</v>
      </c>
      <c r="K3496" s="4">
        <f>ClientiBanca[[#This Row],[Prestito]]+ClientiBanca[[#This Row],[Mutuo]]</f>
        <v>250600</v>
      </c>
      <c r="L3496" t="str">
        <f>IF(ClientiBanca[[#This Row],[Reddito annuo]]&gt;=70000,"si","no")</f>
        <v>si</v>
      </c>
    </row>
    <row r="3497" spans="1:12">
      <c r="A3497">
        <v>103496</v>
      </c>
      <c r="B3497">
        <v>27</v>
      </c>
      <c r="C3497" s="2">
        <v>43900</v>
      </c>
      <c r="D3497" t="s">
        <v>12</v>
      </c>
      <c r="E3497" s="2">
        <v>49400</v>
      </c>
      <c r="F3497" s="2">
        <v>335000</v>
      </c>
      <c r="G3497" t="s">
        <v>27</v>
      </c>
      <c r="H3497" t="s">
        <v>17</v>
      </c>
      <c r="I3497" t="s">
        <v>18</v>
      </c>
      <c r="J3497" s="3">
        <v>45348</v>
      </c>
      <c r="K3497" s="4">
        <f>ClientiBanca[[#This Row],[Prestito]]+ClientiBanca[[#This Row],[Mutuo]]</f>
        <v>384400</v>
      </c>
      <c r="L3497" t="str">
        <f>IF(ClientiBanca[[#This Row],[Reddito annuo]]&gt;=70000,"si","no")</f>
        <v>no</v>
      </c>
    </row>
    <row r="3498" spans="1:12">
      <c r="A3498">
        <v>103497</v>
      </c>
      <c r="B3498">
        <v>71</v>
      </c>
      <c r="C3498" s="2">
        <v>95000</v>
      </c>
      <c r="D3498" t="s">
        <v>21</v>
      </c>
      <c r="E3498" s="2">
        <v>62400</v>
      </c>
      <c r="F3498" s="2">
        <v>290000</v>
      </c>
      <c r="G3498" t="s">
        <v>26</v>
      </c>
      <c r="H3498" t="s">
        <v>14</v>
      </c>
      <c r="I3498" t="s">
        <v>18</v>
      </c>
      <c r="J3498" s="3">
        <v>45338</v>
      </c>
      <c r="K3498" s="4">
        <f>ClientiBanca[[#This Row],[Prestito]]+ClientiBanca[[#This Row],[Mutuo]]</f>
        <v>352400</v>
      </c>
      <c r="L3498" t="str">
        <f>IF(ClientiBanca[[#This Row],[Reddito annuo]]&gt;=70000,"si","no")</f>
        <v>si</v>
      </c>
    </row>
    <row r="3499" spans="1:12">
      <c r="A3499">
        <v>103498</v>
      </c>
      <c r="B3499">
        <v>71</v>
      </c>
      <c r="C3499" s="2">
        <v>79200</v>
      </c>
      <c r="D3499" t="s">
        <v>21</v>
      </c>
      <c r="E3499" s="2">
        <v>20200</v>
      </c>
      <c r="F3499" s="2">
        <v>0</v>
      </c>
      <c r="G3499" t="s">
        <v>16</v>
      </c>
      <c r="H3499" t="s">
        <v>20</v>
      </c>
      <c r="I3499" t="s">
        <v>18</v>
      </c>
      <c r="J3499" s="3">
        <v>46238</v>
      </c>
      <c r="K3499" s="4">
        <f>ClientiBanca[[#This Row],[Prestito]]+ClientiBanca[[#This Row],[Mutuo]]</f>
        <v>20200</v>
      </c>
      <c r="L3499" t="str">
        <f>IF(ClientiBanca[[#This Row],[Reddito annuo]]&gt;=70000,"si","no")</f>
        <v>si</v>
      </c>
    </row>
    <row r="3500" spans="1:12">
      <c r="A3500">
        <v>103499</v>
      </c>
      <c r="B3500">
        <v>45</v>
      </c>
      <c r="C3500" s="2">
        <v>57500</v>
      </c>
      <c r="D3500" t="s">
        <v>12</v>
      </c>
      <c r="E3500" s="2">
        <v>71900</v>
      </c>
      <c r="F3500" s="2">
        <v>0</v>
      </c>
      <c r="G3500" t="s">
        <v>16</v>
      </c>
      <c r="H3500" t="s">
        <v>14</v>
      </c>
      <c r="I3500" t="s">
        <v>18</v>
      </c>
      <c r="J3500" s="3">
        <v>45545</v>
      </c>
      <c r="K3500" s="4">
        <f>ClientiBanca[[#This Row],[Prestito]]+ClientiBanca[[#This Row],[Mutuo]]</f>
        <v>71900</v>
      </c>
      <c r="L3500" t="str">
        <f>IF(ClientiBanca[[#This Row],[Reddito annuo]]&gt;=70000,"si","no")</f>
        <v>no</v>
      </c>
    </row>
    <row r="3501" spans="1:12">
      <c r="A3501">
        <v>103500</v>
      </c>
      <c r="B3501">
        <v>33</v>
      </c>
      <c r="C3501" s="2">
        <v>91600</v>
      </c>
      <c r="D3501" t="s">
        <v>22</v>
      </c>
      <c r="E3501" s="2">
        <v>0</v>
      </c>
      <c r="F3501" s="2">
        <v>281000</v>
      </c>
      <c r="G3501" t="s">
        <v>28</v>
      </c>
      <c r="H3501" t="s">
        <v>20</v>
      </c>
      <c r="I3501" t="s">
        <v>18</v>
      </c>
      <c r="J3501" s="3">
        <v>45635</v>
      </c>
      <c r="K3501" s="4">
        <f>ClientiBanca[[#This Row],[Prestito]]+ClientiBanca[[#This Row],[Mutuo]]</f>
        <v>281000</v>
      </c>
      <c r="L3501" t="str">
        <f>IF(ClientiBanca[[#This Row],[Reddito annuo]]&gt;=70000,"si","no")</f>
        <v>si</v>
      </c>
    </row>
    <row r="3502" spans="1:12">
      <c r="A3502">
        <v>103501</v>
      </c>
      <c r="B3502">
        <v>58</v>
      </c>
      <c r="C3502" s="2">
        <v>37900</v>
      </c>
      <c r="D3502" t="s">
        <v>21</v>
      </c>
      <c r="E3502" s="2">
        <v>0</v>
      </c>
      <c r="F3502" s="2">
        <v>0</v>
      </c>
      <c r="G3502" t="s">
        <v>13</v>
      </c>
      <c r="H3502" t="s">
        <v>20</v>
      </c>
      <c r="I3502" t="s">
        <v>18</v>
      </c>
      <c r="J3502" s="3">
        <v>45382</v>
      </c>
      <c r="K3502" s="4">
        <f>ClientiBanca[[#This Row],[Prestito]]+ClientiBanca[[#This Row],[Mutuo]]</f>
        <v>0</v>
      </c>
      <c r="L3502" t="str">
        <f>IF(ClientiBanca[[#This Row],[Reddito annuo]]&gt;=70000,"si","no")</f>
        <v>no</v>
      </c>
    </row>
    <row r="3503" spans="1:12">
      <c r="A3503">
        <v>103502</v>
      </c>
      <c r="B3503">
        <v>21</v>
      </c>
      <c r="C3503" s="2">
        <v>39900</v>
      </c>
      <c r="D3503" t="s">
        <v>21</v>
      </c>
      <c r="E3503" s="2">
        <v>49900</v>
      </c>
      <c r="F3503" s="2">
        <v>313000</v>
      </c>
      <c r="G3503" t="s">
        <v>19</v>
      </c>
      <c r="H3503" t="s">
        <v>20</v>
      </c>
      <c r="I3503" t="s">
        <v>18</v>
      </c>
      <c r="J3503" s="3">
        <v>45822</v>
      </c>
      <c r="K3503" s="4">
        <f>ClientiBanca[[#This Row],[Prestito]]+ClientiBanca[[#This Row],[Mutuo]]</f>
        <v>362900</v>
      </c>
      <c r="L3503" t="str">
        <f>IF(ClientiBanca[[#This Row],[Reddito annuo]]&gt;=70000,"si","no")</f>
        <v>no</v>
      </c>
    </row>
    <row r="3504" spans="1:12">
      <c r="A3504">
        <v>103503</v>
      </c>
      <c r="B3504">
        <v>36</v>
      </c>
      <c r="C3504" s="2">
        <v>66600</v>
      </c>
      <c r="D3504" t="s">
        <v>21</v>
      </c>
      <c r="E3504" s="2">
        <v>32000</v>
      </c>
      <c r="F3504" s="2">
        <v>0</v>
      </c>
      <c r="G3504" t="s">
        <v>23</v>
      </c>
      <c r="H3504" t="s">
        <v>14</v>
      </c>
      <c r="I3504" t="s">
        <v>15</v>
      </c>
      <c r="J3504" s="3">
        <v>45381</v>
      </c>
      <c r="K3504" s="4">
        <f>ClientiBanca[[#This Row],[Prestito]]+ClientiBanca[[#This Row],[Mutuo]]</f>
        <v>32000</v>
      </c>
      <c r="L3504" t="str">
        <f>IF(ClientiBanca[[#This Row],[Reddito annuo]]&gt;=70000,"si","no")</f>
        <v>no</v>
      </c>
    </row>
    <row r="3505" spans="1:12">
      <c r="A3505">
        <v>103504</v>
      </c>
      <c r="B3505">
        <v>36</v>
      </c>
      <c r="C3505" s="2">
        <v>44100</v>
      </c>
      <c r="D3505" t="s">
        <v>22</v>
      </c>
      <c r="E3505" s="2">
        <v>43300</v>
      </c>
      <c r="F3505" s="2">
        <v>0</v>
      </c>
      <c r="G3505" t="s">
        <v>28</v>
      </c>
      <c r="H3505" t="s">
        <v>17</v>
      </c>
      <c r="I3505" t="s">
        <v>18</v>
      </c>
      <c r="J3505" s="3">
        <v>45641</v>
      </c>
      <c r="K3505" s="4">
        <f>ClientiBanca[[#This Row],[Prestito]]+ClientiBanca[[#This Row],[Mutuo]]</f>
        <v>43300</v>
      </c>
      <c r="L3505" t="str">
        <f>IF(ClientiBanca[[#This Row],[Reddito annuo]]&gt;=70000,"si","no")</f>
        <v>no</v>
      </c>
    </row>
    <row r="3506" spans="1:12">
      <c r="A3506">
        <v>103505</v>
      </c>
      <c r="B3506">
        <v>21</v>
      </c>
      <c r="C3506" s="2">
        <v>106900</v>
      </c>
      <c r="D3506" t="s">
        <v>22</v>
      </c>
      <c r="E3506" s="2">
        <v>51700</v>
      </c>
      <c r="F3506" s="2">
        <v>0</v>
      </c>
      <c r="G3506" t="s">
        <v>16</v>
      </c>
      <c r="H3506" t="s">
        <v>20</v>
      </c>
      <c r="I3506" t="s">
        <v>18</v>
      </c>
      <c r="J3506" s="3">
        <v>45321</v>
      </c>
      <c r="K3506" s="4">
        <f>ClientiBanca[[#This Row],[Prestito]]+ClientiBanca[[#This Row],[Mutuo]]</f>
        <v>51700</v>
      </c>
      <c r="L3506" t="str">
        <f>IF(ClientiBanca[[#This Row],[Reddito annuo]]&gt;=70000,"si","no")</f>
        <v>si</v>
      </c>
    </row>
    <row r="3507" spans="1:12">
      <c r="A3507">
        <v>103506</v>
      </c>
      <c r="B3507">
        <v>66</v>
      </c>
      <c r="C3507" s="2">
        <v>53300</v>
      </c>
      <c r="D3507" t="s">
        <v>12</v>
      </c>
      <c r="E3507" s="2">
        <v>50700</v>
      </c>
      <c r="F3507" s="2">
        <v>118000</v>
      </c>
      <c r="G3507" t="s">
        <v>13</v>
      </c>
      <c r="H3507" t="s">
        <v>25</v>
      </c>
      <c r="I3507" t="s">
        <v>18</v>
      </c>
      <c r="J3507" s="3">
        <v>45536</v>
      </c>
      <c r="K3507" s="4">
        <f>ClientiBanca[[#This Row],[Prestito]]+ClientiBanca[[#This Row],[Mutuo]]</f>
        <v>168700</v>
      </c>
      <c r="L3507" t="str">
        <f>IF(ClientiBanca[[#This Row],[Reddito annuo]]&gt;=70000,"si","no")</f>
        <v>no</v>
      </c>
    </row>
    <row r="3508" spans="1:12">
      <c r="A3508">
        <v>103507</v>
      </c>
      <c r="B3508">
        <v>66</v>
      </c>
      <c r="C3508" s="2">
        <v>53000</v>
      </c>
      <c r="D3508" t="s">
        <v>21</v>
      </c>
      <c r="E3508" s="2">
        <v>14400</v>
      </c>
      <c r="F3508" s="2">
        <v>200000</v>
      </c>
      <c r="G3508" t="s">
        <v>19</v>
      </c>
      <c r="H3508" t="s">
        <v>17</v>
      </c>
      <c r="I3508" t="s">
        <v>18</v>
      </c>
      <c r="J3508" s="3">
        <v>45596</v>
      </c>
      <c r="K3508" s="4">
        <f>ClientiBanca[[#This Row],[Prestito]]+ClientiBanca[[#This Row],[Mutuo]]</f>
        <v>214400</v>
      </c>
      <c r="L3508" t="str">
        <f>IF(ClientiBanca[[#This Row],[Reddito annuo]]&gt;=70000,"si","no")</f>
        <v>no</v>
      </c>
    </row>
    <row r="3509" spans="1:12">
      <c r="A3509">
        <v>103508</v>
      </c>
      <c r="B3509">
        <v>63</v>
      </c>
      <c r="C3509" s="2">
        <v>34600</v>
      </c>
      <c r="D3509" t="s">
        <v>12</v>
      </c>
      <c r="E3509" s="2">
        <v>43200</v>
      </c>
      <c r="F3509" s="2">
        <v>0</v>
      </c>
      <c r="G3509" t="s">
        <v>28</v>
      </c>
      <c r="H3509" t="s">
        <v>20</v>
      </c>
      <c r="I3509" t="s">
        <v>18</v>
      </c>
      <c r="J3509" s="3">
        <v>45809</v>
      </c>
      <c r="K3509" s="4">
        <f>ClientiBanca[[#This Row],[Prestito]]+ClientiBanca[[#This Row],[Mutuo]]</f>
        <v>43200</v>
      </c>
      <c r="L3509" t="str">
        <f>IF(ClientiBanca[[#This Row],[Reddito annuo]]&gt;=70000,"si","no")</f>
        <v>no</v>
      </c>
    </row>
    <row r="3510" spans="1:12">
      <c r="A3510">
        <v>103509</v>
      </c>
      <c r="B3510">
        <v>69</v>
      </c>
      <c r="C3510" s="2">
        <v>115700</v>
      </c>
      <c r="D3510" t="s">
        <v>21</v>
      </c>
      <c r="E3510" s="2">
        <v>9900</v>
      </c>
      <c r="F3510" s="2">
        <v>0</v>
      </c>
      <c r="G3510" t="s">
        <v>16</v>
      </c>
      <c r="H3510" t="s">
        <v>14</v>
      </c>
      <c r="I3510" t="s">
        <v>18</v>
      </c>
      <c r="J3510" s="3">
        <v>46199</v>
      </c>
      <c r="K3510" s="4">
        <f>ClientiBanca[[#This Row],[Prestito]]+ClientiBanca[[#This Row],[Mutuo]]</f>
        <v>9900</v>
      </c>
      <c r="L3510" t="str">
        <f>IF(ClientiBanca[[#This Row],[Reddito annuo]]&gt;=70000,"si","no")</f>
        <v>si</v>
      </c>
    </row>
    <row r="3511" spans="1:12">
      <c r="A3511">
        <v>103510</v>
      </c>
      <c r="B3511">
        <v>21</v>
      </c>
      <c r="C3511" s="2">
        <v>87700</v>
      </c>
      <c r="D3511" t="s">
        <v>21</v>
      </c>
      <c r="E3511" s="2">
        <v>75200</v>
      </c>
      <c r="F3511" s="2">
        <v>0</v>
      </c>
      <c r="G3511" t="s">
        <v>26</v>
      </c>
      <c r="H3511" t="s">
        <v>20</v>
      </c>
      <c r="I3511" t="s">
        <v>18</v>
      </c>
      <c r="J3511" s="3">
        <v>45816</v>
      </c>
      <c r="K3511" s="4">
        <f>ClientiBanca[[#This Row],[Prestito]]+ClientiBanca[[#This Row],[Mutuo]]</f>
        <v>75200</v>
      </c>
      <c r="L3511" t="str">
        <f>IF(ClientiBanca[[#This Row],[Reddito annuo]]&gt;=70000,"si","no")</f>
        <v>si</v>
      </c>
    </row>
    <row r="3512" spans="1:12">
      <c r="A3512">
        <v>103511</v>
      </c>
      <c r="B3512">
        <v>32</v>
      </c>
      <c r="C3512" s="2">
        <v>86200</v>
      </c>
      <c r="D3512" t="s">
        <v>21</v>
      </c>
      <c r="E3512" s="2">
        <v>51700</v>
      </c>
      <c r="F3512" s="2">
        <v>0</v>
      </c>
      <c r="G3512" t="s">
        <v>16</v>
      </c>
      <c r="H3512" t="s">
        <v>14</v>
      </c>
      <c r="I3512" t="s">
        <v>18</v>
      </c>
      <c r="J3512" s="3">
        <v>45583</v>
      </c>
      <c r="K3512" s="4">
        <f>ClientiBanca[[#This Row],[Prestito]]+ClientiBanca[[#This Row],[Mutuo]]</f>
        <v>51700</v>
      </c>
      <c r="L3512" t="str">
        <f>IF(ClientiBanca[[#This Row],[Reddito annuo]]&gt;=70000,"si","no")</f>
        <v>si</v>
      </c>
    </row>
    <row r="3513" spans="1:12">
      <c r="A3513">
        <v>103512</v>
      </c>
      <c r="B3513">
        <v>64</v>
      </c>
      <c r="C3513" s="2">
        <v>73700</v>
      </c>
      <c r="D3513" t="s">
        <v>22</v>
      </c>
      <c r="E3513" s="2">
        <v>0</v>
      </c>
      <c r="F3513" s="2">
        <v>0</v>
      </c>
      <c r="G3513" t="s">
        <v>28</v>
      </c>
      <c r="H3513" t="s">
        <v>20</v>
      </c>
      <c r="I3513" t="s">
        <v>18</v>
      </c>
      <c r="J3513" s="3">
        <v>45351</v>
      </c>
      <c r="K3513" s="4">
        <f>ClientiBanca[[#This Row],[Prestito]]+ClientiBanca[[#This Row],[Mutuo]]</f>
        <v>0</v>
      </c>
      <c r="L3513" t="str">
        <f>IF(ClientiBanca[[#This Row],[Reddito annuo]]&gt;=70000,"si","no")</f>
        <v>si</v>
      </c>
    </row>
    <row r="3514" spans="1:12">
      <c r="A3514">
        <v>103513</v>
      </c>
      <c r="B3514">
        <v>59</v>
      </c>
      <c r="C3514" s="2">
        <v>23200</v>
      </c>
      <c r="D3514" t="s">
        <v>21</v>
      </c>
      <c r="E3514" s="2">
        <v>29000</v>
      </c>
      <c r="F3514" s="2">
        <v>0</v>
      </c>
      <c r="G3514" t="s">
        <v>16</v>
      </c>
      <c r="H3514" t="s">
        <v>14</v>
      </c>
      <c r="I3514" t="s">
        <v>18</v>
      </c>
      <c r="J3514" s="3">
        <v>46049</v>
      </c>
      <c r="K3514" s="4">
        <f>ClientiBanca[[#This Row],[Prestito]]+ClientiBanca[[#This Row],[Mutuo]]</f>
        <v>29000</v>
      </c>
      <c r="L3514" t="str">
        <f>IF(ClientiBanca[[#This Row],[Reddito annuo]]&gt;=70000,"si","no")</f>
        <v>no</v>
      </c>
    </row>
    <row r="3515" spans="1:12">
      <c r="A3515">
        <v>103514</v>
      </c>
      <c r="B3515">
        <v>25</v>
      </c>
      <c r="C3515" s="2">
        <v>54900</v>
      </c>
      <c r="D3515" t="s">
        <v>12</v>
      </c>
      <c r="E3515" s="2">
        <v>41200</v>
      </c>
      <c r="F3515" s="2">
        <v>0</v>
      </c>
      <c r="G3515" t="s">
        <v>26</v>
      </c>
      <c r="H3515" t="s">
        <v>25</v>
      </c>
      <c r="I3515" t="s">
        <v>18</v>
      </c>
      <c r="J3515" s="3">
        <v>45856</v>
      </c>
      <c r="K3515" s="4">
        <f>ClientiBanca[[#This Row],[Prestito]]+ClientiBanca[[#This Row],[Mutuo]]</f>
        <v>41200</v>
      </c>
      <c r="L3515" t="str">
        <f>IF(ClientiBanca[[#This Row],[Reddito annuo]]&gt;=70000,"si","no")</f>
        <v>no</v>
      </c>
    </row>
    <row r="3516" spans="1:12">
      <c r="A3516">
        <v>103515</v>
      </c>
      <c r="B3516">
        <v>55</v>
      </c>
      <c r="C3516" s="2">
        <v>72000</v>
      </c>
      <c r="D3516" t="s">
        <v>22</v>
      </c>
      <c r="E3516" s="2">
        <v>0</v>
      </c>
      <c r="F3516" s="2">
        <v>0</v>
      </c>
      <c r="G3516" t="s">
        <v>27</v>
      </c>
      <c r="H3516" t="s">
        <v>20</v>
      </c>
      <c r="I3516" t="s">
        <v>18</v>
      </c>
      <c r="J3516" s="3">
        <v>45482</v>
      </c>
      <c r="K3516" s="4">
        <f>ClientiBanca[[#This Row],[Prestito]]+ClientiBanca[[#This Row],[Mutuo]]</f>
        <v>0</v>
      </c>
      <c r="L3516" t="str">
        <f>IF(ClientiBanca[[#This Row],[Reddito annuo]]&gt;=70000,"si","no")</f>
        <v>si</v>
      </c>
    </row>
    <row r="3517" spans="1:12">
      <c r="A3517">
        <v>103516</v>
      </c>
      <c r="B3517">
        <v>60</v>
      </c>
      <c r="C3517" s="2">
        <v>27500</v>
      </c>
      <c r="D3517" t="s">
        <v>12</v>
      </c>
      <c r="E3517" s="2">
        <v>4700</v>
      </c>
      <c r="F3517" s="2">
        <v>0</v>
      </c>
      <c r="G3517" t="s">
        <v>19</v>
      </c>
      <c r="H3517" t="s">
        <v>17</v>
      </c>
      <c r="I3517" t="s">
        <v>18</v>
      </c>
      <c r="J3517" s="3">
        <v>46091</v>
      </c>
      <c r="K3517" s="4">
        <f>ClientiBanca[[#This Row],[Prestito]]+ClientiBanca[[#This Row],[Mutuo]]</f>
        <v>4700</v>
      </c>
      <c r="L3517" t="str">
        <f>IF(ClientiBanca[[#This Row],[Reddito annuo]]&gt;=70000,"si","no")</f>
        <v>no</v>
      </c>
    </row>
    <row r="3518" spans="1:12">
      <c r="A3518">
        <v>103517</v>
      </c>
      <c r="B3518">
        <v>23</v>
      </c>
      <c r="C3518" s="2">
        <v>36300</v>
      </c>
      <c r="D3518" t="s">
        <v>21</v>
      </c>
      <c r="E3518" s="2">
        <v>45400</v>
      </c>
      <c r="F3518" s="2">
        <v>132000</v>
      </c>
      <c r="G3518" t="s">
        <v>16</v>
      </c>
      <c r="H3518" t="s">
        <v>17</v>
      </c>
      <c r="I3518" t="s">
        <v>18</v>
      </c>
      <c r="J3518" s="3">
        <v>45906</v>
      </c>
      <c r="K3518" s="4">
        <f>ClientiBanca[[#This Row],[Prestito]]+ClientiBanca[[#This Row],[Mutuo]]</f>
        <v>177400</v>
      </c>
      <c r="L3518" t="str">
        <f>IF(ClientiBanca[[#This Row],[Reddito annuo]]&gt;=70000,"si","no")</f>
        <v>no</v>
      </c>
    </row>
    <row r="3519" spans="1:12">
      <c r="A3519">
        <v>103518</v>
      </c>
      <c r="B3519">
        <v>72</v>
      </c>
      <c r="C3519" s="2">
        <v>97300</v>
      </c>
      <c r="D3519" t="s">
        <v>22</v>
      </c>
      <c r="E3519" s="2">
        <v>75000</v>
      </c>
      <c r="F3519" s="2">
        <v>0</v>
      </c>
      <c r="G3519" t="s">
        <v>27</v>
      </c>
      <c r="H3519" t="s">
        <v>25</v>
      </c>
      <c r="I3519" t="s">
        <v>15</v>
      </c>
      <c r="J3519" s="3">
        <v>45903</v>
      </c>
      <c r="K3519" s="4">
        <f>ClientiBanca[[#This Row],[Prestito]]+ClientiBanca[[#This Row],[Mutuo]]</f>
        <v>75000</v>
      </c>
      <c r="L3519" t="str">
        <f>IF(ClientiBanca[[#This Row],[Reddito annuo]]&gt;=70000,"si","no")</f>
        <v>si</v>
      </c>
    </row>
    <row r="3520" spans="1:12">
      <c r="A3520">
        <v>103519</v>
      </c>
      <c r="B3520">
        <v>61</v>
      </c>
      <c r="C3520" s="2">
        <v>66700</v>
      </c>
      <c r="D3520" t="s">
        <v>12</v>
      </c>
      <c r="E3520" s="2">
        <v>53900</v>
      </c>
      <c r="F3520" s="2">
        <v>144000</v>
      </c>
      <c r="G3520" t="s">
        <v>28</v>
      </c>
      <c r="H3520" t="s">
        <v>20</v>
      </c>
      <c r="I3520" t="s">
        <v>18</v>
      </c>
      <c r="J3520" s="3">
        <v>45412</v>
      </c>
      <c r="K3520" s="4">
        <f>ClientiBanca[[#This Row],[Prestito]]+ClientiBanca[[#This Row],[Mutuo]]</f>
        <v>197900</v>
      </c>
      <c r="L3520" t="str">
        <f>IF(ClientiBanca[[#This Row],[Reddito annuo]]&gt;=70000,"si","no")</f>
        <v>no</v>
      </c>
    </row>
    <row r="3521" spans="1:12">
      <c r="A3521">
        <v>103520</v>
      </c>
      <c r="B3521">
        <v>29</v>
      </c>
      <c r="C3521" s="2">
        <v>93700</v>
      </c>
      <c r="D3521" t="s">
        <v>12</v>
      </c>
      <c r="E3521" s="2">
        <v>13500</v>
      </c>
      <c r="F3521" s="2">
        <v>0</v>
      </c>
      <c r="G3521" t="s">
        <v>19</v>
      </c>
      <c r="H3521" t="s">
        <v>20</v>
      </c>
      <c r="I3521" t="s">
        <v>18</v>
      </c>
      <c r="J3521" s="3">
        <v>45497</v>
      </c>
      <c r="K3521" s="4">
        <f>ClientiBanca[[#This Row],[Prestito]]+ClientiBanca[[#This Row],[Mutuo]]</f>
        <v>13500</v>
      </c>
      <c r="L3521" t="str">
        <f>IF(ClientiBanca[[#This Row],[Reddito annuo]]&gt;=70000,"si","no")</f>
        <v>si</v>
      </c>
    </row>
    <row r="3522" spans="1:12">
      <c r="A3522">
        <v>103521</v>
      </c>
      <c r="B3522">
        <v>25</v>
      </c>
      <c r="C3522" s="2">
        <v>72500</v>
      </c>
      <c r="D3522" t="s">
        <v>12</v>
      </c>
      <c r="E3522" s="2">
        <v>50800</v>
      </c>
      <c r="F3522" s="2">
        <v>0</v>
      </c>
      <c r="G3522" t="s">
        <v>16</v>
      </c>
      <c r="H3522" t="s">
        <v>14</v>
      </c>
      <c r="I3522" t="s">
        <v>18</v>
      </c>
      <c r="J3522" s="3">
        <v>46222</v>
      </c>
      <c r="K3522" s="4">
        <f>ClientiBanca[[#This Row],[Prestito]]+ClientiBanca[[#This Row],[Mutuo]]</f>
        <v>50800</v>
      </c>
      <c r="L3522" t="str">
        <f>IF(ClientiBanca[[#This Row],[Reddito annuo]]&gt;=70000,"si","no")</f>
        <v>si</v>
      </c>
    </row>
    <row r="3523" spans="1:12">
      <c r="A3523">
        <v>103522</v>
      </c>
      <c r="B3523">
        <v>23</v>
      </c>
      <c r="C3523" s="2">
        <v>47000</v>
      </c>
      <c r="D3523" t="s">
        <v>22</v>
      </c>
      <c r="E3523" s="2">
        <v>0</v>
      </c>
      <c r="F3523" s="2">
        <v>157000</v>
      </c>
      <c r="G3523" t="s">
        <v>27</v>
      </c>
      <c r="H3523" t="s">
        <v>14</v>
      </c>
      <c r="I3523" t="s">
        <v>18</v>
      </c>
      <c r="J3523" s="3">
        <v>45646</v>
      </c>
      <c r="K3523" s="4">
        <f>ClientiBanca[[#This Row],[Prestito]]+ClientiBanca[[#This Row],[Mutuo]]</f>
        <v>157000</v>
      </c>
      <c r="L3523" t="str">
        <f>IF(ClientiBanca[[#This Row],[Reddito annuo]]&gt;=70000,"si","no")</f>
        <v>no</v>
      </c>
    </row>
    <row r="3524" spans="1:12">
      <c r="A3524">
        <v>103523</v>
      </c>
      <c r="B3524">
        <v>39</v>
      </c>
      <c r="C3524" s="2">
        <v>62000</v>
      </c>
      <c r="D3524" t="s">
        <v>12</v>
      </c>
      <c r="E3524" s="2">
        <v>34600</v>
      </c>
      <c r="F3524" s="2">
        <v>0</v>
      </c>
      <c r="G3524" t="s">
        <v>28</v>
      </c>
      <c r="H3524" t="s">
        <v>17</v>
      </c>
      <c r="I3524" t="s">
        <v>18</v>
      </c>
      <c r="J3524" s="3">
        <v>45892</v>
      </c>
      <c r="K3524" s="4">
        <f>ClientiBanca[[#This Row],[Prestito]]+ClientiBanca[[#This Row],[Mutuo]]</f>
        <v>34600</v>
      </c>
      <c r="L3524" t="str">
        <f>IF(ClientiBanca[[#This Row],[Reddito annuo]]&gt;=70000,"si","no")</f>
        <v>no</v>
      </c>
    </row>
    <row r="3525" spans="1:12">
      <c r="A3525">
        <v>103524</v>
      </c>
      <c r="B3525">
        <v>71</v>
      </c>
      <c r="C3525" s="2">
        <v>61600</v>
      </c>
      <c r="D3525" t="s">
        <v>12</v>
      </c>
      <c r="E3525" s="2">
        <v>47600</v>
      </c>
      <c r="F3525" s="2">
        <v>0</v>
      </c>
      <c r="G3525" t="s">
        <v>19</v>
      </c>
      <c r="H3525" t="s">
        <v>20</v>
      </c>
      <c r="I3525" t="s">
        <v>18</v>
      </c>
      <c r="J3525" s="3">
        <v>45675</v>
      </c>
      <c r="K3525" s="4">
        <f>ClientiBanca[[#This Row],[Prestito]]+ClientiBanca[[#This Row],[Mutuo]]</f>
        <v>47600</v>
      </c>
      <c r="L3525" t="str">
        <f>IF(ClientiBanca[[#This Row],[Reddito annuo]]&gt;=70000,"si","no")</f>
        <v>no</v>
      </c>
    </row>
    <row r="3526" spans="1:12">
      <c r="A3526">
        <v>103525</v>
      </c>
      <c r="B3526">
        <v>74</v>
      </c>
      <c r="C3526" s="2">
        <v>33100</v>
      </c>
      <c r="D3526" t="s">
        <v>21</v>
      </c>
      <c r="E3526" s="2">
        <v>41400</v>
      </c>
      <c r="F3526" s="2">
        <v>0</v>
      </c>
      <c r="G3526" t="s">
        <v>24</v>
      </c>
      <c r="H3526" t="s">
        <v>17</v>
      </c>
      <c r="I3526" t="s">
        <v>18</v>
      </c>
      <c r="J3526" s="3">
        <v>45426</v>
      </c>
      <c r="K3526" s="4">
        <f>ClientiBanca[[#This Row],[Prestito]]+ClientiBanca[[#This Row],[Mutuo]]</f>
        <v>41400</v>
      </c>
      <c r="L3526" t="str">
        <f>IF(ClientiBanca[[#This Row],[Reddito annuo]]&gt;=70000,"si","no")</f>
        <v>no</v>
      </c>
    </row>
    <row r="3527" spans="1:12">
      <c r="A3527">
        <v>103526</v>
      </c>
      <c r="B3527">
        <v>57</v>
      </c>
      <c r="C3527" s="2">
        <v>50300</v>
      </c>
      <c r="D3527" t="s">
        <v>22</v>
      </c>
      <c r="E3527" s="2">
        <v>18100</v>
      </c>
      <c r="F3527" s="2">
        <v>0</v>
      </c>
      <c r="G3527" t="s">
        <v>28</v>
      </c>
      <c r="H3527" t="s">
        <v>17</v>
      </c>
      <c r="I3527" t="s">
        <v>18</v>
      </c>
      <c r="J3527" s="3">
        <v>46094</v>
      </c>
      <c r="K3527" s="4">
        <f>ClientiBanca[[#This Row],[Prestito]]+ClientiBanca[[#This Row],[Mutuo]]</f>
        <v>18100</v>
      </c>
      <c r="L3527" t="str">
        <f>IF(ClientiBanca[[#This Row],[Reddito annuo]]&gt;=70000,"si","no")</f>
        <v>no</v>
      </c>
    </row>
    <row r="3528" spans="1:12">
      <c r="A3528">
        <v>103527</v>
      </c>
      <c r="B3528">
        <v>53</v>
      </c>
      <c r="C3528" s="2">
        <v>72200</v>
      </c>
      <c r="D3528" t="s">
        <v>21</v>
      </c>
      <c r="E3528" s="2">
        <v>0</v>
      </c>
      <c r="F3528" s="2">
        <v>0</v>
      </c>
      <c r="G3528" t="s">
        <v>23</v>
      </c>
      <c r="H3528" t="s">
        <v>20</v>
      </c>
      <c r="I3528" t="s">
        <v>18</v>
      </c>
      <c r="J3528" s="3">
        <v>45817</v>
      </c>
      <c r="K3528" s="4">
        <f>ClientiBanca[[#This Row],[Prestito]]+ClientiBanca[[#This Row],[Mutuo]]</f>
        <v>0</v>
      </c>
      <c r="L3528" t="str">
        <f>IF(ClientiBanca[[#This Row],[Reddito annuo]]&gt;=70000,"si","no")</f>
        <v>si</v>
      </c>
    </row>
    <row r="3529" spans="1:12">
      <c r="A3529">
        <v>103528</v>
      </c>
      <c r="B3529">
        <v>27</v>
      </c>
      <c r="C3529" s="2">
        <v>65300</v>
      </c>
      <c r="D3529" t="s">
        <v>12</v>
      </c>
      <c r="E3529" s="2">
        <v>0</v>
      </c>
      <c r="F3529" s="2">
        <v>0</v>
      </c>
      <c r="G3529" t="s">
        <v>26</v>
      </c>
      <c r="H3529" t="s">
        <v>20</v>
      </c>
      <c r="I3529" t="s">
        <v>18</v>
      </c>
      <c r="J3529" s="3">
        <v>45805</v>
      </c>
      <c r="K3529" s="4">
        <f>ClientiBanca[[#This Row],[Prestito]]+ClientiBanca[[#This Row],[Mutuo]]</f>
        <v>0</v>
      </c>
      <c r="L3529" t="str">
        <f>IF(ClientiBanca[[#This Row],[Reddito annuo]]&gt;=70000,"si","no")</f>
        <v>no</v>
      </c>
    </row>
    <row r="3530" spans="1:12">
      <c r="A3530">
        <v>103529</v>
      </c>
      <c r="B3530">
        <v>49</v>
      </c>
      <c r="C3530" s="2">
        <v>52300</v>
      </c>
      <c r="D3530" t="s">
        <v>12</v>
      </c>
      <c r="E3530" s="2">
        <v>56700</v>
      </c>
      <c r="F3530" s="2">
        <v>0</v>
      </c>
      <c r="G3530" t="s">
        <v>26</v>
      </c>
      <c r="H3530" t="s">
        <v>17</v>
      </c>
      <c r="I3530" t="s">
        <v>18</v>
      </c>
      <c r="J3530" s="3">
        <v>46022</v>
      </c>
      <c r="K3530" s="4">
        <f>ClientiBanca[[#This Row],[Prestito]]+ClientiBanca[[#This Row],[Mutuo]]</f>
        <v>56700</v>
      </c>
      <c r="L3530" t="str">
        <f>IF(ClientiBanca[[#This Row],[Reddito annuo]]&gt;=70000,"si","no")</f>
        <v>no</v>
      </c>
    </row>
    <row r="3531" spans="1:12">
      <c r="A3531">
        <v>103530</v>
      </c>
      <c r="B3531">
        <v>74</v>
      </c>
      <c r="C3531" s="2">
        <v>48500</v>
      </c>
      <c r="D3531" t="s">
        <v>21</v>
      </c>
      <c r="E3531" s="2">
        <v>43200</v>
      </c>
      <c r="F3531" s="2">
        <v>0</v>
      </c>
      <c r="G3531" t="s">
        <v>26</v>
      </c>
      <c r="H3531" t="s">
        <v>20</v>
      </c>
      <c r="I3531" t="s">
        <v>18</v>
      </c>
      <c r="J3531" s="3">
        <v>45319</v>
      </c>
      <c r="K3531" s="4">
        <f>ClientiBanca[[#This Row],[Prestito]]+ClientiBanca[[#This Row],[Mutuo]]</f>
        <v>43200</v>
      </c>
      <c r="L3531" t="str">
        <f>IF(ClientiBanca[[#This Row],[Reddito annuo]]&gt;=70000,"si","no")</f>
        <v>no</v>
      </c>
    </row>
    <row r="3532" spans="1:12">
      <c r="A3532">
        <v>103531</v>
      </c>
      <c r="B3532">
        <v>48</v>
      </c>
      <c r="C3532" s="2">
        <v>104300</v>
      </c>
      <c r="D3532" t="s">
        <v>21</v>
      </c>
      <c r="E3532" s="2">
        <v>0</v>
      </c>
      <c r="F3532" s="2">
        <v>0</v>
      </c>
      <c r="G3532" t="s">
        <v>19</v>
      </c>
      <c r="H3532" t="s">
        <v>17</v>
      </c>
      <c r="I3532" t="s">
        <v>18</v>
      </c>
      <c r="J3532" s="3">
        <v>46111</v>
      </c>
      <c r="K3532" s="4">
        <f>ClientiBanca[[#This Row],[Prestito]]+ClientiBanca[[#This Row],[Mutuo]]</f>
        <v>0</v>
      </c>
      <c r="L3532" t="str">
        <f>IF(ClientiBanca[[#This Row],[Reddito annuo]]&gt;=70000,"si","no")</f>
        <v>si</v>
      </c>
    </row>
    <row r="3533" spans="1:12">
      <c r="A3533">
        <v>103532</v>
      </c>
      <c r="B3533">
        <v>69</v>
      </c>
      <c r="C3533" s="2">
        <v>104500</v>
      </c>
      <c r="D3533" t="s">
        <v>21</v>
      </c>
      <c r="E3533" s="2">
        <v>34300</v>
      </c>
      <c r="F3533" s="2">
        <v>0</v>
      </c>
      <c r="G3533" t="s">
        <v>24</v>
      </c>
      <c r="H3533" t="s">
        <v>17</v>
      </c>
      <c r="I3533" t="s">
        <v>18</v>
      </c>
      <c r="J3533" s="3">
        <v>46086</v>
      </c>
      <c r="K3533" s="4">
        <f>ClientiBanca[[#This Row],[Prestito]]+ClientiBanca[[#This Row],[Mutuo]]</f>
        <v>34300</v>
      </c>
      <c r="L3533" t="str">
        <f>IF(ClientiBanca[[#This Row],[Reddito annuo]]&gt;=70000,"si","no")</f>
        <v>si</v>
      </c>
    </row>
    <row r="3534" spans="1:12">
      <c r="A3534">
        <v>103533</v>
      </c>
      <c r="B3534">
        <v>41</v>
      </c>
      <c r="C3534" s="2">
        <v>46900</v>
      </c>
      <c r="D3534" t="s">
        <v>12</v>
      </c>
      <c r="E3534" s="2">
        <v>33500</v>
      </c>
      <c r="F3534" s="2">
        <v>0</v>
      </c>
      <c r="G3534" t="s">
        <v>19</v>
      </c>
      <c r="H3534" t="s">
        <v>17</v>
      </c>
      <c r="I3534" t="s">
        <v>18</v>
      </c>
      <c r="J3534" s="3">
        <v>45582</v>
      </c>
      <c r="K3534" s="4">
        <f>ClientiBanca[[#This Row],[Prestito]]+ClientiBanca[[#This Row],[Mutuo]]</f>
        <v>33500</v>
      </c>
      <c r="L3534" t="str">
        <f>IF(ClientiBanca[[#This Row],[Reddito annuo]]&gt;=70000,"si","no")</f>
        <v>no</v>
      </c>
    </row>
    <row r="3535" spans="1:12">
      <c r="A3535">
        <v>103534</v>
      </c>
      <c r="B3535">
        <v>65</v>
      </c>
      <c r="C3535" s="2">
        <v>35800</v>
      </c>
      <c r="D3535" t="s">
        <v>21</v>
      </c>
      <c r="E3535" s="2">
        <v>44800</v>
      </c>
      <c r="F3535" s="2">
        <v>0</v>
      </c>
      <c r="G3535" t="s">
        <v>23</v>
      </c>
      <c r="H3535" t="s">
        <v>17</v>
      </c>
      <c r="I3535" t="s">
        <v>18</v>
      </c>
      <c r="J3535" s="3">
        <v>45331</v>
      </c>
      <c r="K3535" s="4">
        <f>ClientiBanca[[#This Row],[Prestito]]+ClientiBanca[[#This Row],[Mutuo]]</f>
        <v>44800</v>
      </c>
      <c r="L3535" t="str">
        <f>IF(ClientiBanca[[#This Row],[Reddito annuo]]&gt;=70000,"si","no")</f>
        <v>no</v>
      </c>
    </row>
    <row r="3536" spans="1:12">
      <c r="A3536">
        <v>103535</v>
      </c>
      <c r="B3536">
        <v>21</v>
      </c>
      <c r="C3536" s="2">
        <v>59300</v>
      </c>
      <c r="D3536" t="s">
        <v>12</v>
      </c>
      <c r="E3536" s="2">
        <v>0</v>
      </c>
      <c r="F3536" s="2">
        <v>0</v>
      </c>
      <c r="G3536" t="s">
        <v>26</v>
      </c>
      <c r="H3536" t="s">
        <v>17</v>
      </c>
      <c r="I3536" t="s">
        <v>18</v>
      </c>
      <c r="J3536" s="3">
        <v>45609</v>
      </c>
      <c r="K3536" s="4">
        <f>ClientiBanca[[#This Row],[Prestito]]+ClientiBanca[[#This Row],[Mutuo]]</f>
        <v>0</v>
      </c>
      <c r="L3536" t="str">
        <f>IF(ClientiBanca[[#This Row],[Reddito annuo]]&gt;=70000,"si","no")</f>
        <v>no</v>
      </c>
    </row>
    <row r="3537" spans="1:12">
      <c r="A3537">
        <v>103536</v>
      </c>
      <c r="B3537">
        <v>56</v>
      </c>
      <c r="C3537" s="2">
        <v>74500</v>
      </c>
      <c r="D3537" t="s">
        <v>21</v>
      </c>
      <c r="E3537" s="2">
        <v>0</v>
      </c>
      <c r="F3537" s="2">
        <v>0</v>
      </c>
      <c r="G3537" t="s">
        <v>13</v>
      </c>
      <c r="H3537" t="s">
        <v>17</v>
      </c>
      <c r="I3537" t="s">
        <v>18</v>
      </c>
      <c r="J3537" s="3">
        <v>45427</v>
      </c>
      <c r="K3537" s="4">
        <f>ClientiBanca[[#This Row],[Prestito]]+ClientiBanca[[#This Row],[Mutuo]]</f>
        <v>0</v>
      </c>
      <c r="L3537" t="str">
        <f>IF(ClientiBanca[[#This Row],[Reddito annuo]]&gt;=70000,"si","no")</f>
        <v>si</v>
      </c>
    </row>
    <row r="3538" spans="1:12">
      <c r="A3538">
        <v>103537</v>
      </c>
      <c r="B3538">
        <v>32</v>
      </c>
      <c r="C3538" s="2">
        <v>73600</v>
      </c>
      <c r="D3538" t="s">
        <v>21</v>
      </c>
      <c r="E3538" s="2">
        <v>58700</v>
      </c>
      <c r="F3538" s="2">
        <v>174000</v>
      </c>
      <c r="G3538" t="s">
        <v>23</v>
      </c>
      <c r="H3538" t="s">
        <v>17</v>
      </c>
      <c r="I3538" t="s">
        <v>15</v>
      </c>
      <c r="J3538" s="3">
        <v>45464</v>
      </c>
      <c r="K3538" s="4">
        <f>ClientiBanca[[#This Row],[Prestito]]+ClientiBanca[[#This Row],[Mutuo]]</f>
        <v>232700</v>
      </c>
      <c r="L3538" t="str">
        <f>IF(ClientiBanca[[#This Row],[Reddito annuo]]&gt;=70000,"si","no")</f>
        <v>si</v>
      </c>
    </row>
    <row r="3539" spans="1:12">
      <c r="A3539">
        <v>103538</v>
      </c>
      <c r="B3539">
        <v>69</v>
      </c>
      <c r="C3539" s="2">
        <v>56400</v>
      </c>
      <c r="D3539" t="s">
        <v>21</v>
      </c>
      <c r="E3539" s="2">
        <v>53600</v>
      </c>
      <c r="F3539" s="2">
        <v>0</v>
      </c>
      <c r="G3539" t="s">
        <v>13</v>
      </c>
      <c r="H3539" t="s">
        <v>14</v>
      </c>
      <c r="I3539" t="s">
        <v>18</v>
      </c>
      <c r="J3539" s="3">
        <v>45448</v>
      </c>
      <c r="K3539" s="4">
        <f>ClientiBanca[[#This Row],[Prestito]]+ClientiBanca[[#This Row],[Mutuo]]</f>
        <v>53600</v>
      </c>
      <c r="L3539" t="str">
        <f>IF(ClientiBanca[[#This Row],[Reddito annuo]]&gt;=70000,"si","no")</f>
        <v>no</v>
      </c>
    </row>
    <row r="3540" spans="1:12">
      <c r="A3540">
        <v>103539</v>
      </c>
      <c r="B3540">
        <v>51</v>
      </c>
      <c r="C3540" s="2">
        <v>37900</v>
      </c>
      <c r="D3540" t="s">
        <v>21</v>
      </c>
      <c r="E3540" s="2">
        <v>47400</v>
      </c>
      <c r="F3540" s="2">
        <v>0</v>
      </c>
      <c r="G3540" t="s">
        <v>19</v>
      </c>
      <c r="H3540" t="s">
        <v>25</v>
      </c>
      <c r="I3540" t="s">
        <v>18</v>
      </c>
      <c r="J3540" s="3">
        <v>45498</v>
      </c>
      <c r="K3540" s="4">
        <f>ClientiBanca[[#This Row],[Prestito]]+ClientiBanca[[#This Row],[Mutuo]]</f>
        <v>47400</v>
      </c>
      <c r="L3540" t="str">
        <f>IF(ClientiBanca[[#This Row],[Reddito annuo]]&gt;=70000,"si","no")</f>
        <v>no</v>
      </c>
    </row>
    <row r="3541" spans="1:12">
      <c r="A3541">
        <v>103540</v>
      </c>
      <c r="B3541">
        <v>37</v>
      </c>
      <c r="C3541" s="2">
        <v>34700</v>
      </c>
      <c r="D3541" t="s">
        <v>22</v>
      </c>
      <c r="E3541" s="2">
        <v>10300</v>
      </c>
      <c r="F3541" s="2">
        <v>0</v>
      </c>
      <c r="G3541" t="s">
        <v>19</v>
      </c>
      <c r="H3541" t="s">
        <v>17</v>
      </c>
      <c r="I3541" t="s">
        <v>18</v>
      </c>
      <c r="J3541" s="3">
        <v>45588</v>
      </c>
      <c r="K3541" s="4">
        <f>ClientiBanca[[#This Row],[Prestito]]+ClientiBanca[[#This Row],[Mutuo]]</f>
        <v>10300</v>
      </c>
      <c r="L3541" t="str">
        <f>IF(ClientiBanca[[#This Row],[Reddito annuo]]&gt;=70000,"si","no")</f>
        <v>no</v>
      </c>
    </row>
    <row r="3542" spans="1:12">
      <c r="A3542">
        <v>103541</v>
      </c>
      <c r="B3542">
        <v>42</v>
      </c>
      <c r="C3542" s="2">
        <v>50300</v>
      </c>
      <c r="D3542" t="s">
        <v>22</v>
      </c>
      <c r="E3542" s="2">
        <v>0</v>
      </c>
      <c r="F3542" s="2">
        <v>0</v>
      </c>
      <c r="G3542" t="s">
        <v>16</v>
      </c>
      <c r="H3542" t="s">
        <v>14</v>
      </c>
      <c r="I3542" t="s">
        <v>18</v>
      </c>
      <c r="J3542" s="3">
        <v>45417</v>
      </c>
      <c r="K3542" s="4">
        <f>ClientiBanca[[#This Row],[Prestito]]+ClientiBanca[[#This Row],[Mutuo]]</f>
        <v>0</v>
      </c>
      <c r="L3542" t="str">
        <f>IF(ClientiBanca[[#This Row],[Reddito annuo]]&gt;=70000,"si","no")</f>
        <v>no</v>
      </c>
    </row>
    <row r="3543" spans="1:12">
      <c r="A3543">
        <v>103542</v>
      </c>
      <c r="B3543">
        <v>47</v>
      </c>
      <c r="C3543" s="2">
        <v>121200</v>
      </c>
      <c r="D3543" t="s">
        <v>22</v>
      </c>
      <c r="E3543" s="2">
        <v>19000</v>
      </c>
      <c r="F3543" s="2">
        <v>0</v>
      </c>
      <c r="G3543" t="s">
        <v>28</v>
      </c>
      <c r="H3543" t="s">
        <v>17</v>
      </c>
      <c r="I3543" t="s">
        <v>18</v>
      </c>
      <c r="J3543" s="3">
        <v>45716</v>
      </c>
      <c r="K3543" s="4">
        <f>ClientiBanca[[#This Row],[Prestito]]+ClientiBanca[[#This Row],[Mutuo]]</f>
        <v>19000</v>
      </c>
      <c r="L3543" t="str">
        <f>IF(ClientiBanca[[#This Row],[Reddito annuo]]&gt;=70000,"si","no")</f>
        <v>si</v>
      </c>
    </row>
    <row r="3544" spans="1:12">
      <c r="A3544">
        <v>103543</v>
      </c>
      <c r="B3544">
        <v>46</v>
      </c>
      <c r="C3544" s="2">
        <v>60400</v>
      </c>
      <c r="D3544" t="s">
        <v>12</v>
      </c>
      <c r="E3544" s="2">
        <v>0</v>
      </c>
      <c r="F3544" s="2">
        <v>0</v>
      </c>
      <c r="G3544" t="s">
        <v>27</v>
      </c>
      <c r="H3544" t="s">
        <v>17</v>
      </c>
      <c r="I3544" t="s">
        <v>18</v>
      </c>
      <c r="J3544" s="3">
        <v>46114</v>
      </c>
      <c r="K3544" s="4">
        <f>ClientiBanca[[#This Row],[Prestito]]+ClientiBanca[[#This Row],[Mutuo]]</f>
        <v>0</v>
      </c>
      <c r="L3544" t="str">
        <f>IF(ClientiBanca[[#This Row],[Reddito annuo]]&gt;=70000,"si","no")</f>
        <v>no</v>
      </c>
    </row>
    <row r="3545" spans="1:12">
      <c r="A3545">
        <v>103544</v>
      </c>
      <c r="B3545">
        <v>67</v>
      </c>
      <c r="C3545" s="2">
        <v>65700</v>
      </c>
      <c r="D3545" t="s">
        <v>21</v>
      </c>
      <c r="E3545" s="2">
        <v>47700</v>
      </c>
      <c r="F3545" s="2">
        <v>0</v>
      </c>
      <c r="G3545" t="s">
        <v>13</v>
      </c>
      <c r="H3545" t="s">
        <v>17</v>
      </c>
      <c r="I3545" t="s">
        <v>18</v>
      </c>
      <c r="J3545" s="3">
        <v>45629</v>
      </c>
      <c r="K3545" s="4">
        <f>ClientiBanca[[#This Row],[Prestito]]+ClientiBanca[[#This Row],[Mutuo]]</f>
        <v>47700</v>
      </c>
      <c r="L3545" t="str">
        <f>IF(ClientiBanca[[#This Row],[Reddito annuo]]&gt;=70000,"si","no")</f>
        <v>no</v>
      </c>
    </row>
    <row r="3546" spans="1:12">
      <c r="A3546">
        <v>103545</v>
      </c>
      <c r="B3546">
        <v>63</v>
      </c>
      <c r="C3546" s="2">
        <v>57800</v>
      </c>
      <c r="D3546" t="s">
        <v>21</v>
      </c>
      <c r="E3546" s="2">
        <v>41300</v>
      </c>
      <c r="F3546" s="2">
        <v>0</v>
      </c>
      <c r="G3546" t="s">
        <v>23</v>
      </c>
      <c r="H3546" t="s">
        <v>20</v>
      </c>
      <c r="I3546" t="s">
        <v>18</v>
      </c>
      <c r="J3546" s="3">
        <v>46200</v>
      </c>
      <c r="K3546" s="4">
        <f>ClientiBanca[[#This Row],[Prestito]]+ClientiBanca[[#This Row],[Mutuo]]</f>
        <v>41300</v>
      </c>
      <c r="L3546" t="str">
        <f>IF(ClientiBanca[[#This Row],[Reddito annuo]]&gt;=70000,"si","no")</f>
        <v>no</v>
      </c>
    </row>
    <row r="3547" spans="1:12">
      <c r="A3547">
        <v>103546</v>
      </c>
      <c r="B3547">
        <v>22</v>
      </c>
      <c r="C3547" s="2">
        <v>83300</v>
      </c>
      <c r="D3547" t="s">
        <v>12</v>
      </c>
      <c r="E3547" s="2">
        <v>0</v>
      </c>
      <c r="F3547" s="2">
        <v>0</v>
      </c>
      <c r="G3547" t="s">
        <v>16</v>
      </c>
      <c r="H3547" t="s">
        <v>20</v>
      </c>
      <c r="I3547" t="s">
        <v>18</v>
      </c>
      <c r="J3547" s="3">
        <v>45881</v>
      </c>
      <c r="K3547" s="4">
        <f>ClientiBanca[[#This Row],[Prestito]]+ClientiBanca[[#This Row],[Mutuo]]</f>
        <v>0</v>
      </c>
      <c r="L3547" t="str">
        <f>IF(ClientiBanca[[#This Row],[Reddito annuo]]&gt;=70000,"si","no")</f>
        <v>si</v>
      </c>
    </row>
    <row r="3548" spans="1:12">
      <c r="A3548">
        <v>103547</v>
      </c>
      <c r="B3548">
        <v>53</v>
      </c>
      <c r="C3548" s="2">
        <v>117200</v>
      </c>
      <c r="D3548" t="s">
        <v>12</v>
      </c>
      <c r="E3548" s="2">
        <v>7900</v>
      </c>
      <c r="F3548" s="2">
        <v>182000</v>
      </c>
      <c r="G3548" t="s">
        <v>23</v>
      </c>
      <c r="H3548" t="s">
        <v>17</v>
      </c>
      <c r="I3548" t="s">
        <v>18</v>
      </c>
      <c r="J3548" s="3">
        <v>45670</v>
      </c>
      <c r="K3548" s="4">
        <f>ClientiBanca[[#This Row],[Prestito]]+ClientiBanca[[#This Row],[Mutuo]]</f>
        <v>189900</v>
      </c>
      <c r="L3548" t="str">
        <f>IF(ClientiBanca[[#This Row],[Reddito annuo]]&gt;=70000,"si","no")</f>
        <v>si</v>
      </c>
    </row>
    <row r="3549" spans="1:12">
      <c r="A3549">
        <v>103548</v>
      </c>
      <c r="B3549">
        <v>73</v>
      </c>
      <c r="C3549" s="2">
        <v>41500</v>
      </c>
      <c r="D3549" t="s">
        <v>21</v>
      </c>
      <c r="E3549" s="2">
        <v>10300</v>
      </c>
      <c r="F3549" s="2">
        <v>0</v>
      </c>
      <c r="G3549" t="s">
        <v>23</v>
      </c>
      <c r="H3549" t="s">
        <v>14</v>
      </c>
      <c r="I3549" t="s">
        <v>18</v>
      </c>
      <c r="J3549" s="3">
        <v>46016</v>
      </c>
      <c r="K3549" s="4">
        <f>ClientiBanca[[#This Row],[Prestito]]+ClientiBanca[[#This Row],[Mutuo]]</f>
        <v>10300</v>
      </c>
      <c r="L3549" t="str">
        <f>IF(ClientiBanca[[#This Row],[Reddito annuo]]&gt;=70000,"si","no")</f>
        <v>no</v>
      </c>
    </row>
    <row r="3550" spans="1:12">
      <c r="A3550">
        <v>103549</v>
      </c>
      <c r="B3550">
        <v>33</v>
      </c>
      <c r="C3550" s="2">
        <v>105800</v>
      </c>
      <c r="D3550" t="s">
        <v>21</v>
      </c>
      <c r="E3550" s="2">
        <v>9700</v>
      </c>
      <c r="F3550" s="2">
        <v>0</v>
      </c>
      <c r="G3550" t="s">
        <v>23</v>
      </c>
      <c r="H3550" t="s">
        <v>17</v>
      </c>
      <c r="I3550" t="s">
        <v>18</v>
      </c>
      <c r="J3550" s="3">
        <v>45823</v>
      </c>
      <c r="K3550" s="4">
        <f>ClientiBanca[[#This Row],[Prestito]]+ClientiBanca[[#This Row],[Mutuo]]</f>
        <v>9700</v>
      </c>
      <c r="L3550" t="str">
        <f>IF(ClientiBanca[[#This Row],[Reddito annuo]]&gt;=70000,"si","no")</f>
        <v>si</v>
      </c>
    </row>
    <row r="3551" spans="1:12">
      <c r="A3551">
        <v>103550</v>
      </c>
      <c r="B3551">
        <v>30</v>
      </c>
      <c r="C3551" s="2">
        <v>106400</v>
      </c>
      <c r="D3551" t="s">
        <v>22</v>
      </c>
      <c r="E3551" s="2">
        <v>35600</v>
      </c>
      <c r="F3551" s="2">
        <v>168000</v>
      </c>
      <c r="G3551" t="s">
        <v>28</v>
      </c>
      <c r="H3551" t="s">
        <v>17</v>
      </c>
      <c r="I3551" t="s">
        <v>18</v>
      </c>
      <c r="J3551" s="3">
        <v>45714</v>
      </c>
      <c r="K3551" s="4">
        <f>ClientiBanca[[#This Row],[Prestito]]+ClientiBanca[[#This Row],[Mutuo]]</f>
        <v>203600</v>
      </c>
      <c r="L3551" t="str">
        <f>IF(ClientiBanca[[#This Row],[Reddito annuo]]&gt;=70000,"si","no")</f>
        <v>si</v>
      </c>
    </row>
    <row r="3552" spans="1:12">
      <c r="A3552">
        <v>103551</v>
      </c>
      <c r="B3552">
        <v>69</v>
      </c>
      <c r="C3552" s="2">
        <v>56600</v>
      </c>
      <c r="D3552" t="s">
        <v>21</v>
      </c>
      <c r="E3552" s="2">
        <v>0</v>
      </c>
      <c r="F3552" s="2">
        <v>0</v>
      </c>
      <c r="G3552" t="s">
        <v>24</v>
      </c>
      <c r="H3552" t="s">
        <v>14</v>
      </c>
      <c r="I3552" t="s">
        <v>18</v>
      </c>
      <c r="J3552" s="3">
        <v>45848</v>
      </c>
      <c r="K3552" s="4">
        <f>ClientiBanca[[#This Row],[Prestito]]+ClientiBanca[[#This Row],[Mutuo]]</f>
        <v>0</v>
      </c>
      <c r="L3552" t="str">
        <f>IF(ClientiBanca[[#This Row],[Reddito annuo]]&gt;=70000,"si","no")</f>
        <v>no</v>
      </c>
    </row>
    <row r="3553" spans="1:12">
      <c r="A3553">
        <v>103552</v>
      </c>
      <c r="B3553">
        <v>34</v>
      </c>
      <c r="C3553" s="2">
        <v>46900</v>
      </c>
      <c r="D3553" t="s">
        <v>12</v>
      </c>
      <c r="E3553" s="2">
        <v>18200</v>
      </c>
      <c r="F3553" s="2">
        <v>0</v>
      </c>
      <c r="G3553" t="s">
        <v>16</v>
      </c>
      <c r="H3553" t="s">
        <v>20</v>
      </c>
      <c r="I3553" t="s">
        <v>18</v>
      </c>
      <c r="J3553" s="3">
        <v>46037</v>
      </c>
      <c r="K3553" s="4">
        <f>ClientiBanca[[#This Row],[Prestito]]+ClientiBanca[[#This Row],[Mutuo]]</f>
        <v>18200</v>
      </c>
      <c r="L3553" t="str">
        <f>IF(ClientiBanca[[#This Row],[Reddito annuo]]&gt;=70000,"si","no")</f>
        <v>no</v>
      </c>
    </row>
    <row r="3554" spans="1:12">
      <c r="A3554">
        <v>103553</v>
      </c>
      <c r="B3554">
        <v>72</v>
      </c>
      <c r="C3554" s="2">
        <v>53900</v>
      </c>
      <c r="D3554" t="s">
        <v>21</v>
      </c>
      <c r="E3554" s="2">
        <v>31700</v>
      </c>
      <c r="F3554" s="2">
        <v>0</v>
      </c>
      <c r="G3554" t="s">
        <v>24</v>
      </c>
      <c r="H3554" t="s">
        <v>14</v>
      </c>
      <c r="I3554" t="s">
        <v>18</v>
      </c>
      <c r="J3554" s="3">
        <v>45736</v>
      </c>
      <c r="K3554" s="4">
        <f>ClientiBanca[[#This Row],[Prestito]]+ClientiBanca[[#This Row],[Mutuo]]</f>
        <v>31700</v>
      </c>
      <c r="L3554" t="str">
        <f>IF(ClientiBanca[[#This Row],[Reddito annuo]]&gt;=70000,"si","no")</f>
        <v>no</v>
      </c>
    </row>
    <row r="3555" spans="1:12">
      <c r="A3555">
        <v>103554</v>
      </c>
      <c r="B3555">
        <v>46</v>
      </c>
      <c r="C3555" s="2">
        <v>43400</v>
      </c>
      <c r="D3555" t="s">
        <v>12</v>
      </c>
      <c r="E3555" s="2">
        <v>34800</v>
      </c>
      <c r="F3555" s="2">
        <v>0</v>
      </c>
      <c r="G3555" t="s">
        <v>28</v>
      </c>
      <c r="H3555" t="s">
        <v>17</v>
      </c>
      <c r="I3555" t="s">
        <v>18</v>
      </c>
      <c r="J3555" s="3">
        <v>45571</v>
      </c>
      <c r="K3555" s="4">
        <f>ClientiBanca[[#This Row],[Prestito]]+ClientiBanca[[#This Row],[Mutuo]]</f>
        <v>34800</v>
      </c>
      <c r="L3555" t="str">
        <f>IF(ClientiBanca[[#This Row],[Reddito annuo]]&gt;=70000,"si","no")</f>
        <v>no</v>
      </c>
    </row>
    <row r="3556" spans="1:12">
      <c r="A3556">
        <v>103555</v>
      </c>
      <c r="B3556">
        <v>59</v>
      </c>
      <c r="C3556" s="2">
        <v>64600</v>
      </c>
      <c r="D3556" t="s">
        <v>21</v>
      </c>
      <c r="E3556" s="2">
        <v>43800</v>
      </c>
      <c r="F3556" s="2">
        <v>0</v>
      </c>
      <c r="G3556" t="s">
        <v>26</v>
      </c>
      <c r="H3556" t="s">
        <v>17</v>
      </c>
      <c r="I3556" t="s">
        <v>18</v>
      </c>
      <c r="J3556" s="3">
        <v>46104</v>
      </c>
      <c r="K3556" s="4">
        <f>ClientiBanca[[#This Row],[Prestito]]+ClientiBanca[[#This Row],[Mutuo]]</f>
        <v>43800</v>
      </c>
      <c r="L3556" t="str">
        <f>IF(ClientiBanca[[#This Row],[Reddito annuo]]&gt;=70000,"si","no")</f>
        <v>no</v>
      </c>
    </row>
    <row r="3557" spans="1:12">
      <c r="A3557">
        <v>103556</v>
      </c>
      <c r="B3557">
        <v>56</v>
      </c>
      <c r="C3557" s="2">
        <v>68500</v>
      </c>
      <c r="D3557" t="s">
        <v>21</v>
      </c>
      <c r="E3557" s="2">
        <v>24700</v>
      </c>
      <c r="F3557" s="2">
        <v>0</v>
      </c>
      <c r="G3557" t="s">
        <v>16</v>
      </c>
      <c r="H3557" t="s">
        <v>17</v>
      </c>
      <c r="I3557" t="s">
        <v>18</v>
      </c>
      <c r="J3557" s="3">
        <v>45921</v>
      </c>
      <c r="K3557" s="4">
        <f>ClientiBanca[[#This Row],[Prestito]]+ClientiBanca[[#This Row],[Mutuo]]</f>
        <v>24700</v>
      </c>
      <c r="L3557" t="str">
        <f>IF(ClientiBanca[[#This Row],[Reddito annuo]]&gt;=70000,"si","no")</f>
        <v>no</v>
      </c>
    </row>
    <row r="3558" spans="1:12">
      <c r="A3558">
        <v>103557</v>
      </c>
      <c r="B3558">
        <v>37</v>
      </c>
      <c r="C3558" s="2">
        <v>23200</v>
      </c>
      <c r="D3558" t="s">
        <v>21</v>
      </c>
      <c r="E3558" s="2">
        <v>29000</v>
      </c>
      <c r="F3558" s="2">
        <v>0</v>
      </c>
      <c r="G3558" t="s">
        <v>16</v>
      </c>
      <c r="H3558" t="s">
        <v>17</v>
      </c>
      <c r="I3558" t="s">
        <v>18</v>
      </c>
      <c r="J3558" s="3">
        <v>45689</v>
      </c>
      <c r="K3558" s="4">
        <f>ClientiBanca[[#This Row],[Prestito]]+ClientiBanca[[#This Row],[Mutuo]]</f>
        <v>29000</v>
      </c>
      <c r="L3558" t="str">
        <f>IF(ClientiBanca[[#This Row],[Reddito annuo]]&gt;=70000,"si","no")</f>
        <v>no</v>
      </c>
    </row>
    <row r="3559" spans="1:12">
      <c r="A3559">
        <v>103558</v>
      </c>
      <c r="B3559">
        <v>44</v>
      </c>
      <c r="C3559" s="2">
        <v>54300</v>
      </c>
      <c r="D3559" t="s">
        <v>22</v>
      </c>
      <c r="E3559" s="2">
        <v>67900</v>
      </c>
      <c r="F3559" s="2">
        <v>385000</v>
      </c>
      <c r="G3559" t="s">
        <v>24</v>
      </c>
      <c r="H3559" t="s">
        <v>14</v>
      </c>
      <c r="I3559" t="s">
        <v>18</v>
      </c>
      <c r="J3559" s="3">
        <v>46101</v>
      </c>
      <c r="K3559" s="4">
        <f>ClientiBanca[[#This Row],[Prestito]]+ClientiBanca[[#This Row],[Mutuo]]</f>
        <v>452900</v>
      </c>
      <c r="L3559" t="str">
        <f>IF(ClientiBanca[[#This Row],[Reddito annuo]]&gt;=70000,"si","no")</f>
        <v>no</v>
      </c>
    </row>
    <row r="3560" spans="1:12">
      <c r="A3560">
        <v>103559</v>
      </c>
      <c r="B3560">
        <v>29</v>
      </c>
      <c r="C3560" s="2">
        <v>43600</v>
      </c>
      <c r="D3560" t="s">
        <v>12</v>
      </c>
      <c r="E3560" s="2">
        <v>54500</v>
      </c>
      <c r="F3560" s="2">
        <v>184000</v>
      </c>
      <c r="G3560" t="s">
        <v>28</v>
      </c>
      <c r="H3560" t="s">
        <v>20</v>
      </c>
      <c r="I3560" t="s">
        <v>18</v>
      </c>
      <c r="J3560" s="3">
        <v>45523</v>
      </c>
      <c r="K3560" s="4">
        <f>ClientiBanca[[#This Row],[Prestito]]+ClientiBanca[[#This Row],[Mutuo]]</f>
        <v>238500</v>
      </c>
      <c r="L3560" t="str">
        <f>IF(ClientiBanca[[#This Row],[Reddito annuo]]&gt;=70000,"si","no")</f>
        <v>no</v>
      </c>
    </row>
    <row r="3561" spans="1:12">
      <c r="A3561">
        <v>103560</v>
      </c>
      <c r="B3561">
        <v>49</v>
      </c>
      <c r="C3561" s="2">
        <v>41600</v>
      </c>
      <c r="D3561" t="s">
        <v>21</v>
      </c>
      <c r="E3561" s="2">
        <v>22000</v>
      </c>
      <c r="F3561" s="2">
        <v>0</v>
      </c>
      <c r="G3561" t="s">
        <v>13</v>
      </c>
      <c r="H3561" t="s">
        <v>17</v>
      </c>
      <c r="I3561" t="s">
        <v>18</v>
      </c>
      <c r="J3561" s="3">
        <v>46233</v>
      </c>
      <c r="K3561" s="4">
        <f>ClientiBanca[[#This Row],[Prestito]]+ClientiBanca[[#This Row],[Mutuo]]</f>
        <v>22000</v>
      </c>
      <c r="L3561" t="str">
        <f>IF(ClientiBanca[[#This Row],[Reddito annuo]]&gt;=70000,"si","no")</f>
        <v>no</v>
      </c>
    </row>
    <row r="3562" spans="1:12">
      <c r="A3562">
        <v>103561</v>
      </c>
      <c r="B3562">
        <v>39</v>
      </c>
      <c r="C3562" s="2">
        <v>76200</v>
      </c>
      <c r="D3562" t="s">
        <v>22</v>
      </c>
      <c r="E3562" s="2">
        <v>0</v>
      </c>
      <c r="F3562" s="2">
        <v>0</v>
      </c>
      <c r="G3562" t="s">
        <v>23</v>
      </c>
      <c r="H3562" t="s">
        <v>20</v>
      </c>
      <c r="I3562" t="s">
        <v>18</v>
      </c>
      <c r="J3562" s="3">
        <v>45563</v>
      </c>
      <c r="K3562" s="4">
        <f>ClientiBanca[[#This Row],[Prestito]]+ClientiBanca[[#This Row],[Mutuo]]</f>
        <v>0</v>
      </c>
      <c r="L3562" t="str">
        <f>IF(ClientiBanca[[#This Row],[Reddito annuo]]&gt;=70000,"si","no")</f>
        <v>si</v>
      </c>
    </row>
    <row r="3563" spans="1:12">
      <c r="A3563">
        <v>103562</v>
      </c>
      <c r="B3563">
        <v>70</v>
      </c>
      <c r="C3563" s="2">
        <v>48700</v>
      </c>
      <c r="D3563" t="s">
        <v>12</v>
      </c>
      <c r="E3563" s="2">
        <v>60900</v>
      </c>
      <c r="F3563" s="2">
        <v>0</v>
      </c>
      <c r="G3563" t="s">
        <v>28</v>
      </c>
      <c r="H3563" t="s">
        <v>17</v>
      </c>
      <c r="I3563" t="s">
        <v>18</v>
      </c>
      <c r="J3563" s="3">
        <v>45974</v>
      </c>
      <c r="K3563" s="4">
        <f>ClientiBanca[[#This Row],[Prestito]]+ClientiBanca[[#This Row],[Mutuo]]</f>
        <v>60900</v>
      </c>
      <c r="L3563" t="str">
        <f>IF(ClientiBanca[[#This Row],[Reddito annuo]]&gt;=70000,"si","no")</f>
        <v>no</v>
      </c>
    </row>
    <row r="3564" spans="1:12">
      <c r="A3564">
        <v>103563</v>
      </c>
      <c r="B3564">
        <v>70</v>
      </c>
      <c r="C3564" s="2">
        <v>116300</v>
      </c>
      <c r="D3564" t="s">
        <v>22</v>
      </c>
      <c r="E3564" s="2">
        <v>27600</v>
      </c>
      <c r="F3564" s="2">
        <v>0</v>
      </c>
      <c r="G3564" t="s">
        <v>27</v>
      </c>
      <c r="H3564" t="s">
        <v>14</v>
      </c>
      <c r="I3564" t="s">
        <v>18</v>
      </c>
      <c r="J3564" s="3">
        <v>46162</v>
      </c>
      <c r="K3564" s="4">
        <f>ClientiBanca[[#This Row],[Prestito]]+ClientiBanca[[#This Row],[Mutuo]]</f>
        <v>27600</v>
      </c>
      <c r="L3564" t="str">
        <f>IF(ClientiBanca[[#This Row],[Reddito annuo]]&gt;=70000,"si","no")</f>
        <v>si</v>
      </c>
    </row>
    <row r="3565" spans="1:12">
      <c r="A3565">
        <v>103564</v>
      </c>
      <c r="B3565">
        <v>67</v>
      </c>
      <c r="C3565" s="2">
        <v>36800</v>
      </c>
      <c r="D3565" t="s">
        <v>21</v>
      </c>
      <c r="E3565" s="2">
        <v>0</v>
      </c>
      <c r="F3565" s="2">
        <v>0</v>
      </c>
      <c r="G3565" t="s">
        <v>26</v>
      </c>
      <c r="H3565" t="s">
        <v>14</v>
      </c>
      <c r="I3565" t="s">
        <v>18</v>
      </c>
      <c r="J3565" s="3">
        <v>46255</v>
      </c>
      <c r="K3565" s="4">
        <f>ClientiBanca[[#This Row],[Prestito]]+ClientiBanca[[#This Row],[Mutuo]]</f>
        <v>0</v>
      </c>
      <c r="L3565" t="str">
        <f>IF(ClientiBanca[[#This Row],[Reddito annuo]]&gt;=70000,"si","no")</f>
        <v>no</v>
      </c>
    </row>
    <row r="3566" spans="1:12">
      <c r="A3566">
        <v>103565</v>
      </c>
      <c r="B3566">
        <v>58</v>
      </c>
      <c r="C3566" s="2">
        <v>44800</v>
      </c>
      <c r="D3566" t="s">
        <v>22</v>
      </c>
      <c r="E3566" s="2">
        <v>0</v>
      </c>
      <c r="F3566" s="2">
        <v>0</v>
      </c>
      <c r="G3566" t="s">
        <v>27</v>
      </c>
      <c r="H3566" t="s">
        <v>17</v>
      </c>
      <c r="I3566" t="s">
        <v>18</v>
      </c>
      <c r="J3566" s="3">
        <v>45401</v>
      </c>
      <c r="K3566" s="4">
        <f>ClientiBanca[[#This Row],[Prestito]]+ClientiBanca[[#This Row],[Mutuo]]</f>
        <v>0</v>
      </c>
      <c r="L3566" t="str">
        <f>IF(ClientiBanca[[#This Row],[Reddito annuo]]&gt;=70000,"si","no")</f>
        <v>no</v>
      </c>
    </row>
    <row r="3567" spans="1:12">
      <c r="A3567">
        <v>103566</v>
      </c>
      <c r="B3567">
        <v>36</v>
      </c>
      <c r="C3567" s="2">
        <v>110700</v>
      </c>
      <c r="D3567" t="s">
        <v>21</v>
      </c>
      <c r="E3567" s="2">
        <v>0</v>
      </c>
      <c r="F3567" s="2">
        <v>0</v>
      </c>
      <c r="G3567" t="s">
        <v>24</v>
      </c>
      <c r="H3567" t="s">
        <v>20</v>
      </c>
      <c r="I3567" t="s">
        <v>18</v>
      </c>
      <c r="J3567" s="3">
        <v>45590</v>
      </c>
      <c r="K3567" s="4">
        <f>ClientiBanca[[#This Row],[Prestito]]+ClientiBanca[[#This Row],[Mutuo]]</f>
        <v>0</v>
      </c>
      <c r="L3567" t="str">
        <f>IF(ClientiBanca[[#This Row],[Reddito annuo]]&gt;=70000,"si","no")</f>
        <v>si</v>
      </c>
    </row>
    <row r="3568" spans="1:12">
      <c r="A3568">
        <v>103567</v>
      </c>
      <c r="B3568">
        <v>29</v>
      </c>
      <c r="C3568" s="2">
        <v>33400</v>
      </c>
      <c r="D3568" t="s">
        <v>12</v>
      </c>
      <c r="E3568" s="2">
        <v>21100</v>
      </c>
      <c r="F3568" s="2">
        <v>0</v>
      </c>
      <c r="G3568" t="s">
        <v>19</v>
      </c>
      <c r="H3568" t="s">
        <v>20</v>
      </c>
      <c r="I3568" t="s">
        <v>18</v>
      </c>
      <c r="J3568" s="3">
        <v>45376</v>
      </c>
      <c r="K3568" s="4">
        <f>ClientiBanca[[#This Row],[Prestito]]+ClientiBanca[[#This Row],[Mutuo]]</f>
        <v>21100</v>
      </c>
      <c r="L3568" t="str">
        <f>IF(ClientiBanca[[#This Row],[Reddito annuo]]&gt;=70000,"si","no")</f>
        <v>no</v>
      </c>
    </row>
    <row r="3569" spans="1:12">
      <c r="A3569">
        <v>103568</v>
      </c>
      <c r="B3569">
        <v>60</v>
      </c>
      <c r="C3569" s="2">
        <v>65200</v>
      </c>
      <c r="D3569" t="s">
        <v>12</v>
      </c>
      <c r="E3569" s="2">
        <v>44300</v>
      </c>
      <c r="F3569" s="2">
        <v>0</v>
      </c>
      <c r="G3569" t="s">
        <v>19</v>
      </c>
      <c r="H3569" t="s">
        <v>17</v>
      </c>
      <c r="I3569" t="s">
        <v>18</v>
      </c>
      <c r="J3569" s="3">
        <v>45533</v>
      </c>
      <c r="K3569" s="4">
        <f>ClientiBanca[[#This Row],[Prestito]]+ClientiBanca[[#This Row],[Mutuo]]</f>
        <v>44300</v>
      </c>
      <c r="L3569" t="str">
        <f>IF(ClientiBanca[[#This Row],[Reddito annuo]]&gt;=70000,"si","no")</f>
        <v>no</v>
      </c>
    </row>
    <row r="3570" spans="1:12">
      <c r="A3570">
        <v>103569</v>
      </c>
      <c r="B3570">
        <v>34</v>
      </c>
      <c r="C3570" s="2">
        <v>47900</v>
      </c>
      <c r="D3570" t="s">
        <v>22</v>
      </c>
      <c r="E3570" s="2">
        <v>36200</v>
      </c>
      <c r="F3570" s="2">
        <v>0</v>
      </c>
      <c r="G3570" t="s">
        <v>23</v>
      </c>
      <c r="H3570" t="s">
        <v>14</v>
      </c>
      <c r="I3570" t="s">
        <v>18</v>
      </c>
      <c r="J3570" s="3">
        <v>46018</v>
      </c>
      <c r="K3570" s="4">
        <f>ClientiBanca[[#This Row],[Prestito]]+ClientiBanca[[#This Row],[Mutuo]]</f>
        <v>36200</v>
      </c>
      <c r="L3570" t="str">
        <f>IF(ClientiBanca[[#This Row],[Reddito annuo]]&gt;=70000,"si","no")</f>
        <v>no</v>
      </c>
    </row>
    <row r="3571" spans="1:12">
      <c r="A3571">
        <v>103570</v>
      </c>
      <c r="B3571">
        <v>56</v>
      </c>
      <c r="C3571" s="2">
        <v>59800</v>
      </c>
      <c r="D3571" t="s">
        <v>22</v>
      </c>
      <c r="E3571" s="2">
        <v>0</v>
      </c>
      <c r="F3571" s="2">
        <v>0</v>
      </c>
      <c r="G3571" t="s">
        <v>23</v>
      </c>
      <c r="H3571" t="s">
        <v>20</v>
      </c>
      <c r="I3571" t="s">
        <v>18</v>
      </c>
      <c r="J3571" s="3">
        <v>45793</v>
      </c>
      <c r="K3571" s="4">
        <f>ClientiBanca[[#This Row],[Prestito]]+ClientiBanca[[#This Row],[Mutuo]]</f>
        <v>0</v>
      </c>
      <c r="L3571" t="str">
        <f>IF(ClientiBanca[[#This Row],[Reddito annuo]]&gt;=70000,"si","no")</f>
        <v>no</v>
      </c>
    </row>
    <row r="3572" spans="1:12">
      <c r="A3572">
        <v>103571</v>
      </c>
      <c r="B3572">
        <v>62</v>
      </c>
      <c r="C3572" s="2">
        <v>66500</v>
      </c>
      <c r="D3572" t="s">
        <v>12</v>
      </c>
      <c r="E3572" s="2">
        <v>0</v>
      </c>
      <c r="F3572" s="2">
        <v>150000</v>
      </c>
      <c r="G3572" t="s">
        <v>13</v>
      </c>
      <c r="H3572" t="s">
        <v>20</v>
      </c>
      <c r="I3572" t="s">
        <v>18</v>
      </c>
      <c r="J3572" s="3">
        <v>45333</v>
      </c>
      <c r="K3572" s="4">
        <f>ClientiBanca[[#This Row],[Prestito]]+ClientiBanca[[#This Row],[Mutuo]]</f>
        <v>150000</v>
      </c>
      <c r="L3572" t="str">
        <f>IF(ClientiBanca[[#This Row],[Reddito annuo]]&gt;=70000,"si","no")</f>
        <v>no</v>
      </c>
    </row>
    <row r="3573" spans="1:12">
      <c r="A3573">
        <v>103572</v>
      </c>
      <c r="B3573">
        <v>67</v>
      </c>
      <c r="C3573" s="2">
        <v>85600</v>
      </c>
      <c r="D3573" t="s">
        <v>12</v>
      </c>
      <c r="E3573" s="2">
        <v>56600</v>
      </c>
      <c r="F3573" s="2">
        <v>181000</v>
      </c>
      <c r="G3573" t="s">
        <v>24</v>
      </c>
      <c r="H3573" t="s">
        <v>17</v>
      </c>
      <c r="I3573" t="s">
        <v>18</v>
      </c>
      <c r="J3573" s="3">
        <v>45649</v>
      </c>
      <c r="K3573" s="4">
        <f>ClientiBanca[[#This Row],[Prestito]]+ClientiBanca[[#This Row],[Mutuo]]</f>
        <v>237600</v>
      </c>
      <c r="L3573" t="str">
        <f>IF(ClientiBanca[[#This Row],[Reddito annuo]]&gt;=70000,"si","no")</f>
        <v>si</v>
      </c>
    </row>
    <row r="3574" spans="1:12">
      <c r="A3574">
        <v>103573</v>
      </c>
      <c r="B3574">
        <v>49</v>
      </c>
      <c r="C3574" s="2">
        <v>98600</v>
      </c>
      <c r="D3574" t="s">
        <v>12</v>
      </c>
      <c r="E3574" s="2">
        <v>0</v>
      </c>
      <c r="F3574" s="2">
        <v>0</v>
      </c>
      <c r="G3574" t="s">
        <v>16</v>
      </c>
      <c r="H3574" t="s">
        <v>20</v>
      </c>
      <c r="I3574" t="s">
        <v>18</v>
      </c>
      <c r="J3574" s="3">
        <v>45904</v>
      </c>
      <c r="K3574" s="4">
        <f>ClientiBanca[[#This Row],[Prestito]]+ClientiBanca[[#This Row],[Mutuo]]</f>
        <v>0</v>
      </c>
      <c r="L3574" t="str">
        <f>IF(ClientiBanca[[#This Row],[Reddito annuo]]&gt;=70000,"si","no")</f>
        <v>si</v>
      </c>
    </row>
    <row r="3575" spans="1:12">
      <c r="A3575">
        <v>103574</v>
      </c>
      <c r="B3575">
        <v>21</v>
      </c>
      <c r="C3575" s="2">
        <v>49000</v>
      </c>
      <c r="D3575" t="s">
        <v>21</v>
      </c>
      <c r="E3575" s="2">
        <v>17900</v>
      </c>
      <c r="F3575" s="2">
        <v>0</v>
      </c>
      <c r="G3575" t="s">
        <v>16</v>
      </c>
      <c r="H3575" t="s">
        <v>20</v>
      </c>
      <c r="I3575" t="s">
        <v>18</v>
      </c>
      <c r="J3575" s="3">
        <v>45588</v>
      </c>
      <c r="K3575" s="4">
        <f>ClientiBanca[[#This Row],[Prestito]]+ClientiBanca[[#This Row],[Mutuo]]</f>
        <v>17900</v>
      </c>
      <c r="L3575" t="str">
        <f>IF(ClientiBanca[[#This Row],[Reddito annuo]]&gt;=70000,"si","no")</f>
        <v>no</v>
      </c>
    </row>
    <row r="3576" spans="1:12">
      <c r="A3576">
        <v>103575</v>
      </c>
      <c r="B3576">
        <v>33</v>
      </c>
      <c r="C3576" s="2">
        <v>47900</v>
      </c>
      <c r="D3576" t="s">
        <v>22</v>
      </c>
      <c r="E3576" s="2">
        <v>0</v>
      </c>
      <c r="F3576" s="2">
        <v>348000</v>
      </c>
      <c r="G3576" t="s">
        <v>27</v>
      </c>
      <c r="H3576" t="s">
        <v>17</v>
      </c>
      <c r="I3576" t="s">
        <v>18</v>
      </c>
      <c r="J3576" s="3">
        <v>45782</v>
      </c>
      <c r="K3576" s="4">
        <f>ClientiBanca[[#This Row],[Prestito]]+ClientiBanca[[#This Row],[Mutuo]]</f>
        <v>348000</v>
      </c>
      <c r="L3576" t="str">
        <f>IF(ClientiBanca[[#This Row],[Reddito annuo]]&gt;=70000,"si","no")</f>
        <v>no</v>
      </c>
    </row>
    <row r="3577" spans="1:12">
      <c r="A3577">
        <v>103576</v>
      </c>
      <c r="B3577">
        <v>66</v>
      </c>
      <c r="C3577" s="2">
        <v>98100</v>
      </c>
      <c r="D3577" t="s">
        <v>12</v>
      </c>
      <c r="E3577" s="2">
        <v>9500</v>
      </c>
      <c r="F3577" s="2">
        <v>229000</v>
      </c>
      <c r="G3577" t="s">
        <v>24</v>
      </c>
      <c r="H3577" t="s">
        <v>14</v>
      </c>
      <c r="I3577" t="s">
        <v>18</v>
      </c>
      <c r="J3577" s="3">
        <v>45403</v>
      </c>
      <c r="K3577" s="4">
        <f>ClientiBanca[[#This Row],[Prestito]]+ClientiBanca[[#This Row],[Mutuo]]</f>
        <v>238500</v>
      </c>
      <c r="L3577" t="str">
        <f>IF(ClientiBanca[[#This Row],[Reddito annuo]]&gt;=70000,"si","no")</f>
        <v>si</v>
      </c>
    </row>
    <row r="3578" spans="1:12">
      <c r="A3578">
        <v>103577</v>
      </c>
      <c r="B3578">
        <v>45</v>
      </c>
      <c r="C3578" s="2">
        <v>63400</v>
      </c>
      <c r="D3578" t="s">
        <v>21</v>
      </c>
      <c r="E3578" s="2">
        <v>69800</v>
      </c>
      <c r="F3578" s="2">
        <v>0</v>
      </c>
      <c r="G3578" t="s">
        <v>13</v>
      </c>
      <c r="H3578" t="s">
        <v>20</v>
      </c>
      <c r="I3578" t="s">
        <v>18</v>
      </c>
      <c r="J3578" s="3">
        <v>46146</v>
      </c>
      <c r="K3578" s="4">
        <f>ClientiBanca[[#This Row],[Prestito]]+ClientiBanca[[#This Row],[Mutuo]]</f>
        <v>69800</v>
      </c>
      <c r="L3578" t="str">
        <f>IF(ClientiBanca[[#This Row],[Reddito annuo]]&gt;=70000,"si","no")</f>
        <v>no</v>
      </c>
    </row>
    <row r="3579" spans="1:12">
      <c r="A3579">
        <v>103578</v>
      </c>
      <c r="B3579">
        <v>29</v>
      </c>
      <c r="C3579" s="2">
        <v>28800</v>
      </c>
      <c r="D3579" t="s">
        <v>21</v>
      </c>
      <c r="E3579" s="2">
        <v>30600</v>
      </c>
      <c r="F3579" s="2">
        <v>0</v>
      </c>
      <c r="G3579" t="s">
        <v>13</v>
      </c>
      <c r="H3579" t="s">
        <v>17</v>
      </c>
      <c r="I3579" t="s">
        <v>18</v>
      </c>
      <c r="J3579" s="3">
        <v>45651</v>
      </c>
      <c r="K3579" s="4">
        <f>ClientiBanca[[#This Row],[Prestito]]+ClientiBanca[[#This Row],[Mutuo]]</f>
        <v>30600</v>
      </c>
      <c r="L3579" t="str">
        <f>IF(ClientiBanca[[#This Row],[Reddito annuo]]&gt;=70000,"si","no")</f>
        <v>no</v>
      </c>
    </row>
    <row r="3580" spans="1:12">
      <c r="A3580">
        <v>103579</v>
      </c>
      <c r="B3580">
        <v>45</v>
      </c>
      <c r="C3580" s="2">
        <v>92300</v>
      </c>
      <c r="D3580" t="s">
        <v>21</v>
      </c>
      <c r="E3580" s="2">
        <v>13000</v>
      </c>
      <c r="F3580" s="2">
        <v>0</v>
      </c>
      <c r="G3580" t="s">
        <v>19</v>
      </c>
      <c r="H3580" t="s">
        <v>20</v>
      </c>
      <c r="I3580" t="s">
        <v>15</v>
      </c>
      <c r="J3580" s="3">
        <v>46073</v>
      </c>
      <c r="K3580" s="4">
        <f>ClientiBanca[[#This Row],[Prestito]]+ClientiBanca[[#This Row],[Mutuo]]</f>
        <v>13000</v>
      </c>
      <c r="L3580" t="str">
        <f>IF(ClientiBanca[[#This Row],[Reddito annuo]]&gt;=70000,"si","no")</f>
        <v>si</v>
      </c>
    </row>
    <row r="3581" spans="1:12">
      <c r="A3581">
        <v>103580</v>
      </c>
      <c r="B3581">
        <v>29</v>
      </c>
      <c r="C3581" s="2">
        <v>44100</v>
      </c>
      <c r="D3581" t="s">
        <v>21</v>
      </c>
      <c r="E3581" s="2">
        <v>29400</v>
      </c>
      <c r="F3581" s="2">
        <v>0</v>
      </c>
      <c r="G3581" t="s">
        <v>27</v>
      </c>
      <c r="H3581" t="s">
        <v>14</v>
      </c>
      <c r="I3581" t="s">
        <v>18</v>
      </c>
      <c r="J3581" s="3">
        <v>46205</v>
      </c>
      <c r="K3581" s="4">
        <f>ClientiBanca[[#This Row],[Prestito]]+ClientiBanca[[#This Row],[Mutuo]]</f>
        <v>29400</v>
      </c>
      <c r="L3581" t="str">
        <f>IF(ClientiBanca[[#This Row],[Reddito annuo]]&gt;=70000,"si","no")</f>
        <v>no</v>
      </c>
    </row>
    <row r="3582" spans="1:12">
      <c r="A3582">
        <v>103581</v>
      </c>
      <c r="B3582">
        <v>50</v>
      </c>
      <c r="C3582" s="2">
        <v>80100</v>
      </c>
      <c r="D3582" t="s">
        <v>21</v>
      </c>
      <c r="E3582" s="2">
        <v>0</v>
      </c>
      <c r="F3582" s="2">
        <v>77000</v>
      </c>
      <c r="G3582" t="s">
        <v>19</v>
      </c>
      <c r="H3582" t="s">
        <v>14</v>
      </c>
      <c r="I3582" t="s">
        <v>18</v>
      </c>
      <c r="J3582" s="3">
        <v>46157</v>
      </c>
      <c r="K3582" s="4">
        <f>ClientiBanca[[#This Row],[Prestito]]+ClientiBanca[[#This Row],[Mutuo]]</f>
        <v>77000</v>
      </c>
      <c r="L3582" t="str">
        <f>IF(ClientiBanca[[#This Row],[Reddito annuo]]&gt;=70000,"si","no")</f>
        <v>si</v>
      </c>
    </row>
    <row r="3583" spans="1:12">
      <c r="A3583">
        <v>103582</v>
      </c>
      <c r="B3583">
        <v>73</v>
      </c>
      <c r="C3583" s="2">
        <v>101500</v>
      </c>
      <c r="D3583" t="s">
        <v>22</v>
      </c>
      <c r="E3583" s="2">
        <v>9700</v>
      </c>
      <c r="F3583" s="2">
        <v>0</v>
      </c>
      <c r="G3583" t="s">
        <v>19</v>
      </c>
      <c r="H3583" t="s">
        <v>20</v>
      </c>
      <c r="I3583" t="s">
        <v>18</v>
      </c>
      <c r="J3583" s="3">
        <v>45364</v>
      </c>
      <c r="K3583" s="4">
        <f>ClientiBanca[[#This Row],[Prestito]]+ClientiBanca[[#This Row],[Mutuo]]</f>
        <v>9700</v>
      </c>
      <c r="L3583" t="str">
        <f>IF(ClientiBanca[[#This Row],[Reddito annuo]]&gt;=70000,"si","no")</f>
        <v>si</v>
      </c>
    </row>
    <row r="3584" spans="1:12">
      <c r="A3584">
        <v>103583</v>
      </c>
      <c r="B3584">
        <v>31</v>
      </c>
      <c r="C3584" s="2">
        <v>33000</v>
      </c>
      <c r="D3584" t="s">
        <v>12</v>
      </c>
      <c r="E3584" s="2">
        <v>0</v>
      </c>
      <c r="F3584" s="2">
        <v>0</v>
      </c>
      <c r="G3584" t="s">
        <v>23</v>
      </c>
      <c r="H3584" t="s">
        <v>14</v>
      </c>
      <c r="I3584" t="s">
        <v>18</v>
      </c>
      <c r="J3584" s="3">
        <v>45538</v>
      </c>
      <c r="K3584" s="4">
        <f>ClientiBanca[[#This Row],[Prestito]]+ClientiBanca[[#This Row],[Mutuo]]</f>
        <v>0</v>
      </c>
      <c r="L3584" t="str">
        <f>IF(ClientiBanca[[#This Row],[Reddito annuo]]&gt;=70000,"si","no")</f>
        <v>no</v>
      </c>
    </row>
    <row r="3585" spans="1:12">
      <c r="A3585">
        <v>103584</v>
      </c>
      <c r="B3585">
        <v>43</v>
      </c>
      <c r="C3585" s="2">
        <v>85500</v>
      </c>
      <c r="D3585" t="s">
        <v>21</v>
      </c>
      <c r="E3585" s="2">
        <v>0</v>
      </c>
      <c r="F3585" s="2">
        <v>0</v>
      </c>
      <c r="G3585" t="s">
        <v>23</v>
      </c>
      <c r="H3585" t="s">
        <v>20</v>
      </c>
      <c r="I3585" t="s">
        <v>18</v>
      </c>
      <c r="J3585" s="3">
        <v>46177</v>
      </c>
      <c r="K3585" s="4">
        <f>ClientiBanca[[#This Row],[Prestito]]+ClientiBanca[[#This Row],[Mutuo]]</f>
        <v>0</v>
      </c>
      <c r="L3585" t="str">
        <f>IF(ClientiBanca[[#This Row],[Reddito annuo]]&gt;=70000,"si","no")</f>
        <v>si</v>
      </c>
    </row>
    <row r="3586" spans="1:12">
      <c r="A3586">
        <v>103585</v>
      </c>
      <c r="B3586">
        <v>43</v>
      </c>
      <c r="C3586" s="2">
        <v>45300</v>
      </c>
      <c r="D3586" t="s">
        <v>21</v>
      </c>
      <c r="E3586" s="2">
        <v>24300</v>
      </c>
      <c r="F3586" s="2">
        <v>312000</v>
      </c>
      <c r="G3586" t="s">
        <v>19</v>
      </c>
      <c r="H3586" t="s">
        <v>17</v>
      </c>
      <c r="I3586" t="s">
        <v>18</v>
      </c>
      <c r="J3586" s="3">
        <v>45744</v>
      </c>
      <c r="K3586" s="4">
        <f>ClientiBanca[[#This Row],[Prestito]]+ClientiBanca[[#This Row],[Mutuo]]</f>
        <v>336300</v>
      </c>
      <c r="L3586" t="str">
        <f>IF(ClientiBanca[[#This Row],[Reddito annuo]]&gt;=70000,"si","no")</f>
        <v>no</v>
      </c>
    </row>
    <row r="3587" spans="1:12">
      <c r="A3587">
        <v>103586</v>
      </c>
      <c r="B3587">
        <v>57</v>
      </c>
      <c r="C3587" s="2">
        <v>46700</v>
      </c>
      <c r="D3587" t="s">
        <v>21</v>
      </c>
      <c r="E3587" s="2">
        <v>35300</v>
      </c>
      <c r="F3587" s="2">
        <v>164000</v>
      </c>
      <c r="G3587" t="s">
        <v>16</v>
      </c>
      <c r="H3587" t="s">
        <v>17</v>
      </c>
      <c r="I3587" t="s">
        <v>18</v>
      </c>
      <c r="J3587" s="3">
        <v>45833</v>
      </c>
      <c r="K3587" s="4">
        <f>ClientiBanca[[#This Row],[Prestito]]+ClientiBanca[[#This Row],[Mutuo]]</f>
        <v>199300</v>
      </c>
      <c r="L3587" t="str">
        <f>IF(ClientiBanca[[#This Row],[Reddito annuo]]&gt;=70000,"si","no")</f>
        <v>no</v>
      </c>
    </row>
    <row r="3588" spans="1:12">
      <c r="A3588">
        <v>103587</v>
      </c>
      <c r="B3588">
        <v>70</v>
      </c>
      <c r="C3588" s="2">
        <v>49000</v>
      </c>
      <c r="D3588" t="s">
        <v>22</v>
      </c>
      <c r="E3588" s="2">
        <v>14500</v>
      </c>
      <c r="F3588" s="2">
        <v>261000</v>
      </c>
      <c r="G3588" t="s">
        <v>26</v>
      </c>
      <c r="H3588" t="s">
        <v>20</v>
      </c>
      <c r="I3588" t="s">
        <v>18</v>
      </c>
      <c r="J3588" s="3">
        <v>46219</v>
      </c>
      <c r="K3588" s="4">
        <f>ClientiBanca[[#This Row],[Prestito]]+ClientiBanca[[#This Row],[Mutuo]]</f>
        <v>275500</v>
      </c>
      <c r="L3588" t="str">
        <f>IF(ClientiBanca[[#This Row],[Reddito annuo]]&gt;=70000,"si","no")</f>
        <v>no</v>
      </c>
    </row>
    <row r="3589" spans="1:12">
      <c r="A3589">
        <v>103588</v>
      </c>
      <c r="B3589">
        <v>24</v>
      </c>
      <c r="C3589" s="2">
        <v>48300</v>
      </c>
      <c r="D3589" t="s">
        <v>21</v>
      </c>
      <c r="E3589" s="2">
        <v>52600</v>
      </c>
      <c r="F3589" s="2">
        <v>232000</v>
      </c>
      <c r="G3589" t="s">
        <v>23</v>
      </c>
      <c r="H3589" t="s">
        <v>20</v>
      </c>
      <c r="I3589" t="s">
        <v>18</v>
      </c>
      <c r="J3589" s="3">
        <v>46032</v>
      </c>
      <c r="K3589" s="4">
        <f>ClientiBanca[[#This Row],[Prestito]]+ClientiBanca[[#This Row],[Mutuo]]</f>
        <v>284600</v>
      </c>
      <c r="L3589" t="str">
        <f>IF(ClientiBanca[[#This Row],[Reddito annuo]]&gt;=70000,"si","no")</f>
        <v>no</v>
      </c>
    </row>
    <row r="3590" spans="1:12">
      <c r="A3590">
        <v>103589</v>
      </c>
      <c r="B3590">
        <v>35</v>
      </c>
      <c r="C3590" s="2">
        <v>42600</v>
      </c>
      <c r="D3590" t="s">
        <v>21</v>
      </c>
      <c r="E3590" s="2">
        <v>0</v>
      </c>
      <c r="F3590" s="2">
        <v>204000</v>
      </c>
      <c r="G3590" t="s">
        <v>19</v>
      </c>
      <c r="H3590" t="s">
        <v>14</v>
      </c>
      <c r="I3590" t="s">
        <v>18</v>
      </c>
      <c r="J3590" s="3">
        <v>45490</v>
      </c>
      <c r="K3590" s="4">
        <f>ClientiBanca[[#This Row],[Prestito]]+ClientiBanca[[#This Row],[Mutuo]]</f>
        <v>204000</v>
      </c>
      <c r="L3590" t="str">
        <f>IF(ClientiBanca[[#This Row],[Reddito annuo]]&gt;=70000,"si","no")</f>
        <v>no</v>
      </c>
    </row>
    <row r="3591" spans="1:12">
      <c r="A3591">
        <v>103590</v>
      </c>
      <c r="B3591">
        <v>49</v>
      </c>
      <c r="C3591" s="2">
        <v>75700</v>
      </c>
      <c r="D3591" t="s">
        <v>21</v>
      </c>
      <c r="E3591" s="2">
        <v>36000</v>
      </c>
      <c r="F3591" s="2">
        <v>0</v>
      </c>
      <c r="G3591" t="s">
        <v>16</v>
      </c>
      <c r="H3591" t="s">
        <v>17</v>
      </c>
      <c r="I3591" t="s">
        <v>18</v>
      </c>
      <c r="J3591" s="3">
        <v>45753</v>
      </c>
      <c r="K3591" s="4">
        <f>ClientiBanca[[#This Row],[Prestito]]+ClientiBanca[[#This Row],[Mutuo]]</f>
        <v>36000</v>
      </c>
      <c r="L3591" t="str">
        <f>IF(ClientiBanca[[#This Row],[Reddito annuo]]&gt;=70000,"si","no")</f>
        <v>si</v>
      </c>
    </row>
    <row r="3592" spans="1:12">
      <c r="A3592">
        <v>103591</v>
      </c>
      <c r="B3592">
        <v>48</v>
      </c>
      <c r="C3592" s="2">
        <v>27400</v>
      </c>
      <c r="D3592" t="s">
        <v>12</v>
      </c>
      <c r="E3592" s="2">
        <v>31600</v>
      </c>
      <c r="F3592" s="2">
        <v>0</v>
      </c>
      <c r="G3592" t="s">
        <v>26</v>
      </c>
      <c r="H3592" t="s">
        <v>17</v>
      </c>
      <c r="I3592" t="s">
        <v>18</v>
      </c>
      <c r="J3592" s="3">
        <v>45480</v>
      </c>
      <c r="K3592" s="4">
        <f>ClientiBanca[[#This Row],[Prestito]]+ClientiBanca[[#This Row],[Mutuo]]</f>
        <v>31600</v>
      </c>
      <c r="L3592" t="str">
        <f>IF(ClientiBanca[[#This Row],[Reddito annuo]]&gt;=70000,"si","no")</f>
        <v>no</v>
      </c>
    </row>
    <row r="3593" spans="1:12">
      <c r="A3593">
        <v>103592</v>
      </c>
      <c r="B3593">
        <v>41</v>
      </c>
      <c r="C3593" s="2">
        <v>76000</v>
      </c>
      <c r="D3593" t="s">
        <v>22</v>
      </c>
      <c r="E3593" s="2">
        <v>64600</v>
      </c>
      <c r="F3593" s="2">
        <v>0</v>
      </c>
      <c r="G3593" t="s">
        <v>23</v>
      </c>
      <c r="H3593" t="s">
        <v>14</v>
      </c>
      <c r="I3593" t="s">
        <v>18</v>
      </c>
      <c r="J3593" s="3">
        <v>45934</v>
      </c>
      <c r="K3593" s="4">
        <f>ClientiBanca[[#This Row],[Prestito]]+ClientiBanca[[#This Row],[Mutuo]]</f>
        <v>64600</v>
      </c>
      <c r="L3593" t="str">
        <f>IF(ClientiBanca[[#This Row],[Reddito annuo]]&gt;=70000,"si","no")</f>
        <v>si</v>
      </c>
    </row>
    <row r="3594" spans="1:12">
      <c r="A3594">
        <v>103593</v>
      </c>
      <c r="B3594">
        <v>72</v>
      </c>
      <c r="C3594" s="2">
        <v>64600</v>
      </c>
      <c r="D3594" t="s">
        <v>21</v>
      </c>
      <c r="E3594" s="2">
        <v>58200</v>
      </c>
      <c r="F3594" s="2">
        <v>0</v>
      </c>
      <c r="G3594" t="s">
        <v>16</v>
      </c>
      <c r="H3594" t="s">
        <v>17</v>
      </c>
      <c r="I3594" t="s">
        <v>18</v>
      </c>
      <c r="J3594" s="3">
        <v>45911</v>
      </c>
      <c r="K3594" s="4">
        <f>ClientiBanca[[#This Row],[Prestito]]+ClientiBanca[[#This Row],[Mutuo]]</f>
        <v>58200</v>
      </c>
      <c r="L3594" t="str">
        <f>IF(ClientiBanca[[#This Row],[Reddito annuo]]&gt;=70000,"si","no")</f>
        <v>no</v>
      </c>
    </row>
    <row r="3595" spans="1:12">
      <c r="A3595">
        <v>103594</v>
      </c>
      <c r="B3595">
        <v>48</v>
      </c>
      <c r="C3595" s="2">
        <v>51500</v>
      </c>
      <c r="D3595" t="s">
        <v>21</v>
      </c>
      <c r="E3595" s="2">
        <v>64400</v>
      </c>
      <c r="F3595" s="2">
        <v>253000</v>
      </c>
      <c r="G3595" t="s">
        <v>23</v>
      </c>
      <c r="H3595" t="s">
        <v>20</v>
      </c>
      <c r="I3595" t="s">
        <v>18</v>
      </c>
      <c r="J3595" s="3">
        <v>45350</v>
      </c>
      <c r="K3595" s="4">
        <f>ClientiBanca[[#This Row],[Prestito]]+ClientiBanca[[#This Row],[Mutuo]]</f>
        <v>317400</v>
      </c>
      <c r="L3595" t="str">
        <f>IF(ClientiBanca[[#This Row],[Reddito annuo]]&gt;=70000,"si","no")</f>
        <v>no</v>
      </c>
    </row>
    <row r="3596" spans="1:12">
      <c r="A3596">
        <v>103595</v>
      </c>
      <c r="B3596">
        <v>63</v>
      </c>
      <c r="C3596" s="2">
        <v>49800</v>
      </c>
      <c r="D3596" t="s">
        <v>21</v>
      </c>
      <c r="E3596" s="2">
        <v>0</v>
      </c>
      <c r="F3596" s="2">
        <v>183000</v>
      </c>
      <c r="G3596" t="s">
        <v>23</v>
      </c>
      <c r="H3596" t="s">
        <v>20</v>
      </c>
      <c r="I3596" t="s">
        <v>18</v>
      </c>
      <c r="J3596" s="3">
        <v>45958</v>
      </c>
      <c r="K3596" s="4">
        <f>ClientiBanca[[#This Row],[Prestito]]+ClientiBanca[[#This Row],[Mutuo]]</f>
        <v>183000</v>
      </c>
      <c r="L3596" t="str">
        <f>IF(ClientiBanca[[#This Row],[Reddito annuo]]&gt;=70000,"si","no")</f>
        <v>no</v>
      </c>
    </row>
    <row r="3597" spans="1:12">
      <c r="A3597">
        <v>103596</v>
      </c>
      <c r="B3597">
        <v>24</v>
      </c>
      <c r="C3597" s="2">
        <v>59000</v>
      </c>
      <c r="D3597" t="s">
        <v>21</v>
      </c>
      <c r="E3597" s="2">
        <v>0</v>
      </c>
      <c r="F3597" s="2">
        <v>0</v>
      </c>
      <c r="G3597" t="s">
        <v>28</v>
      </c>
      <c r="H3597" t="s">
        <v>20</v>
      </c>
      <c r="I3597" t="s">
        <v>18</v>
      </c>
      <c r="J3597" s="3">
        <v>45908</v>
      </c>
      <c r="K3597" s="4">
        <f>ClientiBanca[[#This Row],[Prestito]]+ClientiBanca[[#This Row],[Mutuo]]</f>
        <v>0</v>
      </c>
      <c r="L3597" t="str">
        <f>IF(ClientiBanca[[#This Row],[Reddito annuo]]&gt;=70000,"si","no")</f>
        <v>no</v>
      </c>
    </row>
    <row r="3598" spans="1:12">
      <c r="A3598">
        <v>103597</v>
      </c>
      <c r="B3598">
        <v>65</v>
      </c>
      <c r="C3598" s="2">
        <v>87500</v>
      </c>
      <c r="D3598" t="s">
        <v>12</v>
      </c>
      <c r="E3598" s="2">
        <v>25800</v>
      </c>
      <c r="F3598" s="2">
        <v>0</v>
      </c>
      <c r="G3598" t="s">
        <v>26</v>
      </c>
      <c r="H3598" t="s">
        <v>14</v>
      </c>
      <c r="I3598" t="s">
        <v>18</v>
      </c>
      <c r="J3598" s="3">
        <v>46139</v>
      </c>
      <c r="K3598" s="4">
        <f>ClientiBanca[[#This Row],[Prestito]]+ClientiBanca[[#This Row],[Mutuo]]</f>
        <v>25800</v>
      </c>
      <c r="L3598" t="str">
        <f>IF(ClientiBanca[[#This Row],[Reddito annuo]]&gt;=70000,"si","no")</f>
        <v>si</v>
      </c>
    </row>
    <row r="3599" spans="1:12">
      <c r="A3599">
        <v>103598</v>
      </c>
      <c r="B3599">
        <v>29</v>
      </c>
      <c r="C3599" s="2">
        <v>115700</v>
      </c>
      <c r="D3599" t="s">
        <v>21</v>
      </c>
      <c r="E3599" s="2">
        <v>58300</v>
      </c>
      <c r="F3599" s="2">
        <v>0</v>
      </c>
      <c r="G3599" t="s">
        <v>28</v>
      </c>
      <c r="H3599" t="s">
        <v>14</v>
      </c>
      <c r="I3599" t="s">
        <v>18</v>
      </c>
      <c r="J3599" s="3">
        <v>46177</v>
      </c>
      <c r="K3599" s="4">
        <f>ClientiBanca[[#This Row],[Prestito]]+ClientiBanca[[#This Row],[Mutuo]]</f>
        <v>58300</v>
      </c>
      <c r="L3599" t="str">
        <f>IF(ClientiBanca[[#This Row],[Reddito annuo]]&gt;=70000,"si","no")</f>
        <v>si</v>
      </c>
    </row>
    <row r="3600" spans="1:12">
      <c r="A3600">
        <v>103599</v>
      </c>
      <c r="B3600">
        <v>43</v>
      </c>
      <c r="C3600" s="2">
        <v>22200</v>
      </c>
      <c r="D3600" t="s">
        <v>21</v>
      </c>
      <c r="E3600" s="2">
        <v>6200</v>
      </c>
      <c r="F3600" s="2">
        <v>0</v>
      </c>
      <c r="G3600" t="s">
        <v>19</v>
      </c>
      <c r="H3600" t="s">
        <v>17</v>
      </c>
      <c r="I3600" t="s">
        <v>18</v>
      </c>
      <c r="J3600" s="3">
        <v>46030</v>
      </c>
      <c r="K3600" s="4">
        <f>ClientiBanca[[#This Row],[Prestito]]+ClientiBanca[[#This Row],[Mutuo]]</f>
        <v>6200</v>
      </c>
      <c r="L3600" t="str">
        <f>IF(ClientiBanca[[#This Row],[Reddito annuo]]&gt;=70000,"si","no")</f>
        <v>no</v>
      </c>
    </row>
    <row r="3601" spans="1:12">
      <c r="A3601">
        <v>103600</v>
      </c>
      <c r="B3601">
        <v>31</v>
      </c>
      <c r="C3601" s="2">
        <v>56400</v>
      </c>
      <c r="D3601" t="s">
        <v>12</v>
      </c>
      <c r="E3601" s="2">
        <v>0</v>
      </c>
      <c r="F3601" s="2">
        <v>0</v>
      </c>
      <c r="G3601" t="s">
        <v>24</v>
      </c>
      <c r="H3601" t="s">
        <v>25</v>
      </c>
      <c r="I3601" t="s">
        <v>18</v>
      </c>
      <c r="J3601" s="3">
        <v>46142</v>
      </c>
      <c r="K3601" s="4">
        <f>ClientiBanca[[#This Row],[Prestito]]+ClientiBanca[[#This Row],[Mutuo]]</f>
        <v>0</v>
      </c>
      <c r="L3601" t="str">
        <f>IF(ClientiBanca[[#This Row],[Reddito annuo]]&gt;=70000,"si","no")</f>
        <v>no</v>
      </c>
    </row>
    <row r="3602" spans="1:12">
      <c r="A3602">
        <v>103601</v>
      </c>
      <c r="B3602">
        <v>60</v>
      </c>
      <c r="C3602" s="2">
        <v>71900</v>
      </c>
      <c r="D3602" t="s">
        <v>12</v>
      </c>
      <c r="E3602" s="2">
        <v>0</v>
      </c>
      <c r="F3602" s="2">
        <v>221000</v>
      </c>
      <c r="G3602" t="s">
        <v>27</v>
      </c>
      <c r="H3602" t="s">
        <v>14</v>
      </c>
      <c r="I3602" t="s">
        <v>18</v>
      </c>
      <c r="J3602" s="3">
        <v>45319</v>
      </c>
      <c r="K3602" s="4">
        <f>ClientiBanca[[#This Row],[Prestito]]+ClientiBanca[[#This Row],[Mutuo]]</f>
        <v>221000</v>
      </c>
      <c r="L3602" t="str">
        <f>IF(ClientiBanca[[#This Row],[Reddito annuo]]&gt;=70000,"si","no")</f>
        <v>si</v>
      </c>
    </row>
    <row r="3603" spans="1:12">
      <c r="A3603">
        <v>103602</v>
      </c>
      <c r="B3603">
        <v>58</v>
      </c>
      <c r="C3603" s="2">
        <v>96500</v>
      </c>
      <c r="D3603" t="s">
        <v>12</v>
      </c>
      <c r="E3603" s="2">
        <v>4100</v>
      </c>
      <c r="F3603" s="2">
        <v>0</v>
      </c>
      <c r="G3603" t="s">
        <v>26</v>
      </c>
      <c r="H3603" t="s">
        <v>14</v>
      </c>
      <c r="I3603" t="s">
        <v>15</v>
      </c>
      <c r="J3603" s="3">
        <v>45861</v>
      </c>
      <c r="K3603" s="4">
        <f>ClientiBanca[[#This Row],[Prestito]]+ClientiBanca[[#This Row],[Mutuo]]</f>
        <v>4100</v>
      </c>
      <c r="L3603" t="str">
        <f>IF(ClientiBanca[[#This Row],[Reddito annuo]]&gt;=70000,"si","no")</f>
        <v>si</v>
      </c>
    </row>
    <row r="3604" spans="1:12">
      <c r="A3604">
        <v>103603</v>
      </c>
      <c r="B3604">
        <v>24</v>
      </c>
      <c r="C3604" s="2">
        <v>71600</v>
      </c>
      <c r="D3604" t="s">
        <v>21</v>
      </c>
      <c r="E3604" s="2">
        <v>0</v>
      </c>
      <c r="F3604" s="2">
        <v>0</v>
      </c>
      <c r="G3604" t="s">
        <v>28</v>
      </c>
      <c r="H3604" t="s">
        <v>17</v>
      </c>
      <c r="I3604" t="s">
        <v>18</v>
      </c>
      <c r="J3604" s="3">
        <v>45974</v>
      </c>
      <c r="K3604" s="4">
        <f>ClientiBanca[[#This Row],[Prestito]]+ClientiBanca[[#This Row],[Mutuo]]</f>
        <v>0</v>
      </c>
      <c r="L3604" t="str">
        <f>IF(ClientiBanca[[#This Row],[Reddito annuo]]&gt;=70000,"si","no")</f>
        <v>si</v>
      </c>
    </row>
    <row r="3605" spans="1:12">
      <c r="A3605">
        <v>103604</v>
      </c>
      <c r="B3605">
        <v>30</v>
      </c>
      <c r="C3605" s="2">
        <v>61700</v>
      </c>
      <c r="D3605" t="s">
        <v>21</v>
      </c>
      <c r="E3605" s="2">
        <v>0</v>
      </c>
      <c r="F3605" s="2">
        <v>0</v>
      </c>
      <c r="G3605" t="s">
        <v>28</v>
      </c>
      <c r="H3605" t="s">
        <v>17</v>
      </c>
      <c r="I3605" t="s">
        <v>18</v>
      </c>
      <c r="J3605" s="3">
        <v>45794</v>
      </c>
      <c r="K3605" s="4">
        <f>ClientiBanca[[#This Row],[Prestito]]+ClientiBanca[[#This Row],[Mutuo]]</f>
        <v>0</v>
      </c>
      <c r="L3605" t="str">
        <f>IF(ClientiBanca[[#This Row],[Reddito annuo]]&gt;=70000,"si","no")</f>
        <v>no</v>
      </c>
    </row>
    <row r="3606" spans="1:12">
      <c r="A3606">
        <v>103605</v>
      </c>
      <c r="B3606">
        <v>74</v>
      </c>
      <c r="C3606" s="2">
        <v>59500</v>
      </c>
      <c r="D3606" t="s">
        <v>21</v>
      </c>
      <c r="E3606" s="2">
        <v>38900</v>
      </c>
      <c r="F3606" s="2">
        <v>185000</v>
      </c>
      <c r="G3606" t="s">
        <v>24</v>
      </c>
      <c r="H3606" t="s">
        <v>14</v>
      </c>
      <c r="I3606" t="s">
        <v>15</v>
      </c>
      <c r="J3606" s="3">
        <v>45868</v>
      </c>
      <c r="K3606" s="4">
        <f>ClientiBanca[[#This Row],[Prestito]]+ClientiBanca[[#This Row],[Mutuo]]</f>
        <v>223900</v>
      </c>
      <c r="L3606" t="str">
        <f>IF(ClientiBanca[[#This Row],[Reddito annuo]]&gt;=70000,"si","no")</f>
        <v>no</v>
      </c>
    </row>
    <row r="3607" spans="1:12">
      <c r="A3607">
        <v>103606</v>
      </c>
      <c r="B3607">
        <v>41</v>
      </c>
      <c r="C3607" s="2">
        <v>54800</v>
      </c>
      <c r="D3607" t="s">
        <v>12</v>
      </c>
      <c r="E3607" s="2">
        <v>0</v>
      </c>
      <c r="F3607" s="2">
        <v>0</v>
      </c>
      <c r="G3607" t="s">
        <v>26</v>
      </c>
      <c r="H3607" t="s">
        <v>17</v>
      </c>
      <c r="I3607" t="s">
        <v>18</v>
      </c>
      <c r="J3607" s="3">
        <v>45794</v>
      </c>
      <c r="K3607" s="4">
        <f>ClientiBanca[[#This Row],[Prestito]]+ClientiBanca[[#This Row],[Mutuo]]</f>
        <v>0</v>
      </c>
      <c r="L3607" t="str">
        <f>IF(ClientiBanca[[#This Row],[Reddito annuo]]&gt;=70000,"si","no")</f>
        <v>no</v>
      </c>
    </row>
    <row r="3608" spans="1:12">
      <c r="A3608">
        <v>103607</v>
      </c>
      <c r="B3608">
        <v>48</v>
      </c>
      <c r="C3608" s="2">
        <v>41300</v>
      </c>
      <c r="D3608" t="s">
        <v>21</v>
      </c>
      <c r="E3608" s="2">
        <v>27800</v>
      </c>
      <c r="F3608" s="2">
        <v>0</v>
      </c>
      <c r="G3608" t="s">
        <v>13</v>
      </c>
      <c r="H3608" t="s">
        <v>25</v>
      </c>
      <c r="I3608" t="s">
        <v>18</v>
      </c>
      <c r="J3608" s="3">
        <v>45444</v>
      </c>
      <c r="K3608" s="4">
        <f>ClientiBanca[[#This Row],[Prestito]]+ClientiBanca[[#This Row],[Mutuo]]</f>
        <v>27800</v>
      </c>
      <c r="L3608" t="str">
        <f>IF(ClientiBanca[[#This Row],[Reddito annuo]]&gt;=70000,"si","no")</f>
        <v>no</v>
      </c>
    </row>
    <row r="3609" spans="1:12">
      <c r="A3609">
        <v>103608</v>
      </c>
      <c r="B3609">
        <v>22</v>
      </c>
      <c r="C3609" s="2">
        <v>50200</v>
      </c>
      <c r="D3609" t="s">
        <v>12</v>
      </c>
      <c r="E3609" s="2">
        <v>0</v>
      </c>
      <c r="F3609" s="2">
        <v>0</v>
      </c>
      <c r="G3609" t="s">
        <v>19</v>
      </c>
      <c r="H3609" t="s">
        <v>17</v>
      </c>
      <c r="I3609" t="s">
        <v>18</v>
      </c>
      <c r="J3609" s="3">
        <v>46168</v>
      </c>
      <c r="K3609" s="4">
        <f>ClientiBanca[[#This Row],[Prestito]]+ClientiBanca[[#This Row],[Mutuo]]</f>
        <v>0</v>
      </c>
      <c r="L3609" t="str">
        <f>IF(ClientiBanca[[#This Row],[Reddito annuo]]&gt;=70000,"si","no")</f>
        <v>no</v>
      </c>
    </row>
    <row r="3610" spans="1:12">
      <c r="A3610">
        <v>103609</v>
      </c>
      <c r="B3610">
        <v>66</v>
      </c>
      <c r="C3610" s="2">
        <v>89500</v>
      </c>
      <c r="D3610" t="s">
        <v>22</v>
      </c>
      <c r="E3610" s="2">
        <v>54100</v>
      </c>
      <c r="F3610" s="2">
        <v>0</v>
      </c>
      <c r="G3610" t="s">
        <v>24</v>
      </c>
      <c r="H3610" t="s">
        <v>20</v>
      </c>
      <c r="I3610" t="s">
        <v>18</v>
      </c>
      <c r="J3610" s="3">
        <v>45657</v>
      </c>
      <c r="K3610" s="4">
        <f>ClientiBanca[[#This Row],[Prestito]]+ClientiBanca[[#This Row],[Mutuo]]</f>
        <v>54100</v>
      </c>
      <c r="L3610" t="str">
        <f>IF(ClientiBanca[[#This Row],[Reddito annuo]]&gt;=70000,"si","no")</f>
        <v>si</v>
      </c>
    </row>
    <row r="3611" spans="1:12">
      <c r="A3611">
        <v>103610</v>
      </c>
      <c r="B3611">
        <v>26</v>
      </c>
      <c r="C3611" s="2">
        <v>54700</v>
      </c>
      <c r="D3611" t="s">
        <v>12</v>
      </c>
      <c r="E3611" s="2">
        <v>0</v>
      </c>
      <c r="F3611" s="2">
        <v>0</v>
      </c>
      <c r="G3611" t="s">
        <v>16</v>
      </c>
      <c r="H3611" t="s">
        <v>17</v>
      </c>
      <c r="I3611" t="s">
        <v>18</v>
      </c>
      <c r="J3611" s="3">
        <v>45485</v>
      </c>
      <c r="K3611" s="4">
        <f>ClientiBanca[[#This Row],[Prestito]]+ClientiBanca[[#This Row],[Mutuo]]</f>
        <v>0</v>
      </c>
      <c r="L3611" t="str">
        <f>IF(ClientiBanca[[#This Row],[Reddito annuo]]&gt;=70000,"si","no")</f>
        <v>no</v>
      </c>
    </row>
    <row r="3612" spans="1:12">
      <c r="A3612">
        <v>103611</v>
      </c>
      <c r="B3612">
        <v>43</v>
      </c>
      <c r="C3612" s="2">
        <v>62800</v>
      </c>
      <c r="D3612" t="s">
        <v>12</v>
      </c>
      <c r="E3612" s="2">
        <v>0</v>
      </c>
      <c r="F3612" s="2">
        <v>0</v>
      </c>
      <c r="G3612" t="s">
        <v>28</v>
      </c>
      <c r="H3612" t="s">
        <v>20</v>
      </c>
      <c r="I3612" t="s">
        <v>18</v>
      </c>
      <c r="J3612" s="3">
        <v>45752</v>
      </c>
      <c r="K3612" s="4">
        <f>ClientiBanca[[#This Row],[Prestito]]+ClientiBanca[[#This Row],[Mutuo]]</f>
        <v>0</v>
      </c>
      <c r="L3612" t="str">
        <f>IF(ClientiBanca[[#This Row],[Reddito annuo]]&gt;=70000,"si","no")</f>
        <v>no</v>
      </c>
    </row>
    <row r="3613" spans="1:12">
      <c r="A3613">
        <v>103612</v>
      </c>
      <c r="B3613">
        <v>38</v>
      </c>
      <c r="C3613" s="2">
        <v>59700</v>
      </c>
      <c r="D3613" t="s">
        <v>12</v>
      </c>
      <c r="E3613" s="2">
        <v>74600</v>
      </c>
      <c r="F3613" s="2">
        <v>0</v>
      </c>
      <c r="G3613" t="s">
        <v>19</v>
      </c>
      <c r="H3613" t="s">
        <v>17</v>
      </c>
      <c r="I3613" t="s">
        <v>18</v>
      </c>
      <c r="J3613" s="3">
        <v>45841</v>
      </c>
      <c r="K3613" s="4">
        <f>ClientiBanca[[#This Row],[Prestito]]+ClientiBanca[[#This Row],[Mutuo]]</f>
        <v>74600</v>
      </c>
      <c r="L3613" t="str">
        <f>IF(ClientiBanca[[#This Row],[Reddito annuo]]&gt;=70000,"si","no")</f>
        <v>no</v>
      </c>
    </row>
    <row r="3614" spans="1:12">
      <c r="A3614">
        <v>103613</v>
      </c>
      <c r="B3614">
        <v>35</v>
      </c>
      <c r="C3614" s="2">
        <v>51400</v>
      </c>
      <c r="D3614" t="s">
        <v>12</v>
      </c>
      <c r="E3614" s="2">
        <v>50300</v>
      </c>
      <c r="F3614" s="2">
        <v>136000</v>
      </c>
      <c r="G3614" t="s">
        <v>27</v>
      </c>
      <c r="H3614" t="s">
        <v>14</v>
      </c>
      <c r="I3614" t="s">
        <v>18</v>
      </c>
      <c r="J3614" s="3">
        <v>45355</v>
      </c>
      <c r="K3614" s="4">
        <f>ClientiBanca[[#This Row],[Prestito]]+ClientiBanca[[#This Row],[Mutuo]]</f>
        <v>186300</v>
      </c>
      <c r="L3614" t="str">
        <f>IF(ClientiBanca[[#This Row],[Reddito annuo]]&gt;=70000,"si","no")</f>
        <v>no</v>
      </c>
    </row>
    <row r="3615" spans="1:12">
      <c r="A3615">
        <v>103614</v>
      </c>
      <c r="B3615">
        <v>64</v>
      </c>
      <c r="C3615" s="2">
        <v>51800</v>
      </c>
      <c r="D3615" t="s">
        <v>21</v>
      </c>
      <c r="E3615" s="2">
        <v>15200</v>
      </c>
      <c r="F3615" s="2">
        <v>0</v>
      </c>
      <c r="G3615" t="s">
        <v>28</v>
      </c>
      <c r="H3615" t="s">
        <v>20</v>
      </c>
      <c r="I3615" t="s">
        <v>18</v>
      </c>
      <c r="J3615" s="3">
        <v>45722</v>
      </c>
      <c r="K3615" s="4">
        <f>ClientiBanca[[#This Row],[Prestito]]+ClientiBanca[[#This Row],[Mutuo]]</f>
        <v>15200</v>
      </c>
      <c r="L3615" t="str">
        <f>IF(ClientiBanca[[#This Row],[Reddito annuo]]&gt;=70000,"si","no")</f>
        <v>no</v>
      </c>
    </row>
    <row r="3616" spans="1:12">
      <c r="A3616">
        <v>103615</v>
      </c>
      <c r="B3616">
        <v>57</v>
      </c>
      <c r="C3616" s="2">
        <v>65300</v>
      </c>
      <c r="D3616" t="s">
        <v>21</v>
      </c>
      <c r="E3616" s="2">
        <v>9300</v>
      </c>
      <c r="F3616" s="2">
        <v>0</v>
      </c>
      <c r="G3616" t="s">
        <v>23</v>
      </c>
      <c r="H3616" t="s">
        <v>14</v>
      </c>
      <c r="I3616" t="s">
        <v>18</v>
      </c>
      <c r="J3616" s="3">
        <v>45513</v>
      </c>
      <c r="K3616" s="4">
        <f>ClientiBanca[[#This Row],[Prestito]]+ClientiBanca[[#This Row],[Mutuo]]</f>
        <v>9300</v>
      </c>
      <c r="L3616" t="str">
        <f>IF(ClientiBanca[[#This Row],[Reddito annuo]]&gt;=70000,"si","no")</f>
        <v>no</v>
      </c>
    </row>
    <row r="3617" spans="1:12">
      <c r="A3617">
        <v>103616</v>
      </c>
      <c r="B3617">
        <v>22</v>
      </c>
      <c r="C3617" s="2">
        <v>48200</v>
      </c>
      <c r="D3617" t="s">
        <v>21</v>
      </c>
      <c r="E3617" s="2">
        <v>54200</v>
      </c>
      <c r="F3617" s="2">
        <v>0</v>
      </c>
      <c r="G3617" t="s">
        <v>28</v>
      </c>
      <c r="H3617" t="s">
        <v>17</v>
      </c>
      <c r="I3617" t="s">
        <v>18</v>
      </c>
      <c r="J3617" s="3">
        <v>46155</v>
      </c>
      <c r="K3617" s="4">
        <f>ClientiBanca[[#This Row],[Prestito]]+ClientiBanca[[#This Row],[Mutuo]]</f>
        <v>54200</v>
      </c>
      <c r="L3617" t="str">
        <f>IF(ClientiBanca[[#This Row],[Reddito annuo]]&gt;=70000,"si","no")</f>
        <v>no</v>
      </c>
    </row>
    <row r="3618" spans="1:12">
      <c r="A3618">
        <v>103617</v>
      </c>
      <c r="B3618">
        <v>41</v>
      </c>
      <c r="C3618" s="2">
        <v>39900</v>
      </c>
      <c r="D3618" t="s">
        <v>12</v>
      </c>
      <c r="E3618" s="2">
        <v>39500</v>
      </c>
      <c r="F3618" s="2">
        <v>0</v>
      </c>
      <c r="G3618" t="s">
        <v>28</v>
      </c>
      <c r="H3618" t="s">
        <v>17</v>
      </c>
      <c r="I3618" t="s">
        <v>18</v>
      </c>
      <c r="J3618" s="3">
        <v>45408</v>
      </c>
      <c r="K3618" s="4">
        <f>ClientiBanca[[#This Row],[Prestito]]+ClientiBanca[[#This Row],[Mutuo]]</f>
        <v>39500</v>
      </c>
      <c r="L3618" t="str">
        <f>IF(ClientiBanca[[#This Row],[Reddito annuo]]&gt;=70000,"si","no")</f>
        <v>no</v>
      </c>
    </row>
    <row r="3619" spans="1:12">
      <c r="A3619">
        <v>103618</v>
      </c>
      <c r="B3619">
        <v>31</v>
      </c>
      <c r="C3619" s="2">
        <v>64000</v>
      </c>
      <c r="D3619" t="s">
        <v>21</v>
      </c>
      <c r="E3619" s="2">
        <v>0</v>
      </c>
      <c r="F3619" s="2">
        <v>0</v>
      </c>
      <c r="G3619" t="s">
        <v>26</v>
      </c>
      <c r="H3619" t="s">
        <v>14</v>
      </c>
      <c r="I3619" t="s">
        <v>18</v>
      </c>
      <c r="J3619" s="3">
        <v>45417</v>
      </c>
      <c r="K3619" s="4">
        <f>ClientiBanca[[#This Row],[Prestito]]+ClientiBanca[[#This Row],[Mutuo]]</f>
        <v>0</v>
      </c>
      <c r="L3619" t="str">
        <f>IF(ClientiBanca[[#This Row],[Reddito annuo]]&gt;=70000,"si","no")</f>
        <v>no</v>
      </c>
    </row>
    <row r="3620" spans="1:12">
      <c r="A3620">
        <v>103619</v>
      </c>
      <c r="B3620">
        <v>48</v>
      </c>
      <c r="C3620" s="2">
        <v>42900</v>
      </c>
      <c r="D3620" t="s">
        <v>22</v>
      </c>
      <c r="E3620" s="2">
        <v>0</v>
      </c>
      <c r="F3620" s="2">
        <v>154000</v>
      </c>
      <c r="G3620" t="s">
        <v>28</v>
      </c>
      <c r="H3620" t="s">
        <v>14</v>
      </c>
      <c r="I3620" t="s">
        <v>18</v>
      </c>
      <c r="J3620" s="3">
        <v>45814</v>
      </c>
      <c r="K3620" s="4">
        <f>ClientiBanca[[#This Row],[Prestito]]+ClientiBanca[[#This Row],[Mutuo]]</f>
        <v>154000</v>
      </c>
      <c r="L3620" t="str">
        <f>IF(ClientiBanca[[#This Row],[Reddito annuo]]&gt;=70000,"si","no")</f>
        <v>no</v>
      </c>
    </row>
    <row r="3621" spans="1:12">
      <c r="A3621">
        <v>103620</v>
      </c>
      <c r="B3621">
        <v>47</v>
      </c>
      <c r="C3621" s="2">
        <v>49100</v>
      </c>
      <c r="D3621" t="s">
        <v>22</v>
      </c>
      <c r="E3621" s="2">
        <v>0</v>
      </c>
      <c r="F3621" s="2">
        <v>0</v>
      </c>
      <c r="G3621" t="s">
        <v>26</v>
      </c>
      <c r="H3621" t="s">
        <v>17</v>
      </c>
      <c r="I3621" t="s">
        <v>18</v>
      </c>
      <c r="J3621" s="3">
        <v>46122</v>
      </c>
      <c r="K3621" s="4">
        <f>ClientiBanca[[#This Row],[Prestito]]+ClientiBanca[[#This Row],[Mutuo]]</f>
        <v>0</v>
      </c>
      <c r="L3621" t="str">
        <f>IF(ClientiBanca[[#This Row],[Reddito annuo]]&gt;=70000,"si","no")</f>
        <v>no</v>
      </c>
    </row>
    <row r="3622" spans="1:12">
      <c r="A3622">
        <v>103621</v>
      </c>
      <c r="B3622">
        <v>74</v>
      </c>
      <c r="C3622" s="2">
        <v>55700</v>
      </c>
      <c r="D3622" t="s">
        <v>22</v>
      </c>
      <c r="E3622" s="2">
        <v>10800</v>
      </c>
      <c r="F3622" s="2">
        <v>0</v>
      </c>
      <c r="G3622" t="s">
        <v>28</v>
      </c>
      <c r="H3622" t="s">
        <v>17</v>
      </c>
      <c r="I3622" t="s">
        <v>18</v>
      </c>
      <c r="J3622" s="3">
        <v>45786</v>
      </c>
      <c r="K3622" s="4">
        <f>ClientiBanca[[#This Row],[Prestito]]+ClientiBanca[[#This Row],[Mutuo]]</f>
        <v>10800</v>
      </c>
      <c r="L3622" t="str">
        <f>IF(ClientiBanca[[#This Row],[Reddito annuo]]&gt;=70000,"si","no")</f>
        <v>no</v>
      </c>
    </row>
    <row r="3623" spans="1:12">
      <c r="A3623">
        <v>103622</v>
      </c>
      <c r="B3623">
        <v>69</v>
      </c>
      <c r="C3623" s="2">
        <v>90900</v>
      </c>
      <c r="D3623" t="s">
        <v>21</v>
      </c>
      <c r="E3623" s="2">
        <v>12200</v>
      </c>
      <c r="F3623" s="2">
        <v>169000</v>
      </c>
      <c r="G3623" t="s">
        <v>26</v>
      </c>
      <c r="H3623" t="s">
        <v>17</v>
      </c>
      <c r="I3623" t="s">
        <v>18</v>
      </c>
      <c r="J3623" s="3">
        <v>45545</v>
      </c>
      <c r="K3623" s="4">
        <f>ClientiBanca[[#This Row],[Prestito]]+ClientiBanca[[#This Row],[Mutuo]]</f>
        <v>181200</v>
      </c>
      <c r="L3623" t="str">
        <f>IF(ClientiBanca[[#This Row],[Reddito annuo]]&gt;=70000,"si","no")</f>
        <v>si</v>
      </c>
    </row>
    <row r="3624" spans="1:12">
      <c r="A3624">
        <v>103623</v>
      </c>
      <c r="B3624">
        <v>52</v>
      </c>
      <c r="C3624" s="2">
        <v>102800</v>
      </c>
      <c r="D3624" t="s">
        <v>21</v>
      </c>
      <c r="E3624" s="2">
        <v>33400</v>
      </c>
      <c r="F3624" s="2">
        <v>227000</v>
      </c>
      <c r="G3624" t="s">
        <v>28</v>
      </c>
      <c r="H3624" t="s">
        <v>20</v>
      </c>
      <c r="I3624" t="s">
        <v>18</v>
      </c>
      <c r="J3624" s="3">
        <v>45819</v>
      </c>
      <c r="K3624" s="4">
        <f>ClientiBanca[[#This Row],[Prestito]]+ClientiBanca[[#This Row],[Mutuo]]</f>
        <v>260400</v>
      </c>
      <c r="L3624" t="str">
        <f>IF(ClientiBanca[[#This Row],[Reddito annuo]]&gt;=70000,"si","no")</f>
        <v>si</v>
      </c>
    </row>
    <row r="3625" spans="1:12">
      <c r="A3625">
        <v>103624</v>
      </c>
      <c r="B3625">
        <v>22</v>
      </c>
      <c r="C3625" s="2">
        <v>78700</v>
      </c>
      <c r="D3625" t="s">
        <v>21</v>
      </c>
      <c r="E3625" s="2">
        <v>59700</v>
      </c>
      <c r="F3625" s="2">
        <v>0</v>
      </c>
      <c r="G3625" t="s">
        <v>19</v>
      </c>
      <c r="H3625" t="s">
        <v>25</v>
      </c>
      <c r="I3625" t="s">
        <v>15</v>
      </c>
      <c r="J3625" s="3">
        <v>45918</v>
      </c>
      <c r="K3625" s="4">
        <f>ClientiBanca[[#This Row],[Prestito]]+ClientiBanca[[#This Row],[Mutuo]]</f>
        <v>59700</v>
      </c>
      <c r="L3625" t="str">
        <f>IF(ClientiBanca[[#This Row],[Reddito annuo]]&gt;=70000,"si","no")</f>
        <v>si</v>
      </c>
    </row>
    <row r="3626" spans="1:12">
      <c r="A3626">
        <v>103625</v>
      </c>
      <c r="B3626">
        <v>36</v>
      </c>
      <c r="C3626" s="2">
        <v>41000</v>
      </c>
      <c r="D3626" t="s">
        <v>12</v>
      </c>
      <c r="E3626" s="2">
        <v>27200</v>
      </c>
      <c r="F3626" s="2">
        <v>0</v>
      </c>
      <c r="G3626" t="s">
        <v>28</v>
      </c>
      <c r="H3626" t="s">
        <v>25</v>
      </c>
      <c r="I3626" t="s">
        <v>18</v>
      </c>
      <c r="J3626" s="3">
        <v>45841</v>
      </c>
      <c r="K3626" s="4">
        <f>ClientiBanca[[#This Row],[Prestito]]+ClientiBanca[[#This Row],[Mutuo]]</f>
        <v>27200</v>
      </c>
      <c r="L3626" t="str">
        <f>IF(ClientiBanca[[#This Row],[Reddito annuo]]&gt;=70000,"si","no")</f>
        <v>no</v>
      </c>
    </row>
    <row r="3627" spans="1:12">
      <c r="A3627">
        <v>103626</v>
      </c>
      <c r="B3627">
        <v>40</v>
      </c>
      <c r="C3627" s="2">
        <v>48400</v>
      </c>
      <c r="D3627" t="s">
        <v>21</v>
      </c>
      <c r="E3627" s="2">
        <v>0</v>
      </c>
      <c r="F3627" s="2">
        <v>337000</v>
      </c>
      <c r="G3627" t="s">
        <v>26</v>
      </c>
      <c r="H3627" t="s">
        <v>20</v>
      </c>
      <c r="I3627" t="s">
        <v>18</v>
      </c>
      <c r="J3627" s="3">
        <v>45400</v>
      </c>
      <c r="K3627" s="4">
        <f>ClientiBanca[[#This Row],[Prestito]]+ClientiBanca[[#This Row],[Mutuo]]</f>
        <v>337000</v>
      </c>
      <c r="L3627" t="str">
        <f>IF(ClientiBanca[[#This Row],[Reddito annuo]]&gt;=70000,"si","no")</f>
        <v>no</v>
      </c>
    </row>
    <row r="3628" spans="1:12">
      <c r="A3628">
        <v>103627</v>
      </c>
      <c r="B3628">
        <v>23</v>
      </c>
      <c r="C3628" s="2">
        <v>84100</v>
      </c>
      <c r="D3628" t="s">
        <v>21</v>
      </c>
      <c r="E3628" s="2">
        <v>60000</v>
      </c>
      <c r="F3628" s="2">
        <v>0</v>
      </c>
      <c r="G3628" t="s">
        <v>28</v>
      </c>
      <c r="H3628" t="s">
        <v>20</v>
      </c>
      <c r="I3628" t="s">
        <v>18</v>
      </c>
      <c r="J3628" s="3">
        <v>45577</v>
      </c>
      <c r="K3628" s="4">
        <f>ClientiBanca[[#This Row],[Prestito]]+ClientiBanca[[#This Row],[Mutuo]]</f>
        <v>60000</v>
      </c>
      <c r="L3628" t="str">
        <f>IF(ClientiBanca[[#This Row],[Reddito annuo]]&gt;=70000,"si","no")</f>
        <v>si</v>
      </c>
    </row>
    <row r="3629" spans="1:12">
      <c r="A3629">
        <v>103628</v>
      </c>
      <c r="B3629">
        <v>73</v>
      </c>
      <c r="C3629" s="2">
        <v>66000</v>
      </c>
      <c r="D3629" t="s">
        <v>21</v>
      </c>
      <c r="E3629" s="2">
        <v>0</v>
      </c>
      <c r="F3629" s="2">
        <v>213000</v>
      </c>
      <c r="G3629" t="s">
        <v>13</v>
      </c>
      <c r="H3629" t="s">
        <v>17</v>
      </c>
      <c r="I3629" t="s">
        <v>18</v>
      </c>
      <c r="J3629" s="3">
        <v>46190</v>
      </c>
      <c r="K3629" s="4">
        <f>ClientiBanca[[#This Row],[Prestito]]+ClientiBanca[[#This Row],[Mutuo]]</f>
        <v>213000</v>
      </c>
      <c r="L3629" t="str">
        <f>IF(ClientiBanca[[#This Row],[Reddito annuo]]&gt;=70000,"si","no")</f>
        <v>no</v>
      </c>
    </row>
    <row r="3630" spans="1:12">
      <c r="A3630">
        <v>103629</v>
      </c>
      <c r="B3630">
        <v>60</v>
      </c>
      <c r="C3630" s="2">
        <v>68400</v>
      </c>
      <c r="D3630" t="s">
        <v>12</v>
      </c>
      <c r="E3630" s="2">
        <v>0</v>
      </c>
      <c r="F3630" s="2">
        <v>0</v>
      </c>
      <c r="G3630" t="s">
        <v>23</v>
      </c>
      <c r="H3630" t="s">
        <v>25</v>
      </c>
      <c r="I3630" t="s">
        <v>18</v>
      </c>
      <c r="J3630" s="3">
        <v>46072</v>
      </c>
      <c r="K3630" s="4">
        <f>ClientiBanca[[#This Row],[Prestito]]+ClientiBanca[[#This Row],[Mutuo]]</f>
        <v>0</v>
      </c>
      <c r="L3630" t="str">
        <f>IF(ClientiBanca[[#This Row],[Reddito annuo]]&gt;=70000,"si","no")</f>
        <v>no</v>
      </c>
    </row>
    <row r="3631" spans="1:12">
      <c r="A3631">
        <v>103630</v>
      </c>
      <c r="B3631">
        <v>74</v>
      </c>
      <c r="C3631" s="2">
        <v>93200</v>
      </c>
      <c r="D3631" t="s">
        <v>12</v>
      </c>
      <c r="E3631" s="2">
        <v>76500</v>
      </c>
      <c r="F3631" s="2">
        <v>0</v>
      </c>
      <c r="G3631" t="s">
        <v>26</v>
      </c>
      <c r="H3631" t="s">
        <v>17</v>
      </c>
      <c r="I3631" t="s">
        <v>18</v>
      </c>
      <c r="J3631" s="3">
        <v>45371</v>
      </c>
      <c r="K3631" s="4">
        <f>ClientiBanca[[#This Row],[Prestito]]+ClientiBanca[[#This Row],[Mutuo]]</f>
        <v>76500</v>
      </c>
      <c r="L3631" t="str">
        <f>IF(ClientiBanca[[#This Row],[Reddito annuo]]&gt;=70000,"si","no")</f>
        <v>si</v>
      </c>
    </row>
    <row r="3632" spans="1:12">
      <c r="A3632">
        <v>103631</v>
      </c>
      <c r="B3632">
        <v>26</v>
      </c>
      <c r="C3632" s="2">
        <v>33500</v>
      </c>
      <c r="D3632" t="s">
        <v>12</v>
      </c>
      <c r="E3632" s="2">
        <v>18300</v>
      </c>
      <c r="F3632" s="2">
        <v>0</v>
      </c>
      <c r="G3632" t="s">
        <v>16</v>
      </c>
      <c r="H3632" t="s">
        <v>20</v>
      </c>
      <c r="I3632" t="s">
        <v>18</v>
      </c>
      <c r="J3632" s="3">
        <v>46149</v>
      </c>
      <c r="K3632" s="4">
        <f>ClientiBanca[[#This Row],[Prestito]]+ClientiBanca[[#This Row],[Mutuo]]</f>
        <v>18300</v>
      </c>
      <c r="L3632" t="str">
        <f>IF(ClientiBanca[[#This Row],[Reddito annuo]]&gt;=70000,"si","no")</f>
        <v>no</v>
      </c>
    </row>
    <row r="3633" spans="1:12">
      <c r="A3633">
        <v>103632</v>
      </c>
      <c r="B3633">
        <v>46</v>
      </c>
      <c r="C3633" s="2">
        <v>46100</v>
      </c>
      <c r="D3633" t="s">
        <v>22</v>
      </c>
      <c r="E3633" s="2">
        <v>27500</v>
      </c>
      <c r="F3633" s="2">
        <v>0</v>
      </c>
      <c r="G3633" t="s">
        <v>19</v>
      </c>
      <c r="H3633" t="s">
        <v>14</v>
      </c>
      <c r="I3633" t="s">
        <v>18</v>
      </c>
      <c r="J3633" s="3">
        <v>45458</v>
      </c>
      <c r="K3633" s="4">
        <f>ClientiBanca[[#This Row],[Prestito]]+ClientiBanca[[#This Row],[Mutuo]]</f>
        <v>27500</v>
      </c>
      <c r="L3633" t="str">
        <f>IF(ClientiBanca[[#This Row],[Reddito annuo]]&gt;=70000,"si","no")</f>
        <v>no</v>
      </c>
    </row>
    <row r="3634" spans="1:12">
      <c r="A3634">
        <v>103633</v>
      </c>
      <c r="B3634">
        <v>20</v>
      </c>
      <c r="C3634" s="2">
        <v>100600</v>
      </c>
      <c r="D3634" t="s">
        <v>22</v>
      </c>
      <c r="E3634" s="2">
        <v>0</v>
      </c>
      <c r="F3634" s="2">
        <v>0</v>
      </c>
      <c r="G3634" t="s">
        <v>26</v>
      </c>
      <c r="H3634" t="s">
        <v>17</v>
      </c>
      <c r="I3634" t="s">
        <v>18</v>
      </c>
      <c r="J3634" s="3">
        <v>45929</v>
      </c>
      <c r="K3634" s="4">
        <f>ClientiBanca[[#This Row],[Prestito]]+ClientiBanca[[#This Row],[Mutuo]]</f>
        <v>0</v>
      </c>
      <c r="L3634" t="str">
        <f>IF(ClientiBanca[[#This Row],[Reddito annuo]]&gt;=70000,"si","no")</f>
        <v>si</v>
      </c>
    </row>
    <row r="3635" spans="1:12">
      <c r="A3635">
        <v>103634</v>
      </c>
      <c r="B3635">
        <v>65</v>
      </c>
      <c r="C3635" s="2">
        <v>75200</v>
      </c>
      <c r="D3635" t="s">
        <v>21</v>
      </c>
      <c r="E3635" s="2">
        <v>22700</v>
      </c>
      <c r="F3635" s="2">
        <v>0</v>
      </c>
      <c r="G3635" t="s">
        <v>13</v>
      </c>
      <c r="H3635" t="s">
        <v>17</v>
      </c>
      <c r="I3635" t="s">
        <v>18</v>
      </c>
      <c r="J3635" s="3">
        <v>45594</v>
      </c>
      <c r="K3635" s="4">
        <f>ClientiBanca[[#This Row],[Prestito]]+ClientiBanca[[#This Row],[Mutuo]]</f>
        <v>22700</v>
      </c>
      <c r="L3635" t="str">
        <f>IF(ClientiBanca[[#This Row],[Reddito annuo]]&gt;=70000,"si","no")</f>
        <v>si</v>
      </c>
    </row>
    <row r="3636" spans="1:12">
      <c r="A3636">
        <v>103635</v>
      </c>
      <c r="B3636">
        <v>34</v>
      </c>
      <c r="C3636" s="2">
        <v>45500</v>
      </c>
      <c r="D3636" t="s">
        <v>21</v>
      </c>
      <c r="E3636" s="2">
        <v>56900</v>
      </c>
      <c r="F3636" s="2">
        <v>0</v>
      </c>
      <c r="G3636" t="s">
        <v>19</v>
      </c>
      <c r="H3636" t="s">
        <v>14</v>
      </c>
      <c r="I3636" t="s">
        <v>18</v>
      </c>
      <c r="J3636" s="3">
        <v>45993</v>
      </c>
      <c r="K3636" s="4">
        <f>ClientiBanca[[#This Row],[Prestito]]+ClientiBanca[[#This Row],[Mutuo]]</f>
        <v>56900</v>
      </c>
      <c r="L3636" t="str">
        <f>IF(ClientiBanca[[#This Row],[Reddito annuo]]&gt;=70000,"si","no")</f>
        <v>no</v>
      </c>
    </row>
    <row r="3637" spans="1:12">
      <c r="A3637">
        <v>103636</v>
      </c>
      <c r="B3637">
        <v>23</v>
      </c>
      <c r="C3637" s="2">
        <v>77500</v>
      </c>
      <c r="D3637" t="s">
        <v>21</v>
      </c>
      <c r="E3637" s="2">
        <v>53600</v>
      </c>
      <c r="F3637" s="2">
        <v>0</v>
      </c>
      <c r="G3637" t="s">
        <v>13</v>
      </c>
      <c r="H3637" t="s">
        <v>20</v>
      </c>
      <c r="I3637" t="s">
        <v>18</v>
      </c>
      <c r="J3637" s="3">
        <v>46084</v>
      </c>
      <c r="K3637" s="4">
        <f>ClientiBanca[[#This Row],[Prestito]]+ClientiBanca[[#This Row],[Mutuo]]</f>
        <v>53600</v>
      </c>
      <c r="L3637" t="str">
        <f>IF(ClientiBanca[[#This Row],[Reddito annuo]]&gt;=70000,"si","no")</f>
        <v>si</v>
      </c>
    </row>
    <row r="3638" spans="1:12">
      <c r="A3638">
        <v>103637</v>
      </c>
      <c r="B3638">
        <v>42</v>
      </c>
      <c r="C3638" s="2">
        <v>35100</v>
      </c>
      <c r="D3638" t="s">
        <v>21</v>
      </c>
      <c r="E3638" s="2">
        <v>21500</v>
      </c>
      <c r="F3638" s="2">
        <v>0</v>
      </c>
      <c r="G3638" t="s">
        <v>13</v>
      </c>
      <c r="H3638" t="s">
        <v>14</v>
      </c>
      <c r="I3638" t="s">
        <v>15</v>
      </c>
      <c r="J3638" s="3">
        <v>45466</v>
      </c>
      <c r="K3638" s="4">
        <f>ClientiBanca[[#This Row],[Prestito]]+ClientiBanca[[#This Row],[Mutuo]]</f>
        <v>21500</v>
      </c>
      <c r="L3638" t="str">
        <f>IF(ClientiBanca[[#This Row],[Reddito annuo]]&gt;=70000,"si","no")</f>
        <v>no</v>
      </c>
    </row>
    <row r="3639" spans="1:12">
      <c r="A3639">
        <v>103638</v>
      </c>
      <c r="B3639">
        <v>30</v>
      </c>
      <c r="C3639" s="2">
        <v>46400</v>
      </c>
      <c r="D3639" t="s">
        <v>21</v>
      </c>
      <c r="E3639" s="2">
        <v>11700</v>
      </c>
      <c r="F3639" s="2">
        <v>0</v>
      </c>
      <c r="G3639" t="s">
        <v>19</v>
      </c>
      <c r="H3639" t="s">
        <v>17</v>
      </c>
      <c r="I3639" t="s">
        <v>18</v>
      </c>
      <c r="J3639" s="3">
        <v>45379</v>
      </c>
      <c r="K3639" s="4">
        <f>ClientiBanca[[#This Row],[Prestito]]+ClientiBanca[[#This Row],[Mutuo]]</f>
        <v>11700</v>
      </c>
      <c r="L3639" t="str">
        <f>IF(ClientiBanca[[#This Row],[Reddito annuo]]&gt;=70000,"si","no")</f>
        <v>no</v>
      </c>
    </row>
    <row r="3640" spans="1:12">
      <c r="A3640">
        <v>103639</v>
      </c>
      <c r="B3640">
        <v>53</v>
      </c>
      <c r="C3640" s="2">
        <v>78600</v>
      </c>
      <c r="D3640" t="s">
        <v>22</v>
      </c>
      <c r="E3640" s="2">
        <v>18400</v>
      </c>
      <c r="F3640" s="2">
        <v>0</v>
      </c>
      <c r="G3640" t="s">
        <v>16</v>
      </c>
      <c r="H3640" t="s">
        <v>20</v>
      </c>
      <c r="I3640" t="s">
        <v>18</v>
      </c>
      <c r="J3640" s="3">
        <v>45304</v>
      </c>
      <c r="K3640" s="4">
        <f>ClientiBanca[[#This Row],[Prestito]]+ClientiBanca[[#This Row],[Mutuo]]</f>
        <v>18400</v>
      </c>
      <c r="L3640" t="str">
        <f>IF(ClientiBanca[[#This Row],[Reddito annuo]]&gt;=70000,"si","no")</f>
        <v>si</v>
      </c>
    </row>
    <row r="3641" spans="1:12">
      <c r="A3641">
        <v>103640</v>
      </c>
      <c r="B3641">
        <v>28</v>
      </c>
      <c r="C3641" s="2">
        <v>61100</v>
      </c>
      <c r="D3641" t="s">
        <v>22</v>
      </c>
      <c r="E3641" s="2">
        <v>67600</v>
      </c>
      <c r="F3641" s="2">
        <v>0</v>
      </c>
      <c r="G3641" t="s">
        <v>16</v>
      </c>
      <c r="H3641" t="s">
        <v>17</v>
      </c>
      <c r="I3641" t="s">
        <v>18</v>
      </c>
      <c r="J3641" s="3">
        <v>45857</v>
      </c>
      <c r="K3641" s="4">
        <f>ClientiBanca[[#This Row],[Prestito]]+ClientiBanca[[#This Row],[Mutuo]]</f>
        <v>67600</v>
      </c>
      <c r="L3641" t="str">
        <f>IF(ClientiBanca[[#This Row],[Reddito annuo]]&gt;=70000,"si","no")</f>
        <v>no</v>
      </c>
    </row>
    <row r="3642" spans="1:12">
      <c r="A3642">
        <v>103641</v>
      </c>
      <c r="B3642">
        <v>27</v>
      </c>
      <c r="C3642" s="2">
        <v>55700</v>
      </c>
      <c r="D3642" t="s">
        <v>12</v>
      </c>
      <c r="E3642" s="2">
        <v>48400</v>
      </c>
      <c r="F3642" s="2">
        <v>0</v>
      </c>
      <c r="G3642" t="s">
        <v>27</v>
      </c>
      <c r="H3642" t="s">
        <v>17</v>
      </c>
      <c r="I3642" t="s">
        <v>18</v>
      </c>
      <c r="J3642" s="3">
        <v>46114</v>
      </c>
      <c r="K3642" s="4">
        <f>ClientiBanca[[#This Row],[Prestito]]+ClientiBanca[[#This Row],[Mutuo]]</f>
        <v>48400</v>
      </c>
      <c r="L3642" t="str">
        <f>IF(ClientiBanca[[#This Row],[Reddito annuo]]&gt;=70000,"si","no")</f>
        <v>no</v>
      </c>
    </row>
    <row r="3643" spans="1:12">
      <c r="A3643">
        <v>103642</v>
      </c>
      <c r="B3643">
        <v>39</v>
      </c>
      <c r="C3643" s="2">
        <v>66600</v>
      </c>
      <c r="D3643" t="s">
        <v>21</v>
      </c>
      <c r="E3643" s="2">
        <v>0</v>
      </c>
      <c r="F3643" s="2">
        <v>0</v>
      </c>
      <c r="G3643" t="s">
        <v>13</v>
      </c>
      <c r="H3643" t="s">
        <v>17</v>
      </c>
      <c r="I3643" t="s">
        <v>18</v>
      </c>
      <c r="J3643" s="3">
        <v>45455</v>
      </c>
      <c r="K3643" s="4">
        <f>ClientiBanca[[#This Row],[Prestito]]+ClientiBanca[[#This Row],[Mutuo]]</f>
        <v>0</v>
      </c>
      <c r="L3643" t="str">
        <f>IF(ClientiBanca[[#This Row],[Reddito annuo]]&gt;=70000,"si","no")</f>
        <v>no</v>
      </c>
    </row>
    <row r="3644" spans="1:12">
      <c r="A3644">
        <v>103643</v>
      </c>
      <c r="B3644">
        <v>56</v>
      </c>
      <c r="C3644" s="2">
        <v>65900</v>
      </c>
      <c r="D3644" t="s">
        <v>12</v>
      </c>
      <c r="E3644" s="2">
        <v>22900</v>
      </c>
      <c r="F3644" s="2">
        <v>0</v>
      </c>
      <c r="G3644" t="s">
        <v>13</v>
      </c>
      <c r="H3644" t="s">
        <v>20</v>
      </c>
      <c r="I3644" t="s">
        <v>18</v>
      </c>
      <c r="J3644" s="3">
        <v>45662</v>
      </c>
      <c r="K3644" s="4">
        <f>ClientiBanca[[#This Row],[Prestito]]+ClientiBanca[[#This Row],[Mutuo]]</f>
        <v>22900</v>
      </c>
      <c r="L3644" t="str">
        <f>IF(ClientiBanca[[#This Row],[Reddito annuo]]&gt;=70000,"si","no")</f>
        <v>no</v>
      </c>
    </row>
    <row r="3645" spans="1:12">
      <c r="A3645">
        <v>103644</v>
      </c>
      <c r="B3645">
        <v>64</v>
      </c>
      <c r="C3645" s="2">
        <v>75900</v>
      </c>
      <c r="D3645" t="s">
        <v>22</v>
      </c>
      <c r="E3645" s="2">
        <v>38400</v>
      </c>
      <c r="F3645" s="2">
        <v>0</v>
      </c>
      <c r="G3645" t="s">
        <v>24</v>
      </c>
      <c r="H3645" t="s">
        <v>20</v>
      </c>
      <c r="I3645" t="s">
        <v>18</v>
      </c>
      <c r="J3645" s="3">
        <v>46219</v>
      </c>
      <c r="K3645" s="4">
        <f>ClientiBanca[[#This Row],[Prestito]]+ClientiBanca[[#This Row],[Mutuo]]</f>
        <v>38400</v>
      </c>
      <c r="L3645" t="str">
        <f>IF(ClientiBanca[[#This Row],[Reddito annuo]]&gt;=70000,"si","no")</f>
        <v>si</v>
      </c>
    </row>
    <row r="3646" spans="1:12">
      <c r="A3646">
        <v>103645</v>
      </c>
      <c r="B3646">
        <v>27</v>
      </c>
      <c r="C3646" s="2">
        <v>88900</v>
      </c>
      <c r="D3646" t="s">
        <v>22</v>
      </c>
      <c r="E3646" s="2">
        <v>31000</v>
      </c>
      <c r="F3646" s="2">
        <v>0</v>
      </c>
      <c r="G3646" t="s">
        <v>24</v>
      </c>
      <c r="H3646" t="s">
        <v>20</v>
      </c>
      <c r="I3646" t="s">
        <v>18</v>
      </c>
      <c r="J3646" s="3">
        <v>45954</v>
      </c>
      <c r="K3646" s="4">
        <f>ClientiBanca[[#This Row],[Prestito]]+ClientiBanca[[#This Row],[Mutuo]]</f>
        <v>31000</v>
      </c>
      <c r="L3646" t="str">
        <f>IF(ClientiBanca[[#This Row],[Reddito annuo]]&gt;=70000,"si","no")</f>
        <v>si</v>
      </c>
    </row>
    <row r="3647" spans="1:12">
      <c r="A3647">
        <v>103646</v>
      </c>
      <c r="B3647">
        <v>39</v>
      </c>
      <c r="C3647" s="2">
        <v>75800</v>
      </c>
      <c r="D3647" t="s">
        <v>21</v>
      </c>
      <c r="E3647" s="2">
        <v>0</v>
      </c>
      <c r="F3647" s="2">
        <v>0</v>
      </c>
      <c r="G3647" t="s">
        <v>16</v>
      </c>
      <c r="H3647" t="s">
        <v>20</v>
      </c>
      <c r="I3647" t="s">
        <v>18</v>
      </c>
      <c r="J3647" s="3">
        <v>45931</v>
      </c>
      <c r="K3647" s="4">
        <f>ClientiBanca[[#This Row],[Prestito]]+ClientiBanca[[#This Row],[Mutuo]]</f>
        <v>0</v>
      </c>
      <c r="L3647" t="str">
        <f>IF(ClientiBanca[[#This Row],[Reddito annuo]]&gt;=70000,"si","no")</f>
        <v>si</v>
      </c>
    </row>
    <row r="3648" spans="1:12">
      <c r="A3648">
        <v>103647</v>
      </c>
      <c r="B3648">
        <v>39</v>
      </c>
      <c r="C3648" s="2">
        <v>62900</v>
      </c>
      <c r="D3648" t="s">
        <v>12</v>
      </c>
      <c r="E3648" s="2">
        <v>18200</v>
      </c>
      <c r="F3648" s="2">
        <v>0</v>
      </c>
      <c r="G3648" t="s">
        <v>13</v>
      </c>
      <c r="H3648" t="s">
        <v>20</v>
      </c>
      <c r="I3648" t="s">
        <v>18</v>
      </c>
      <c r="J3648" s="3">
        <v>46200</v>
      </c>
      <c r="K3648" s="4">
        <f>ClientiBanca[[#This Row],[Prestito]]+ClientiBanca[[#This Row],[Mutuo]]</f>
        <v>18200</v>
      </c>
      <c r="L3648" t="str">
        <f>IF(ClientiBanca[[#This Row],[Reddito annuo]]&gt;=70000,"si","no")</f>
        <v>no</v>
      </c>
    </row>
    <row r="3649" spans="1:12">
      <c r="A3649">
        <v>103648</v>
      </c>
      <c r="B3649">
        <v>62</v>
      </c>
      <c r="C3649" s="2">
        <v>48600</v>
      </c>
      <c r="D3649" t="s">
        <v>12</v>
      </c>
      <c r="E3649" s="2">
        <v>29200</v>
      </c>
      <c r="F3649" s="2">
        <v>0</v>
      </c>
      <c r="G3649" t="s">
        <v>13</v>
      </c>
      <c r="H3649" t="s">
        <v>25</v>
      </c>
      <c r="I3649" t="s">
        <v>18</v>
      </c>
      <c r="J3649" s="3">
        <v>45487</v>
      </c>
      <c r="K3649" s="4">
        <f>ClientiBanca[[#This Row],[Prestito]]+ClientiBanca[[#This Row],[Mutuo]]</f>
        <v>29200</v>
      </c>
      <c r="L3649" t="str">
        <f>IF(ClientiBanca[[#This Row],[Reddito annuo]]&gt;=70000,"si","no")</f>
        <v>no</v>
      </c>
    </row>
    <row r="3650" spans="1:12">
      <c r="A3650">
        <v>103649</v>
      </c>
      <c r="B3650">
        <v>70</v>
      </c>
      <c r="C3650" s="2">
        <v>38000</v>
      </c>
      <c r="D3650" t="s">
        <v>21</v>
      </c>
      <c r="E3650" s="2">
        <v>47500</v>
      </c>
      <c r="F3650" s="2">
        <v>109000</v>
      </c>
      <c r="G3650" t="s">
        <v>19</v>
      </c>
      <c r="H3650" t="s">
        <v>25</v>
      </c>
      <c r="I3650" t="s">
        <v>15</v>
      </c>
      <c r="J3650" s="3">
        <v>45659</v>
      </c>
      <c r="K3650" s="4">
        <f>ClientiBanca[[#This Row],[Prestito]]+ClientiBanca[[#This Row],[Mutuo]]</f>
        <v>156500</v>
      </c>
      <c r="L3650" t="str">
        <f>IF(ClientiBanca[[#This Row],[Reddito annuo]]&gt;=70000,"si","no")</f>
        <v>no</v>
      </c>
    </row>
    <row r="3651" spans="1:12">
      <c r="A3651">
        <v>103650</v>
      </c>
      <c r="B3651">
        <v>45</v>
      </c>
      <c r="C3651" s="2">
        <v>88900</v>
      </c>
      <c r="D3651" t="s">
        <v>12</v>
      </c>
      <c r="E3651" s="2">
        <v>75000</v>
      </c>
      <c r="F3651" s="2">
        <v>0</v>
      </c>
      <c r="G3651" t="s">
        <v>26</v>
      </c>
      <c r="H3651" t="s">
        <v>14</v>
      </c>
      <c r="I3651" t="s">
        <v>18</v>
      </c>
      <c r="J3651" s="3">
        <v>46036</v>
      </c>
      <c r="K3651" s="4">
        <f>ClientiBanca[[#This Row],[Prestito]]+ClientiBanca[[#This Row],[Mutuo]]</f>
        <v>75000</v>
      </c>
      <c r="L3651" t="str">
        <f>IF(ClientiBanca[[#This Row],[Reddito annuo]]&gt;=70000,"si","no")</f>
        <v>si</v>
      </c>
    </row>
    <row r="3652" spans="1:12">
      <c r="A3652">
        <v>103651</v>
      </c>
      <c r="B3652">
        <v>28</v>
      </c>
      <c r="C3652" s="2">
        <v>37900</v>
      </c>
      <c r="D3652" t="s">
        <v>12</v>
      </c>
      <c r="E3652" s="2">
        <v>0</v>
      </c>
      <c r="F3652" s="2">
        <v>0</v>
      </c>
      <c r="G3652" t="s">
        <v>24</v>
      </c>
      <c r="H3652" t="s">
        <v>25</v>
      </c>
      <c r="I3652" t="s">
        <v>18</v>
      </c>
      <c r="J3652" s="3">
        <v>45780</v>
      </c>
      <c r="K3652" s="4">
        <f>ClientiBanca[[#This Row],[Prestito]]+ClientiBanca[[#This Row],[Mutuo]]</f>
        <v>0</v>
      </c>
      <c r="L3652" t="str">
        <f>IF(ClientiBanca[[#This Row],[Reddito annuo]]&gt;=70000,"si","no")</f>
        <v>no</v>
      </c>
    </row>
    <row r="3653" spans="1:12">
      <c r="A3653">
        <v>103652</v>
      </c>
      <c r="B3653">
        <v>73</v>
      </c>
      <c r="C3653" s="2">
        <v>32800</v>
      </c>
      <c r="D3653" t="s">
        <v>21</v>
      </c>
      <c r="E3653" s="2">
        <v>0</v>
      </c>
      <c r="F3653" s="2">
        <v>134000</v>
      </c>
      <c r="G3653" t="s">
        <v>23</v>
      </c>
      <c r="H3653" t="s">
        <v>25</v>
      </c>
      <c r="I3653" t="s">
        <v>18</v>
      </c>
      <c r="J3653" s="3">
        <v>46067</v>
      </c>
      <c r="K3653" s="4">
        <f>ClientiBanca[[#This Row],[Prestito]]+ClientiBanca[[#This Row],[Mutuo]]</f>
        <v>134000</v>
      </c>
      <c r="L3653" t="str">
        <f>IF(ClientiBanca[[#This Row],[Reddito annuo]]&gt;=70000,"si","no")</f>
        <v>no</v>
      </c>
    </row>
    <row r="3654" spans="1:12">
      <c r="A3654">
        <v>103653</v>
      </c>
      <c r="B3654">
        <v>36</v>
      </c>
      <c r="C3654" s="2">
        <v>38700</v>
      </c>
      <c r="D3654" t="s">
        <v>12</v>
      </c>
      <c r="E3654" s="2">
        <v>9400</v>
      </c>
      <c r="F3654" s="2">
        <v>0</v>
      </c>
      <c r="G3654" t="s">
        <v>16</v>
      </c>
      <c r="H3654" t="s">
        <v>20</v>
      </c>
      <c r="I3654" t="s">
        <v>18</v>
      </c>
      <c r="J3654" s="3">
        <v>45925</v>
      </c>
      <c r="K3654" s="4">
        <f>ClientiBanca[[#This Row],[Prestito]]+ClientiBanca[[#This Row],[Mutuo]]</f>
        <v>9400</v>
      </c>
      <c r="L3654" t="str">
        <f>IF(ClientiBanca[[#This Row],[Reddito annuo]]&gt;=70000,"si","no")</f>
        <v>no</v>
      </c>
    </row>
    <row r="3655" spans="1:12">
      <c r="A3655">
        <v>103654</v>
      </c>
      <c r="B3655">
        <v>66</v>
      </c>
      <c r="C3655" s="2">
        <v>41100</v>
      </c>
      <c r="D3655" t="s">
        <v>22</v>
      </c>
      <c r="E3655" s="2">
        <v>0</v>
      </c>
      <c r="F3655" s="2">
        <v>0</v>
      </c>
      <c r="G3655" t="s">
        <v>28</v>
      </c>
      <c r="H3655" t="s">
        <v>14</v>
      </c>
      <c r="I3655" t="s">
        <v>18</v>
      </c>
      <c r="J3655" s="3">
        <v>46223</v>
      </c>
      <c r="K3655" s="4">
        <f>ClientiBanca[[#This Row],[Prestito]]+ClientiBanca[[#This Row],[Mutuo]]</f>
        <v>0</v>
      </c>
      <c r="L3655" t="str">
        <f>IF(ClientiBanca[[#This Row],[Reddito annuo]]&gt;=70000,"si","no")</f>
        <v>no</v>
      </c>
    </row>
    <row r="3656" spans="1:12">
      <c r="A3656">
        <v>103655</v>
      </c>
      <c r="B3656">
        <v>47</v>
      </c>
      <c r="C3656" s="2">
        <v>76400</v>
      </c>
      <c r="D3656" t="s">
        <v>22</v>
      </c>
      <c r="E3656" s="2">
        <v>76500</v>
      </c>
      <c r="F3656" s="2">
        <v>0</v>
      </c>
      <c r="G3656" t="s">
        <v>28</v>
      </c>
      <c r="H3656" t="s">
        <v>20</v>
      </c>
      <c r="I3656" t="s">
        <v>18</v>
      </c>
      <c r="J3656" s="3">
        <v>45332</v>
      </c>
      <c r="K3656" s="4">
        <f>ClientiBanca[[#This Row],[Prestito]]+ClientiBanca[[#This Row],[Mutuo]]</f>
        <v>76500</v>
      </c>
      <c r="L3656" t="str">
        <f>IF(ClientiBanca[[#This Row],[Reddito annuo]]&gt;=70000,"si","no")</f>
        <v>si</v>
      </c>
    </row>
    <row r="3657" spans="1:12">
      <c r="A3657">
        <v>103656</v>
      </c>
      <c r="B3657">
        <v>48</v>
      </c>
      <c r="C3657" s="2">
        <v>71300</v>
      </c>
      <c r="D3657" t="s">
        <v>21</v>
      </c>
      <c r="E3657" s="2">
        <v>45500</v>
      </c>
      <c r="F3657" s="2">
        <v>297000</v>
      </c>
      <c r="G3657" t="s">
        <v>27</v>
      </c>
      <c r="H3657" t="s">
        <v>14</v>
      </c>
      <c r="I3657" t="s">
        <v>18</v>
      </c>
      <c r="J3657" s="3">
        <v>45366</v>
      </c>
      <c r="K3657" s="4">
        <f>ClientiBanca[[#This Row],[Prestito]]+ClientiBanca[[#This Row],[Mutuo]]</f>
        <v>342500</v>
      </c>
      <c r="L3657" t="str">
        <f>IF(ClientiBanca[[#This Row],[Reddito annuo]]&gt;=70000,"si","no")</f>
        <v>si</v>
      </c>
    </row>
    <row r="3658" spans="1:12">
      <c r="A3658">
        <v>103657</v>
      </c>
      <c r="B3658">
        <v>21</v>
      </c>
      <c r="C3658" s="2">
        <v>74500</v>
      </c>
      <c r="D3658" t="s">
        <v>12</v>
      </c>
      <c r="E3658" s="2">
        <v>0</v>
      </c>
      <c r="F3658" s="2">
        <v>0</v>
      </c>
      <c r="G3658" t="s">
        <v>28</v>
      </c>
      <c r="H3658" t="s">
        <v>25</v>
      </c>
      <c r="I3658" t="s">
        <v>18</v>
      </c>
      <c r="J3658" s="3">
        <v>45440</v>
      </c>
      <c r="K3658" s="4">
        <f>ClientiBanca[[#This Row],[Prestito]]+ClientiBanca[[#This Row],[Mutuo]]</f>
        <v>0</v>
      </c>
      <c r="L3658" t="str">
        <f>IF(ClientiBanca[[#This Row],[Reddito annuo]]&gt;=70000,"si","no")</f>
        <v>si</v>
      </c>
    </row>
    <row r="3659" spans="1:12">
      <c r="A3659">
        <v>103658</v>
      </c>
      <c r="B3659">
        <v>38</v>
      </c>
      <c r="C3659" s="2">
        <v>85400</v>
      </c>
      <c r="D3659" t="s">
        <v>12</v>
      </c>
      <c r="E3659" s="2">
        <v>22300</v>
      </c>
      <c r="F3659" s="2">
        <v>0</v>
      </c>
      <c r="G3659" t="s">
        <v>26</v>
      </c>
      <c r="H3659" t="s">
        <v>14</v>
      </c>
      <c r="I3659" t="s">
        <v>18</v>
      </c>
      <c r="J3659" s="3">
        <v>46122</v>
      </c>
      <c r="K3659" s="4">
        <f>ClientiBanca[[#This Row],[Prestito]]+ClientiBanca[[#This Row],[Mutuo]]</f>
        <v>22300</v>
      </c>
      <c r="L3659" t="str">
        <f>IF(ClientiBanca[[#This Row],[Reddito annuo]]&gt;=70000,"si","no")</f>
        <v>si</v>
      </c>
    </row>
    <row r="3660" spans="1:12">
      <c r="A3660">
        <v>103659</v>
      </c>
      <c r="B3660">
        <v>62</v>
      </c>
      <c r="C3660" s="2">
        <v>119500</v>
      </c>
      <c r="D3660" t="s">
        <v>12</v>
      </c>
      <c r="E3660" s="2">
        <v>17800</v>
      </c>
      <c r="F3660" s="2">
        <v>0</v>
      </c>
      <c r="G3660" t="s">
        <v>16</v>
      </c>
      <c r="H3660" t="s">
        <v>17</v>
      </c>
      <c r="I3660" t="s">
        <v>18</v>
      </c>
      <c r="J3660" s="3">
        <v>46018</v>
      </c>
      <c r="K3660" s="4">
        <f>ClientiBanca[[#This Row],[Prestito]]+ClientiBanca[[#This Row],[Mutuo]]</f>
        <v>17800</v>
      </c>
      <c r="L3660" t="str">
        <f>IF(ClientiBanca[[#This Row],[Reddito annuo]]&gt;=70000,"si","no")</f>
        <v>si</v>
      </c>
    </row>
    <row r="3661" spans="1:12">
      <c r="A3661">
        <v>103660</v>
      </c>
      <c r="B3661">
        <v>65</v>
      </c>
      <c r="C3661" s="2">
        <v>43100</v>
      </c>
      <c r="D3661" t="s">
        <v>12</v>
      </c>
      <c r="E3661" s="2">
        <v>19700</v>
      </c>
      <c r="F3661" s="2">
        <v>0</v>
      </c>
      <c r="G3661" t="s">
        <v>24</v>
      </c>
      <c r="H3661" t="s">
        <v>14</v>
      </c>
      <c r="I3661" t="s">
        <v>18</v>
      </c>
      <c r="J3661" s="3">
        <v>45487</v>
      </c>
      <c r="K3661" s="4">
        <f>ClientiBanca[[#This Row],[Prestito]]+ClientiBanca[[#This Row],[Mutuo]]</f>
        <v>19700</v>
      </c>
      <c r="L3661" t="str">
        <f>IF(ClientiBanca[[#This Row],[Reddito annuo]]&gt;=70000,"si","no")</f>
        <v>no</v>
      </c>
    </row>
    <row r="3662" spans="1:12">
      <c r="A3662">
        <v>103661</v>
      </c>
      <c r="B3662">
        <v>44</v>
      </c>
      <c r="C3662" s="2">
        <v>71100</v>
      </c>
      <c r="D3662" t="s">
        <v>22</v>
      </c>
      <c r="E3662" s="2">
        <v>52400</v>
      </c>
      <c r="F3662" s="2">
        <v>0</v>
      </c>
      <c r="G3662" t="s">
        <v>16</v>
      </c>
      <c r="H3662" t="s">
        <v>17</v>
      </c>
      <c r="I3662" t="s">
        <v>18</v>
      </c>
      <c r="J3662" s="3">
        <v>46047</v>
      </c>
      <c r="K3662" s="4">
        <f>ClientiBanca[[#This Row],[Prestito]]+ClientiBanca[[#This Row],[Mutuo]]</f>
        <v>52400</v>
      </c>
      <c r="L3662" t="str">
        <f>IF(ClientiBanca[[#This Row],[Reddito annuo]]&gt;=70000,"si","no")</f>
        <v>si</v>
      </c>
    </row>
    <row r="3663" spans="1:12">
      <c r="A3663">
        <v>103662</v>
      </c>
      <c r="B3663">
        <v>22</v>
      </c>
      <c r="C3663" s="2">
        <v>45400</v>
      </c>
      <c r="D3663" t="s">
        <v>12</v>
      </c>
      <c r="E3663" s="2">
        <v>56800</v>
      </c>
      <c r="F3663" s="2">
        <v>0</v>
      </c>
      <c r="G3663" t="s">
        <v>23</v>
      </c>
      <c r="H3663" t="s">
        <v>20</v>
      </c>
      <c r="I3663" t="s">
        <v>18</v>
      </c>
      <c r="J3663" s="3">
        <v>45668</v>
      </c>
      <c r="K3663" s="4">
        <f>ClientiBanca[[#This Row],[Prestito]]+ClientiBanca[[#This Row],[Mutuo]]</f>
        <v>56800</v>
      </c>
      <c r="L3663" t="str">
        <f>IF(ClientiBanca[[#This Row],[Reddito annuo]]&gt;=70000,"si","no")</f>
        <v>no</v>
      </c>
    </row>
    <row r="3664" spans="1:12">
      <c r="A3664">
        <v>103663</v>
      </c>
      <c r="B3664">
        <v>57</v>
      </c>
      <c r="C3664" s="2">
        <v>43200</v>
      </c>
      <c r="D3664" t="s">
        <v>22</v>
      </c>
      <c r="E3664" s="2">
        <v>0</v>
      </c>
      <c r="F3664" s="2">
        <v>0</v>
      </c>
      <c r="G3664" t="s">
        <v>24</v>
      </c>
      <c r="H3664" t="s">
        <v>14</v>
      </c>
      <c r="I3664" t="s">
        <v>18</v>
      </c>
      <c r="J3664" s="3">
        <v>45958</v>
      </c>
      <c r="K3664" s="4">
        <f>ClientiBanca[[#This Row],[Prestito]]+ClientiBanca[[#This Row],[Mutuo]]</f>
        <v>0</v>
      </c>
      <c r="L3664" t="str">
        <f>IF(ClientiBanca[[#This Row],[Reddito annuo]]&gt;=70000,"si","no")</f>
        <v>no</v>
      </c>
    </row>
    <row r="3665" spans="1:12">
      <c r="A3665">
        <v>103664</v>
      </c>
      <c r="B3665">
        <v>32</v>
      </c>
      <c r="C3665" s="2">
        <v>48100</v>
      </c>
      <c r="D3665" t="s">
        <v>21</v>
      </c>
      <c r="E3665" s="2">
        <v>11000</v>
      </c>
      <c r="F3665" s="2">
        <v>201000</v>
      </c>
      <c r="G3665" t="s">
        <v>27</v>
      </c>
      <c r="H3665" t="s">
        <v>17</v>
      </c>
      <c r="I3665" t="s">
        <v>18</v>
      </c>
      <c r="J3665" s="3">
        <v>46032</v>
      </c>
      <c r="K3665" s="4">
        <f>ClientiBanca[[#This Row],[Prestito]]+ClientiBanca[[#This Row],[Mutuo]]</f>
        <v>212000</v>
      </c>
      <c r="L3665" t="str">
        <f>IF(ClientiBanca[[#This Row],[Reddito annuo]]&gt;=70000,"si","no")</f>
        <v>no</v>
      </c>
    </row>
    <row r="3666" spans="1:12">
      <c r="A3666">
        <v>103665</v>
      </c>
      <c r="B3666">
        <v>55</v>
      </c>
      <c r="C3666" s="2">
        <v>63500</v>
      </c>
      <c r="D3666" t="s">
        <v>12</v>
      </c>
      <c r="E3666" s="2">
        <v>22600</v>
      </c>
      <c r="F3666" s="2">
        <v>0</v>
      </c>
      <c r="G3666" t="s">
        <v>16</v>
      </c>
      <c r="H3666" t="s">
        <v>20</v>
      </c>
      <c r="I3666" t="s">
        <v>18</v>
      </c>
      <c r="J3666" s="3">
        <v>45678</v>
      </c>
      <c r="K3666" s="4">
        <f>ClientiBanca[[#This Row],[Prestito]]+ClientiBanca[[#This Row],[Mutuo]]</f>
        <v>22600</v>
      </c>
      <c r="L3666" t="str">
        <f>IF(ClientiBanca[[#This Row],[Reddito annuo]]&gt;=70000,"si","no")</f>
        <v>no</v>
      </c>
    </row>
    <row r="3667" spans="1:12">
      <c r="A3667">
        <v>103666</v>
      </c>
      <c r="B3667">
        <v>52</v>
      </c>
      <c r="C3667" s="2">
        <v>54100</v>
      </c>
      <c r="D3667" t="s">
        <v>22</v>
      </c>
      <c r="E3667" s="2">
        <v>12000</v>
      </c>
      <c r="F3667" s="2">
        <v>0</v>
      </c>
      <c r="G3667" t="s">
        <v>27</v>
      </c>
      <c r="H3667" t="s">
        <v>14</v>
      </c>
      <c r="I3667" t="s">
        <v>18</v>
      </c>
      <c r="J3667" s="3">
        <v>45659</v>
      </c>
      <c r="K3667" s="4">
        <f>ClientiBanca[[#This Row],[Prestito]]+ClientiBanca[[#This Row],[Mutuo]]</f>
        <v>12000</v>
      </c>
      <c r="L3667" t="str">
        <f>IF(ClientiBanca[[#This Row],[Reddito annuo]]&gt;=70000,"si","no")</f>
        <v>no</v>
      </c>
    </row>
    <row r="3668" spans="1:12">
      <c r="A3668">
        <v>103667</v>
      </c>
      <c r="B3668">
        <v>24</v>
      </c>
      <c r="C3668" s="2">
        <v>68100</v>
      </c>
      <c r="D3668" t="s">
        <v>22</v>
      </c>
      <c r="E3668" s="2">
        <v>49400</v>
      </c>
      <c r="F3668" s="2">
        <v>0</v>
      </c>
      <c r="G3668" t="s">
        <v>24</v>
      </c>
      <c r="H3668" t="s">
        <v>20</v>
      </c>
      <c r="I3668" t="s">
        <v>18</v>
      </c>
      <c r="J3668" s="3">
        <v>45632</v>
      </c>
      <c r="K3668" s="4">
        <f>ClientiBanca[[#This Row],[Prestito]]+ClientiBanca[[#This Row],[Mutuo]]</f>
        <v>49400</v>
      </c>
      <c r="L3668" t="str">
        <f>IF(ClientiBanca[[#This Row],[Reddito annuo]]&gt;=70000,"si","no")</f>
        <v>no</v>
      </c>
    </row>
    <row r="3669" spans="1:12">
      <c r="A3669">
        <v>103668</v>
      </c>
      <c r="B3669">
        <v>41</v>
      </c>
      <c r="C3669" s="2">
        <v>34500</v>
      </c>
      <c r="D3669" t="s">
        <v>12</v>
      </c>
      <c r="E3669" s="2">
        <v>0</v>
      </c>
      <c r="F3669" s="2">
        <v>0</v>
      </c>
      <c r="G3669" t="s">
        <v>19</v>
      </c>
      <c r="H3669" t="s">
        <v>14</v>
      </c>
      <c r="I3669" t="s">
        <v>18</v>
      </c>
      <c r="J3669" s="3">
        <v>45651</v>
      </c>
      <c r="K3669" s="4">
        <f>ClientiBanca[[#This Row],[Prestito]]+ClientiBanca[[#This Row],[Mutuo]]</f>
        <v>0</v>
      </c>
      <c r="L3669" t="str">
        <f>IF(ClientiBanca[[#This Row],[Reddito annuo]]&gt;=70000,"si","no")</f>
        <v>no</v>
      </c>
    </row>
    <row r="3670" spans="1:12">
      <c r="A3670">
        <v>103669</v>
      </c>
      <c r="B3670">
        <v>38</v>
      </c>
      <c r="C3670" s="2">
        <v>34100</v>
      </c>
      <c r="D3670" t="s">
        <v>21</v>
      </c>
      <c r="E3670" s="2">
        <v>26000</v>
      </c>
      <c r="F3670" s="2">
        <v>0</v>
      </c>
      <c r="G3670" t="s">
        <v>13</v>
      </c>
      <c r="H3670" t="s">
        <v>20</v>
      </c>
      <c r="I3670" t="s">
        <v>18</v>
      </c>
      <c r="J3670" s="3">
        <v>45608</v>
      </c>
      <c r="K3670" s="4">
        <f>ClientiBanca[[#This Row],[Prestito]]+ClientiBanca[[#This Row],[Mutuo]]</f>
        <v>26000</v>
      </c>
      <c r="L3670" t="str">
        <f>IF(ClientiBanca[[#This Row],[Reddito annuo]]&gt;=70000,"si","no")</f>
        <v>no</v>
      </c>
    </row>
    <row r="3671" spans="1:12">
      <c r="A3671">
        <v>103670</v>
      </c>
      <c r="B3671">
        <v>41</v>
      </c>
      <c r="C3671" s="2">
        <v>35000</v>
      </c>
      <c r="D3671" t="s">
        <v>21</v>
      </c>
      <c r="E3671" s="2">
        <v>0</v>
      </c>
      <c r="F3671" s="2">
        <v>0</v>
      </c>
      <c r="G3671" t="s">
        <v>23</v>
      </c>
      <c r="H3671" t="s">
        <v>17</v>
      </c>
      <c r="I3671" t="s">
        <v>18</v>
      </c>
      <c r="J3671" s="3">
        <v>45656</v>
      </c>
      <c r="K3671" s="4">
        <f>ClientiBanca[[#This Row],[Prestito]]+ClientiBanca[[#This Row],[Mutuo]]</f>
        <v>0</v>
      </c>
      <c r="L3671" t="str">
        <f>IF(ClientiBanca[[#This Row],[Reddito annuo]]&gt;=70000,"si","no")</f>
        <v>no</v>
      </c>
    </row>
    <row r="3672" spans="1:12">
      <c r="A3672">
        <v>103671</v>
      </c>
      <c r="B3672">
        <v>66</v>
      </c>
      <c r="C3672" s="2">
        <v>67600</v>
      </c>
      <c r="D3672" t="s">
        <v>22</v>
      </c>
      <c r="E3672" s="2">
        <v>8500</v>
      </c>
      <c r="F3672" s="2">
        <v>157000</v>
      </c>
      <c r="G3672" t="s">
        <v>24</v>
      </c>
      <c r="H3672" t="s">
        <v>20</v>
      </c>
      <c r="I3672" t="s">
        <v>18</v>
      </c>
      <c r="J3672" s="3">
        <v>45721</v>
      </c>
      <c r="K3672" s="4">
        <f>ClientiBanca[[#This Row],[Prestito]]+ClientiBanca[[#This Row],[Mutuo]]</f>
        <v>165500</v>
      </c>
      <c r="L3672" t="str">
        <f>IF(ClientiBanca[[#This Row],[Reddito annuo]]&gt;=70000,"si","no")</f>
        <v>no</v>
      </c>
    </row>
    <row r="3673" spans="1:12">
      <c r="A3673">
        <v>103672</v>
      </c>
      <c r="B3673">
        <v>75</v>
      </c>
      <c r="C3673" s="2">
        <v>75800</v>
      </c>
      <c r="D3673" t="s">
        <v>22</v>
      </c>
      <c r="E3673" s="2">
        <v>0</v>
      </c>
      <c r="F3673" s="2">
        <v>0</v>
      </c>
      <c r="G3673" t="s">
        <v>27</v>
      </c>
      <c r="H3673" t="s">
        <v>25</v>
      </c>
      <c r="I3673" t="s">
        <v>18</v>
      </c>
      <c r="J3673" s="3">
        <v>45495</v>
      </c>
      <c r="K3673" s="4">
        <f>ClientiBanca[[#This Row],[Prestito]]+ClientiBanca[[#This Row],[Mutuo]]</f>
        <v>0</v>
      </c>
      <c r="L3673" t="str">
        <f>IF(ClientiBanca[[#This Row],[Reddito annuo]]&gt;=70000,"si","no")</f>
        <v>si</v>
      </c>
    </row>
    <row r="3674" spans="1:12">
      <c r="A3674">
        <v>103673</v>
      </c>
      <c r="B3674">
        <v>72</v>
      </c>
      <c r="C3674" s="2">
        <v>73700</v>
      </c>
      <c r="D3674" t="s">
        <v>21</v>
      </c>
      <c r="E3674" s="2">
        <v>0</v>
      </c>
      <c r="F3674" s="2">
        <v>211000</v>
      </c>
      <c r="G3674" t="s">
        <v>28</v>
      </c>
      <c r="H3674" t="s">
        <v>20</v>
      </c>
      <c r="I3674" t="s">
        <v>18</v>
      </c>
      <c r="J3674" s="3">
        <v>46103</v>
      </c>
      <c r="K3674" s="4">
        <f>ClientiBanca[[#This Row],[Prestito]]+ClientiBanca[[#This Row],[Mutuo]]</f>
        <v>211000</v>
      </c>
      <c r="L3674" t="str">
        <f>IF(ClientiBanca[[#This Row],[Reddito annuo]]&gt;=70000,"si","no")</f>
        <v>si</v>
      </c>
    </row>
    <row r="3675" spans="1:12">
      <c r="A3675">
        <v>103674</v>
      </c>
      <c r="B3675">
        <v>75</v>
      </c>
      <c r="C3675" s="2">
        <v>61700</v>
      </c>
      <c r="D3675" t="s">
        <v>12</v>
      </c>
      <c r="E3675" s="2">
        <v>0</v>
      </c>
      <c r="F3675" s="2">
        <v>0</v>
      </c>
      <c r="G3675" t="s">
        <v>19</v>
      </c>
      <c r="H3675" t="s">
        <v>25</v>
      </c>
      <c r="I3675" t="s">
        <v>18</v>
      </c>
      <c r="J3675" s="3">
        <v>45606</v>
      </c>
      <c r="K3675" s="4">
        <f>ClientiBanca[[#This Row],[Prestito]]+ClientiBanca[[#This Row],[Mutuo]]</f>
        <v>0</v>
      </c>
      <c r="L3675" t="str">
        <f>IF(ClientiBanca[[#This Row],[Reddito annuo]]&gt;=70000,"si","no")</f>
        <v>no</v>
      </c>
    </row>
    <row r="3676" spans="1:12">
      <c r="A3676">
        <v>103675</v>
      </c>
      <c r="B3676">
        <v>63</v>
      </c>
      <c r="C3676" s="2">
        <v>55900</v>
      </c>
      <c r="D3676" t="s">
        <v>12</v>
      </c>
      <c r="E3676" s="2">
        <v>0</v>
      </c>
      <c r="F3676" s="2">
        <v>0</v>
      </c>
      <c r="G3676" t="s">
        <v>13</v>
      </c>
      <c r="H3676" t="s">
        <v>20</v>
      </c>
      <c r="I3676" t="s">
        <v>18</v>
      </c>
      <c r="J3676" s="3">
        <v>45457</v>
      </c>
      <c r="K3676" s="4">
        <f>ClientiBanca[[#This Row],[Prestito]]+ClientiBanca[[#This Row],[Mutuo]]</f>
        <v>0</v>
      </c>
      <c r="L3676" t="str">
        <f>IF(ClientiBanca[[#This Row],[Reddito annuo]]&gt;=70000,"si","no")</f>
        <v>no</v>
      </c>
    </row>
    <row r="3677" spans="1:12">
      <c r="A3677">
        <v>103676</v>
      </c>
      <c r="B3677">
        <v>48</v>
      </c>
      <c r="C3677" s="2">
        <v>80300</v>
      </c>
      <c r="D3677" t="s">
        <v>22</v>
      </c>
      <c r="E3677" s="2">
        <v>50800</v>
      </c>
      <c r="F3677" s="2">
        <v>0</v>
      </c>
      <c r="G3677" t="s">
        <v>23</v>
      </c>
      <c r="H3677" t="s">
        <v>20</v>
      </c>
      <c r="I3677" t="s">
        <v>18</v>
      </c>
      <c r="J3677" s="3">
        <v>46153</v>
      </c>
      <c r="K3677" s="4">
        <f>ClientiBanca[[#This Row],[Prestito]]+ClientiBanca[[#This Row],[Mutuo]]</f>
        <v>50800</v>
      </c>
      <c r="L3677" t="str">
        <f>IF(ClientiBanca[[#This Row],[Reddito annuo]]&gt;=70000,"si","no")</f>
        <v>si</v>
      </c>
    </row>
    <row r="3678" spans="1:12">
      <c r="A3678">
        <v>103677</v>
      </c>
      <c r="B3678">
        <v>33</v>
      </c>
      <c r="C3678" s="2">
        <v>43400</v>
      </c>
      <c r="D3678" t="s">
        <v>22</v>
      </c>
      <c r="E3678" s="2">
        <v>0</v>
      </c>
      <c r="F3678" s="2">
        <v>0</v>
      </c>
      <c r="G3678" t="s">
        <v>16</v>
      </c>
      <c r="H3678" t="s">
        <v>17</v>
      </c>
      <c r="I3678" t="s">
        <v>18</v>
      </c>
      <c r="J3678" s="3">
        <v>45538</v>
      </c>
      <c r="K3678" s="4">
        <f>ClientiBanca[[#This Row],[Prestito]]+ClientiBanca[[#This Row],[Mutuo]]</f>
        <v>0</v>
      </c>
      <c r="L3678" t="str">
        <f>IF(ClientiBanca[[#This Row],[Reddito annuo]]&gt;=70000,"si","no")</f>
        <v>no</v>
      </c>
    </row>
    <row r="3679" spans="1:12">
      <c r="A3679">
        <v>103678</v>
      </c>
      <c r="B3679">
        <v>23</v>
      </c>
      <c r="C3679" s="2">
        <v>87500</v>
      </c>
      <c r="D3679" t="s">
        <v>12</v>
      </c>
      <c r="E3679" s="2">
        <v>76500</v>
      </c>
      <c r="F3679" s="2">
        <v>0</v>
      </c>
      <c r="G3679" t="s">
        <v>27</v>
      </c>
      <c r="H3679" t="s">
        <v>20</v>
      </c>
      <c r="I3679" t="s">
        <v>18</v>
      </c>
      <c r="J3679" s="3">
        <v>45837</v>
      </c>
      <c r="K3679" s="4">
        <f>ClientiBanca[[#This Row],[Prestito]]+ClientiBanca[[#This Row],[Mutuo]]</f>
        <v>76500</v>
      </c>
      <c r="L3679" t="str">
        <f>IF(ClientiBanca[[#This Row],[Reddito annuo]]&gt;=70000,"si","no")</f>
        <v>si</v>
      </c>
    </row>
    <row r="3680" spans="1:12">
      <c r="A3680">
        <v>103679</v>
      </c>
      <c r="B3680">
        <v>26</v>
      </c>
      <c r="C3680" s="2">
        <v>60500</v>
      </c>
      <c r="D3680" t="s">
        <v>21</v>
      </c>
      <c r="E3680" s="2">
        <v>23300</v>
      </c>
      <c r="F3680" s="2">
        <v>0</v>
      </c>
      <c r="G3680" t="s">
        <v>13</v>
      </c>
      <c r="H3680" t="s">
        <v>17</v>
      </c>
      <c r="I3680" t="s">
        <v>18</v>
      </c>
      <c r="J3680" s="3">
        <v>45424</v>
      </c>
      <c r="K3680" s="4">
        <f>ClientiBanca[[#This Row],[Prestito]]+ClientiBanca[[#This Row],[Mutuo]]</f>
        <v>23300</v>
      </c>
      <c r="L3680" t="str">
        <f>IF(ClientiBanca[[#This Row],[Reddito annuo]]&gt;=70000,"si","no")</f>
        <v>no</v>
      </c>
    </row>
    <row r="3681" spans="1:12">
      <c r="A3681">
        <v>103680</v>
      </c>
      <c r="B3681">
        <v>24</v>
      </c>
      <c r="C3681" s="2">
        <v>59900</v>
      </c>
      <c r="D3681" t="s">
        <v>21</v>
      </c>
      <c r="E3681" s="2">
        <v>7800</v>
      </c>
      <c r="F3681" s="2">
        <v>102000</v>
      </c>
      <c r="G3681" t="s">
        <v>26</v>
      </c>
      <c r="H3681" t="s">
        <v>25</v>
      </c>
      <c r="I3681" t="s">
        <v>15</v>
      </c>
      <c r="J3681" s="3">
        <v>45941</v>
      </c>
      <c r="K3681" s="4">
        <f>ClientiBanca[[#This Row],[Prestito]]+ClientiBanca[[#This Row],[Mutuo]]</f>
        <v>109800</v>
      </c>
      <c r="L3681" t="str">
        <f>IF(ClientiBanca[[#This Row],[Reddito annuo]]&gt;=70000,"si","no")</f>
        <v>no</v>
      </c>
    </row>
    <row r="3682" spans="1:12">
      <c r="A3682">
        <v>103681</v>
      </c>
      <c r="B3682">
        <v>55</v>
      </c>
      <c r="C3682" s="2">
        <v>57800</v>
      </c>
      <c r="D3682" t="s">
        <v>21</v>
      </c>
      <c r="E3682" s="2">
        <v>0</v>
      </c>
      <c r="F3682" s="2">
        <v>273000</v>
      </c>
      <c r="G3682" t="s">
        <v>26</v>
      </c>
      <c r="H3682" t="s">
        <v>17</v>
      </c>
      <c r="I3682" t="s">
        <v>18</v>
      </c>
      <c r="J3682" s="3">
        <v>45879</v>
      </c>
      <c r="K3682" s="4">
        <f>ClientiBanca[[#This Row],[Prestito]]+ClientiBanca[[#This Row],[Mutuo]]</f>
        <v>273000</v>
      </c>
      <c r="L3682" t="str">
        <f>IF(ClientiBanca[[#This Row],[Reddito annuo]]&gt;=70000,"si","no")</f>
        <v>no</v>
      </c>
    </row>
    <row r="3683" spans="1:12">
      <c r="A3683">
        <v>103682</v>
      </c>
      <c r="B3683">
        <v>50</v>
      </c>
      <c r="C3683" s="2">
        <v>93100</v>
      </c>
      <c r="D3683" t="s">
        <v>22</v>
      </c>
      <c r="E3683" s="2">
        <v>15400</v>
      </c>
      <c r="F3683" s="2">
        <v>146000</v>
      </c>
      <c r="G3683" t="s">
        <v>26</v>
      </c>
      <c r="H3683" t="s">
        <v>17</v>
      </c>
      <c r="I3683" t="s">
        <v>18</v>
      </c>
      <c r="J3683" s="3">
        <v>46033</v>
      </c>
      <c r="K3683" s="4">
        <f>ClientiBanca[[#This Row],[Prestito]]+ClientiBanca[[#This Row],[Mutuo]]</f>
        <v>161400</v>
      </c>
      <c r="L3683" t="str">
        <f>IF(ClientiBanca[[#This Row],[Reddito annuo]]&gt;=70000,"si","no")</f>
        <v>si</v>
      </c>
    </row>
    <row r="3684" spans="1:12">
      <c r="A3684">
        <v>103683</v>
      </c>
      <c r="B3684">
        <v>33</v>
      </c>
      <c r="C3684" s="2">
        <v>47300</v>
      </c>
      <c r="D3684" t="s">
        <v>21</v>
      </c>
      <c r="E3684" s="2">
        <v>26400</v>
      </c>
      <c r="F3684" s="2">
        <v>0</v>
      </c>
      <c r="G3684" t="s">
        <v>27</v>
      </c>
      <c r="H3684" t="s">
        <v>20</v>
      </c>
      <c r="I3684" t="s">
        <v>18</v>
      </c>
      <c r="J3684" s="3">
        <v>45359</v>
      </c>
      <c r="K3684" s="4">
        <f>ClientiBanca[[#This Row],[Prestito]]+ClientiBanca[[#This Row],[Mutuo]]</f>
        <v>26400</v>
      </c>
      <c r="L3684" t="str">
        <f>IF(ClientiBanca[[#This Row],[Reddito annuo]]&gt;=70000,"si","no")</f>
        <v>no</v>
      </c>
    </row>
    <row r="3685" spans="1:12">
      <c r="A3685">
        <v>103684</v>
      </c>
      <c r="B3685">
        <v>20</v>
      </c>
      <c r="C3685" s="2">
        <v>69500</v>
      </c>
      <c r="D3685" t="s">
        <v>21</v>
      </c>
      <c r="E3685" s="2">
        <v>25100</v>
      </c>
      <c r="F3685" s="2">
        <v>0</v>
      </c>
      <c r="G3685" t="s">
        <v>28</v>
      </c>
      <c r="H3685" t="s">
        <v>17</v>
      </c>
      <c r="I3685" t="s">
        <v>18</v>
      </c>
      <c r="J3685" s="3">
        <v>46030</v>
      </c>
      <c r="K3685" s="4">
        <f>ClientiBanca[[#This Row],[Prestito]]+ClientiBanca[[#This Row],[Mutuo]]</f>
        <v>25100</v>
      </c>
      <c r="L3685" t="str">
        <f>IF(ClientiBanca[[#This Row],[Reddito annuo]]&gt;=70000,"si","no")</f>
        <v>no</v>
      </c>
    </row>
    <row r="3686" spans="1:12">
      <c r="A3686">
        <v>103685</v>
      </c>
      <c r="B3686">
        <v>50</v>
      </c>
      <c r="C3686" s="2">
        <v>81300</v>
      </c>
      <c r="D3686" t="s">
        <v>22</v>
      </c>
      <c r="E3686" s="2">
        <v>15400</v>
      </c>
      <c r="F3686" s="2">
        <v>360000</v>
      </c>
      <c r="G3686" t="s">
        <v>16</v>
      </c>
      <c r="H3686" t="s">
        <v>17</v>
      </c>
      <c r="I3686" t="s">
        <v>18</v>
      </c>
      <c r="J3686" s="3">
        <v>45767</v>
      </c>
      <c r="K3686" s="4">
        <f>ClientiBanca[[#This Row],[Prestito]]+ClientiBanca[[#This Row],[Mutuo]]</f>
        <v>375400</v>
      </c>
      <c r="L3686" t="str">
        <f>IF(ClientiBanca[[#This Row],[Reddito annuo]]&gt;=70000,"si","no")</f>
        <v>si</v>
      </c>
    </row>
    <row r="3687" spans="1:12">
      <c r="A3687">
        <v>103686</v>
      </c>
      <c r="B3687">
        <v>28</v>
      </c>
      <c r="C3687" s="2">
        <v>71900</v>
      </c>
      <c r="D3687" t="s">
        <v>21</v>
      </c>
      <c r="E3687" s="2">
        <v>0</v>
      </c>
      <c r="F3687" s="2">
        <v>213000</v>
      </c>
      <c r="G3687" t="s">
        <v>28</v>
      </c>
      <c r="H3687" t="s">
        <v>17</v>
      </c>
      <c r="I3687" t="s">
        <v>18</v>
      </c>
      <c r="J3687" s="3">
        <v>46219</v>
      </c>
      <c r="K3687" s="4">
        <f>ClientiBanca[[#This Row],[Prestito]]+ClientiBanca[[#This Row],[Mutuo]]</f>
        <v>213000</v>
      </c>
      <c r="L3687" t="str">
        <f>IF(ClientiBanca[[#This Row],[Reddito annuo]]&gt;=70000,"si","no")</f>
        <v>si</v>
      </c>
    </row>
    <row r="3688" spans="1:12">
      <c r="A3688">
        <v>103687</v>
      </c>
      <c r="B3688">
        <v>74</v>
      </c>
      <c r="C3688" s="2">
        <v>88300</v>
      </c>
      <c r="D3688" t="s">
        <v>21</v>
      </c>
      <c r="E3688" s="2">
        <v>30300</v>
      </c>
      <c r="F3688" s="2">
        <v>0</v>
      </c>
      <c r="G3688" t="s">
        <v>13</v>
      </c>
      <c r="H3688" t="s">
        <v>20</v>
      </c>
      <c r="I3688" t="s">
        <v>18</v>
      </c>
      <c r="J3688" s="3">
        <v>45964</v>
      </c>
      <c r="K3688" s="4">
        <f>ClientiBanca[[#This Row],[Prestito]]+ClientiBanca[[#This Row],[Mutuo]]</f>
        <v>30300</v>
      </c>
      <c r="L3688" t="str">
        <f>IF(ClientiBanca[[#This Row],[Reddito annuo]]&gt;=70000,"si","no")</f>
        <v>si</v>
      </c>
    </row>
    <row r="3689" spans="1:12">
      <c r="A3689">
        <v>103688</v>
      </c>
      <c r="B3689">
        <v>24</v>
      </c>
      <c r="C3689" s="2">
        <v>36600</v>
      </c>
      <c r="D3689" t="s">
        <v>21</v>
      </c>
      <c r="E3689" s="2">
        <v>35600</v>
      </c>
      <c r="F3689" s="2">
        <v>0</v>
      </c>
      <c r="G3689" t="s">
        <v>28</v>
      </c>
      <c r="H3689" t="s">
        <v>14</v>
      </c>
      <c r="I3689" t="s">
        <v>18</v>
      </c>
      <c r="J3689" s="3">
        <v>45334</v>
      </c>
      <c r="K3689" s="4">
        <f>ClientiBanca[[#This Row],[Prestito]]+ClientiBanca[[#This Row],[Mutuo]]</f>
        <v>35600</v>
      </c>
      <c r="L3689" t="str">
        <f>IF(ClientiBanca[[#This Row],[Reddito annuo]]&gt;=70000,"si","no")</f>
        <v>no</v>
      </c>
    </row>
    <row r="3690" spans="1:12">
      <c r="A3690">
        <v>103689</v>
      </c>
      <c r="B3690">
        <v>37</v>
      </c>
      <c r="C3690" s="2">
        <v>60300</v>
      </c>
      <c r="D3690" t="s">
        <v>21</v>
      </c>
      <c r="E3690" s="2">
        <v>14800</v>
      </c>
      <c r="F3690" s="2">
        <v>177000</v>
      </c>
      <c r="G3690" t="s">
        <v>16</v>
      </c>
      <c r="H3690" t="s">
        <v>14</v>
      </c>
      <c r="I3690" t="s">
        <v>18</v>
      </c>
      <c r="J3690" s="3">
        <v>45378</v>
      </c>
      <c r="K3690" s="4">
        <f>ClientiBanca[[#This Row],[Prestito]]+ClientiBanca[[#This Row],[Mutuo]]</f>
        <v>191800</v>
      </c>
      <c r="L3690" t="str">
        <f>IF(ClientiBanca[[#This Row],[Reddito annuo]]&gt;=70000,"si","no")</f>
        <v>no</v>
      </c>
    </row>
    <row r="3691" spans="1:12">
      <c r="A3691">
        <v>103690</v>
      </c>
      <c r="B3691">
        <v>61</v>
      </c>
      <c r="C3691" s="2">
        <v>79000</v>
      </c>
      <c r="D3691" t="s">
        <v>21</v>
      </c>
      <c r="E3691" s="2">
        <v>0</v>
      </c>
      <c r="F3691" s="2">
        <v>0</v>
      </c>
      <c r="G3691" t="s">
        <v>27</v>
      </c>
      <c r="H3691" t="s">
        <v>20</v>
      </c>
      <c r="I3691" t="s">
        <v>18</v>
      </c>
      <c r="J3691" s="3">
        <v>45884</v>
      </c>
      <c r="K3691" s="4">
        <f>ClientiBanca[[#This Row],[Prestito]]+ClientiBanca[[#This Row],[Mutuo]]</f>
        <v>0</v>
      </c>
      <c r="L3691" t="str">
        <f>IF(ClientiBanca[[#This Row],[Reddito annuo]]&gt;=70000,"si","no")</f>
        <v>si</v>
      </c>
    </row>
    <row r="3692" spans="1:12">
      <c r="A3692">
        <v>103691</v>
      </c>
      <c r="B3692">
        <v>62</v>
      </c>
      <c r="C3692" s="2">
        <v>53300</v>
      </c>
      <c r="D3692" t="s">
        <v>21</v>
      </c>
      <c r="E3692" s="2">
        <v>21000</v>
      </c>
      <c r="F3692" s="2">
        <v>0</v>
      </c>
      <c r="G3692" t="s">
        <v>13</v>
      </c>
      <c r="H3692" t="s">
        <v>17</v>
      </c>
      <c r="I3692" t="s">
        <v>18</v>
      </c>
      <c r="J3692" s="3">
        <v>45618</v>
      </c>
      <c r="K3692" s="4">
        <f>ClientiBanca[[#This Row],[Prestito]]+ClientiBanca[[#This Row],[Mutuo]]</f>
        <v>21000</v>
      </c>
      <c r="L3692" t="str">
        <f>IF(ClientiBanca[[#This Row],[Reddito annuo]]&gt;=70000,"si","no")</f>
        <v>no</v>
      </c>
    </row>
    <row r="3693" spans="1:12">
      <c r="A3693">
        <v>103692</v>
      </c>
      <c r="B3693">
        <v>52</v>
      </c>
      <c r="C3693" s="2">
        <v>48800</v>
      </c>
      <c r="D3693" t="s">
        <v>21</v>
      </c>
      <c r="E3693" s="2">
        <v>51600</v>
      </c>
      <c r="F3693" s="2">
        <v>0</v>
      </c>
      <c r="G3693" t="s">
        <v>19</v>
      </c>
      <c r="H3693" t="s">
        <v>20</v>
      </c>
      <c r="I3693" t="s">
        <v>18</v>
      </c>
      <c r="J3693" s="3">
        <v>45435</v>
      </c>
      <c r="K3693" s="4">
        <f>ClientiBanca[[#This Row],[Prestito]]+ClientiBanca[[#This Row],[Mutuo]]</f>
        <v>51600</v>
      </c>
      <c r="L3693" t="str">
        <f>IF(ClientiBanca[[#This Row],[Reddito annuo]]&gt;=70000,"si","no")</f>
        <v>no</v>
      </c>
    </row>
    <row r="3694" spans="1:12">
      <c r="A3694">
        <v>103693</v>
      </c>
      <c r="B3694">
        <v>22</v>
      </c>
      <c r="C3694" s="2">
        <v>50700</v>
      </c>
      <c r="D3694" t="s">
        <v>21</v>
      </c>
      <c r="E3694" s="2">
        <v>18400</v>
      </c>
      <c r="F3694" s="2">
        <v>0</v>
      </c>
      <c r="G3694" t="s">
        <v>24</v>
      </c>
      <c r="H3694" t="s">
        <v>17</v>
      </c>
      <c r="I3694" t="s">
        <v>18</v>
      </c>
      <c r="J3694" s="3">
        <v>45615</v>
      </c>
      <c r="K3694" s="4">
        <f>ClientiBanca[[#This Row],[Prestito]]+ClientiBanca[[#This Row],[Mutuo]]</f>
        <v>18400</v>
      </c>
      <c r="L3694" t="str">
        <f>IF(ClientiBanca[[#This Row],[Reddito annuo]]&gt;=70000,"si","no")</f>
        <v>no</v>
      </c>
    </row>
    <row r="3695" spans="1:12">
      <c r="A3695">
        <v>103694</v>
      </c>
      <c r="B3695">
        <v>36</v>
      </c>
      <c r="C3695" s="2">
        <v>27100</v>
      </c>
      <c r="D3695" t="s">
        <v>21</v>
      </c>
      <c r="E3695" s="2">
        <v>33900</v>
      </c>
      <c r="F3695" s="2">
        <v>0</v>
      </c>
      <c r="G3695" t="s">
        <v>27</v>
      </c>
      <c r="H3695" t="s">
        <v>20</v>
      </c>
      <c r="I3695" t="s">
        <v>18</v>
      </c>
      <c r="J3695" s="3">
        <v>45771</v>
      </c>
      <c r="K3695" s="4">
        <f>ClientiBanca[[#This Row],[Prestito]]+ClientiBanca[[#This Row],[Mutuo]]</f>
        <v>33900</v>
      </c>
      <c r="L3695" t="str">
        <f>IF(ClientiBanca[[#This Row],[Reddito annuo]]&gt;=70000,"si","no")</f>
        <v>no</v>
      </c>
    </row>
    <row r="3696" spans="1:12">
      <c r="A3696">
        <v>103695</v>
      </c>
      <c r="B3696">
        <v>60</v>
      </c>
      <c r="C3696" s="2">
        <v>32200</v>
      </c>
      <c r="D3696" t="s">
        <v>21</v>
      </c>
      <c r="E3696" s="2">
        <v>40200</v>
      </c>
      <c r="F3696" s="2">
        <v>0</v>
      </c>
      <c r="G3696" t="s">
        <v>19</v>
      </c>
      <c r="H3696" t="s">
        <v>17</v>
      </c>
      <c r="I3696" t="s">
        <v>18</v>
      </c>
      <c r="J3696" s="3">
        <v>46028</v>
      </c>
      <c r="K3696" s="4">
        <f>ClientiBanca[[#This Row],[Prestito]]+ClientiBanca[[#This Row],[Mutuo]]</f>
        <v>40200</v>
      </c>
      <c r="L3696" t="str">
        <f>IF(ClientiBanca[[#This Row],[Reddito annuo]]&gt;=70000,"si","no")</f>
        <v>no</v>
      </c>
    </row>
    <row r="3697" spans="1:12">
      <c r="A3697">
        <v>103696</v>
      </c>
      <c r="B3697">
        <v>41</v>
      </c>
      <c r="C3697" s="2">
        <v>80900</v>
      </c>
      <c r="D3697" t="s">
        <v>12</v>
      </c>
      <c r="E3697" s="2">
        <v>70000</v>
      </c>
      <c r="F3697" s="2">
        <v>0</v>
      </c>
      <c r="G3697" t="s">
        <v>28</v>
      </c>
      <c r="H3697" t="s">
        <v>17</v>
      </c>
      <c r="I3697" t="s">
        <v>18</v>
      </c>
      <c r="J3697" s="3">
        <v>46017</v>
      </c>
      <c r="K3697" s="4">
        <f>ClientiBanca[[#This Row],[Prestito]]+ClientiBanca[[#This Row],[Mutuo]]</f>
        <v>70000</v>
      </c>
      <c r="L3697" t="str">
        <f>IF(ClientiBanca[[#This Row],[Reddito annuo]]&gt;=70000,"si","no")</f>
        <v>si</v>
      </c>
    </row>
    <row r="3698" spans="1:12">
      <c r="A3698">
        <v>103697</v>
      </c>
      <c r="B3698">
        <v>57</v>
      </c>
      <c r="C3698" s="2">
        <v>73600</v>
      </c>
      <c r="D3698" t="s">
        <v>21</v>
      </c>
      <c r="E3698" s="2">
        <v>33900</v>
      </c>
      <c r="F3698" s="2">
        <v>0</v>
      </c>
      <c r="G3698" t="s">
        <v>24</v>
      </c>
      <c r="H3698" t="s">
        <v>17</v>
      </c>
      <c r="I3698" t="s">
        <v>18</v>
      </c>
      <c r="J3698" s="3">
        <v>45430</v>
      </c>
      <c r="K3698" s="4">
        <f>ClientiBanca[[#This Row],[Prestito]]+ClientiBanca[[#This Row],[Mutuo]]</f>
        <v>33900</v>
      </c>
      <c r="L3698" t="str">
        <f>IF(ClientiBanca[[#This Row],[Reddito annuo]]&gt;=70000,"si","no")</f>
        <v>si</v>
      </c>
    </row>
    <row r="3699" spans="1:12">
      <c r="A3699">
        <v>103698</v>
      </c>
      <c r="B3699">
        <v>71</v>
      </c>
      <c r="C3699" s="2">
        <v>34900</v>
      </c>
      <c r="D3699" t="s">
        <v>22</v>
      </c>
      <c r="E3699" s="2">
        <v>0</v>
      </c>
      <c r="F3699" s="2">
        <v>0</v>
      </c>
      <c r="G3699" t="s">
        <v>24</v>
      </c>
      <c r="H3699" t="s">
        <v>14</v>
      </c>
      <c r="I3699" t="s">
        <v>18</v>
      </c>
      <c r="J3699" s="3">
        <v>45301</v>
      </c>
      <c r="K3699" s="4">
        <f>ClientiBanca[[#This Row],[Prestito]]+ClientiBanca[[#This Row],[Mutuo]]</f>
        <v>0</v>
      </c>
      <c r="L3699" t="str">
        <f>IF(ClientiBanca[[#This Row],[Reddito annuo]]&gt;=70000,"si","no")</f>
        <v>no</v>
      </c>
    </row>
    <row r="3700" spans="1:12">
      <c r="A3700">
        <v>103699</v>
      </c>
      <c r="B3700">
        <v>37</v>
      </c>
      <c r="C3700" s="2">
        <v>25600</v>
      </c>
      <c r="D3700" t="s">
        <v>12</v>
      </c>
      <c r="E3700" s="2">
        <v>32000</v>
      </c>
      <c r="F3700" s="2">
        <v>130000</v>
      </c>
      <c r="G3700" t="s">
        <v>24</v>
      </c>
      <c r="H3700" t="s">
        <v>17</v>
      </c>
      <c r="I3700" t="s">
        <v>18</v>
      </c>
      <c r="J3700" s="3">
        <v>45746</v>
      </c>
      <c r="K3700" s="4">
        <f>ClientiBanca[[#This Row],[Prestito]]+ClientiBanca[[#This Row],[Mutuo]]</f>
        <v>162000</v>
      </c>
      <c r="L3700" t="str">
        <f>IF(ClientiBanca[[#This Row],[Reddito annuo]]&gt;=70000,"si","no")</f>
        <v>no</v>
      </c>
    </row>
    <row r="3701" spans="1:12">
      <c r="A3701">
        <v>103700</v>
      </c>
      <c r="B3701">
        <v>43</v>
      </c>
      <c r="C3701" s="2">
        <v>72900</v>
      </c>
      <c r="D3701" t="s">
        <v>12</v>
      </c>
      <c r="E3701" s="2">
        <v>71100</v>
      </c>
      <c r="F3701" s="2">
        <v>319000</v>
      </c>
      <c r="G3701" t="s">
        <v>26</v>
      </c>
      <c r="H3701" t="s">
        <v>17</v>
      </c>
      <c r="I3701" t="s">
        <v>18</v>
      </c>
      <c r="J3701" s="3">
        <v>45375</v>
      </c>
      <c r="K3701" s="4">
        <f>ClientiBanca[[#This Row],[Prestito]]+ClientiBanca[[#This Row],[Mutuo]]</f>
        <v>390100</v>
      </c>
      <c r="L3701" t="str">
        <f>IF(ClientiBanca[[#This Row],[Reddito annuo]]&gt;=70000,"si","no")</f>
        <v>si</v>
      </c>
    </row>
    <row r="3702" spans="1:12">
      <c r="A3702">
        <v>103701</v>
      </c>
      <c r="B3702">
        <v>53</v>
      </c>
      <c r="C3702" s="2">
        <v>54300</v>
      </c>
      <c r="D3702" t="s">
        <v>22</v>
      </c>
      <c r="E3702" s="2">
        <v>30100</v>
      </c>
      <c r="F3702" s="2">
        <v>0</v>
      </c>
      <c r="G3702" t="s">
        <v>26</v>
      </c>
      <c r="H3702" t="s">
        <v>14</v>
      </c>
      <c r="I3702" t="s">
        <v>18</v>
      </c>
      <c r="J3702" s="3">
        <v>45352</v>
      </c>
      <c r="K3702" s="4">
        <f>ClientiBanca[[#This Row],[Prestito]]+ClientiBanca[[#This Row],[Mutuo]]</f>
        <v>30100</v>
      </c>
      <c r="L3702" t="str">
        <f>IF(ClientiBanca[[#This Row],[Reddito annuo]]&gt;=70000,"si","no")</f>
        <v>no</v>
      </c>
    </row>
    <row r="3703" spans="1:12">
      <c r="A3703">
        <v>103702</v>
      </c>
      <c r="B3703">
        <v>64</v>
      </c>
      <c r="C3703" s="2">
        <v>44500</v>
      </c>
      <c r="D3703" t="s">
        <v>12</v>
      </c>
      <c r="E3703" s="2">
        <v>14700</v>
      </c>
      <c r="F3703" s="2">
        <v>128000</v>
      </c>
      <c r="G3703" t="s">
        <v>28</v>
      </c>
      <c r="H3703" t="s">
        <v>17</v>
      </c>
      <c r="I3703" t="s">
        <v>15</v>
      </c>
      <c r="J3703" s="3">
        <v>45540</v>
      </c>
      <c r="K3703" s="4">
        <f>ClientiBanca[[#This Row],[Prestito]]+ClientiBanca[[#This Row],[Mutuo]]</f>
        <v>142700</v>
      </c>
      <c r="L3703" t="str">
        <f>IF(ClientiBanca[[#This Row],[Reddito annuo]]&gt;=70000,"si","no")</f>
        <v>no</v>
      </c>
    </row>
    <row r="3704" spans="1:12">
      <c r="A3704">
        <v>103703</v>
      </c>
      <c r="B3704">
        <v>30</v>
      </c>
      <c r="C3704" s="2">
        <v>48500</v>
      </c>
      <c r="D3704" t="s">
        <v>12</v>
      </c>
      <c r="E3704" s="2">
        <v>43600</v>
      </c>
      <c r="F3704" s="2">
        <v>271000</v>
      </c>
      <c r="G3704" t="s">
        <v>28</v>
      </c>
      <c r="H3704" t="s">
        <v>20</v>
      </c>
      <c r="I3704" t="s">
        <v>18</v>
      </c>
      <c r="J3704" s="3">
        <v>45677</v>
      </c>
      <c r="K3704" s="4">
        <f>ClientiBanca[[#This Row],[Prestito]]+ClientiBanca[[#This Row],[Mutuo]]</f>
        <v>314600</v>
      </c>
      <c r="L3704" t="str">
        <f>IF(ClientiBanca[[#This Row],[Reddito annuo]]&gt;=70000,"si","no")</f>
        <v>no</v>
      </c>
    </row>
    <row r="3705" spans="1:12">
      <c r="A3705">
        <v>103704</v>
      </c>
      <c r="B3705">
        <v>62</v>
      </c>
      <c r="C3705" s="2">
        <v>54600</v>
      </c>
      <c r="D3705" t="s">
        <v>12</v>
      </c>
      <c r="E3705" s="2">
        <v>0</v>
      </c>
      <c r="F3705" s="2">
        <v>0</v>
      </c>
      <c r="G3705" t="s">
        <v>26</v>
      </c>
      <c r="H3705" t="s">
        <v>17</v>
      </c>
      <c r="I3705" t="s">
        <v>18</v>
      </c>
      <c r="J3705" s="3">
        <v>46122</v>
      </c>
      <c r="K3705" s="4">
        <f>ClientiBanca[[#This Row],[Prestito]]+ClientiBanca[[#This Row],[Mutuo]]</f>
        <v>0</v>
      </c>
      <c r="L3705" t="str">
        <f>IF(ClientiBanca[[#This Row],[Reddito annuo]]&gt;=70000,"si","no")</f>
        <v>no</v>
      </c>
    </row>
    <row r="3706" spans="1:12">
      <c r="A3706">
        <v>103705</v>
      </c>
      <c r="B3706">
        <v>63</v>
      </c>
      <c r="C3706" s="2">
        <v>30700</v>
      </c>
      <c r="D3706" t="s">
        <v>21</v>
      </c>
      <c r="E3706" s="2">
        <v>0</v>
      </c>
      <c r="F3706" s="2">
        <v>0</v>
      </c>
      <c r="G3706" t="s">
        <v>23</v>
      </c>
      <c r="H3706" t="s">
        <v>17</v>
      </c>
      <c r="I3706" t="s">
        <v>18</v>
      </c>
      <c r="J3706" s="3">
        <v>45395</v>
      </c>
      <c r="K3706" s="4">
        <f>ClientiBanca[[#This Row],[Prestito]]+ClientiBanca[[#This Row],[Mutuo]]</f>
        <v>0</v>
      </c>
      <c r="L3706" t="str">
        <f>IF(ClientiBanca[[#This Row],[Reddito annuo]]&gt;=70000,"si","no")</f>
        <v>no</v>
      </c>
    </row>
    <row r="3707" spans="1:12">
      <c r="A3707">
        <v>103706</v>
      </c>
      <c r="B3707">
        <v>71</v>
      </c>
      <c r="C3707" s="2">
        <v>57300</v>
      </c>
      <c r="D3707" t="s">
        <v>12</v>
      </c>
      <c r="E3707" s="2">
        <v>0</v>
      </c>
      <c r="F3707" s="2">
        <v>0</v>
      </c>
      <c r="G3707" t="s">
        <v>24</v>
      </c>
      <c r="H3707" t="s">
        <v>20</v>
      </c>
      <c r="I3707" t="s">
        <v>18</v>
      </c>
      <c r="J3707" s="3">
        <v>46153</v>
      </c>
      <c r="K3707" s="4">
        <f>ClientiBanca[[#This Row],[Prestito]]+ClientiBanca[[#This Row],[Mutuo]]</f>
        <v>0</v>
      </c>
      <c r="L3707" t="str">
        <f>IF(ClientiBanca[[#This Row],[Reddito annuo]]&gt;=70000,"si","no")</f>
        <v>no</v>
      </c>
    </row>
    <row r="3708" spans="1:12">
      <c r="A3708">
        <v>103707</v>
      </c>
      <c r="B3708">
        <v>56</v>
      </c>
      <c r="C3708" s="2">
        <v>38800</v>
      </c>
      <c r="D3708" t="s">
        <v>21</v>
      </c>
      <c r="E3708" s="2">
        <v>35300</v>
      </c>
      <c r="F3708" s="2">
        <v>343000</v>
      </c>
      <c r="G3708" t="s">
        <v>23</v>
      </c>
      <c r="H3708" t="s">
        <v>20</v>
      </c>
      <c r="I3708" t="s">
        <v>18</v>
      </c>
      <c r="J3708" s="3">
        <v>46078</v>
      </c>
      <c r="K3708" s="4">
        <f>ClientiBanca[[#This Row],[Prestito]]+ClientiBanca[[#This Row],[Mutuo]]</f>
        <v>378300</v>
      </c>
      <c r="L3708" t="str">
        <f>IF(ClientiBanca[[#This Row],[Reddito annuo]]&gt;=70000,"si","no")</f>
        <v>no</v>
      </c>
    </row>
    <row r="3709" spans="1:12">
      <c r="A3709">
        <v>103708</v>
      </c>
      <c r="B3709">
        <v>38</v>
      </c>
      <c r="C3709" s="2">
        <v>43700</v>
      </c>
      <c r="D3709" t="s">
        <v>21</v>
      </c>
      <c r="E3709" s="2">
        <v>0</v>
      </c>
      <c r="F3709" s="2">
        <v>0</v>
      </c>
      <c r="G3709" t="s">
        <v>16</v>
      </c>
      <c r="H3709" t="s">
        <v>14</v>
      </c>
      <c r="I3709" t="s">
        <v>18</v>
      </c>
      <c r="J3709" s="3">
        <v>45391</v>
      </c>
      <c r="K3709" s="4">
        <f>ClientiBanca[[#This Row],[Prestito]]+ClientiBanca[[#This Row],[Mutuo]]</f>
        <v>0</v>
      </c>
      <c r="L3709" t="str">
        <f>IF(ClientiBanca[[#This Row],[Reddito annuo]]&gt;=70000,"si","no")</f>
        <v>no</v>
      </c>
    </row>
    <row r="3710" spans="1:12">
      <c r="A3710">
        <v>103709</v>
      </c>
      <c r="B3710">
        <v>52</v>
      </c>
      <c r="C3710" s="2">
        <v>84200</v>
      </c>
      <c r="D3710" t="s">
        <v>21</v>
      </c>
      <c r="E3710" s="2">
        <v>12700</v>
      </c>
      <c r="F3710" s="2">
        <v>0</v>
      </c>
      <c r="G3710" t="s">
        <v>27</v>
      </c>
      <c r="H3710" t="s">
        <v>20</v>
      </c>
      <c r="I3710" t="s">
        <v>18</v>
      </c>
      <c r="J3710" s="3">
        <v>46217</v>
      </c>
      <c r="K3710" s="4">
        <f>ClientiBanca[[#This Row],[Prestito]]+ClientiBanca[[#This Row],[Mutuo]]</f>
        <v>12700</v>
      </c>
      <c r="L3710" t="str">
        <f>IF(ClientiBanca[[#This Row],[Reddito annuo]]&gt;=70000,"si","no")</f>
        <v>si</v>
      </c>
    </row>
    <row r="3711" spans="1:12">
      <c r="A3711">
        <v>103710</v>
      </c>
      <c r="B3711">
        <v>68</v>
      </c>
      <c r="C3711" s="2">
        <v>57100</v>
      </c>
      <c r="D3711" t="s">
        <v>21</v>
      </c>
      <c r="E3711" s="2">
        <v>0</v>
      </c>
      <c r="F3711" s="2">
        <v>0</v>
      </c>
      <c r="G3711" t="s">
        <v>16</v>
      </c>
      <c r="H3711" t="s">
        <v>14</v>
      </c>
      <c r="I3711" t="s">
        <v>18</v>
      </c>
      <c r="J3711" s="3">
        <v>45772</v>
      </c>
      <c r="K3711" s="4">
        <f>ClientiBanca[[#This Row],[Prestito]]+ClientiBanca[[#This Row],[Mutuo]]</f>
        <v>0</v>
      </c>
      <c r="L3711" t="str">
        <f>IF(ClientiBanca[[#This Row],[Reddito annuo]]&gt;=70000,"si","no")</f>
        <v>no</v>
      </c>
    </row>
    <row r="3712" spans="1:12">
      <c r="A3712">
        <v>103711</v>
      </c>
      <c r="B3712">
        <v>38</v>
      </c>
      <c r="C3712" s="2">
        <v>26700</v>
      </c>
      <c r="D3712" t="s">
        <v>12</v>
      </c>
      <c r="E3712" s="2">
        <v>0</v>
      </c>
      <c r="F3712" s="2">
        <v>0</v>
      </c>
      <c r="G3712" t="s">
        <v>23</v>
      </c>
      <c r="H3712" t="s">
        <v>17</v>
      </c>
      <c r="I3712" t="s">
        <v>18</v>
      </c>
      <c r="J3712" s="3">
        <v>45614</v>
      </c>
      <c r="K3712" s="4">
        <f>ClientiBanca[[#This Row],[Prestito]]+ClientiBanca[[#This Row],[Mutuo]]</f>
        <v>0</v>
      </c>
      <c r="L3712" t="str">
        <f>IF(ClientiBanca[[#This Row],[Reddito annuo]]&gt;=70000,"si","no")</f>
        <v>no</v>
      </c>
    </row>
    <row r="3713" spans="1:12">
      <c r="A3713">
        <v>103712</v>
      </c>
      <c r="B3713">
        <v>25</v>
      </c>
      <c r="C3713" s="2">
        <v>94900</v>
      </c>
      <c r="D3713" t="s">
        <v>12</v>
      </c>
      <c r="E3713" s="2">
        <v>12100</v>
      </c>
      <c r="F3713" s="2">
        <v>0</v>
      </c>
      <c r="G3713" t="s">
        <v>13</v>
      </c>
      <c r="H3713" t="s">
        <v>17</v>
      </c>
      <c r="I3713" t="s">
        <v>18</v>
      </c>
      <c r="J3713" s="3">
        <v>46148</v>
      </c>
      <c r="K3713" s="4">
        <f>ClientiBanca[[#This Row],[Prestito]]+ClientiBanca[[#This Row],[Mutuo]]</f>
        <v>12100</v>
      </c>
      <c r="L3713" t="str">
        <f>IF(ClientiBanca[[#This Row],[Reddito annuo]]&gt;=70000,"si","no")</f>
        <v>si</v>
      </c>
    </row>
    <row r="3714" spans="1:12">
      <c r="A3714">
        <v>103713</v>
      </c>
      <c r="B3714">
        <v>21</v>
      </c>
      <c r="C3714" s="2">
        <v>70400</v>
      </c>
      <c r="D3714" t="s">
        <v>21</v>
      </c>
      <c r="E3714" s="2">
        <v>14000</v>
      </c>
      <c r="F3714" s="2">
        <v>0</v>
      </c>
      <c r="G3714" t="s">
        <v>23</v>
      </c>
      <c r="H3714" t="s">
        <v>20</v>
      </c>
      <c r="I3714" t="s">
        <v>18</v>
      </c>
      <c r="J3714" s="3">
        <v>46184</v>
      </c>
      <c r="K3714" s="4">
        <f>ClientiBanca[[#This Row],[Prestito]]+ClientiBanca[[#This Row],[Mutuo]]</f>
        <v>14000</v>
      </c>
      <c r="L3714" t="str">
        <f>IF(ClientiBanca[[#This Row],[Reddito annuo]]&gt;=70000,"si","no")</f>
        <v>si</v>
      </c>
    </row>
    <row r="3715" spans="1:12">
      <c r="A3715">
        <v>103714</v>
      </c>
      <c r="B3715">
        <v>28</v>
      </c>
      <c r="C3715" s="2">
        <v>39800</v>
      </c>
      <c r="D3715" t="s">
        <v>22</v>
      </c>
      <c r="E3715" s="2">
        <v>17200</v>
      </c>
      <c r="F3715" s="2">
        <v>0</v>
      </c>
      <c r="G3715" t="s">
        <v>28</v>
      </c>
      <c r="H3715" t="s">
        <v>14</v>
      </c>
      <c r="I3715" t="s">
        <v>18</v>
      </c>
      <c r="J3715" s="3">
        <v>46058</v>
      </c>
      <c r="K3715" s="4">
        <f>ClientiBanca[[#This Row],[Prestito]]+ClientiBanca[[#This Row],[Mutuo]]</f>
        <v>17200</v>
      </c>
      <c r="L3715" t="str">
        <f>IF(ClientiBanca[[#This Row],[Reddito annuo]]&gt;=70000,"si","no")</f>
        <v>no</v>
      </c>
    </row>
    <row r="3716" spans="1:12">
      <c r="A3716">
        <v>103715</v>
      </c>
      <c r="B3716">
        <v>68</v>
      </c>
      <c r="C3716" s="2">
        <v>50900</v>
      </c>
      <c r="D3716" t="s">
        <v>21</v>
      </c>
      <c r="E3716" s="2">
        <v>15800</v>
      </c>
      <c r="F3716" s="2">
        <v>0</v>
      </c>
      <c r="G3716" t="s">
        <v>13</v>
      </c>
      <c r="H3716" t="s">
        <v>20</v>
      </c>
      <c r="I3716" t="s">
        <v>18</v>
      </c>
      <c r="J3716" s="3">
        <v>45993</v>
      </c>
      <c r="K3716" s="4">
        <f>ClientiBanca[[#This Row],[Prestito]]+ClientiBanca[[#This Row],[Mutuo]]</f>
        <v>15800</v>
      </c>
      <c r="L3716" t="str">
        <f>IF(ClientiBanca[[#This Row],[Reddito annuo]]&gt;=70000,"si","no")</f>
        <v>no</v>
      </c>
    </row>
    <row r="3717" spans="1:12">
      <c r="A3717">
        <v>103716</v>
      </c>
      <c r="B3717">
        <v>40</v>
      </c>
      <c r="C3717" s="2">
        <v>72800</v>
      </c>
      <c r="D3717" t="s">
        <v>12</v>
      </c>
      <c r="E3717" s="2">
        <v>23900</v>
      </c>
      <c r="F3717" s="2">
        <v>0</v>
      </c>
      <c r="G3717" t="s">
        <v>16</v>
      </c>
      <c r="H3717" t="s">
        <v>14</v>
      </c>
      <c r="I3717" t="s">
        <v>15</v>
      </c>
      <c r="J3717" s="3">
        <v>45573</v>
      </c>
      <c r="K3717" s="4">
        <f>ClientiBanca[[#This Row],[Prestito]]+ClientiBanca[[#This Row],[Mutuo]]</f>
        <v>23900</v>
      </c>
      <c r="L3717" t="str">
        <f>IF(ClientiBanca[[#This Row],[Reddito annuo]]&gt;=70000,"si","no")</f>
        <v>si</v>
      </c>
    </row>
    <row r="3718" spans="1:12">
      <c r="A3718">
        <v>103717</v>
      </c>
      <c r="B3718">
        <v>74</v>
      </c>
      <c r="C3718" s="2">
        <v>88700</v>
      </c>
      <c r="D3718" t="s">
        <v>21</v>
      </c>
      <c r="E3718" s="2">
        <v>52200</v>
      </c>
      <c r="F3718" s="2">
        <v>0</v>
      </c>
      <c r="G3718" t="s">
        <v>24</v>
      </c>
      <c r="H3718" t="s">
        <v>20</v>
      </c>
      <c r="I3718" t="s">
        <v>18</v>
      </c>
      <c r="J3718" s="3">
        <v>45948</v>
      </c>
      <c r="K3718" s="4">
        <f>ClientiBanca[[#This Row],[Prestito]]+ClientiBanca[[#This Row],[Mutuo]]</f>
        <v>52200</v>
      </c>
      <c r="L3718" t="str">
        <f>IF(ClientiBanca[[#This Row],[Reddito annuo]]&gt;=70000,"si","no")</f>
        <v>si</v>
      </c>
    </row>
    <row r="3719" spans="1:12">
      <c r="A3719">
        <v>103718</v>
      </c>
      <c r="B3719">
        <v>59</v>
      </c>
      <c r="C3719" s="2">
        <v>51100</v>
      </c>
      <c r="D3719" t="s">
        <v>12</v>
      </c>
      <c r="E3719" s="2">
        <v>40400</v>
      </c>
      <c r="F3719" s="2">
        <v>0</v>
      </c>
      <c r="G3719" t="s">
        <v>26</v>
      </c>
      <c r="H3719" t="s">
        <v>25</v>
      </c>
      <c r="I3719" t="s">
        <v>15</v>
      </c>
      <c r="J3719" s="3">
        <v>45488</v>
      </c>
      <c r="K3719" s="4">
        <f>ClientiBanca[[#This Row],[Prestito]]+ClientiBanca[[#This Row],[Mutuo]]</f>
        <v>40400</v>
      </c>
      <c r="L3719" t="str">
        <f>IF(ClientiBanca[[#This Row],[Reddito annuo]]&gt;=70000,"si","no")</f>
        <v>no</v>
      </c>
    </row>
    <row r="3720" spans="1:12">
      <c r="A3720">
        <v>103719</v>
      </c>
      <c r="B3720">
        <v>28</v>
      </c>
      <c r="C3720" s="2">
        <v>40900</v>
      </c>
      <c r="D3720" t="s">
        <v>12</v>
      </c>
      <c r="E3720" s="2">
        <v>51100</v>
      </c>
      <c r="F3720" s="2">
        <v>0</v>
      </c>
      <c r="G3720" t="s">
        <v>23</v>
      </c>
      <c r="H3720" t="s">
        <v>25</v>
      </c>
      <c r="I3720" t="s">
        <v>18</v>
      </c>
      <c r="J3720" s="3">
        <v>45935</v>
      </c>
      <c r="K3720" s="4">
        <f>ClientiBanca[[#This Row],[Prestito]]+ClientiBanca[[#This Row],[Mutuo]]</f>
        <v>51100</v>
      </c>
      <c r="L3720" t="str">
        <f>IF(ClientiBanca[[#This Row],[Reddito annuo]]&gt;=70000,"si","no")</f>
        <v>no</v>
      </c>
    </row>
    <row r="3721" spans="1:12">
      <c r="A3721">
        <v>103720</v>
      </c>
      <c r="B3721">
        <v>41</v>
      </c>
      <c r="C3721" s="2">
        <v>95000</v>
      </c>
      <c r="D3721" t="s">
        <v>21</v>
      </c>
      <c r="E3721" s="2">
        <v>25100</v>
      </c>
      <c r="F3721" s="2">
        <v>0</v>
      </c>
      <c r="G3721" t="s">
        <v>28</v>
      </c>
      <c r="H3721" t="s">
        <v>20</v>
      </c>
      <c r="I3721" t="s">
        <v>18</v>
      </c>
      <c r="J3721" s="3">
        <v>46025</v>
      </c>
      <c r="K3721" s="4">
        <f>ClientiBanca[[#This Row],[Prestito]]+ClientiBanca[[#This Row],[Mutuo]]</f>
        <v>25100</v>
      </c>
      <c r="L3721" t="str">
        <f>IF(ClientiBanca[[#This Row],[Reddito annuo]]&gt;=70000,"si","no")</f>
        <v>si</v>
      </c>
    </row>
    <row r="3722" spans="1:12">
      <c r="A3722">
        <v>103721</v>
      </c>
      <c r="B3722">
        <v>62</v>
      </c>
      <c r="C3722" s="2">
        <v>60400</v>
      </c>
      <c r="D3722" t="s">
        <v>12</v>
      </c>
      <c r="E3722" s="2">
        <v>0</v>
      </c>
      <c r="F3722" s="2">
        <v>0</v>
      </c>
      <c r="G3722" t="s">
        <v>28</v>
      </c>
      <c r="H3722" t="s">
        <v>14</v>
      </c>
      <c r="I3722" t="s">
        <v>18</v>
      </c>
      <c r="J3722" s="3">
        <v>45661</v>
      </c>
      <c r="K3722" s="4">
        <f>ClientiBanca[[#This Row],[Prestito]]+ClientiBanca[[#This Row],[Mutuo]]</f>
        <v>0</v>
      </c>
      <c r="L3722" t="str">
        <f>IF(ClientiBanca[[#This Row],[Reddito annuo]]&gt;=70000,"si","no")</f>
        <v>no</v>
      </c>
    </row>
    <row r="3723" spans="1:12">
      <c r="A3723">
        <v>103722</v>
      </c>
      <c r="B3723">
        <v>36</v>
      </c>
      <c r="C3723" s="2">
        <v>84300</v>
      </c>
      <c r="D3723" t="s">
        <v>22</v>
      </c>
      <c r="E3723" s="2">
        <v>0</v>
      </c>
      <c r="F3723" s="2">
        <v>0</v>
      </c>
      <c r="G3723" t="s">
        <v>26</v>
      </c>
      <c r="H3723" t="s">
        <v>17</v>
      </c>
      <c r="I3723" t="s">
        <v>18</v>
      </c>
      <c r="J3723" s="3">
        <v>45776</v>
      </c>
      <c r="K3723" s="4">
        <f>ClientiBanca[[#This Row],[Prestito]]+ClientiBanca[[#This Row],[Mutuo]]</f>
        <v>0</v>
      </c>
      <c r="L3723" t="str">
        <f>IF(ClientiBanca[[#This Row],[Reddito annuo]]&gt;=70000,"si","no")</f>
        <v>si</v>
      </c>
    </row>
    <row r="3724" spans="1:12">
      <c r="A3724">
        <v>103723</v>
      </c>
      <c r="B3724">
        <v>51</v>
      </c>
      <c r="C3724" s="2">
        <v>59000</v>
      </c>
      <c r="D3724" t="s">
        <v>21</v>
      </c>
      <c r="E3724" s="2">
        <v>0</v>
      </c>
      <c r="F3724" s="2">
        <v>186000</v>
      </c>
      <c r="G3724" t="s">
        <v>23</v>
      </c>
      <c r="H3724" t="s">
        <v>20</v>
      </c>
      <c r="I3724" t="s">
        <v>18</v>
      </c>
      <c r="J3724" s="3">
        <v>45729</v>
      </c>
      <c r="K3724" s="4">
        <f>ClientiBanca[[#This Row],[Prestito]]+ClientiBanca[[#This Row],[Mutuo]]</f>
        <v>186000</v>
      </c>
      <c r="L3724" t="str">
        <f>IF(ClientiBanca[[#This Row],[Reddito annuo]]&gt;=70000,"si","no")</f>
        <v>no</v>
      </c>
    </row>
    <row r="3725" spans="1:12">
      <c r="A3725">
        <v>103724</v>
      </c>
      <c r="B3725">
        <v>38</v>
      </c>
      <c r="C3725" s="2">
        <v>86400</v>
      </c>
      <c r="D3725" t="s">
        <v>21</v>
      </c>
      <c r="E3725" s="2">
        <v>37700</v>
      </c>
      <c r="F3725" s="2">
        <v>0</v>
      </c>
      <c r="G3725" t="s">
        <v>24</v>
      </c>
      <c r="H3725" t="s">
        <v>20</v>
      </c>
      <c r="I3725" t="s">
        <v>18</v>
      </c>
      <c r="J3725" s="3">
        <v>45420</v>
      </c>
      <c r="K3725" s="4">
        <f>ClientiBanca[[#This Row],[Prestito]]+ClientiBanca[[#This Row],[Mutuo]]</f>
        <v>37700</v>
      </c>
      <c r="L3725" t="str">
        <f>IF(ClientiBanca[[#This Row],[Reddito annuo]]&gt;=70000,"si","no")</f>
        <v>si</v>
      </c>
    </row>
    <row r="3726" spans="1:12">
      <c r="A3726">
        <v>103725</v>
      </c>
      <c r="B3726">
        <v>67</v>
      </c>
      <c r="C3726" s="2">
        <v>73100</v>
      </c>
      <c r="D3726" t="s">
        <v>21</v>
      </c>
      <c r="E3726" s="2">
        <v>19200</v>
      </c>
      <c r="F3726" s="2">
        <v>0</v>
      </c>
      <c r="G3726" t="s">
        <v>23</v>
      </c>
      <c r="H3726" t="s">
        <v>14</v>
      </c>
      <c r="I3726" t="s">
        <v>18</v>
      </c>
      <c r="J3726" s="3">
        <v>45867</v>
      </c>
      <c r="K3726" s="4">
        <f>ClientiBanca[[#This Row],[Prestito]]+ClientiBanca[[#This Row],[Mutuo]]</f>
        <v>19200</v>
      </c>
      <c r="L3726" t="str">
        <f>IF(ClientiBanca[[#This Row],[Reddito annuo]]&gt;=70000,"si","no")</f>
        <v>si</v>
      </c>
    </row>
    <row r="3727" spans="1:12">
      <c r="A3727">
        <v>103726</v>
      </c>
      <c r="B3727">
        <v>42</v>
      </c>
      <c r="C3727" s="2">
        <v>99100</v>
      </c>
      <c r="D3727" t="s">
        <v>22</v>
      </c>
      <c r="E3727" s="2">
        <v>27300</v>
      </c>
      <c r="F3727" s="2">
        <v>0</v>
      </c>
      <c r="G3727" t="s">
        <v>24</v>
      </c>
      <c r="H3727" t="s">
        <v>20</v>
      </c>
      <c r="I3727" t="s">
        <v>18</v>
      </c>
      <c r="J3727" s="3">
        <v>45552</v>
      </c>
      <c r="K3727" s="4">
        <f>ClientiBanca[[#This Row],[Prestito]]+ClientiBanca[[#This Row],[Mutuo]]</f>
        <v>27300</v>
      </c>
      <c r="L3727" t="str">
        <f>IF(ClientiBanca[[#This Row],[Reddito annuo]]&gt;=70000,"si","no")</f>
        <v>si</v>
      </c>
    </row>
    <row r="3728" spans="1:12">
      <c r="A3728">
        <v>103727</v>
      </c>
      <c r="B3728">
        <v>21</v>
      </c>
      <c r="C3728" s="2">
        <v>57600</v>
      </c>
      <c r="D3728" t="s">
        <v>22</v>
      </c>
      <c r="E3728" s="2">
        <v>72000</v>
      </c>
      <c r="F3728" s="2">
        <v>0</v>
      </c>
      <c r="G3728" t="s">
        <v>16</v>
      </c>
      <c r="H3728" t="s">
        <v>20</v>
      </c>
      <c r="I3728" t="s">
        <v>18</v>
      </c>
      <c r="J3728" s="3">
        <v>45353</v>
      </c>
      <c r="K3728" s="4">
        <f>ClientiBanca[[#This Row],[Prestito]]+ClientiBanca[[#This Row],[Mutuo]]</f>
        <v>72000</v>
      </c>
      <c r="L3728" t="str">
        <f>IF(ClientiBanca[[#This Row],[Reddito annuo]]&gt;=70000,"si","no")</f>
        <v>no</v>
      </c>
    </row>
    <row r="3729" spans="1:12">
      <c r="A3729">
        <v>103728</v>
      </c>
      <c r="B3729">
        <v>56</v>
      </c>
      <c r="C3729" s="2">
        <v>89500</v>
      </c>
      <c r="D3729" t="s">
        <v>12</v>
      </c>
      <c r="E3729" s="2">
        <v>0</v>
      </c>
      <c r="F3729" s="2">
        <v>0</v>
      </c>
      <c r="G3729" t="s">
        <v>26</v>
      </c>
      <c r="H3729" t="s">
        <v>20</v>
      </c>
      <c r="I3729" t="s">
        <v>18</v>
      </c>
      <c r="J3729" s="3">
        <v>45742</v>
      </c>
      <c r="K3729" s="4">
        <f>ClientiBanca[[#This Row],[Prestito]]+ClientiBanca[[#This Row],[Mutuo]]</f>
        <v>0</v>
      </c>
      <c r="L3729" t="str">
        <f>IF(ClientiBanca[[#This Row],[Reddito annuo]]&gt;=70000,"si","no")</f>
        <v>si</v>
      </c>
    </row>
    <row r="3730" spans="1:12">
      <c r="A3730">
        <v>103729</v>
      </c>
      <c r="B3730">
        <v>56</v>
      </c>
      <c r="C3730" s="2">
        <v>37600</v>
      </c>
      <c r="D3730" t="s">
        <v>22</v>
      </c>
      <c r="E3730" s="2">
        <v>47000</v>
      </c>
      <c r="F3730" s="2">
        <v>0</v>
      </c>
      <c r="G3730" t="s">
        <v>28</v>
      </c>
      <c r="H3730" t="s">
        <v>17</v>
      </c>
      <c r="I3730" t="s">
        <v>18</v>
      </c>
      <c r="J3730" s="3">
        <v>45695</v>
      </c>
      <c r="K3730" s="4">
        <f>ClientiBanca[[#This Row],[Prestito]]+ClientiBanca[[#This Row],[Mutuo]]</f>
        <v>47000</v>
      </c>
      <c r="L3730" t="str">
        <f>IF(ClientiBanca[[#This Row],[Reddito annuo]]&gt;=70000,"si","no")</f>
        <v>no</v>
      </c>
    </row>
    <row r="3731" spans="1:12">
      <c r="A3731">
        <v>103730</v>
      </c>
      <c r="B3731">
        <v>69</v>
      </c>
      <c r="C3731" s="2">
        <v>30400</v>
      </c>
      <c r="D3731" t="s">
        <v>21</v>
      </c>
      <c r="E3731" s="2">
        <v>38000</v>
      </c>
      <c r="F3731" s="2">
        <v>0</v>
      </c>
      <c r="G3731" t="s">
        <v>26</v>
      </c>
      <c r="H3731" t="s">
        <v>17</v>
      </c>
      <c r="I3731" t="s">
        <v>18</v>
      </c>
      <c r="J3731" s="3">
        <v>45812</v>
      </c>
      <c r="K3731" s="4">
        <f>ClientiBanca[[#This Row],[Prestito]]+ClientiBanca[[#This Row],[Mutuo]]</f>
        <v>38000</v>
      </c>
      <c r="L3731" t="str">
        <f>IF(ClientiBanca[[#This Row],[Reddito annuo]]&gt;=70000,"si","no")</f>
        <v>no</v>
      </c>
    </row>
    <row r="3732" spans="1:12">
      <c r="A3732">
        <v>103731</v>
      </c>
      <c r="B3732">
        <v>53</v>
      </c>
      <c r="C3732" s="2">
        <v>44500</v>
      </c>
      <c r="D3732" t="s">
        <v>21</v>
      </c>
      <c r="E3732" s="2">
        <v>37000</v>
      </c>
      <c r="F3732" s="2">
        <v>0</v>
      </c>
      <c r="G3732" t="s">
        <v>23</v>
      </c>
      <c r="H3732" t="s">
        <v>17</v>
      </c>
      <c r="I3732" t="s">
        <v>18</v>
      </c>
      <c r="J3732" s="3">
        <v>45803</v>
      </c>
      <c r="K3732" s="4">
        <f>ClientiBanca[[#This Row],[Prestito]]+ClientiBanca[[#This Row],[Mutuo]]</f>
        <v>37000</v>
      </c>
      <c r="L3732" t="str">
        <f>IF(ClientiBanca[[#This Row],[Reddito annuo]]&gt;=70000,"si","no")</f>
        <v>no</v>
      </c>
    </row>
    <row r="3733" spans="1:12">
      <c r="A3733">
        <v>103732</v>
      </c>
      <c r="B3733">
        <v>57</v>
      </c>
      <c r="C3733" s="2">
        <v>100300</v>
      </c>
      <c r="D3733" t="s">
        <v>12</v>
      </c>
      <c r="E3733" s="2">
        <v>0</v>
      </c>
      <c r="F3733" s="2">
        <v>0</v>
      </c>
      <c r="G3733" t="s">
        <v>26</v>
      </c>
      <c r="H3733" t="s">
        <v>17</v>
      </c>
      <c r="I3733" t="s">
        <v>18</v>
      </c>
      <c r="J3733" s="3">
        <v>46058</v>
      </c>
      <c r="K3733" s="4">
        <f>ClientiBanca[[#This Row],[Prestito]]+ClientiBanca[[#This Row],[Mutuo]]</f>
        <v>0</v>
      </c>
      <c r="L3733" t="str">
        <f>IF(ClientiBanca[[#This Row],[Reddito annuo]]&gt;=70000,"si","no")</f>
        <v>si</v>
      </c>
    </row>
    <row r="3734" spans="1:12">
      <c r="A3734">
        <v>103733</v>
      </c>
      <c r="B3734">
        <v>42</v>
      </c>
      <c r="C3734" s="2">
        <v>76700</v>
      </c>
      <c r="D3734" t="s">
        <v>21</v>
      </c>
      <c r="E3734" s="2">
        <v>34100</v>
      </c>
      <c r="F3734" s="2">
        <v>197000</v>
      </c>
      <c r="G3734" t="s">
        <v>23</v>
      </c>
      <c r="H3734" t="s">
        <v>17</v>
      </c>
      <c r="I3734" t="s">
        <v>18</v>
      </c>
      <c r="J3734" s="3">
        <v>46187</v>
      </c>
      <c r="K3734" s="4">
        <f>ClientiBanca[[#This Row],[Prestito]]+ClientiBanca[[#This Row],[Mutuo]]</f>
        <v>231100</v>
      </c>
      <c r="L3734" t="str">
        <f>IF(ClientiBanca[[#This Row],[Reddito annuo]]&gt;=70000,"si","no")</f>
        <v>si</v>
      </c>
    </row>
    <row r="3735" spans="1:12">
      <c r="A3735">
        <v>103734</v>
      </c>
      <c r="B3735">
        <v>38</v>
      </c>
      <c r="C3735" s="2">
        <v>73900</v>
      </c>
      <c r="D3735" t="s">
        <v>22</v>
      </c>
      <c r="E3735" s="2">
        <v>0</v>
      </c>
      <c r="F3735" s="2">
        <v>0</v>
      </c>
      <c r="G3735" t="s">
        <v>13</v>
      </c>
      <c r="H3735" t="s">
        <v>17</v>
      </c>
      <c r="I3735" t="s">
        <v>18</v>
      </c>
      <c r="J3735" s="3">
        <v>45427</v>
      </c>
      <c r="K3735" s="4">
        <f>ClientiBanca[[#This Row],[Prestito]]+ClientiBanca[[#This Row],[Mutuo]]</f>
        <v>0</v>
      </c>
      <c r="L3735" t="str">
        <f>IF(ClientiBanca[[#This Row],[Reddito annuo]]&gt;=70000,"si","no")</f>
        <v>si</v>
      </c>
    </row>
    <row r="3736" spans="1:12">
      <c r="A3736">
        <v>103735</v>
      </c>
      <c r="B3736">
        <v>74</v>
      </c>
      <c r="C3736" s="2">
        <v>37700</v>
      </c>
      <c r="D3736" t="s">
        <v>12</v>
      </c>
      <c r="E3736" s="2">
        <v>0</v>
      </c>
      <c r="F3736" s="2">
        <v>0</v>
      </c>
      <c r="G3736" t="s">
        <v>23</v>
      </c>
      <c r="H3736" t="s">
        <v>17</v>
      </c>
      <c r="I3736" t="s">
        <v>18</v>
      </c>
      <c r="J3736" s="3">
        <v>45973</v>
      </c>
      <c r="K3736" s="4">
        <f>ClientiBanca[[#This Row],[Prestito]]+ClientiBanca[[#This Row],[Mutuo]]</f>
        <v>0</v>
      </c>
      <c r="L3736" t="str">
        <f>IF(ClientiBanca[[#This Row],[Reddito annuo]]&gt;=70000,"si","no")</f>
        <v>no</v>
      </c>
    </row>
    <row r="3737" spans="1:12">
      <c r="A3737">
        <v>103736</v>
      </c>
      <c r="B3737">
        <v>28</v>
      </c>
      <c r="C3737" s="2">
        <v>58100</v>
      </c>
      <c r="D3737" t="s">
        <v>21</v>
      </c>
      <c r="E3737" s="2">
        <v>55800</v>
      </c>
      <c r="F3737" s="2">
        <v>0</v>
      </c>
      <c r="G3737" t="s">
        <v>26</v>
      </c>
      <c r="H3737" t="s">
        <v>25</v>
      </c>
      <c r="I3737" t="s">
        <v>18</v>
      </c>
      <c r="J3737" s="3">
        <v>46237</v>
      </c>
      <c r="K3737" s="4">
        <f>ClientiBanca[[#This Row],[Prestito]]+ClientiBanca[[#This Row],[Mutuo]]</f>
        <v>55800</v>
      </c>
      <c r="L3737" t="str">
        <f>IF(ClientiBanca[[#This Row],[Reddito annuo]]&gt;=70000,"si","no")</f>
        <v>no</v>
      </c>
    </row>
    <row r="3738" spans="1:12">
      <c r="A3738">
        <v>103737</v>
      </c>
      <c r="B3738">
        <v>44</v>
      </c>
      <c r="C3738" s="2">
        <v>49100</v>
      </c>
      <c r="D3738" t="s">
        <v>21</v>
      </c>
      <c r="E3738" s="2">
        <v>36700</v>
      </c>
      <c r="F3738" s="2">
        <v>116000</v>
      </c>
      <c r="G3738" t="s">
        <v>13</v>
      </c>
      <c r="H3738" t="s">
        <v>25</v>
      </c>
      <c r="I3738" t="s">
        <v>18</v>
      </c>
      <c r="J3738" s="3">
        <v>46252</v>
      </c>
      <c r="K3738" s="4">
        <f>ClientiBanca[[#This Row],[Prestito]]+ClientiBanca[[#This Row],[Mutuo]]</f>
        <v>152700</v>
      </c>
      <c r="L3738" t="str">
        <f>IF(ClientiBanca[[#This Row],[Reddito annuo]]&gt;=70000,"si","no")</f>
        <v>no</v>
      </c>
    </row>
    <row r="3739" spans="1:12">
      <c r="A3739">
        <v>103738</v>
      </c>
      <c r="B3739">
        <v>28</v>
      </c>
      <c r="C3739" s="2">
        <v>76300</v>
      </c>
      <c r="D3739" t="s">
        <v>12</v>
      </c>
      <c r="E3739" s="2">
        <v>39900</v>
      </c>
      <c r="F3739" s="2">
        <v>278000</v>
      </c>
      <c r="G3739" t="s">
        <v>26</v>
      </c>
      <c r="H3739" t="s">
        <v>17</v>
      </c>
      <c r="I3739" t="s">
        <v>18</v>
      </c>
      <c r="J3739" s="3">
        <v>45657</v>
      </c>
      <c r="K3739" s="4">
        <f>ClientiBanca[[#This Row],[Prestito]]+ClientiBanca[[#This Row],[Mutuo]]</f>
        <v>317900</v>
      </c>
      <c r="L3739" t="str">
        <f>IF(ClientiBanca[[#This Row],[Reddito annuo]]&gt;=70000,"si","no")</f>
        <v>si</v>
      </c>
    </row>
    <row r="3740" spans="1:12">
      <c r="A3740">
        <v>103739</v>
      </c>
      <c r="B3740">
        <v>30</v>
      </c>
      <c r="C3740" s="2">
        <v>84800</v>
      </c>
      <c r="D3740" t="s">
        <v>22</v>
      </c>
      <c r="E3740" s="2">
        <v>0</v>
      </c>
      <c r="F3740" s="2">
        <v>0</v>
      </c>
      <c r="G3740" t="s">
        <v>28</v>
      </c>
      <c r="H3740" t="s">
        <v>17</v>
      </c>
      <c r="I3740" t="s">
        <v>18</v>
      </c>
      <c r="J3740" s="3">
        <v>46213</v>
      </c>
      <c r="K3740" s="4">
        <f>ClientiBanca[[#This Row],[Prestito]]+ClientiBanca[[#This Row],[Mutuo]]</f>
        <v>0</v>
      </c>
      <c r="L3740" t="str">
        <f>IF(ClientiBanca[[#This Row],[Reddito annuo]]&gt;=70000,"si","no")</f>
        <v>si</v>
      </c>
    </row>
    <row r="3741" spans="1:12">
      <c r="A3741">
        <v>103740</v>
      </c>
      <c r="B3741">
        <v>46</v>
      </c>
      <c r="C3741" s="2">
        <v>59100</v>
      </c>
      <c r="D3741" t="s">
        <v>12</v>
      </c>
      <c r="E3741" s="2">
        <v>41300</v>
      </c>
      <c r="F3741" s="2">
        <v>0</v>
      </c>
      <c r="G3741" t="s">
        <v>26</v>
      </c>
      <c r="H3741" t="s">
        <v>20</v>
      </c>
      <c r="I3741" t="s">
        <v>18</v>
      </c>
      <c r="J3741" s="3">
        <v>46131</v>
      </c>
      <c r="K3741" s="4">
        <f>ClientiBanca[[#This Row],[Prestito]]+ClientiBanca[[#This Row],[Mutuo]]</f>
        <v>41300</v>
      </c>
      <c r="L3741" t="str">
        <f>IF(ClientiBanca[[#This Row],[Reddito annuo]]&gt;=70000,"si","no")</f>
        <v>no</v>
      </c>
    </row>
    <row r="3742" spans="1:12">
      <c r="A3742">
        <v>103741</v>
      </c>
      <c r="B3742">
        <v>60</v>
      </c>
      <c r="C3742" s="2">
        <v>122800</v>
      </c>
      <c r="D3742" t="s">
        <v>21</v>
      </c>
      <c r="E3742" s="2">
        <v>0</v>
      </c>
      <c r="F3742" s="2">
        <v>196000</v>
      </c>
      <c r="G3742" t="s">
        <v>23</v>
      </c>
      <c r="H3742" t="s">
        <v>17</v>
      </c>
      <c r="I3742" t="s">
        <v>18</v>
      </c>
      <c r="J3742" s="3">
        <v>46080</v>
      </c>
      <c r="K3742" s="4">
        <f>ClientiBanca[[#This Row],[Prestito]]+ClientiBanca[[#This Row],[Mutuo]]</f>
        <v>196000</v>
      </c>
      <c r="L3742" t="str">
        <f>IF(ClientiBanca[[#This Row],[Reddito annuo]]&gt;=70000,"si","no")</f>
        <v>si</v>
      </c>
    </row>
    <row r="3743" spans="1:12">
      <c r="A3743">
        <v>103742</v>
      </c>
      <c r="B3743">
        <v>67</v>
      </c>
      <c r="C3743" s="2">
        <v>65500</v>
      </c>
      <c r="D3743" t="s">
        <v>21</v>
      </c>
      <c r="E3743" s="2">
        <v>0</v>
      </c>
      <c r="F3743" s="2">
        <v>82000</v>
      </c>
      <c r="G3743" t="s">
        <v>16</v>
      </c>
      <c r="H3743" t="s">
        <v>20</v>
      </c>
      <c r="I3743" t="s">
        <v>18</v>
      </c>
      <c r="J3743" s="3">
        <v>45743</v>
      </c>
      <c r="K3743" s="4">
        <f>ClientiBanca[[#This Row],[Prestito]]+ClientiBanca[[#This Row],[Mutuo]]</f>
        <v>82000</v>
      </c>
      <c r="L3743" t="str">
        <f>IF(ClientiBanca[[#This Row],[Reddito annuo]]&gt;=70000,"si","no")</f>
        <v>no</v>
      </c>
    </row>
    <row r="3744" spans="1:12">
      <c r="A3744">
        <v>103743</v>
      </c>
      <c r="B3744">
        <v>68</v>
      </c>
      <c r="C3744" s="2">
        <v>39100</v>
      </c>
      <c r="D3744" t="s">
        <v>21</v>
      </c>
      <c r="E3744" s="2">
        <v>0</v>
      </c>
      <c r="F3744" s="2">
        <v>0</v>
      </c>
      <c r="G3744" t="s">
        <v>16</v>
      </c>
      <c r="H3744" t="s">
        <v>25</v>
      </c>
      <c r="I3744" t="s">
        <v>18</v>
      </c>
      <c r="J3744" s="3">
        <v>45874</v>
      </c>
      <c r="K3744" s="4">
        <f>ClientiBanca[[#This Row],[Prestito]]+ClientiBanca[[#This Row],[Mutuo]]</f>
        <v>0</v>
      </c>
      <c r="L3744" t="str">
        <f>IF(ClientiBanca[[#This Row],[Reddito annuo]]&gt;=70000,"si","no")</f>
        <v>no</v>
      </c>
    </row>
    <row r="3745" spans="1:12">
      <c r="A3745">
        <v>103744</v>
      </c>
      <c r="B3745">
        <v>62</v>
      </c>
      <c r="C3745" s="2">
        <v>84200</v>
      </c>
      <c r="D3745" t="s">
        <v>22</v>
      </c>
      <c r="E3745" s="2">
        <v>0</v>
      </c>
      <c r="F3745" s="2">
        <v>0</v>
      </c>
      <c r="G3745" t="s">
        <v>28</v>
      </c>
      <c r="H3745" t="s">
        <v>20</v>
      </c>
      <c r="I3745" t="s">
        <v>18</v>
      </c>
      <c r="J3745" s="3">
        <v>46216</v>
      </c>
      <c r="K3745" s="4">
        <f>ClientiBanca[[#This Row],[Prestito]]+ClientiBanca[[#This Row],[Mutuo]]</f>
        <v>0</v>
      </c>
      <c r="L3745" t="str">
        <f>IF(ClientiBanca[[#This Row],[Reddito annuo]]&gt;=70000,"si","no")</f>
        <v>si</v>
      </c>
    </row>
    <row r="3746" spans="1:12">
      <c r="A3746">
        <v>103745</v>
      </c>
      <c r="B3746">
        <v>42</v>
      </c>
      <c r="C3746" s="2">
        <v>58200</v>
      </c>
      <c r="D3746" t="s">
        <v>21</v>
      </c>
      <c r="E3746" s="2">
        <v>18000</v>
      </c>
      <c r="F3746" s="2">
        <v>0</v>
      </c>
      <c r="G3746" t="s">
        <v>23</v>
      </c>
      <c r="H3746" t="s">
        <v>20</v>
      </c>
      <c r="I3746" t="s">
        <v>18</v>
      </c>
      <c r="J3746" s="3">
        <v>45323</v>
      </c>
      <c r="K3746" s="4">
        <f>ClientiBanca[[#This Row],[Prestito]]+ClientiBanca[[#This Row],[Mutuo]]</f>
        <v>18000</v>
      </c>
      <c r="L3746" t="str">
        <f>IF(ClientiBanca[[#This Row],[Reddito annuo]]&gt;=70000,"si","no")</f>
        <v>no</v>
      </c>
    </row>
    <row r="3747" spans="1:12">
      <c r="A3747">
        <v>103746</v>
      </c>
      <c r="B3747">
        <v>62</v>
      </c>
      <c r="C3747" s="2">
        <v>86700</v>
      </c>
      <c r="D3747" t="s">
        <v>22</v>
      </c>
      <c r="E3747" s="2">
        <v>41100</v>
      </c>
      <c r="F3747" s="2">
        <v>0</v>
      </c>
      <c r="G3747" t="s">
        <v>28</v>
      </c>
      <c r="H3747" t="s">
        <v>20</v>
      </c>
      <c r="I3747" t="s">
        <v>18</v>
      </c>
      <c r="J3747" s="3">
        <v>45525</v>
      </c>
      <c r="K3747" s="4">
        <f>ClientiBanca[[#This Row],[Prestito]]+ClientiBanca[[#This Row],[Mutuo]]</f>
        <v>41100</v>
      </c>
      <c r="L3747" t="str">
        <f>IF(ClientiBanca[[#This Row],[Reddito annuo]]&gt;=70000,"si","no")</f>
        <v>si</v>
      </c>
    </row>
    <row r="3748" spans="1:12">
      <c r="A3748">
        <v>103747</v>
      </c>
      <c r="B3748">
        <v>26</v>
      </c>
      <c r="C3748" s="2">
        <v>116800</v>
      </c>
      <c r="D3748" t="s">
        <v>12</v>
      </c>
      <c r="E3748" s="2">
        <v>0</v>
      </c>
      <c r="F3748" s="2">
        <v>0</v>
      </c>
      <c r="G3748" t="s">
        <v>26</v>
      </c>
      <c r="H3748" t="s">
        <v>14</v>
      </c>
      <c r="I3748" t="s">
        <v>18</v>
      </c>
      <c r="J3748" s="3">
        <v>46051</v>
      </c>
      <c r="K3748" s="4">
        <f>ClientiBanca[[#This Row],[Prestito]]+ClientiBanca[[#This Row],[Mutuo]]</f>
        <v>0</v>
      </c>
      <c r="L3748" t="str">
        <f>IF(ClientiBanca[[#This Row],[Reddito annuo]]&gt;=70000,"si","no")</f>
        <v>si</v>
      </c>
    </row>
    <row r="3749" spans="1:12">
      <c r="A3749">
        <v>103748</v>
      </c>
      <c r="B3749">
        <v>39</v>
      </c>
      <c r="C3749" s="2">
        <v>61000</v>
      </c>
      <c r="D3749" t="s">
        <v>21</v>
      </c>
      <c r="E3749" s="2">
        <v>0</v>
      </c>
      <c r="F3749" s="2">
        <v>253000</v>
      </c>
      <c r="G3749" t="s">
        <v>19</v>
      </c>
      <c r="H3749" t="s">
        <v>17</v>
      </c>
      <c r="I3749" t="s">
        <v>18</v>
      </c>
      <c r="J3749" s="3">
        <v>46141</v>
      </c>
      <c r="K3749" s="4">
        <f>ClientiBanca[[#This Row],[Prestito]]+ClientiBanca[[#This Row],[Mutuo]]</f>
        <v>253000</v>
      </c>
      <c r="L3749" t="str">
        <f>IF(ClientiBanca[[#This Row],[Reddito annuo]]&gt;=70000,"si","no")</f>
        <v>no</v>
      </c>
    </row>
    <row r="3750" spans="1:12">
      <c r="A3750">
        <v>103749</v>
      </c>
      <c r="B3750">
        <v>64</v>
      </c>
      <c r="C3750" s="2">
        <v>26500</v>
      </c>
      <c r="D3750" t="s">
        <v>21</v>
      </c>
      <c r="E3750" s="2">
        <v>7100</v>
      </c>
      <c r="F3750" s="2">
        <v>0</v>
      </c>
      <c r="G3750" t="s">
        <v>28</v>
      </c>
      <c r="H3750" t="s">
        <v>17</v>
      </c>
      <c r="I3750" t="s">
        <v>15</v>
      </c>
      <c r="J3750" s="3">
        <v>45962</v>
      </c>
      <c r="K3750" s="4">
        <f>ClientiBanca[[#This Row],[Prestito]]+ClientiBanca[[#This Row],[Mutuo]]</f>
        <v>7100</v>
      </c>
      <c r="L3750" t="str">
        <f>IF(ClientiBanca[[#This Row],[Reddito annuo]]&gt;=70000,"si","no")</f>
        <v>no</v>
      </c>
    </row>
    <row r="3751" spans="1:12">
      <c r="A3751">
        <v>103750</v>
      </c>
      <c r="B3751">
        <v>60</v>
      </c>
      <c r="C3751" s="2">
        <v>58200</v>
      </c>
      <c r="D3751" t="s">
        <v>22</v>
      </c>
      <c r="E3751" s="2">
        <v>0</v>
      </c>
      <c r="F3751" s="2">
        <v>227000</v>
      </c>
      <c r="G3751" t="s">
        <v>26</v>
      </c>
      <c r="H3751" t="s">
        <v>17</v>
      </c>
      <c r="I3751" t="s">
        <v>18</v>
      </c>
      <c r="J3751" s="3">
        <v>45543</v>
      </c>
      <c r="K3751" s="4">
        <f>ClientiBanca[[#This Row],[Prestito]]+ClientiBanca[[#This Row],[Mutuo]]</f>
        <v>227000</v>
      </c>
      <c r="L3751" t="str">
        <f>IF(ClientiBanca[[#This Row],[Reddito annuo]]&gt;=70000,"si","no")</f>
        <v>no</v>
      </c>
    </row>
    <row r="3752" spans="1:12">
      <c r="A3752">
        <v>103751</v>
      </c>
      <c r="B3752">
        <v>58</v>
      </c>
      <c r="C3752" s="2">
        <v>123700</v>
      </c>
      <c r="D3752" t="s">
        <v>12</v>
      </c>
      <c r="E3752" s="2">
        <v>52000</v>
      </c>
      <c r="F3752" s="2">
        <v>151000</v>
      </c>
      <c r="G3752" t="s">
        <v>19</v>
      </c>
      <c r="H3752" t="s">
        <v>17</v>
      </c>
      <c r="I3752" t="s">
        <v>18</v>
      </c>
      <c r="J3752" s="3">
        <v>46207</v>
      </c>
      <c r="K3752" s="4">
        <f>ClientiBanca[[#This Row],[Prestito]]+ClientiBanca[[#This Row],[Mutuo]]</f>
        <v>203000</v>
      </c>
      <c r="L3752" t="str">
        <f>IF(ClientiBanca[[#This Row],[Reddito annuo]]&gt;=70000,"si","no")</f>
        <v>si</v>
      </c>
    </row>
    <row r="3753" spans="1:12">
      <c r="A3753">
        <v>103752</v>
      </c>
      <c r="B3753">
        <v>59</v>
      </c>
      <c r="C3753" s="2">
        <v>60900</v>
      </c>
      <c r="D3753" t="s">
        <v>21</v>
      </c>
      <c r="E3753" s="2">
        <v>31500</v>
      </c>
      <c r="F3753" s="2">
        <v>0</v>
      </c>
      <c r="G3753" t="s">
        <v>27</v>
      </c>
      <c r="H3753" t="s">
        <v>20</v>
      </c>
      <c r="I3753" t="s">
        <v>18</v>
      </c>
      <c r="J3753" s="3">
        <v>46130</v>
      </c>
      <c r="K3753" s="4">
        <f>ClientiBanca[[#This Row],[Prestito]]+ClientiBanca[[#This Row],[Mutuo]]</f>
        <v>31500</v>
      </c>
      <c r="L3753" t="str">
        <f>IF(ClientiBanca[[#This Row],[Reddito annuo]]&gt;=70000,"si","no")</f>
        <v>no</v>
      </c>
    </row>
    <row r="3754" spans="1:12">
      <c r="A3754">
        <v>103753</v>
      </c>
      <c r="B3754">
        <v>55</v>
      </c>
      <c r="C3754" s="2">
        <v>61600</v>
      </c>
      <c r="D3754" t="s">
        <v>21</v>
      </c>
      <c r="E3754" s="2">
        <v>4100</v>
      </c>
      <c r="F3754" s="2">
        <v>0</v>
      </c>
      <c r="G3754" t="s">
        <v>13</v>
      </c>
      <c r="H3754" t="s">
        <v>17</v>
      </c>
      <c r="I3754" t="s">
        <v>15</v>
      </c>
      <c r="J3754" s="3">
        <v>46106</v>
      </c>
      <c r="K3754" s="4">
        <f>ClientiBanca[[#This Row],[Prestito]]+ClientiBanca[[#This Row],[Mutuo]]</f>
        <v>4100</v>
      </c>
      <c r="L3754" t="str">
        <f>IF(ClientiBanca[[#This Row],[Reddito annuo]]&gt;=70000,"si","no")</f>
        <v>no</v>
      </c>
    </row>
    <row r="3755" spans="1:12">
      <c r="A3755">
        <v>103754</v>
      </c>
      <c r="B3755">
        <v>66</v>
      </c>
      <c r="C3755" s="2">
        <v>45700</v>
      </c>
      <c r="D3755" t="s">
        <v>22</v>
      </c>
      <c r="E3755" s="2">
        <v>0</v>
      </c>
      <c r="F3755" s="2">
        <v>211000</v>
      </c>
      <c r="G3755" t="s">
        <v>16</v>
      </c>
      <c r="H3755" t="s">
        <v>17</v>
      </c>
      <c r="I3755" t="s">
        <v>18</v>
      </c>
      <c r="J3755" s="3">
        <v>45649</v>
      </c>
      <c r="K3755" s="4">
        <f>ClientiBanca[[#This Row],[Prestito]]+ClientiBanca[[#This Row],[Mutuo]]</f>
        <v>211000</v>
      </c>
      <c r="L3755" t="str">
        <f>IF(ClientiBanca[[#This Row],[Reddito annuo]]&gt;=70000,"si","no")</f>
        <v>no</v>
      </c>
    </row>
    <row r="3756" spans="1:12">
      <c r="A3756">
        <v>103755</v>
      </c>
      <c r="B3756">
        <v>53</v>
      </c>
      <c r="C3756" s="2">
        <v>75700</v>
      </c>
      <c r="D3756" t="s">
        <v>21</v>
      </c>
      <c r="E3756" s="2">
        <v>36100</v>
      </c>
      <c r="F3756" s="2">
        <v>0</v>
      </c>
      <c r="G3756" t="s">
        <v>27</v>
      </c>
      <c r="H3756" t="s">
        <v>17</v>
      </c>
      <c r="I3756" t="s">
        <v>18</v>
      </c>
      <c r="J3756" s="3">
        <v>45391</v>
      </c>
      <c r="K3756" s="4">
        <f>ClientiBanca[[#This Row],[Prestito]]+ClientiBanca[[#This Row],[Mutuo]]</f>
        <v>36100</v>
      </c>
      <c r="L3756" t="str">
        <f>IF(ClientiBanca[[#This Row],[Reddito annuo]]&gt;=70000,"si","no")</f>
        <v>si</v>
      </c>
    </row>
    <row r="3757" spans="1:12">
      <c r="A3757">
        <v>103756</v>
      </c>
      <c r="B3757">
        <v>39</v>
      </c>
      <c r="C3757" s="2">
        <v>49100</v>
      </c>
      <c r="D3757" t="s">
        <v>21</v>
      </c>
      <c r="E3757" s="2">
        <v>0</v>
      </c>
      <c r="F3757" s="2">
        <v>0</v>
      </c>
      <c r="G3757" t="s">
        <v>23</v>
      </c>
      <c r="H3757" t="s">
        <v>17</v>
      </c>
      <c r="I3757" t="s">
        <v>18</v>
      </c>
      <c r="J3757" s="3">
        <v>45928</v>
      </c>
      <c r="K3757" s="4">
        <f>ClientiBanca[[#This Row],[Prestito]]+ClientiBanca[[#This Row],[Mutuo]]</f>
        <v>0</v>
      </c>
      <c r="L3757" t="str">
        <f>IF(ClientiBanca[[#This Row],[Reddito annuo]]&gt;=70000,"si","no")</f>
        <v>no</v>
      </c>
    </row>
    <row r="3758" spans="1:12">
      <c r="A3758">
        <v>103757</v>
      </c>
      <c r="B3758">
        <v>38</v>
      </c>
      <c r="C3758" s="2">
        <v>73600</v>
      </c>
      <c r="D3758" t="s">
        <v>21</v>
      </c>
      <c r="E3758" s="2">
        <v>29900</v>
      </c>
      <c r="F3758" s="2">
        <v>0</v>
      </c>
      <c r="G3758" t="s">
        <v>13</v>
      </c>
      <c r="H3758" t="s">
        <v>20</v>
      </c>
      <c r="I3758" t="s">
        <v>18</v>
      </c>
      <c r="J3758" s="3">
        <v>45332</v>
      </c>
      <c r="K3758" s="4">
        <f>ClientiBanca[[#This Row],[Prestito]]+ClientiBanca[[#This Row],[Mutuo]]</f>
        <v>29900</v>
      </c>
      <c r="L3758" t="str">
        <f>IF(ClientiBanca[[#This Row],[Reddito annuo]]&gt;=70000,"si","no")</f>
        <v>si</v>
      </c>
    </row>
    <row r="3759" spans="1:12">
      <c r="A3759">
        <v>103758</v>
      </c>
      <c r="B3759">
        <v>39</v>
      </c>
      <c r="C3759" s="2">
        <v>84900</v>
      </c>
      <c r="D3759" t="s">
        <v>22</v>
      </c>
      <c r="E3759" s="2">
        <v>22000</v>
      </c>
      <c r="F3759" s="2">
        <v>0</v>
      </c>
      <c r="G3759" t="s">
        <v>27</v>
      </c>
      <c r="H3759" t="s">
        <v>17</v>
      </c>
      <c r="I3759" t="s">
        <v>18</v>
      </c>
      <c r="J3759" s="3">
        <v>46220</v>
      </c>
      <c r="K3759" s="4">
        <f>ClientiBanca[[#This Row],[Prestito]]+ClientiBanca[[#This Row],[Mutuo]]</f>
        <v>22000</v>
      </c>
      <c r="L3759" t="str">
        <f>IF(ClientiBanca[[#This Row],[Reddito annuo]]&gt;=70000,"si","no")</f>
        <v>si</v>
      </c>
    </row>
    <row r="3760" spans="1:12">
      <c r="A3760">
        <v>103759</v>
      </c>
      <c r="B3760">
        <v>45</v>
      </c>
      <c r="C3760" s="2">
        <v>37800</v>
      </c>
      <c r="D3760" t="s">
        <v>21</v>
      </c>
      <c r="E3760" s="2">
        <v>43800</v>
      </c>
      <c r="F3760" s="2">
        <v>0</v>
      </c>
      <c r="G3760" t="s">
        <v>23</v>
      </c>
      <c r="H3760" t="s">
        <v>14</v>
      </c>
      <c r="I3760" t="s">
        <v>18</v>
      </c>
      <c r="J3760" s="3">
        <v>45401</v>
      </c>
      <c r="K3760" s="4">
        <f>ClientiBanca[[#This Row],[Prestito]]+ClientiBanca[[#This Row],[Mutuo]]</f>
        <v>43800</v>
      </c>
      <c r="L3760" t="str">
        <f>IF(ClientiBanca[[#This Row],[Reddito annuo]]&gt;=70000,"si","no")</f>
        <v>no</v>
      </c>
    </row>
    <row r="3761" spans="1:12">
      <c r="A3761">
        <v>103760</v>
      </c>
      <c r="B3761">
        <v>47</v>
      </c>
      <c r="C3761" s="2">
        <v>83900</v>
      </c>
      <c r="D3761" t="s">
        <v>22</v>
      </c>
      <c r="E3761" s="2">
        <v>63200</v>
      </c>
      <c r="F3761" s="2">
        <v>0</v>
      </c>
      <c r="G3761" t="s">
        <v>27</v>
      </c>
      <c r="H3761" t="s">
        <v>20</v>
      </c>
      <c r="I3761" t="s">
        <v>18</v>
      </c>
      <c r="J3761" s="3">
        <v>45865</v>
      </c>
      <c r="K3761" s="4">
        <f>ClientiBanca[[#This Row],[Prestito]]+ClientiBanca[[#This Row],[Mutuo]]</f>
        <v>63200</v>
      </c>
      <c r="L3761" t="str">
        <f>IF(ClientiBanca[[#This Row],[Reddito annuo]]&gt;=70000,"si","no")</f>
        <v>si</v>
      </c>
    </row>
    <row r="3762" spans="1:12">
      <c r="A3762">
        <v>103761</v>
      </c>
      <c r="B3762">
        <v>63</v>
      </c>
      <c r="C3762" s="2">
        <v>95200</v>
      </c>
      <c r="D3762" t="s">
        <v>21</v>
      </c>
      <c r="E3762" s="2">
        <v>57600</v>
      </c>
      <c r="F3762" s="2">
        <v>0</v>
      </c>
      <c r="G3762" t="s">
        <v>19</v>
      </c>
      <c r="H3762" t="s">
        <v>17</v>
      </c>
      <c r="I3762" t="s">
        <v>18</v>
      </c>
      <c r="J3762" s="3">
        <v>45927</v>
      </c>
      <c r="K3762" s="4">
        <f>ClientiBanca[[#This Row],[Prestito]]+ClientiBanca[[#This Row],[Mutuo]]</f>
        <v>57600</v>
      </c>
      <c r="L3762" t="str">
        <f>IF(ClientiBanca[[#This Row],[Reddito annuo]]&gt;=70000,"si","no")</f>
        <v>si</v>
      </c>
    </row>
    <row r="3763" spans="1:12">
      <c r="A3763">
        <v>103762</v>
      </c>
      <c r="B3763">
        <v>24</v>
      </c>
      <c r="C3763" s="2">
        <v>109600</v>
      </c>
      <c r="D3763" t="s">
        <v>21</v>
      </c>
      <c r="E3763" s="2">
        <v>55400</v>
      </c>
      <c r="F3763" s="2">
        <v>0</v>
      </c>
      <c r="G3763" t="s">
        <v>24</v>
      </c>
      <c r="H3763" t="s">
        <v>25</v>
      </c>
      <c r="I3763" t="s">
        <v>18</v>
      </c>
      <c r="J3763" s="3">
        <v>45385</v>
      </c>
      <c r="K3763" s="4">
        <f>ClientiBanca[[#This Row],[Prestito]]+ClientiBanca[[#This Row],[Mutuo]]</f>
        <v>55400</v>
      </c>
      <c r="L3763" t="str">
        <f>IF(ClientiBanca[[#This Row],[Reddito annuo]]&gt;=70000,"si","no")</f>
        <v>si</v>
      </c>
    </row>
    <row r="3764" spans="1:12">
      <c r="A3764">
        <v>103763</v>
      </c>
      <c r="B3764">
        <v>52</v>
      </c>
      <c r="C3764" s="2">
        <v>56200</v>
      </c>
      <c r="D3764" t="s">
        <v>21</v>
      </c>
      <c r="E3764" s="2">
        <v>35900</v>
      </c>
      <c r="F3764" s="2">
        <v>0</v>
      </c>
      <c r="G3764" t="s">
        <v>23</v>
      </c>
      <c r="H3764" t="s">
        <v>17</v>
      </c>
      <c r="I3764" t="s">
        <v>15</v>
      </c>
      <c r="J3764" s="3">
        <v>45455</v>
      </c>
      <c r="K3764" s="4">
        <f>ClientiBanca[[#This Row],[Prestito]]+ClientiBanca[[#This Row],[Mutuo]]</f>
        <v>35900</v>
      </c>
      <c r="L3764" t="str">
        <f>IF(ClientiBanca[[#This Row],[Reddito annuo]]&gt;=70000,"si","no")</f>
        <v>no</v>
      </c>
    </row>
    <row r="3765" spans="1:12">
      <c r="A3765">
        <v>103764</v>
      </c>
      <c r="B3765">
        <v>37</v>
      </c>
      <c r="C3765" s="2">
        <v>65300</v>
      </c>
      <c r="D3765" t="s">
        <v>22</v>
      </c>
      <c r="E3765" s="2">
        <v>49500</v>
      </c>
      <c r="F3765" s="2">
        <v>0</v>
      </c>
      <c r="G3765" t="s">
        <v>24</v>
      </c>
      <c r="H3765" t="s">
        <v>14</v>
      </c>
      <c r="I3765" t="s">
        <v>18</v>
      </c>
      <c r="J3765" s="3">
        <v>45544</v>
      </c>
      <c r="K3765" s="4">
        <f>ClientiBanca[[#This Row],[Prestito]]+ClientiBanca[[#This Row],[Mutuo]]</f>
        <v>49500</v>
      </c>
      <c r="L3765" t="str">
        <f>IF(ClientiBanca[[#This Row],[Reddito annuo]]&gt;=70000,"si","no")</f>
        <v>no</v>
      </c>
    </row>
    <row r="3766" spans="1:12">
      <c r="A3766">
        <v>103765</v>
      </c>
      <c r="B3766">
        <v>48</v>
      </c>
      <c r="C3766" s="2">
        <v>63200</v>
      </c>
      <c r="D3766" t="s">
        <v>21</v>
      </c>
      <c r="E3766" s="2">
        <v>9400</v>
      </c>
      <c r="F3766" s="2">
        <v>0</v>
      </c>
      <c r="G3766" t="s">
        <v>23</v>
      </c>
      <c r="H3766" t="s">
        <v>17</v>
      </c>
      <c r="I3766" t="s">
        <v>18</v>
      </c>
      <c r="J3766" s="3">
        <v>45813</v>
      </c>
      <c r="K3766" s="4">
        <f>ClientiBanca[[#This Row],[Prestito]]+ClientiBanca[[#This Row],[Mutuo]]</f>
        <v>9400</v>
      </c>
      <c r="L3766" t="str">
        <f>IF(ClientiBanca[[#This Row],[Reddito annuo]]&gt;=70000,"si","no")</f>
        <v>no</v>
      </c>
    </row>
    <row r="3767" spans="1:12">
      <c r="A3767">
        <v>103766</v>
      </c>
      <c r="B3767">
        <v>73</v>
      </c>
      <c r="C3767" s="2">
        <v>56200</v>
      </c>
      <c r="D3767" t="s">
        <v>21</v>
      </c>
      <c r="E3767" s="2">
        <v>70200</v>
      </c>
      <c r="F3767" s="2">
        <v>0</v>
      </c>
      <c r="G3767" t="s">
        <v>24</v>
      </c>
      <c r="H3767" t="s">
        <v>14</v>
      </c>
      <c r="I3767" t="s">
        <v>18</v>
      </c>
      <c r="J3767" s="3">
        <v>46084</v>
      </c>
      <c r="K3767" s="4">
        <f>ClientiBanca[[#This Row],[Prestito]]+ClientiBanca[[#This Row],[Mutuo]]</f>
        <v>70200</v>
      </c>
      <c r="L3767" t="str">
        <f>IF(ClientiBanca[[#This Row],[Reddito annuo]]&gt;=70000,"si","no")</f>
        <v>no</v>
      </c>
    </row>
    <row r="3768" spans="1:12">
      <c r="A3768">
        <v>103767</v>
      </c>
      <c r="B3768">
        <v>69</v>
      </c>
      <c r="C3768" s="2">
        <v>105800</v>
      </c>
      <c r="D3768" t="s">
        <v>21</v>
      </c>
      <c r="E3768" s="2">
        <v>0</v>
      </c>
      <c r="F3768" s="2">
        <v>0</v>
      </c>
      <c r="G3768" t="s">
        <v>28</v>
      </c>
      <c r="H3768" t="s">
        <v>14</v>
      </c>
      <c r="I3768" t="s">
        <v>18</v>
      </c>
      <c r="J3768" s="3">
        <v>45642</v>
      </c>
      <c r="K3768" s="4">
        <f>ClientiBanca[[#This Row],[Prestito]]+ClientiBanca[[#This Row],[Mutuo]]</f>
        <v>0</v>
      </c>
      <c r="L3768" t="str">
        <f>IF(ClientiBanca[[#This Row],[Reddito annuo]]&gt;=70000,"si","no")</f>
        <v>si</v>
      </c>
    </row>
    <row r="3769" spans="1:12">
      <c r="A3769">
        <v>103768</v>
      </c>
      <c r="B3769">
        <v>69</v>
      </c>
      <c r="C3769" s="2">
        <v>59500</v>
      </c>
      <c r="D3769" t="s">
        <v>21</v>
      </c>
      <c r="E3769" s="2">
        <v>32800</v>
      </c>
      <c r="F3769" s="2">
        <v>114000</v>
      </c>
      <c r="G3769" t="s">
        <v>23</v>
      </c>
      <c r="H3769" t="s">
        <v>20</v>
      </c>
      <c r="I3769" t="s">
        <v>18</v>
      </c>
      <c r="J3769" s="3">
        <v>45641</v>
      </c>
      <c r="K3769" s="4">
        <f>ClientiBanca[[#This Row],[Prestito]]+ClientiBanca[[#This Row],[Mutuo]]</f>
        <v>146800</v>
      </c>
      <c r="L3769" t="str">
        <f>IF(ClientiBanca[[#This Row],[Reddito annuo]]&gt;=70000,"si","no")</f>
        <v>no</v>
      </c>
    </row>
    <row r="3770" spans="1:12">
      <c r="A3770">
        <v>103769</v>
      </c>
      <c r="B3770">
        <v>49</v>
      </c>
      <c r="C3770" s="2">
        <v>72100</v>
      </c>
      <c r="D3770" t="s">
        <v>22</v>
      </c>
      <c r="E3770" s="2">
        <v>38800</v>
      </c>
      <c r="F3770" s="2">
        <v>0</v>
      </c>
      <c r="G3770" t="s">
        <v>24</v>
      </c>
      <c r="H3770" t="s">
        <v>17</v>
      </c>
      <c r="I3770" t="s">
        <v>18</v>
      </c>
      <c r="J3770" s="3">
        <v>46086</v>
      </c>
      <c r="K3770" s="4">
        <f>ClientiBanca[[#This Row],[Prestito]]+ClientiBanca[[#This Row],[Mutuo]]</f>
        <v>38800</v>
      </c>
      <c r="L3770" t="str">
        <f>IF(ClientiBanca[[#This Row],[Reddito annuo]]&gt;=70000,"si","no")</f>
        <v>si</v>
      </c>
    </row>
    <row r="3771" spans="1:12">
      <c r="A3771">
        <v>103770</v>
      </c>
      <c r="B3771">
        <v>44</v>
      </c>
      <c r="C3771" s="2">
        <v>51900</v>
      </c>
      <c r="D3771" t="s">
        <v>21</v>
      </c>
      <c r="E3771" s="2">
        <v>48200</v>
      </c>
      <c r="F3771" s="2">
        <v>313000</v>
      </c>
      <c r="G3771" t="s">
        <v>28</v>
      </c>
      <c r="H3771" t="s">
        <v>14</v>
      </c>
      <c r="I3771" t="s">
        <v>18</v>
      </c>
      <c r="J3771" s="3">
        <v>45961</v>
      </c>
      <c r="K3771" s="4">
        <f>ClientiBanca[[#This Row],[Prestito]]+ClientiBanca[[#This Row],[Mutuo]]</f>
        <v>361200</v>
      </c>
      <c r="L3771" t="str">
        <f>IF(ClientiBanca[[#This Row],[Reddito annuo]]&gt;=70000,"si","no")</f>
        <v>no</v>
      </c>
    </row>
    <row r="3772" spans="1:12">
      <c r="A3772">
        <v>103771</v>
      </c>
      <c r="B3772">
        <v>58</v>
      </c>
      <c r="C3772" s="2">
        <v>29100</v>
      </c>
      <c r="D3772" t="s">
        <v>22</v>
      </c>
      <c r="E3772" s="2">
        <v>36400</v>
      </c>
      <c r="F3772" s="2">
        <v>0</v>
      </c>
      <c r="G3772" t="s">
        <v>23</v>
      </c>
      <c r="H3772" t="s">
        <v>14</v>
      </c>
      <c r="I3772" t="s">
        <v>18</v>
      </c>
      <c r="J3772" s="3">
        <v>45961</v>
      </c>
      <c r="K3772" s="4">
        <f>ClientiBanca[[#This Row],[Prestito]]+ClientiBanca[[#This Row],[Mutuo]]</f>
        <v>36400</v>
      </c>
      <c r="L3772" t="str">
        <f>IF(ClientiBanca[[#This Row],[Reddito annuo]]&gt;=70000,"si","no")</f>
        <v>no</v>
      </c>
    </row>
    <row r="3773" spans="1:12">
      <c r="A3773">
        <v>103772</v>
      </c>
      <c r="B3773">
        <v>32</v>
      </c>
      <c r="C3773" s="2">
        <v>36300</v>
      </c>
      <c r="D3773" t="s">
        <v>12</v>
      </c>
      <c r="E3773" s="2">
        <v>45400</v>
      </c>
      <c r="F3773" s="2">
        <v>0</v>
      </c>
      <c r="G3773" t="s">
        <v>28</v>
      </c>
      <c r="H3773" t="s">
        <v>14</v>
      </c>
      <c r="I3773" t="s">
        <v>18</v>
      </c>
      <c r="J3773" s="3">
        <v>46127</v>
      </c>
      <c r="K3773" s="4">
        <f>ClientiBanca[[#This Row],[Prestito]]+ClientiBanca[[#This Row],[Mutuo]]</f>
        <v>45400</v>
      </c>
      <c r="L3773" t="str">
        <f>IF(ClientiBanca[[#This Row],[Reddito annuo]]&gt;=70000,"si","no")</f>
        <v>no</v>
      </c>
    </row>
    <row r="3774" spans="1:12">
      <c r="A3774">
        <v>103773</v>
      </c>
      <c r="B3774">
        <v>21</v>
      </c>
      <c r="C3774" s="2">
        <v>79000</v>
      </c>
      <c r="D3774" t="s">
        <v>12</v>
      </c>
      <c r="E3774" s="2">
        <v>7900</v>
      </c>
      <c r="F3774" s="2">
        <v>0</v>
      </c>
      <c r="G3774" t="s">
        <v>16</v>
      </c>
      <c r="H3774" t="s">
        <v>20</v>
      </c>
      <c r="I3774" t="s">
        <v>18</v>
      </c>
      <c r="J3774" s="3">
        <v>45537</v>
      </c>
      <c r="K3774" s="4">
        <f>ClientiBanca[[#This Row],[Prestito]]+ClientiBanca[[#This Row],[Mutuo]]</f>
        <v>7900</v>
      </c>
      <c r="L3774" t="str">
        <f>IF(ClientiBanca[[#This Row],[Reddito annuo]]&gt;=70000,"si","no")</f>
        <v>si</v>
      </c>
    </row>
    <row r="3775" spans="1:12">
      <c r="A3775">
        <v>103774</v>
      </c>
      <c r="B3775">
        <v>35</v>
      </c>
      <c r="C3775" s="2">
        <v>94500</v>
      </c>
      <c r="D3775" t="s">
        <v>21</v>
      </c>
      <c r="E3775" s="2">
        <v>22400</v>
      </c>
      <c r="F3775" s="2">
        <v>0</v>
      </c>
      <c r="G3775" t="s">
        <v>28</v>
      </c>
      <c r="H3775" t="s">
        <v>25</v>
      </c>
      <c r="I3775" t="s">
        <v>18</v>
      </c>
      <c r="J3775" s="3">
        <v>45582</v>
      </c>
      <c r="K3775" s="4">
        <f>ClientiBanca[[#This Row],[Prestito]]+ClientiBanca[[#This Row],[Mutuo]]</f>
        <v>22400</v>
      </c>
      <c r="L3775" t="str">
        <f>IF(ClientiBanca[[#This Row],[Reddito annuo]]&gt;=70000,"si","no")</f>
        <v>si</v>
      </c>
    </row>
    <row r="3776" spans="1:12">
      <c r="A3776">
        <v>103775</v>
      </c>
      <c r="B3776">
        <v>32</v>
      </c>
      <c r="C3776" s="2">
        <v>52300</v>
      </c>
      <c r="D3776" t="s">
        <v>21</v>
      </c>
      <c r="E3776" s="2">
        <v>42000</v>
      </c>
      <c r="F3776" s="2">
        <v>0</v>
      </c>
      <c r="G3776" t="s">
        <v>16</v>
      </c>
      <c r="H3776" t="s">
        <v>20</v>
      </c>
      <c r="I3776" t="s">
        <v>18</v>
      </c>
      <c r="J3776" s="3">
        <v>45761</v>
      </c>
      <c r="K3776" s="4">
        <f>ClientiBanca[[#This Row],[Prestito]]+ClientiBanca[[#This Row],[Mutuo]]</f>
        <v>42000</v>
      </c>
      <c r="L3776" t="str">
        <f>IF(ClientiBanca[[#This Row],[Reddito annuo]]&gt;=70000,"si","no")</f>
        <v>no</v>
      </c>
    </row>
    <row r="3777" spans="1:12">
      <c r="A3777">
        <v>103776</v>
      </c>
      <c r="B3777">
        <v>47</v>
      </c>
      <c r="C3777" s="2">
        <v>40400</v>
      </c>
      <c r="D3777" t="s">
        <v>21</v>
      </c>
      <c r="E3777" s="2">
        <v>32500</v>
      </c>
      <c r="F3777" s="2">
        <v>0</v>
      </c>
      <c r="G3777" t="s">
        <v>26</v>
      </c>
      <c r="H3777" t="s">
        <v>14</v>
      </c>
      <c r="I3777" t="s">
        <v>18</v>
      </c>
      <c r="J3777" s="3">
        <v>45553</v>
      </c>
      <c r="K3777" s="4">
        <f>ClientiBanca[[#This Row],[Prestito]]+ClientiBanca[[#This Row],[Mutuo]]</f>
        <v>32500</v>
      </c>
      <c r="L3777" t="str">
        <f>IF(ClientiBanca[[#This Row],[Reddito annuo]]&gt;=70000,"si","no")</f>
        <v>no</v>
      </c>
    </row>
    <row r="3778" spans="1:12">
      <c r="A3778">
        <v>103777</v>
      </c>
      <c r="B3778">
        <v>43</v>
      </c>
      <c r="C3778" s="2">
        <v>89500</v>
      </c>
      <c r="D3778" t="s">
        <v>21</v>
      </c>
      <c r="E3778" s="2">
        <v>16500</v>
      </c>
      <c r="F3778" s="2">
        <v>0</v>
      </c>
      <c r="G3778" t="s">
        <v>28</v>
      </c>
      <c r="H3778" t="s">
        <v>20</v>
      </c>
      <c r="I3778" t="s">
        <v>18</v>
      </c>
      <c r="J3778" s="3">
        <v>45792</v>
      </c>
      <c r="K3778" s="4">
        <f>ClientiBanca[[#This Row],[Prestito]]+ClientiBanca[[#This Row],[Mutuo]]</f>
        <v>16500</v>
      </c>
      <c r="L3778" t="str">
        <f>IF(ClientiBanca[[#This Row],[Reddito annuo]]&gt;=70000,"si","no")</f>
        <v>si</v>
      </c>
    </row>
    <row r="3779" spans="1:12">
      <c r="A3779">
        <v>103778</v>
      </c>
      <c r="B3779">
        <v>52</v>
      </c>
      <c r="C3779" s="2">
        <v>50700</v>
      </c>
      <c r="D3779" t="s">
        <v>21</v>
      </c>
      <c r="E3779" s="2">
        <v>14400</v>
      </c>
      <c r="F3779" s="2">
        <v>0</v>
      </c>
      <c r="G3779" t="s">
        <v>28</v>
      </c>
      <c r="H3779" t="s">
        <v>20</v>
      </c>
      <c r="I3779" t="s">
        <v>18</v>
      </c>
      <c r="J3779" s="3">
        <v>45556</v>
      </c>
      <c r="K3779" s="4">
        <f>ClientiBanca[[#This Row],[Prestito]]+ClientiBanca[[#This Row],[Mutuo]]</f>
        <v>14400</v>
      </c>
      <c r="L3779" t="str">
        <f>IF(ClientiBanca[[#This Row],[Reddito annuo]]&gt;=70000,"si","no")</f>
        <v>no</v>
      </c>
    </row>
    <row r="3780" spans="1:12">
      <c r="A3780">
        <v>103779</v>
      </c>
      <c r="B3780">
        <v>63</v>
      </c>
      <c r="C3780" s="2">
        <v>65000</v>
      </c>
      <c r="D3780" t="s">
        <v>21</v>
      </c>
      <c r="E3780" s="2">
        <v>19000</v>
      </c>
      <c r="F3780" s="2">
        <v>312000</v>
      </c>
      <c r="G3780" t="s">
        <v>24</v>
      </c>
      <c r="H3780" t="s">
        <v>20</v>
      </c>
      <c r="I3780" t="s">
        <v>18</v>
      </c>
      <c r="J3780" s="3">
        <v>45316</v>
      </c>
      <c r="K3780" s="4">
        <f>ClientiBanca[[#This Row],[Prestito]]+ClientiBanca[[#This Row],[Mutuo]]</f>
        <v>331000</v>
      </c>
      <c r="L3780" t="str">
        <f>IF(ClientiBanca[[#This Row],[Reddito annuo]]&gt;=70000,"si","no")</f>
        <v>no</v>
      </c>
    </row>
    <row r="3781" spans="1:12">
      <c r="A3781">
        <v>103780</v>
      </c>
      <c r="B3781">
        <v>20</v>
      </c>
      <c r="C3781" s="2">
        <v>57100</v>
      </c>
      <c r="D3781" t="s">
        <v>22</v>
      </c>
      <c r="E3781" s="2">
        <v>71400</v>
      </c>
      <c r="F3781" s="2">
        <v>0</v>
      </c>
      <c r="G3781" t="s">
        <v>27</v>
      </c>
      <c r="H3781" t="s">
        <v>20</v>
      </c>
      <c r="I3781" t="s">
        <v>18</v>
      </c>
      <c r="J3781" s="3">
        <v>45815</v>
      </c>
      <c r="K3781" s="4">
        <f>ClientiBanca[[#This Row],[Prestito]]+ClientiBanca[[#This Row],[Mutuo]]</f>
        <v>71400</v>
      </c>
      <c r="L3781" t="str">
        <f>IF(ClientiBanca[[#This Row],[Reddito annuo]]&gt;=70000,"si","no")</f>
        <v>no</v>
      </c>
    </row>
    <row r="3782" spans="1:12">
      <c r="A3782">
        <v>103781</v>
      </c>
      <c r="B3782">
        <v>36</v>
      </c>
      <c r="C3782" s="2">
        <v>102500</v>
      </c>
      <c r="D3782" t="s">
        <v>21</v>
      </c>
      <c r="E3782" s="2">
        <v>54000</v>
      </c>
      <c r="F3782" s="2">
        <v>296000</v>
      </c>
      <c r="G3782" t="s">
        <v>26</v>
      </c>
      <c r="H3782" t="s">
        <v>20</v>
      </c>
      <c r="I3782" t="s">
        <v>18</v>
      </c>
      <c r="J3782" s="3">
        <v>45957</v>
      </c>
      <c r="K3782" s="4">
        <f>ClientiBanca[[#This Row],[Prestito]]+ClientiBanca[[#This Row],[Mutuo]]</f>
        <v>350000</v>
      </c>
      <c r="L3782" t="str">
        <f>IF(ClientiBanca[[#This Row],[Reddito annuo]]&gt;=70000,"si","no")</f>
        <v>si</v>
      </c>
    </row>
    <row r="3783" spans="1:12">
      <c r="A3783">
        <v>103782</v>
      </c>
      <c r="B3783">
        <v>64</v>
      </c>
      <c r="C3783" s="2">
        <v>51800</v>
      </c>
      <c r="D3783" t="s">
        <v>21</v>
      </c>
      <c r="E3783" s="2">
        <v>36500</v>
      </c>
      <c r="F3783" s="2">
        <v>0</v>
      </c>
      <c r="G3783" t="s">
        <v>13</v>
      </c>
      <c r="H3783" t="s">
        <v>14</v>
      </c>
      <c r="I3783" t="s">
        <v>18</v>
      </c>
      <c r="J3783" s="3">
        <v>46130</v>
      </c>
      <c r="K3783" s="4">
        <f>ClientiBanca[[#This Row],[Prestito]]+ClientiBanca[[#This Row],[Mutuo]]</f>
        <v>36500</v>
      </c>
      <c r="L3783" t="str">
        <f>IF(ClientiBanca[[#This Row],[Reddito annuo]]&gt;=70000,"si","no")</f>
        <v>no</v>
      </c>
    </row>
    <row r="3784" spans="1:12">
      <c r="A3784">
        <v>103783</v>
      </c>
      <c r="B3784">
        <v>67</v>
      </c>
      <c r="C3784" s="2">
        <v>47500</v>
      </c>
      <c r="D3784" t="s">
        <v>21</v>
      </c>
      <c r="E3784" s="2">
        <v>59400</v>
      </c>
      <c r="F3784" s="2">
        <v>0</v>
      </c>
      <c r="G3784" t="s">
        <v>28</v>
      </c>
      <c r="H3784" t="s">
        <v>14</v>
      </c>
      <c r="I3784" t="s">
        <v>18</v>
      </c>
      <c r="J3784" s="3">
        <v>45673</v>
      </c>
      <c r="K3784" s="4">
        <f>ClientiBanca[[#This Row],[Prestito]]+ClientiBanca[[#This Row],[Mutuo]]</f>
        <v>59400</v>
      </c>
      <c r="L3784" t="str">
        <f>IF(ClientiBanca[[#This Row],[Reddito annuo]]&gt;=70000,"si","no")</f>
        <v>no</v>
      </c>
    </row>
    <row r="3785" spans="1:12">
      <c r="A3785">
        <v>103784</v>
      </c>
      <c r="B3785">
        <v>72</v>
      </c>
      <c r="C3785" s="2">
        <v>58000</v>
      </c>
      <c r="D3785" t="s">
        <v>21</v>
      </c>
      <c r="E3785" s="2">
        <v>21100</v>
      </c>
      <c r="F3785" s="2">
        <v>0</v>
      </c>
      <c r="G3785" t="s">
        <v>27</v>
      </c>
      <c r="H3785" t="s">
        <v>17</v>
      </c>
      <c r="I3785" t="s">
        <v>18</v>
      </c>
      <c r="J3785" s="3">
        <v>45804</v>
      </c>
      <c r="K3785" s="4">
        <f>ClientiBanca[[#This Row],[Prestito]]+ClientiBanca[[#This Row],[Mutuo]]</f>
        <v>21100</v>
      </c>
      <c r="L3785" t="str">
        <f>IF(ClientiBanca[[#This Row],[Reddito annuo]]&gt;=70000,"si","no")</f>
        <v>no</v>
      </c>
    </row>
    <row r="3786" spans="1:12">
      <c r="A3786">
        <v>103785</v>
      </c>
      <c r="B3786">
        <v>62</v>
      </c>
      <c r="C3786" s="2">
        <v>79100</v>
      </c>
      <c r="D3786" t="s">
        <v>21</v>
      </c>
      <c r="E3786" s="2">
        <v>38800</v>
      </c>
      <c r="F3786" s="2">
        <v>0</v>
      </c>
      <c r="G3786" t="s">
        <v>19</v>
      </c>
      <c r="H3786" t="s">
        <v>14</v>
      </c>
      <c r="I3786" t="s">
        <v>15</v>
      </c>
      <c r="J3786" s="3">
        <v>45664</v>
      </c>
      <c r="K3786" s="4">
        <f>ClientiBanca[[#This Row],[Prestito]]+ClientiBanca[[#This Row],[Mutuo]]</f>
        <v>38800</v>
      </c>
      <c r="L3786" t="str">
        <f>IF(ClientiBanca[[#This Row],[Reddito annuo]]&gt;=70000,"si","no")</f>
        <v>si</v>
      </c>
    </row>
    <row r="3787" spans="1:12">
      <c r="A3787">
        <v>103786</v>
      </c>
      <c r="B3787">
        <v>23</v>
      </c>
      <c r="C3787" s="2">
        <v>46200</v>
      </c>
      <c r="D3787" t="s">
        <v>12</v>
      </c>
      <c r="E3787" s="2">
        <v>35400</v>
      </c>
      <c r="F3787" s="2">
        <v>0</v>
      </c>
      <c r="G3787" t="s">
        <v>28</v>
      </c>
      <c r="H3787" t="s">
        <v>25</v>
      </c>
      <c r="I3787" t="s">
        <v>18</v>
      </c>
      <c r="J3787" s="3">
        <v>45598</v>
      </c>
      <c r="K3787" s="4">
        <f>ClientiBanca[[#This Row],[Prestito]]+ClientiBanca[[#This Row],[Mutuo]]</f>
        <v>35400</v>
      </c>
      <c r="L3787" t="str">
        <f>IF(ClientiBanca[[#This Row],[Reddito annuo]]&gt;=70000,"si","no")</f>
        <v>no</v>
      </c>
    </row>
    <row r="3788" spans="1:12">
      <c r="A3788">
        <v>103787</v>
      </c>
      <c r="B3788">
        <v>67</v>
      </c>
      <c r="C3788" s="2">
        <v>45500</v>
      </c>
      <c r="D3788" t="s">
        <v>21</v>
      </c>
      <c r="E3788" s="2">
        <v>45500</v>
      </c>
      <c r="F3788" s="2">
        <v>0</v>
      </c>
      <c r="G3788" t="s">
        <v>27</v>
      </c>
      <c r="H3788" t="s">
        <v>17</v>
      </c>
      <c r="I3788" t="s">
        <v>18</v>
      </c>
      <c r="J3788" s="3">
        <v>45901</v>
      </c>
      <c r="K3788" s="4">
        <f>ClientiBanca[[#This Row],[Prestito]]+ClientiBanca[[#This Row],[Mutuo]]</f>
        <v>45500</v>
      </c>
      <c r="L3788" t="str">
        <f>IF(ClientiBanca[[#This Row],[Reddito annuo]]&gt;=70000,"si","no")</f>
        <v>no</v>
      </c>
    </row>
    <row r="3789" spans="1:12">
      <c r="A3789">
        <v>103788</v>
      </c>
      <c r="B3789">
        <v>72</v>
      </c>
      <c r="C3789" s="2">
        <v>62400</v>
      </c>
      <c r="D3789" t="s">
        <v>12</v>
      </c>
      <c r="E3789" s="2">
        <v>35200</v>
      </c>
      <c r="F3789" s="2">
        <v>0</v>
      </c>
      <c r="G3789" t="s">
        <v>26</v>
      </c>
      <c r="H3789" t="s">
        <v>20</v>
      </c>
      <c r="I3789" t="s">
        <v>18</v>
      </c>
      <c r="J3789" s="3">
        <v>45782</v>
      </c>
      <c r="K3789" s="4">
        <f>ClientiBanca[[#This Row],[Prestito]]+ClientiBanca[[#This Row],[Mutuo]]</f>
        <v>35200</v>
      </c>
      <c r="L3789" t="str">
        <f>IF(ClientiBanca[[#This Row],[Reddito annuo]]&gt;=70000,"si","no")</f>
        <v>no</v>
      </c>
    </row>
    <row r="3790" spans="1:12">
      <c r="A3790">
        <v>103789</v>
      </c>
      <c r="B3790">
        <v>28</v>
      </c>
      <c r="C3790" s="2">
        <v>47300</v>
      </c>
      <c r="D3790" t="s">
        <v>22</v>
      </c>
      <c r="E3790" s="2">
        <v>38700</v>
      </c>
      <c r="F3790" s="2">
        <v>286000</v>
      </c>
      <c r="G3790" t="s">
        <v>13</v>
      </c>
      <c r="H3790" t="s">
        <v>20</v>
      </c>
      <c r="I3790" t="s">
        <v>18</v>
      </c>
      <c r="J3790" s="3">
        <v>45383</v>
      </c>
      <c r="K3790" s="4">
        <f>ClientiBanca[[#This Row],[Prestito]]+ClientiBanca[[#This Row],[Mutuo]]</f>
        <v>324700</v>
      </c>
      <c r="L3790" t="str">
        <f>IF(ClientiBanca[[#This Row],[Reddito annuo]]&gt;=70000,"si","no")</f>
        <v>no</v>
      </c>
    </row>
    <row r="3791" spans="1:12">
      <c r="A3791">
        <v>103790</v>
      </c>
      <c r="B3791">
        <v>54</v>
      </c>
      <c r="C3791" s="2">
        <v>75300</v>
      </c>
      <c r="D3791" t="s">
        <v>22</v>
      </c>
      <c r="E3791" s="2">
        <v>0</v>
      </c>
      <c r="F3791" s="2">
        <v>293000</v>
      </c>
      <c r="G3791" t="s">
        <v>13</v>
      </c>
      <c r="H3791" t="s">
        <v>20</v>
      </c>
      <c r="I3791" t="s">
        <v>18</v>
      </c>
      <c r="J3791" s="3">
        <v>45406</v>
      </c>
      <c r="K3791" s="4">
        <f>ClientiBanca[[#This Row],[Prestito]]+ClientiBanca[[#This Row],[Mutuo]]</f>
        <v>293000</v>
      </c>
      <c r="L3791" t="str">
        <f>IF(ClientiBanca[[#This Row],[Reddito annuo]]&gt;=70000,"si","no")</f>
        <v>si</v>
      </c>
    </row>
    <row r="3792" spans="1:12">
      <c r="A3792">
        <v>103791</v>
      </c>
      <c r="B3792">
        <v>71</v>
      </c>
      <c r="C3792" s="2">
        <v>94000</v>
      </c>
      <c r="D3792" t="s">
        <v>21</v>
      </c>
      <c r="E3792" s="2">
        <v>26000</v>
      </c>
      <c r="F3792" s="2">
        <v>0</v>
      </c>
      <c r="G3792" t="s">
        <v>19</v>
      </c>
      <c r="H3792" t="s">
        <v>20</v>
      </c>
      <c r="I3792" t="s">
        <v>18</v>
      </c>
      <c r="J3792" s="3">
        <v>45672</v>
      </c>
      <c r="K3792" s="4">
        <f>ClientiBanca[[#This Row],[Prestito]]+ClientiBanca[[#This Row],[Mutuo]]</f>
        <v>26000</v>
      </c>
      <c r="L3792" t="str">
        <f>IF(ClientiBanca[[#This Row],[Reddito annuo]]&gt;=70000,"si","no")</f>
        <v>si</v>
      </c>
    </row>
    <row r="3793" spans="1:12">
      <c r="A3793">
        <v>103792</v>
      </c>
      <c r="B3793">
        <v>28</v>
      </c>
      <c r="C3793" s="2">
        <v>75300</v>
      </c>
      <c r="D3793" t="s">
        <v>21</v>
      </c>
      <c r="E3793" s="2">
        <v>14100</v>
      </c>
      <c r="F3793" s="2">
        <v>147000</v>
      </c>
      <c r="G3793" t="s">
        <v>28</v>
      </c>
      <c r="H3793" t="s">
        <v>14</v>
      </c>
      <c r="I3793" t="s">
        <v>18</v>
      </c>
      <c r="J3793" s="3">
        <v>46016</v>
      </c>
      <c r="K3793" s="4">
        <f>ClientiBanca[[#This Row],[Prestito]]+ClientiBanca[[#This Row],[Mutuo]]</f>
        <v>161100</v>
      </c>
      <c r="L3793" t="str">
        <f>IF(ClientiBanca[[#This Row],[Reddito annuo]]&gt;=70000,"si","no")</f>
        <v>si</v>
      </c>
    </row>
    <row r="3794" spans="1:12">
      <c r="A3794">
        <v>103793</v>
      </c>
      <c r="B3794">
        <v>53</v>
      </c>
      <c r="C3794" s="2">
        <v>41800</v>
      </c>
      <c r="D3794" t="s">
        <v>21</v>
      </c>
      <c r="E3794" s="2">
        <v>37900</v>
      </c>
      <c r="F3794" s="2">
        <v>0</v>
      </c>
      <c r="G3794" t="s">
        <v>28</v>
      </c>
      <c r="H3794" t="s">
        <v>14</v>
      </c>
      <c r="I3794" t="s">
        <v>15</v>
      </c>
      <c r="J3794" s="3">
        <v>45539</v>
      </c>
      <c r="K3794" s="4">
        <f>ClientiBanca[[#This Row],[Prestito]]+ClientiBanca[[#This Row],[Mutuo]]</f>
        <v>37900</v>
      </c>
      <c r="L3794" t="str">
        <f>IF(ClientiBanca[[#This Row],[Reddito annuo]]&gt;=70000,"si","no")</f>
        <v>no</v>
      </c>
    </row>
    <row r="3795" spans="1:12">
      <c r="A3795">
        <v>103794</v>
      </c>
      <c r="B3795">
        <v>41</v>
      </c>
      <c r="C3795" s="2">
        <v>49900</v>
      </c>
      <c r="D3795" t="s">
        <v>21</v>
      </c>
      <c r="E3795" s="2">
        <v>40800</v>
      </c>
      <c r="F3795" s="2">
        <v>0</v>
      </c>
      <c r="G3795" t="s">
        <v>23</v>
      </c>
      <c r="H3795" t="s">
        <v>17</v>
      </c>
      <c r="I3795" t="s">
        <v>18</v>
      </c>
      <c r="J3795" s="3">
        <v>46153</v>
      </c>
      <c r="K3795" s="4">
        <f>ClientiBanca[[#This Row],[Prestito]]+ClientiBanca[[#This Row],[Mutuo]]</f>
        <v>40800</v>
      </c>
      <c r="L3795" t="str">
        <f>IF(ClientiBanca[[#This Row],[Reddito annuo]]&gt;=70000,"si","no")</f>
        <v>no</v>
      </c>
    </row>
    <row r="3796" spans="1:12">
      <c r="A3796">
        <v>103795</v>
      </c>
      <c r="B3796">
        <v>54</v>
      </c>
      <c r="C3796" s="2">
        <v>76700</v>
      </c>
      <c r="D3796" t="s">
        <v>12</v>
      </c>
      <c r="E3796" s="2">
        <v>49800</v>
      </c>
      <c r="F3796" s="2">
        <v>0</v>
      </c>
      <c r="G3796" t="s">
        <v>26</v>
      </c>
      <c r="H3796" t="s">
        <v>20</v>
      </c>
      <c r="I3796" t="s">
        <v>18</v>
      </c>
      <c r="J3796" s="3">
        <v>46237</v>
      </c>
      <c r="K3796" s="4">
        <f>ClientiBanca[[#This Row],[Prestito]]+ClientiBanca[[#This Row],[Mutuo]]</f>
        <v>49800</v>
      </c>
      <c r="L3796" t="str">
        <f>IF(ClientiBanca[[#This Row],[Reddito annuo]]&gt;=70000,"si","no")</f>
        <v>si</v>
      </c>
    </row>
    <row r="3797" spans="1:12">
      <c r="A3797">
        <v>103796</v>
      </c>
      <c r="B3797">
        <v>29</v>
      </c>
      <c r="C3797" s="2">
        <v>48600</v>
      </c>
      <c r="D3797" t="s">
        <v>12</v>
      </c>
      <c r="E3797" s="2">
        <v>0</v>
      </c>
      <c r="F3797" s="2">
        <v>0</v>
      </c>
      <c r="G3797" t="s">
        <v>13</v>
      </c>
      <c r="H3797" t="s">
        <v>14</v>
      </c>
      <c r="I3797" t="s">
        <v>18</v>
      </c>
      <c r="J3797" s="3">
        <v>46230</v>
      </c>
      <c r="K3797" s="4">
        <f>ClientiBanca[[#This Row],[Prestito]]+ClientiBanca[[#This Row],[Mutuo]]</f>
        <v>0</v>
      </c>
      <c r="L3797" t="str">
        <f>IF(ClientiBanca[[#This Row],[Reddito annuo]]&gt;=70000,"si","no")</f>
        <v>no</v>
      </c>
    </row>
    <row r="3798" spans="1:12">
      <c r="A3798">
        <v>103797</v>
      </c>
      <c r="B3798">
        <v>67</v>
      </c>
      <c r="C3798" s="2">
        <v>55200</v>
      </c>
      <c r="D3798" t="s">
        <v>21</v>
      </c>
      <c r="E3798" s="2">
        <v>39800</v>
      </c>
      <c r="F3798" s="2">
        <v>0</v>
      </c>
      <c r="G3798" t="s">
        <v>16</v>
      </c>
      <c r="H3798" t="s">
        <v>17</v>
      </c>
      <c r="I3798" t="s">
        <v>18</v>
      </c>
      <c r="J3798" s="3">
        <v>45492</v>
      </c>
      <c r="K3798" s="4">
        <f>ClientiBanca[[#This Row],[Prestito]]+ClientiBanca[[#This Row],[Mutuo]]</f>
        <v>39800</v>
      </c>
      <c r="L3798" t="str">
        <f>IF(ClientiBanca[[#This Row],[Reddito annuo]]&gt;=70000,"si","no")</f>
        <v>no</v>
      </c>
    </row>
    <row r="3799" spans="1:12">
      <c r="A3799">
        <v>103798</v>
      </c>
      <c r="B3799">
        <v>45</v>
      </c>
      <c r="C3799" s="2">
        <v>85800</v>
      </c>
      <c r="D3799" t="s">
        <v>12</v>
      </c>
      <c r="E3799" s="2">
        <v>15900</v>
      </c>
      <c r="F3799" s="2">
        <v>0</v>
      </c>
      <c r="G3799" t="s">
        <v>19</v>
      </c>
      <c r="H3799" t="s">
        <v>14</v>
      </c>
      <c r="I3799" t="s">
        <v>18</v>
      </c>
      <c r="J3799" s="3">
        <v>45896</v>
      </c>
      <c r="K3799" s="4">
        <f>ClientiBanca[[#This Row],[Prestito]]+ClientiBanca[[#This Row],[Mutuo]]</f>
        <v>15900</v>
      </c>
      <c r="L3799" t="str">
        <f>IF(ClientiBanca[[#This Row],[Reddito annuo]]&gt;=70000,"si","no")</f>
        <v>si</v>
      </c>
    </row>
    <row r="3800" spans="1:12">
      <c r="A3800">
        <v>103799</v>
      </c>
      <c r="B3800">
        <v>49</v>
      </c>
      <c r="C3800" s="2">
        <v>40700</v>
      </c>
      <c r="D3800" t="s">
        <v>21</v>
      </c>
      <c r="E3800" s="2">
        <v>0</v>
      </c>
      <c r="F3800" s="2">
        <v>0</v>
      </c>
      <c r="G3800" t="s">
        <v>27</v>
      </c>
      <c r="H3800" t="s">
        <v>20</v>
      </c>
      <c r="I3800" t="s">
        <v>18</v>
      </c>
      <c r="J3800" s="3">
        <v>46190</v>
      </c>
      <c r="K3800" s="4">
        <f>ClientiBanca[[#This Row],[Prestito]]+ClientiBanca[[#This Row],[Mutuo]]</f>
        <v>0</v>
      </c>
      <c r="L3800" t="str">
        <f>IF(ClientiBanca[[#This Row],[Reddito annuo]]&gt;=70000,"si","no")</f>
        <v>no</v>
      </c>
    </row>
    <row r="3801" spans="1:12">
      <c r="A3801">
        <v>103800</v>
      </c>
      <c r="B3801">
        <v>20</v>
      </c>
      <c r="C3801" s="2">
        <v>36800</v>
      </c>
      <c r="D3801" t="s">
        <v>22</v>
      </c>
      <c r="E3801" s="2">
        <v>0</v>
      </c>
      <c r="F3801" s="2">
        <v>0</v>
      </c>
      <c r="G3801" t="s">
        <v>13</v>
      </c>
      <c r="H3801" t="s">
        <v>14</v>
      </c>
      <c r="I3801" t="s">
        <v>18</v>
      </c>
      <c r="J3801" s="3">
        <v>45351</v>
      </c>
      <c r="K3801" s="4">
        <f>ClientiBanca[[#This Row],[Prestito]]+ClientiBanca[[#This Row],[Mutuo]]</f>
        <v>0</v>
      </c>
      <c r="L3801" t="str">
        <f>IF(ClientiBanca[[#This Row],[Reddito annuo]]&gt;=70000,"si","no")</f>
        <v>no</v>
      </c>
    </row>
    <row r="3802" spans="1:12">
      <c r="A3802">
        <v>103801</v>
      </c>
      <c r="B3802">
        <v>63</v>
      </c>
      <c r="C3802" s="2">
        <v>84100</v>
      </c>
      <c r="D3802" t="s">
        <v>12</v>
      </c>
      <c r="E3802" s="2">
        <v>0</v>
      </c>
      <c r="F3802" s="2">
        <v>0</v>
      </c>
      <c r="G3802" t="s">
        <v>24</v>
      </c>
      <c r="H3802" t="s">
        <v>14</v>
      </c>
      <c r="I3802" t="s">
        <v>18</v>
      </c>
      <c r="J3802" s="3">
        <v>45484</v>
      </c>
      <c r="K3802" s="4">
        <f>ClientiBanca[[#This Row],[Prestito]]+ClientiBanca[[#This Row],[Mutuo]]</f>
        <v>0</v>
      </c>
      <c r="L3802" t="str">
        <f>IF(ClientiBanca[[#This Row],[Reddito annuo]]&gt;=70000,"si","no")</f>
        <v>si</v>
      </c>
    </row>
    <row r="3803" spans="1:12">
      <c r="A3803">
        <v>103802</v>
      </c>
      <c r="B3803">
        <v>54</v>
      </c>
      <c r="C3803" s="2">
        <v>109000</v>
      </c>
      <c r="D3803" t="s">
        <v>21</v>
      </c>
      <c r="E3803" s="2">
        <v>15500</v>
      </c>
      <c r="F3803" s="2">
        <v>0</v>
      </c>
      <c r="G3803" t="s">
        <v>19</v>
      </c>
      <c r="H3803" t="s">
        <v>17</v>
      </c>
      <c r="I3803" t="s">
        <v>18</v>
      </c>
      <c r="J3803" s="3">
        <v>45941</v>
      </c>
      <c r="K3803" s="4">
        <f>ClientiBanca[[#This Row],[Prestito]]+ClientiBanca[[#This Row],[Mutuo]]</f>
        <v>15500</v>
      </c>
      <c r="L3803" t="str">
        <f>IF(ClientiBanca[[#This Row],[Reddito annuo]]&gt;=70000,"si","no")</f>
        <v>si</v>
      </c>
    </row>
    <row r="3804" spans="1:12">
      <c r="A3804">
        <v>103803</v>
      </c>
      <c r="B3804">
        <v>37</v>
      </c>
      <c r="C3804" s="2">
        <v>98500</v>
      </c>
      <c r="D3804" t="s">
        <v>12</v>
      </c>
      <c r="E3804" s="2">
        <v>56800</v>
      </c>
      <c r="F3804" s="2">
        <v>0</v>
      </c>
      <c r="G3804" t="s">
        <v>26</v>
      </c>
      <c r="H3804" t="s">
        <v>20</v>
      </c>
      <c r="I3804" t="s">
        <v>18</v>
      </c>
      <c r="J3804" s="3">
        <v>45328</v>
      </c>
      <c r="K3804" s="4">
        <f>ClientiBanca[[#This Row],[Prestito]]+ClientiBanca[[#This Row],[Mutuo]]</f>
        <v>56800</v>
      </c>
      <c r="L3804" t="str">
        <f>IF(ClientiBanca[[#This Row],[Reddito annuo]]&gt;=70000,"si","no")</f>
        <v>si</v>
      </c>
    </row>
    <row r="3805" spans="1:12">
      <c r="A3805">
        <v>103804</v>
      </c>
      <c r="B3805">
        <v>26</v>
      </c>
      <c r="C3805" s="2">
        <v>52500</v>
      </c>
      <c r="D3805" t="s">
        <v>21</v>
      </c>
      <c r="E3805" s="2">
        <v>53700</v>
      </c>
      <c r="F3805" s="2">
        <v>0</v>
      </c>
      <c r="G3805" t="s">
        <v>19</v>
      </c>
      <c r="H3805" t="s">
        <v>20</v>
      </c>
      <c r="I3805" t="s">
        <v>18</v>
      </c>
      <c r="J3805" s="3">
        <v>45485</v>
      </c>
      <c r="K3805" s="4">
        <f>ClientiBanca[[#This Row],[Prestito]]+ClientiBanca[[#This Row],[Mutuo]]</f>
        <v>53700</v>
      </c>
      <c r="L3805" t="str">
        <f>IF(ClientiBanca[[#This Row],[Reddito annuo]]&gt;=70000,"si","no")</f>
        <v>no</v>
      </c>
    </row>
    <row r="3806" spans="1:12">
      <c r="A3806">
        <v>103805</v>
      </c>
      <c r="B3806">
        <v>66</v>
      </c>
      <c r="C3806" s="2">
        <v>36800</v>
      </c>
      <c r="D3806" t="s">
        <v>21</v>
      </c>
      <c r="E3806" s="2">
        <v>35900</v>
      </c>
      <c r="F3806" s="2">
        <v>0</v>
      </c>
      <c r="G3806" t="s">
        <v>27</v>
      </c>
      <c r="H3806" t="s">
        <v>17</v>
      </c>
      <c r="I3806" t="s">
        <v>18</v>
      </c>
      <c r="J3806" s="3">
        <v>45613</v>
      </c>
      <c r="K3806" s="4">
        <f>ClientiBanca[[#This Row],[Prestito]]+ClientiBanca[[#This Row],[Mutuo]]</f>
        <v>35900</v>
      </c>
      <c r="L3806" t="str">
        <f>IF(ClientiBanca[[#This Row],[Reddito annuo]]&gt;=70000,"si","no")</f>
        <v>no</v>
      </c>
    </row>
    <row r="3807" spans="1:12">
      <c r="A3807">
        <v>103806</v>
      </c>
      <c r="B3807">
        <v>40</v>
      </c>
      <c r="C3807" s="2">
        <v>106600</v>
      </c>
      <c r="D3807" t="s">
        <v>12</v>
      </c>
      <c r="E3807" s="2">
        <v>22600</v>
      </c>
      <c r="F3807" s="2">
        <v>0</v>
      </c>
      <c r="G3807" t="s">
        <v>24</v>
      </c>
      <c r="H3807" t="s">
        <v>20</v>
      </c>
      <c r="I3807" t="s">
        <v>18</v>
      </c>
      <c r="J3807" s="3">
        <v>45833</v>
      </c>
      <c r="K3807" s="4">
        <f>ClientiBanca[[#This Row],[Prestito]]+ClientiBanca[[#This Row],[Mutuo]]</f>
        <v>22600</v>
      </c>
      <c r="L3807" t="str">
        <f>IF(ClientiBanca[[#This Row],[Reddito annuo]]&gt;=70000,"si","no")</f>
        <v>si</v>
      </c>
    </row>
    <row r="3808" spans="1:12">
      <c r="A3808">
        <v>103807</v>
      </c>
      <c r="B3808">
        <v>39</v>
      </c>
      <c r="C3808" s="2">
        <v>40600</v>
      </c>
      <c r="D3808" t="s">
        <v>22</v>
      </c>
      <c r="E3808" s="2">
        <v>22500</v>
      </c>
      <c r="F3808" s="2">
        <v>356000</v>
      </c>
      <c r="G3808" t="s">
        <v>23</v>
      </c>
      <c r="H3808" t="s">
        <v>14</v>
      </c>
      <c r="I3808" t="s">
        <v>18</v>
      </c>
      <c r="J3808" s="3">
        <v>45480</v>
      </c>
      <c r="K3808" s="4">
        <f>ClientiBanca[[#This Row],[Prestito]]+ClientiBanca[[#This Row],[Mutuo]]</f>
        <v>378500</v>
      </c>
      <c r="L3808" t="str">
        <f>IF(ClientiBanca[[#This Row],[Reddito annuo]]&gt;=70000,"si","no")</f>
        <v>no</v>
      </c>
    </row>
    <row r="3809" spans="1:12">
      <c r="A3809">
        <v>103808</v>
      </c>
      <c r="B3809">
        <v>52</v>
      </c>
      <c r="C3809" s="2">
        <v>30100</v>
      </c>
      <c r="D3809" t="s">
        <v>12</v>
      </c>
      <c r="E3809" s="2">
        <v>0</v>
      </c>
      <c r="F3809" s="2">
        <v>0</v>
      </c>
      <c r="G3809" t="s">
        <v>28</v>
      </c>
      <c r="H3809" t="s">
        <v>20</v>
      </c>
      <c r="I3809" t="s">
        <v>18</v>
      </c>
      <c r="J3809" s="3">
        <v>45563</v>
      </c>
      <c r="K3809" s="4">
        <f>ClientiBanca[[#This Row],[Prestito]]+ClientiBanca[[#This Row],[Mutuo]]</f>
        <v>0</v>
      </c>
      <c r="L3809" t="str">
        <f>IF(ClientiBanca[[#This Row],[Reddito annuo]]&gt;=70000,"si","no")</f>
        <v>no</v>
      </c>
    </row>
    <row r="3810" spans="1:12">
      <c r="A3810">
        <v>103809</v>
      </c>
      <c r="B3810">
        <v>37</v>
      </c>
      <c r="C3810" s="2">
        <v>21200</v>
      </c>
      <c r="D3810" t="s">
        <v>22</v>
      </c>
      <c r="E3810" s="2">
        <v>7800</v>
      </c>
      <c r="F3810" s="2">
        <v>0</v>
      </c>
      <c r="G3810" t="s">
        <v>28</v>
      </c>
      <c r="H3810" t="s">
        <v>17</v>
      </c>
      <c r="I3810" t="s">
        <v>18</v>
      </c>
      <c r="J3810" s="3">
        <v>45470</v>
      </c>
      <c r="K3810" s="4">
        <f>ClientiBanca[[#This Row],[Prestito]]+ClientiBanca[[#This Row],[Mutuo]]</f>
        <v>7800</v>
      </c>
      <c r="L3810" t="str">
        <f>IF(ClientiBanca[[#This Row],[Reddito annuo]]&gt;=70000,"si","no")</f>
        <v>no</v>
      </c>
    </row>
    <row r="3811" spans="1:12">
      <c r="A3811">
        <v>103810</v>
      </c>
      <c r="B3811">
        <v>35</v>
      </c>
      <c r="C3811" s="2">
        <v>73600</v>
      </c>
      <c r="D3811" t="s">
        <v>12</v>
      </c>
      <c r="E3811" s="2">
        <v>68700</v>
      </c>
      <c r="F3811" s="2">
        <v>0</v>
      </c>
      <c r="G3811" t="s">
        <v>28</v>
      </c>
      <c r="H3811" t="s">
        <v>17</v>
      </c>
      <c r="I3811" t="s">
        <v>18</v>
      </c>
      <c r="J3811" s="3">
        <v>45793</v>
      </c>
      <c r="K3811" s="4">
        <f>ClientiBanca[[#This Row],[Prestito]]+ClientiBanca[[#This Row],[Mutuo]]</f>
        <v>68700</v>
      </c>
      <c r="L3811" t="str">
        <f>IF(ClientiBanca[[#This Row],[Reddito annuo]]&gt;=70000,"si","no")</f>
        <v>si</v>
      </c>
    </row>
    <row r="3812" spans="1:12">
      <c r="A3812">
        <v>103811</v>
      </c>
      <c r="B3812">
        <v>47</v>
      </c>
      <c r="C3812" s="2">
        <v>50200</v>
      </c>
      <c r="D3812" t="s">
        <v>21</v>
      </c>
      <c r="E3812" s="2">
        <v>30300</v>
      </c>
      <c r="F3812" s="2">
        <v>0</v>
      </c>
      <c r="G3812" t="s">
        <v>28</v>
      </c>
      <c r="H3812" t="s">
        <v>25</v>
      </c>
      <c r="I3812" t="s">
        <v>18</v>
      </c>
      <c r="J3812" s="3">
        <v>45609</v>
      </c>
      <c r="K3812" s="4">
        <f>ClientiBanca[[#This Row],[Prestito]]+ClientiBanca[[#This Row],[Mutuo]]</f>
        <v>30300</v>
      </c>
      <c r="L3812" t="str">
        <f>IF(ClientiBanca[[#This Row],[Reddito annuo]]&gt;=70000,"si","no")</f>
        <v>no</v>
      </c>
    </row>
    <row r="3813" spans="1:12">
      <c r="A3813">
        <v>103812</v>
      </c>
      <c r="B3813">
        <v>55</v>
      </c>
      <c r="C3813" s="2">
        <v>103100</v>
      </c>
      <c r="D3813" t="s">
        <v>21</v>
      </c>
      <c r="E3813" s="2">
        <v>0</v>
      </c>
      <c r="F3813" s="2">
        <v>186000</v>
      </c>
      <c r="G3813" t="s">
        <v>16</v>
      </c>
      <c r="H3813" t="s">
        <v>20</v>
      </c>
      <c r="I3813" t="s">
        <v>18</v>
      </c>
      <c r="J3813" s="3">
        <v>46204</v>
      </c>
      <c r="K3813" s="4">
        <f>ClientiBanca[[#This Row],[Prestito]]+ClientiBanca[[#This Row],[Mutuo]]</f>
        <v>186000</v>
      </c>
      <c r="L3813" t="str">
        <f>IF(ClientiBanca[[#This Row],[Reddito annuo]]&gt;=70000,"si","no")</f>
        <v>si</v>
      </c>
    </row>
    <row r="3814" spans="1:12">
      <c r="A3814">
        <v>103813</v>
      </c>
      <c r="B3814">
        <v>63</v>
      </c>
      <c r="C3814" s="2">
        <v>43900</v>
      </c>
      <c r="D3814" t="s">
        <v>21</v>
      </c>
      <c r="E3814" s="2">
        <v>0</v>
      </c>
      <c r="F3814" s="2">
        <v>0</v>
      </c>
      <c r="G3814" t="s">
        <v>24</v>
      </c>
      <c r="H3814" t="s">
        <v>14</v>
      </c>
      <c r="I3814" t="s">
        <v>18</v>
      </c>
      <c r="J3814" s="3">
        <v>45475</v>
      </c>
      <c r="K3814" s="4">
        <f>ClientiBanca[[#This Row],[Prestito]]+ClientiBanca[[#This Row],[Mutuo]]</f>
        <v>0</v>
      </c>
      <c r="L3814" t="str">
        <f>IF(ClientiBanca[[#This Row],[Reddito annuo]]&gt;=70000,"si","no")</f>
        <v>no</v>
      </c>
    </row>
    <row r="3815" spans="1:12">
      <c r="A3815">
        <v>103814</v>
      </c>
      <c r="B3815">
        <v>49</v>
      </c>
      <c r="C3815" s="2">
        <v>76300</v>
      </c>
      <c r="D3815" t="s">
        <v>22</v>
      </c>
      <c r="E3815" s="2">
        <v>0</v>
      </c>
      <c r="F3815" s="2">
        <v>0</v>
      </c>
      <c r="G3815" t="s">
        <v>13</v>
      </c>
      <c r="H3815" t="s">
        <v>20</v>
      </c>
      <c r="I3815" t="s">
        <v>18</v>
      </c>
      <c r="J3815" s="3">
        <v>45552</v>
      </c>
      <c r="K3815" s="4">
        <f>ClientiBanca[[#This Row],[Prestito]]+ClientiBanca[[#This Row],[Mutuo]]</f>
        <v>0</v>
      </c>
      <c r="L3815" t="str">
        <f>IF(ClientiBanca[[#This Row],[Reddito annuo]]&gt;=70000,"si","no")</f>
        <v>si</v>
      </c>
    </row>
    <row r="3816" spans="1:12">
      <c r="A3816">
        <v>103815</v>
      </c>
      <c r="B3816">
        <v>73</v>
      </c>
      <c r="C3816" s="2">
        <v>92100</v>
      </c>
      <c r="D3816" t="s">
        <v>12</v>
      </c>
      <c r="E3816" s="2">
        <v>30300</v>
      </c>
      <c r="F3816" s="2">
        <v>0</v>
      </c>
      <c r="G3816" t="s">
        <v>19</v>
      </c>
      <c r="H3816" t="s">
        <v>17</v>
      </c>
      <c r="I3816" t="s">
        <v>18</v>
      </c>
      <c r="J3816" s="3">
        <v>46123</v>
      </c>
      <c r="K3816" s="4">
        <f>ClientiBanca[[#This Row],[Prestito]]+ClientiBanca[[#This Row],[Mutuo]]</f>
        <v>30300</v>
      </c>
      <c r="L3816" t="str">
        <f>IF(ClientiBanca[[#This Row],[Reddito annuo]]&gt;=70000,"si","no")</f>
        <v>si</v>
      </c>
    </row>
    <row r="3817" spans="1:12">
      <c r="A3817">
        <v>103816</v>
      </c>
      <c r="B3817">
        <v>48</v>
      </c>
      <c r="C3817" s="2">
        <v>57900</v>
      </c>
      <c r="D3817" t="s">
        <v>21</v>
      </c>
      <c r="E3817" s="2">
        <v>0</v>
      </c>
      <c r="F3817" s="2">
        <v>0</v>
      </c>
      <c r="G3817" t="s">
        <v>24</v>
      </c>
      <c r="H3817" t="s">
        <v>17</v>
      </c>
      <c r="I3817" t="s">
        <v>18</v>
      </c>
      <c r="J3817" s="3">
        <v>45910</v>
      </c>
      <c r="K3817" s="4">
        <f>ClientiBanca[[#This Row],[Prestito]]+ClientiBanca[[#This Row],[Mutuo]]</f>
        <v>0</v>
      </c>
      <c r="L3817" t="str">
        <f>IF(ClientiBanca[[#This Row],[Reddito annuo]]&gt;=70000,"si","no")</f>
        <v>no</v>
      </c>
    </row>
    <row r="3818" spans="1:12">
      <c r="A3818">
        <v>103817</v>
      </c>
      <c r="B3818">
        <v>75</v>
      </c>
      <c r="C3818" s="2">
        <v>28800</v>
      </c>
      <c r="D3818" t="s">
        <v>21</v>
      </c>
      <c r="E3818" s="2">
        <v>36000</v>
      </c>
      <c r="F3818" s="2">
        <v>0</v>
      </c>
      <c r="G3818" t="s">
        <v>28</v>
      </c>
      <c r="H3818" t="s">
        <v>17</v>
      </c>
      <c r="I3818" t="s">
        <v>18</v>
      </c>
      <c r="J3818" s="3">
        <v>46005</v>
      </c>
      <c r="K3818" s="4">
        <f>ClientiBanca[[#This Row],[Prestito]]+ClientiBanca[[#This Row],[Mutuo]]</f>
        <v>36000</v>
      </c>
      <c r="L3818" t="str">
        <f>IF(ClientiBanca[[#This Row],[Reddito annuo]]&gt;=70000,"si","no")</f>
        <v>no</v>
      </c>
    </row>
    <row r="3819" spans="1:12">
      <c r="A3819">
        <v>103818</v>
      </c>
      <c r="B3819">
        <v>70</v>
      </c>
      <c r="C3819" s="2">
        <v>50700</v>
      </c>
      <c r="D3819" t="s">
        <v>21</v>
      </c>
      <c r="E3819" s="2">
        <v>0</v>
      </c>
      <c r="F3819" s="2">
        <v>0</v>
      </c>
      <c r="G3819" t="s">
        <v>24</v>
      </c>
      <c r="H3819" t="s">
        <v>20</v>
      </c>
      <c r="I3819" t="s">
        <v>18</v>
      </c>
      <c r="J3819" s="3">
        <v>46049</v>
      </c>
      <c r="K3819" s="4">
        <f>ClientiBanca[[#This Row],[Prestito]]+ClientiBanca[[#This Row],[Mutuo]]</f>
        <v>0</v>
      </c>
      <c r="L3819" t="str">
        <f>IF(ClientiBanca[[#This Row],[Reddito annuo]]&gt;=70000,"si","no")</f>
        <v>no</v>
      </c>
    </row>
    <row r="3820" spans="1:12">
      <c r="A3820">
        <v>103819</v>
      </c>
      <c r="B3820">
        <v>25</v>
      </c>
      <c r="C3820" s="2">
        <v>54500</v>
      </c>
      <c r="D3820" t="s">
        <v>12</v>
      </c>
      <c r="E3820" s="2">
        <v>0</v>
      </c>
      <c r="F3820" s="2">
        <v>338000</v>
      </c>
      <c r="G3820" t="s">
        <v>16</v>
      </c>
      <c r="H3820" t="s">
        <v>14</v>
      </c>
      <c r="I3820" t="s">
        <v>18</v>
      </c>
      <c r="J3820" s="3">
        <v>46030</v>
      </c>
      <c r="K3820" s="4">
        <f>ClientiBanca[[#This Row],[Prestito]]+ClientiBanca[[#This Row],[Mutuo]]</f>
        <v>338000</v>
      </c>
      <c r="L3820" t="str">
        <f>IF(ClientiBanca[[#This Row],[Reddito annuo]]&gt;=70000,"si","no")</f>
        <v>no</v>
      </c>
    </row>
    <row r="3821" spans="1:12">
      <c r="A3821">
        <v>103820</v>
      </c>
      <c r="B3821">
        <v>63</v>
      </c>
      <c r="C3821" s="2">
        <v>48400</v>
      </c>
      <c r="D3821" t="s">
        <v>21</v>
      </c>
      <c r="E3821" s="2">
        <v>22300</v>
      </c>
      <c r="F3821" s="2">
        <v>0</v>
      </c>
      <c r="G3821" t="s">
        <v>16</v>
      </c>
      <c r="H3821" t="s">
        <v>20</v>
      </c>
      <c r="I3821" t="s">
        <v>18</v>
      </c>
      <c r="J3821" s="3">
        <v>45565</v>
      </c>
      <c r="K3821" s="4">
        <f>ClientiBanca[[#This Row],[Prestito]]+ClientiBanca[[#This Row],[Mutuo]]</f>
        <v>22300</v>
      </c>
      <c r="L3821" t="str">
        <f>IF(ClientiBanca[[#This Row],[Reddito annuo]]&gt;=70000,"si","no")</f>
        <v>no</v>
      </c>
    </row>
    <row r="3822" spans="1:12">
      <c r="A3822">
        <v>103821</v>
      </c>
      <c r="B3822">
        <v>38</v>
      </c>
      <c r="C3822" s="2">
        <v>44100</v>
      </c>
      <c r="D3822" t="s">
        <v>22</v>
      </c>
      <c r="E3822" s="2">
        <v>0</v>
      </c>
      <c r="F3822" s="2">
        <v>0</v>
      </c>
      <c r="G3822" t="s">
        <v>16</v>
      </c>
      <c r="H3822" t="s">
        <v>14</v>
      </c>
      <c r="I3822" t="s">
        <v>18</v>
      </c>
      <c r="J3822" s="3">
        <v>45550</v>
      </c>
      <c r="K3822" s="4">
        <f>ClientiBanca[[#This Row],[Prestito]]+ClientiBanca[[#This Row],[Mutuo]]</f>
        <v>0</v>
      </c>
      <c r="L3822" t="str">
        <f>IF(ClientiBanca[[#This Row],[Reddito annuo]]&gt;=70000,"si","no")</f>
        <v>no</v>
      </c>
    </row>
    <row r="3823" spans="1:12">
      <c r="A3823">
        <v>103822</v>
      </c>
      <c r="B3823">
        <v>29</v>
      </c>
      <c r="C3823" s="2">
        <v>38500</v>
      </c>
      <c r="D3823" t="s">
        <v>12</v>
      </c>
      <c r="E3823" s="2">
        <v>0</v>
      </c>
      <c r="F3823" s="2">
        <v>107000</v>
      </c>
      <c r="G3823" t="s">
        <v>24</v>
      </c>
      <c r="H3823" t="s">
        <v>17</v>
      </c>
      <c r="I3823" t="s">
        <v>18</v>
      </c>
      <c r="J3823" s="3">
        <v>46202</v>
      </c>
      <c r="K3823" s="4">
        <f>ClientiBanca[[#This Row],[Prestito]]+ClientiBanca[[#This Row],[Mutuo]]</f>
        <v>107000</v>
      </c>
      <c r="L3823" t="str">
        <f>IF(ClientiBanca[[#This Row],[Reddito annuo]]&gt;=70000,"si","no")</f>
        <v>no</v>
      </c>
    </row>
    <row r="3824" spans="1:12">
      <c r="A3824">
        <v>103823</v>
      </c>
      <c r="B3824">
        <v>48</v>
      </c>
      <c r="C3824" s="2">
        <v>53000</v>
      </c>
      <c r="D3824" t="s">
        <v>12</v>
      </c>
      <c r="E3824" s="2">
        <v>31600</v>
      </c>
      <c r="F3824" s="2">
        <v>237000</v>
      </c>
      <c r="G3824" t="s">
        <v>28</v>
      </c>
      <c r="H3824" t="s">
        <v>14</v>
      </c>
      <c r="I3824" t="s">
        <v>18</v>
      </c>
      <c r="J3824" s="3">
        <v>45785</v>
      </c>
      <c r="K3824" s="4">
        <f>ClientiBanca[[#This Row],[Prestito]]+ClientiBanca[[#This Row],[Mutuo]]</f>
        <v>268600</v>
      </c>
      <c r="L3824" t="str">
        <f>IF(ClientiBanca[[#This Row],[Reddito annuo]]&gt;=70000,"si","no")</f>
        <v>no</v>
      </c>
    </row>
    <row r="3825" spans="1:12">
      <c r="A3825">
        <v>103824</v>
      </c>
      <c r="B3825">
        <v>26</v>
      </c>
      <c r="C3825" s="2">
        <v>30300</v>
      </c>
      <c r="D3825" t="s">
        <v>22</v>
      </c>
      <c r="E3825" s="2">
        <v>37900</v>
      </c>
      <c r="F3825" s="2">
        <v>0</v>
      </c>
      <c r="G3825" t="s">
        <v>27</v>
      </c>
      <c r="H3825" t="s">
        <v>20</v>
      </c>
      <c r="I3825" t="s">
        <v>18</v>
      </c>
      <c r="J3825" s="3">
        <v>45353</v>
      </c>
      <c r="K3825" s="4">
        <f>ClientiBanca[[#This Row],[Prestito]]+ClientiBanca[[#This Row],[Mutuo]]</f>
        <v>37900</v>
      </c>
      <c r="L3825" t="str">
        <f>IF(ClientiBanca[[#This Row],[Reddito annuo]]&gt;=70000,"si","no")</f>
        <v>no</v>
      </c>
    </row>
    <row r="3826" spans="1:12">
      <c r="A3826">
        <v>103825</v>
      </c>
      <c r="B3826">
        <v>62</v>
      </c>
      <c r="C3826" s="2">
        <v>54600</v>
      </c>
      <c r="D3826" t="s">
        <v>12</v>
      </c>
      <c r="E3826" s="2">
        <v>34500</v>
      </c>
      <c r="F3826" s="2">
        <v>0</v>
      </c>
      <c r="G3826" t="s">
        <v>28</v>
      </c>
      <c r="H3826" t="s">
        <v>14</v>
      </c>
      <c r="I3826" t="s">
        <v>18</v>
      </c>
      <c r="J3826" s="3">
        <v>45582</v>
      </c>
      <c r="K3826" s="4">
        <f>ClientiBanca[[#This Row],[Prestito]]+ClientiBanca[[#This Row],[Mutuo]]</f>
        <v>34500</v>
      </c>
      <c r="L3826" t="str">
        <f>IF(ClientiBanca[[#This Row],[Reddito annuo]]&gt;=70000,"si","no")</f>
        <v>no</v>
      </c>
    </row>
    <row r="3827" spans="1:12">
      <c r="A3827">
        <v>103826</v>
      </c>
      <c r="B3827">
        <v>45</v>
      </c>
      <c r="C3827" s="2">
        <v>51200</v>
      </c>
      <c r="D3827" t="s">
        <v>21</v>
      </c>
      <c r="E3827" s="2">
        <v>36800</v>
      </c>
      <c r="F3827" s="2">
        <v>0</v>
      </c>
      <c r="G3827" t="s">
        <v>28</v>
      </c>
      <c r="H3827" t="s">
        <v>17</v>
      </c>
      <c r="I3827" t="s">
        <v>18</v>
      </c>
      <c r="J3827" s="3">
        <v>45572</v>
      </c>
      <c r="K3827" s="4">
        <f>ClientiBanca[[#This Row],[Prestito]]+ClientiBanca[[#This Row],[Mutuo]]</f>
        <v>36800</v>
      </c>
      <c r="L3827" t="str">
        <f>IF(ClientiBanca[[#This Row],[Reddito annuo]]&gt;=70000,"si","no")</f>
        <v>no</v>
      </c>
    </row>
    <row r="3828" spans="1:12">
      <c r="A3828">
        <v>103827</v>
      </c>
      <c r="B3828">
        <v>71</v>
      </c>
      <c r="C3828" s="2">
        <v>54500</v>
      </c>
      <c r="D3828" t="s">
        <v>21</v>
      </c>
      <c r="E3828" s="2">
        <v>22800</v>
      </c>
      <c r="F3828" s="2">
        <v>0</v>
      </c>
      <c r="G3828" t="s">
        <v>16</v>
      </c>
      <c r="H3828" t="s">
        <v>14</v>
      </c>
      <c r="I3828" t="s">
        <v>18</v>
      </c>
      <c r="J3828" s="3">
        <v>46252</v>
      </c>
      <c r="K3828" s="4">
        <f>ClientiBanca[[#This Row],[Prestito]]+ClientiBanca[[#This Row],[Mutuo]]</f>
        <v>22800</v>
      </c>
      <c r="L3828" t="str">
        <f>IF(ClientiBanca[[#This Row],[Reddito annuo]]&gt;=70000,"si","no")</f>
        <v>no</v>
      </c>
    </row>
    <row r="3829" spans="1:12">
      <c r="A3829">
        <v>103828</v>
      </c>
      <c r="B3829">
        <v>72</v>
      </c>
      <c r="C3829" s="2">
        <v>82500</v>
      </c>
      <c r="D3829" t="s">
        <v>21</v>
      </c>
      <c r="E3829" s="2">
        <v>0</v>
      </c>
      <c r="F3829" s="2">
        <v>0</v>
      </c>
      <c r="G3829" t="s">
        <v>19</v>
      </c>
      <c r="H3829" t="s">
        <v>20</v>
      </c>
      <c r="I3829" t="s">
        <v>18</v>
      </c>
      <c r="J3829" s="3">
        <v>45612</v>
      </c>
      <c r="K3829" s="4">
        <f>ClientiBanca[[#This Row],[Prestito]]+ClientiBanca[[#This Row],[Mutuo]]</f>
        <v>0</v>
      </c>
      <c r="L3829" t="str">
        <f>IF(ClientiBanca[[#This Row],[Reddito annuo]]&gt;=70000,"si","no")</f>
        <v>si</v>
      </c>
    </row>
    <row r="3830" spans="1:12">
      <c r="A3830">
        <v>103829</v>
      </c>
      <c r="B3830">
        <v>51</v>
      </c>
      <c r="C3830" s="2">
        <v>41400</v>
      </c>
      <c r="D3830" t="s">
        <v>22</v>
      </c>
      <c r="E3830" s="2">
        <v>0</v>
      </c>
      <c r="F3830" s="2">
        <v>0</v>
      </c>
      <c r="G3830" t="s">
        <v>19</v>
      </c>
      <c r="H3830" t="s">
        <v>20</v>
      </c>
      <c r="I3830" t="s">
        <v>18</v>
      </c>
      <c r="J3830" s="3">
        <v>46038</v>
      </c>
      <c r="K3830" s="4">
        <f>ClientiBanca[[#This Row],[Prestito]]+ClientiBanca[[#This Row],[Mutuo]]</f>
        <v>0</v>
      </c>
      <c r="L3830" t="str">
        <f>IF(ClientiBanca[[#This Row],[Reddito annuo]]&gt;=70000,"si","no")</f>
        <v>no</v>
      </c>
    </row>
    <row r="3831" spans="1:12">
      <c r="A3831">
        <v>103830</v>
      </c>
      <c r="B3831">
        <v>73</v>
      </c>
      <c r="C3831" s="2">
        <v>121300</v>
      </c>
      <c r="D3831" t="s">
        <v>21</v>
      </c>
      <c r="E3831" s="2">
        <v>26300</v>
      </c>
      <c r="F3831" s="2">
        <v>0</v>
      </c>
      <c r="G3831" t="s">
        <v>19</v>
      </c>
      <c r="H3831" t="s">
        <v>14</v>
      </c>
      <c r="I3831" t="s">
        <v>18</v>
      </c>
      <c r="J3831" s="3">
        <v>46100</v>
      </c>
      <c r="K3831" s="4">
        <f>ClientiBanca[[#This Row],[Prestito]]+ClientiBanca[[#This Row],[Mutuo]]</f>
        <v>26300</v>
      </c>
      <c r="L3831" t="str">
        <f>IF(ClientiBanca[[#This Row],[Reddito annuo]]&gt;=70000,"si","no")</f>
        <v>si</v>
      </c>
    </row>
    <row r="3832" spans="1:12">
      <c r="A3832">
        <v>103831</v>
      </c>
      <c r="B3832">
        <v>46</v>
      </c>
      <c r="C3832" s="2">
        <v>23800</v>
      </c>
      <c r="D3832" t="s">
        <v>12</v>
      </c>
      <c r="E3832" s="2">
        <v>29800</v>
      </c>
      <c r="F3832" s="2">
        <v>0</v>
      </c>
      <c r="G3832" t="s">
        <v>23</v>
      </c>
      <c r="H3832" t="s">
        <v>17</v>
      </c>
      <c r="I3832" t="s">
        <v>18</v>
      </c>
      <c r="J3832" s="3">
        <v>45478</v>
      </c>
      <c r="K3832" s="4">
        <f>ClientiBanca[[#This Row],[Prestito]]+ClientiBanca[[#This Row],[Mutuo]]</f>
        <v>29800</v>
      </c>
      <c r="L3832" t="str">
        <f>IF(ClientiBanca[[#This Row],[Reddito annuo]]&gt;=70000,"si","no")</f>
        <v>no</v>
      </c>
    </row>
    <row r="3833" spans="1:12">
      <c r="A3833">
        <v>103832</v>
      </c>
      <c r="B3833">
        <v>56</v>
      </c>
      <c r="C3833" s="2">
        <v>90700</v>
      </c>
      <c r="D3833" t="s">
        <v>12</v>
      </c>
      <c r="E3833" s="2">
        <v>42100</v>
      </c>
      <c r="F3833" s="2">
        <v>222000</v>
      </c>
      <c r="G3833" t="s">
        <v>24</v>
      </c>
      <c r="H3833" t="s">
        <v>25</v>
      </c>
      <c r="I3833" t="s">
        <v>15</v>
      </c>
      <c r="J3833" s="3">
        <v>45386</v>
      </c>
      <c r="K3833" s="4">
        <f>ClientiBanca[[#This Row],[Prestito]]+ClientiBanca[[#This Row],[Mutuo]]</f>
        <v>264100</v>
      </c>
      <c r="L3833" t="str">
        <f>IF(ClientiBanca[[#This Row],[Reddito annuo]]&gt;=70000,"si","no")</f>
        <v>si</v>
      </c>
    </row>
    <row r="3834" spans="1:12">
      <c r="A3834">
        <v>103833</v>
      </c>
      <c r="B3834">
        <v>66</v>
      </c>
      <c r="C3834" s="2">
        <v>44900</v>
      </c>
      <c r="D3834" t="s">
        <v>21</v>
      </c>
      <c r="E3834" s="2">
        <v>0</v>
      </c>
      <c r="F3834" s="2">
        <v>0</v>
      </c>
      <c r="G3834" t="s">
        <v>23</v>
      </c>
      <c r="H3834" t="s">
        <v>17</v>
      </c>
      <c r="I3834" t="s">
        <v>18</v>
      </c>
      <c r="J3834" s="3">
        <v>45425</v>
      </c>
      <c r="K3834" s="4">
        <f>ClientiBanca[[#This Row],[Prestito]]+ClientiBanca[[#This Row],[Mutuo]]</f>
        <v>0</v>
      </c>
      <c r="L3834" t="str">
        <f>IF(ClientiBanca[[#This Row],[Reddito annuo]]&gt;=70000,"si","no")</f>
        <v>no</v>
      </c>
    </row>
    <row r="3835" spans="1:12">
      <c r="A3835">
        <v>103834</v>
      </c>
      <c r="B3835">
        <v>34</v>
      </c>
      <c r="C3835" s="2">
        <v>58700</v>
      </c>
      <c r="D3835" t="s">
        <v>21</v>
      </c>
      <c r="E3835" s="2">
        <v>22700</v>
      </c>
      <c r="F3835" s="2">
        <v>0</v>
      </c>
      <c r="G3835" t="s">
        <v>26</v>
      </c>
      <c r="H3835" t="s">
        <v>20</v>
      </c>
      <c r="I3835" t="s">
        <v>18</v>
      </c>
      <c r="J3835" s="3">
        <v>46158</v>
      </c>
      <c r="K3835" s="4">
        <f>ClientiBanca[[#This Row],[Prestito]]+ClientiBanca[[#This Row],[Mutuo]]</f>
        <v>22700</v>
      </c>
      <c r="L3835" t="str">
        <f>IF(ClientiBanca[[#This Row],[Reddito annuo]]&gt;=70000,"si","no")</f>
        <v>no</v>
      </c>
    </row>
    <row r="3836" spans="1:12">
      <c r="A3836">
        <v>103835</v>
      </c>
      <c r="B3836">
        <v>50</v>
      </c>
      <c r="C3836" s="2">
        <v>29100</v>
      </c>
      <c r="D3836" t="s">
        <v>21</v>
      </c>
      <c r="E3836" s="2">
        <v>0</v>
      </c>
      <c r="F3836" s="2">
        <v>228000</v>
      </c>
      <c r="G3836" t="s">
        <v>24</v>
      </c>
      <c r="H3836" t="s">
        <v>20</v>
      </c>
      <c r="I3836" t="s">
        <v>18</v>
      </c>
      <c r="J3836" s="3">
        <v>45926</v>
      </c>
      <c r="K3836" s="4">
        <f>ClientiBanca[[#This Row],[Prestito]]+ClientiBanca[[#This Row],[Mutuo]]</f>
        <v>228000</v>
      </c>
      <c r="L3836" t="str">
        <f>IF(ClientiBanca[[#This Row],[Reddito annuo]]&gt;=70000,"si","no")</f>
        <v>no</v>
      </c>
    </row>
    <row r="3837" spans="1:12">
      <c r="A3837">
        <v>103836</v>
      </c>
      <c r="B3837">
        <v>69</v>
      </c>
      <c r="C3837" s="2">
        <v>41200</v>
      </c>
      <c r="D3837" t="s">
        <v>12</v>
      </c>
      <c r="E3837" s="2">
        <v>51500</v>
      </c>
      <c r="F3837" s="2">
        <v>0</v>
      </c>
      <c r="G3837" t="s">
        <v>24</v>
      </c>
      <c r="H3837" t="s">
        <v>17</v>
      </c>
      <c r="I3837" t="s">
        <v>18</v>
      </c>
      <c r="J3837" s="3">
        <v>45325</v>
      </c>
      <c r="K3837" s="4">
        <f>ClientiBanca[[#This Row],[Prestito]]+ClientiBanca[[#This Row],[Mutuo]]</f>
        <v>51500</v>
      </c>
      <c r="L3837" t="str">
        <f>IF(ClientiBanca[[#This Row],[Reddito annuo]]&gt;=70000,"si","no")</f>
        <v>no</v>
      </c>
    </row>
    <row r="3838" spans="1:12">
      <c r="A3838">
        <v>103837</v>
      </c>
      <c r="B3838">
        <v>25</v>
      </c>
      <c r="C3838" s="2">
        <v>77100</v>
      </c>
      <c r="D3838" t="s">
        <v>12</v>
      </c>
      <c r="E3838" s="2">
        <v>0</v>
      </c>
      <c r="F3838" s="2">
        <v>0</v>
      </c>
      <c r="G3838" t="s">
        <v>16</v>
      </c>
      <c r="H3838" t="s">
        <v>14</v>
      </c>
      <c r="I3838" t="s">
        <v>18</v>
      </c>
      <c r="J3838" s="3">
        <v>45862</v>
      </c>
      <c r="K3838" s="4">
        <f>ClientiBanca[[#This Row],[Prestito]]+ClientiBanca[[#This Row],[Mutuo]]</f>
        <v>0</v>
      </c>
      <c r="L3838" t="str">
        <f>IF(ClientiBanca[[#This Row],[Reddito annuo]]&gt;=70000,"si","no")</f>
        <v>si</v>
      </c>
    </row>
    <row r="3839" spans="1:12">
      <c r="A3839">
        <v>103838</v>
      </c>
      <c r="B3839">
        <v>36</v>
      </c>
      <c r="C3839" s="2">
        <v>26300</v>
      </c>
      <c r="D3839" t="s">
        <v>12</v>
      </c>
      <c r="E3839" s="2">
        <v>32900</v>
      </c>
      <c r="F3839" s="2">
        <v>0</v>
      </c>
      <c r="G3839" t="s">
        <v>23</v>
      </c>
      <c r="H3839" t="s">
        <v>14</v>
      </c>
      <c r="I3839" t="s">
        <v>18</v>
      </c>
      <c r="J3839" s="3">
        <v>45771</v>
      </c>
      <c r="K3839" s="4">
        <f>ClientiBanca[[#This Row],[Prestito]]+ClientiBanca[[#This Row],[Mutuo]]</f>
        <v>32900</v>
      </c>
      <c r="L3839" t="str">
        <f>IF(ClientiBanca[[#This Row],[Reddito annuo]]&gt;=70000,"si","no")</f>
        <v>no</v>
      </c>
    </row>
    <row r="3840" spans="1:12">
      <c r="A3840">
        <v>103839</v>
      </c>
      <c r="B3840">
        <v>54</v>
      </c>
      <c r="C3840" s="2">
        <v>104500</v>
      </c>
      <c r="D3840" t="s">
        <v>12</v>
      </c>
      <c r="E3840" s="2">
        <v>50300</v>
      </c>
      <c r="F3840" s="2">
        <v>0</v>
      </c>
      <c r="G3840" t="s">
        <v>27</v>
      </c>
      <c r="H3840" t="s">
        <v>20</v>
      </c>
      <c r="I3840" t="s">
        <v>18</v>
      </c>
      <c r="J3840" s="3">
        <v>45809</v>
      </c>
      <c r="K3840" s="4">
        <f>ClientiBanca[[#This Row],[Prestito]]+ClientiBanca[[#This Row],[Mutuo]]</f>
        <v>50300</v>
      </c>
      <c r="L3840" t="str">
        <f>IF(ClientiBanca[[#This Row],[Reddito annuo]]&gt;=70000,"si","no")</f>
        <v>si</v>
      </c>
    </row>
    <row r="3841" spans="1:12">
      <c r="A3841">
        <v>103840</v>
      </c>
      <c r="B3841">
        <v>29</v>
      </c>
      <c r="C3841" s="2">
        <v>47600</v>
      </c>
      <c r="D3841" t="s">
        <v>21</v>
      </c>
      <c r="E3841" s="2">
        <v>0</v>
      </c>
      <c r="F3841" s="2">
        <v>0</v>
      </c>
      <c r="G3841" t="s">
        <v>26</v>
      </c>
      <c r="H3841" t="s">
        <v>17</v>
      </c>
      <c r="I3841" t="s">
        <v>18</v>
      </c>
      <c r="J3841" s="3">
        <v>45519</v>
      </c>
      <c r="K3841" s="4">
        <f>ClientiBanca[[#This Row],[Prestito]]+ClientiBanca[[#This Row],[Mutuo]]</f>
        <v>0</v>
      </c>
      <c r="L3841" t="str">
        <f>IF(ClientiBanca[[#This Row],[Reddito annuo]]&gt;=70000,"si","no")</f>
        <v>no</v>
      </c>
    </row>
    <row r="3842" spans="1:12">
      <c r="A3842">
        <v>103841</v>
      </c>
      <c r="B3842">
        <v>47</v>
      </c>
      <c r="C3842" s="2">
        <v>103600</v>
      </c>
      <c r="D3842" t="s">
        <v>12</v>
      </c>
      <c r="E3842" s="2">
        <v>37500</v>
      </c>
      <c r="F3842" s="2">
        <v>0</v>
      </c>
      <c r="G3842" t="s">
        <v>16</v>
      </c>
      <c r="H3842" t="s">
        <v>17</v>
      </c>
      <c r="I3842" t="s">
        <v>18</v>
      </c>
      <c r="J3842" s="3">
        <v>46053</v>
      </c>
      <c r="K3842" s="4">
        <f>ClientiBanca[[#This Row],[Prestito]]+ClientiBanca[[#This Row],[Mutuo]]</f>
        <v>37500</v>
      </c>
      <c r="L3842" t="str">
        <f>IF(ClientiBanca[[#This Row],[Reddito annuo]]&gt;=70000,"si","no")</f>
        <v>si</v>
      </c>
    </row>
    <row r="3843" spans="1:12">
      <c r="A3843">
        <v>103842</v>
      </c>
      <c r="B3843">
        <v>42</v>
      </c>
      <c r="C3843" s="2">
        <v>99500</v>
      </c>
      <c r="D3843" t="s">
        <v>21</v>
      </c>
      <c r="E3843" s="2">
        <v>38400</v>
      </c>
      <c r="F3843" s="2">
        <v>0</v>
      </c>
      <c r="G3843" t="s">
        <v>16</v>
      </c>
      <c r="H3843" t="s">
        <v>20</v>
      </c>
      <c r="I3843" t="s">
        <v>18</v>
      </c>
      <c r="J3843" s="3">
        <v>45480</v>
      </c>
      <c r="K3843" s="4">
        <f>ClientiBanca[[#This Row],[Prestito]]+ClientiBanca[[#This Row],[Mutuo]]</f>
        <v>38400</v>
      </c>
      <c r="L3843" t="str">
        <f>IF(ClientiBanca[[#This Row],[Reddito annuo]]&gt;=70000,"si","no")</f>
        <v>si</v>
      </c>
    </row>
    <row r="3844" spans="1:12">
      <c r="A3844">
        <v>103843</v>
      </c>
      <c r="B3844">
        <v>44</v>
      </c>
      <c r="C3844" s="2">
        <v>51800</v>
      </c>
      <c r="D3844" t="s">
        <v>12</v>
      </c>
      <c r="E3844" s="2">
        <v>55000</v>
      </c>
      <c r="F3844" s="2">
        <v>0</v>
      </c>
      <c r="G3844" t="s">
        <v>19</v>
      </c>
      <c r="H3844" t="s">
        <v>17</v>
      </c>
      <c r="I3844" t="s">
        <v>18</v>
      </c>
      <c r="J3844" s="3">
        <v>45791</v>
      </c>
      <c r="K3844" s="4">
        <f>ClientiBanca[[#This Row],[Prestito]]+ClientiBanca[[#This Row],[Mutuo]]</f>
        <v>55000</v>
      </c>
      <c r="L3844" t="str">
        <f>IF(ClientiBanca[[#This Row],[Reddito annuo]]&gt;=70000,"si","no")</f>
        <v>no</v>
      </c>
    </row>
    <row r="3845" spans="1:12">
      <c r="A3845">
        <v>103844</v>
      </c>
      <c r="B3845">
        <v>35</v>
      </c>
      <c r="C3845" s="2">
        <v>69800</v>
      </c>
      <c r="D3845" t="s">
        <v>21</v>
      </c>
      <c r="E3845" s="2">
        <v>0</v>
      </c>
      <c r="F3845" s="2">
        <v>0</v>
      </c>
      <c r="G3845" t="s">
        <v>24</v>
      </c>
      <c r="H3845" t="s">
        <v>17</v>
      </c>
      <c r="I3845" t="s">
        <v>18</v>
      </c>
      <c r="J3845" s="3">
        <v>45348</v>
      </c>
      <c r="K3845" s="4">
        <f>ClientiBanca[[#This Row],[Prestito]]+ClientiBanca[[#This Row],[Mutuo]]</f>
        <v>0</v>
      </c>
      <c r="L3845" t="str">
        <f>IF(ClientiBanca[[#This Row],[Reddito annuo]]&gt;=70000,"si","no")</f>
        <v>no</v>
      </c>
    </row>
    <row r="3846" spans="1:12">
      <c r="A3846">
        <v>103845</v>
      </c>
      <c r="B3846">
        <v>66</v>
      </c>
      <c r="C3846" s="2">
        <v>74000</v>
      </c>
      <c r="D3846" t="s">
        <v>21</v>
      </c>
      <c r="E3846" s="2">
        <v>44400</v>
      </c>
      <c r="F3846" s="2">
        <v>0</v>
      </c>
      <c r="G3846" t="s">
        <v>26</v>
      </c>
      <c r="H3846" t="s">
        <v>14</v>
      </c>
      <c r="I3846" t="s">
        <v>18</v>
      </c>
      <c r="J3846" s="3">
        <v>45718</v>
      </c>
      <c r="K3846" s="4">
        <f>ClientiBanca[[#This Row],[Prestito]]+ClientiBanca[[#This Row],[Mutuo]]</f>
        <v>44400</v>
      </c>
      <c r="L3846" t="str">
        <f>IF(ClientiBanca[[#This Row],[Reddito annuo]]&gt;=70000,"si","no")</f>
        <v>si</v>
      </c>
    </row>
    <row r="3847" spans="1:12">
      <c r="A3847">
        <v>103846</v>
      </c>
      <c r="B3847">
        <v>45</v>
      </c>
      <c r="C3847" s="2">
        <v>34800</v>
      </c>
      <c r="D3847" t="s">
        <v>21</v>
      </c>
      <c r="E3847" s="2">
        <v>0</v>
      </c>
      <c r="F3847" s="2">
        <v>0</v>
      </c>
      <c r="G3847" t="s">
        <v>16</v>
      </c>
      <c r="H3847" t="s">
        <v>20</v>
      </c>
      <c r="I3847" t="s">
        <v>18</v>
      </c>
      <c r="J3847" s="3">
        <v>45341</v>
      </c>
      <c r="K3847" s="4">
        <f>ClientiBanca[[#This Row],[Prestito]]+ClientiBanca[[#This Row],[Mutuo]]</f>
        <v>0</v>
      </c>
      <c r="L3847" t="str">
        <f>IF(ClientiBanca[[#This Row],[Reddito annuo]]&gt;=70000,"si","no")</f>
        <v>no</v>
      </c>
    </row>
    <row r="3848" spans="1:12">
      <c r="A3848">
        <v>103847</v>
      </c>
      <c r="B3848">
        <v>44</v>
      </c>
      <c r="C3848" s="2">
        <v>94200</v>
      </c>
      <c r="D3848" t="s">
        <v>21</v>
      </c>
      <c r="E3848" s="2">
        <v>36500</v>
      </c>
      <c r="F3848" s="2">
        <v>0</v>
      </c>
      <c r="G3848" t="s">
        <v>28</v>
      </c>
      <c r="H3848" t="s">
        <v>14</v>
      </c>
      <c r="I3848" t="s">
        <v>18</v>
      </c>
      <c r="J3848" s="3">
        <v>45465</v>
      </c>
      <c r="K3848" s="4">
        <f>ClientiBanca[[#This Row],[Prestito]]+ClientiBanca[[#This Row],[Mutuo]]</f>
        <v>36500</v>
      </c>
      <c r="L3848" t="str">
        <f>IF(ClientiBanca[[#This Row],[Reddito annuo]]&gt;=70000,"si","no")</f>
        <v>si</v>
      </c>
    </row>
    <row r="3849" spans="1:12">
      <c r="A3849">
        <v>103848</v>
      </c>
      <c r="B3849">
        <v>37</v>
      </c>
      <c r="C3849" s="2">
        <v>113300</v>
      </c>
      <c r="D3849" t="s">
        <v>12</v>
      </c>
      <c r="E3849" s="2">
        <v>0</v>
      </c>
      <c r="F3849" s="2">
        <v>0</v>
      </c>
      <c r="G3849" t="s">
        <v>23</v>
      </c>
      <c r="H3849" t="s">
        <v>17</v>
      </c>
      <c r="I3849" t="s">
        <v>18</v>
      </c>
      <c r="J3849" s="3">
        <v>46107</v>
      </c>
      <c r="K3849" s="4">
        <f>ClientiBanca[[#This Row],[Prestito]]+ClientiBanca[[#This Row],[Mutuo]]</f>
        <v>0</v>
      </c>
      <c r="L3849" t="str">
        <f>IF(ClientiBanca[[#This Row],[Reddito annuo]]&gt;=70000,"si","no")</f>
        <v>si</v>
      </c>
    </row>
    <row r="3850" spans="1:12">
      <c r="A3850">
        <v>103849</v>
      </c>
      <c r="B3850">
        <v>68</v>
      </c>
      <c r="C3850" s="2">
        <v>71300</v>
      </c>
      <c r="D3850" t="s">
        <v>22</v>
      </c>
      <c r="E3850" s="2">
        <v>34900</v>
      </c>
      <c r="F3850" s="2">
        <v>0</v>
      </c>
      <c r="G3850" t="s">
        <v>19</v>
      </c>
      <c r="H3850" t="s">
        <v>17</v>
      </c>
      <c r="I3850" t="s">
        <v>18</v>
      </c>
      <c r="J3850" s="3">
        <v>45975</v>
      </c>
      <c r="K3850" s="4">
        <f>ClientiBanca[[#This Row],[Prestito]]+ClientiBanca[[#This Row],[Mutuo]]</f>
        <v>34900</v>
      </c>
      <c r="L3850" t="str">
        <f>IF(ClientiBanca[[#This Row],[Reddito annuo]]&gt;=70000,"si","no")</f>
        <v>si</v>
      </c>
    </row>
    <row r="3851" spans="1:12">
      <c r="A3851">
        <v>103850</v>
      </c>
      <c r="B3851">
        <v>39</v>
      </c>
      <c r="C3851" s="2">
        <v>45400</v>
      </c>
      <c r="D3851" t="s">
        <v>22</v>
      </c>
      <c r="E3851" s="2">
        <v>0</v>
      </c>
      <c r="F3851" s="2">
        <v>244000</v>
      </c>
      <c r="G3851" t="s">
        <v>13</v>
      </c>
      <c r="H3851" t="s">
        <v>17</v>
      </c>
      <c r="I3851" t="s">
        <v>18</v>
      </c>
      <c r="J3851" s="3">
        <v>45849</v>
      </c>
      <c r="K3851" s="4">
        <f>ClientiBanca[[#This Row],[Prestito]]+ClientiBanca[[#This Row],[Mutuo]]</f>
        <v>244000</v>
      </c>
      <c r="L3851" t="str">
        <f>IF(ClientiBanca[[#This Row],[Reddito annuo]]&gt;=70000,"si","no")</f>
        <v>no</v>
      </c>
    </row>
    <row r="3852" spans="1:12">
      <c r="A3852">
        <v>103851</v>
      </c>
      <c r="B3852">
        <v>21</v>
      </c>
      <c r="C3852" s="2">
        <v>36100</v>
      </c>
      <c r="D3852" t="s">
        <v>12</v>
      </c>
      <c r="E3852" s="2">
        <v>32000</v>
      </c>
      <c r="F3852" s="2">
        <v>0</v>
      </c>
      <c r="G3852" t="s">
        <v>24</v>
      </c>
      <c r="H3852" t="s">
        <v>14</v>
      </c>
      <c r="I3852" t="s">
        <v>18</v>
      </c>
      <c r="J3852" s="3">
        <v>45500</v>
      </c>
      <c r="K3852" s="4">
        <f>ClientiBanca[[#This Row],[Prestito]]+ClientiBanca[[#This Row],[Mutuo]]</f>
        <v>32000</v>
      </c>
      <c r="L3852" t="str">
        <f>IF(ClientiBanca[[#This Row],[Reddito annuo]]&gt;=70000,"si","no")</f>
        <v>no</v>
      </c>
    </row>
    <row r="3853" spans="1:12">
      <c r="A3853">
        <v>103852</v>
      </c>
      <c r="B3853">
        <v>51</v>
      </c>
      <c r="C3853" s="2">
        <v>111600</v>
      </c>
      <c r="D3853" t="s">
        <v>12</v>
      </c>
      <c r="E3853" s="2">
        <v>0</v>
      </c>
      <c r="F3853" s="2">
        <v>0</v>
      </c>
      <c r="G3853" t="s">
        <v>27</v>
      </c>
      <c r="H3853" t="s">
        <v>20</v>
      </c>
      <c r="I3853" t="s">
        <v>18</v>
      </c>
      <c r="J3853" s="3">
        <v>45981</v>
      </c>
      <c r="K3853" s="4">
        <f>ClientiBanca[[#This Row],[Prestito]]+ClientiBanca[[#This Row],[Mutuo]]</f>
        <v>0</v>
      </c>
      <c r="L3853" t="str">
        <f>IF(ClientiBanca[[#This Row],[Reddito annuo]]&gt;=70000,"si","no")</f>
        <v>si</v>
      </c>
    </row>
    <row r="3854" spans="1:12">
      <c r="A3854">
        <v>103853</v>
      </c>
      <c r="B3854">
        <v>30</v>
      </c>
      <c r="C3854" s="2">
        <v>38700</v>
      </c>
      <c r="D3854" t="s">
        <v>12</v>
      </c>
      <c r="E3854" s="2">
        <v>19500</v>
      </c>
      <c r="F3854" s="2">
        <v>0</v>
      </c>
      <c r="G3854" t="s">
        <v>19</v>
      </c>
      <c r="H3854" t="s">
        <v>17</v>
      </c>
      <c r="I3854" t="s">
        <v>15</v>
      </c>
      <c r="J3854" s="3">
        <v>45448</v>
      </c>
      <c r="K3854" s="4">
        <f>ClientiBanca[[#This Row],[Prestito]]+ClientiBanca[[#This Row],[Mutuo]]</f>
        <v>19500</v>
      </c>
      <c r="L3854" t="str">
        <f>IF(ClientiBanca[[#This Row],[Reddito annuo]]&gt;=70000,"si","no")</f>
        <v>no</v>
      </c>
    </row>
    <row r="3855" spans="1:12">
      <c r="A3855">
        <v>103854</v>
      </c>
      <c r="B3855">
        <v>35</v>
      </c>
      <c r="C3855" s="2">
        <v>65700</v>
      </c>
      <c r="D3855" t="s">
        <v>21</v>
      </c>
      <c r="E3855" s="2">
        <v>68700</v>
      </c>
      <c r="F3855" s="2">
        <v>295000</v>
      </c>
      <c r="G3855" t="s">
        <v>23</v>
      </c>
      <c r="H3855" t="s">
        <v>17</v>
      </c>
      <c r="I3855" t="s">
        <v>18</v>
      </c>
      <c r="J3855" s="3">
        <v>45296</v>
      </c>
      <c r="K3855" s="4">
        <f>ClientiBanca[[#This Row],[Prestito]]+ClientiBanca[[#This Row],[Mutuo]]</f>
        <v>363700</v>
      </c>
      <c r="L3855" t="str">
        <f>IF(ClientiBanca[[#This Row],[Reddito annuo]]&gt;=70000,"si","no")</f>
        <v>no</v>
      </c>
    </row>
    <row r="3856" spans="1:12">
      <c r="A3856">
        <v>103855</v>
      </c>
      <c r="B3856">
        <v>57</v>
      </c>
      <c r="C3856" s="2">
        <v>63600</v>
      </c>
      <c r="D3856" t="s">
        <v>21</v>
      </c>
      <c r="E3856" s="2">
        <v>18100</v>
      </c>
      <c r="F3856" s="2">
        <v>229000</v>
      </c>
      <c r="G3856" t="s">
        <v>16</v>
      </c>
      <c r="H3856" t="s">
        <v>17</v>
      </c>
      <c r="I3856" t="s">
        <v>15</v>
      </c>
      <c r="J3856" s="3">
        <v>45407</v>
      </c>
      <c r="K3856" s="4">
        <f>ClientiBanca[[#This Row],[Prestito]]+ClientiBanca[[#This Row],[Mutuo]]</f>
        <v>247100</v>
      </c>
      <c r="L3856" t="str">
        <f>IF(ClientiBanca[[#This Row],[Reddito annuo]]&gt;=70000,"si","no")</f>
        <v>no</v>
      </c>
    </row>
    <row r="3857" spans="1:12">
      <c r="A3857">
        <v>103856</v>
      </c>
      <c r="B3857">
        <v>31</v>
      </c>
      <c r="C3857" s="2">
        <v>69000</v>
      </c>
      <c r="D3857" t="s">
        <v>12</v>
      </c>
      <c r="E3857" s="2">
        <v>0</v>
      </c>
      <c r="F3857" s="2">
        <v>0</v>
      </c>
      <c r="G3857" t="s">
        <v>13</v>
      </c>
      <c r="H3857" t="s">
        <v>17</v>
      </c>
      <c r="I3857" t="s">
        <v>18</v>
      </c>
      <c r="J3857" s="3">
        <v>45759</v>
      </c>
      <c r="K3857" s="4">
        <f>ClientiBanca[[#This Row],[Prestito]]+ClientiBanca[[#This Row],[Mutuo]]</f>
        <v>0</v>
      </c>
      <c r="L3857" t="str">
        <f>IF(ClientiBanca[[#This Row],[Reddito annuo]]&gt;=70000,"si","no")</f>
        <v>no</v>
      </c>
    </row>
    <row r="3858" spans="1:12">
      <c r="A3858">
        <v>103857</v>
      </c>
      <c r="B3858">
        <v>51</v>
      </c>
      <c r="C3858" s="2">
        <v>70100</v>
      </c>
      <c r="D3858" t="s">
        <v>21</v>
      </c>
      <c r="E3858" s="2">
        <v>45600</v>
      </c>
      <c r="F3858" s="2">
        <v>75000</v>
      </c>
      <c r="G3858" t="s">
        <v>13</v>
      </c>
      <c r="H3858" t="s">
        <v>17</v>
      </c>
      <c r="I3858" t="s">
        <v>18</v>
      </c>
      <c r="J3858" s="3">
        <v>46061</v>
      </c>
      <c r="K3858" s="4">
        <f>ClientiBanca[[#This Row],[Prestito]]+ClientiBanca[[#This Row],[Mutuo]]</f>
        <v>120600</v>
      </c>
      <c r="L3858" t="str">
        <f>IF(ClientiBanca[[#This Row],[Reddito annuo]]&gt;=70000,"si","no")</f>
        <v>si</v>
      </c>
    </row>
    <row r="3859" spans="1:12">
      <c r="A3859">
        <v>103858</v>
      </c>
      <c r="B3859">
        <v>67</v>
      </c>
      <c r="C3859" s="2">
        <v>32600</v>
      </c>
      <c r="D3859" t="s">
        <v>21</v>
      </c>
      <c r="E3859" s="2">
        <v>0</v>
      </c>
      <c r="F3859" s="2">
        <v>0</v>
      </c>
      <c r="G3859" t="s">
        <v>23</v>
      </c>
      <c r="H3859" t="s">
        <v>14</v>
      </c>
      <c r="I3859" t="s">
        <v>18</v>
      </c>
      <c r="J3859" s="3">
        <v>45470</v>
      </c>
      <c r="K3859" s="4">
        <f>ClientiBanca[[#This Row],[Prestito]]+ClientiBanca[[#This Row],[Mutuo]]</f>
        <v>0</v>
      </c>
      <c r="L3859" t="str">
        <f>IF(ClientiBanca[[#This Row],[Reddito annuo]]&gt;=70000,"si","no")</f>
        <v>no</v>
      </c>
    </row>
    <row r="3860" spans="1:12">
      <c r="A3860">
        <v>103859</v>
      </c>
      <c r="B3860">
        <v>38</v>
      </c>
      <c r="C3860" s="2">
        <v>91500</v>
      </c>
      <c r="D3860" t="s">
        <v>12</v>
      </c>
      <c r="E3860" s="2">
        <v>19600</v>
      </c>
      <c r="F3860" s="2">
        <v>0</v>
      </c>
      <c r="G3860" t="s">
        <v>28</v>
      </c>
      <c r="H3860" t="s">
        <v>20</v>
      </c>
      <c r="I3860" t="s">
        <v>18</v>
      </c>
      <c r="J3860" s="3">
        <v>45612</v>
      </c>
      <c r="K3860" s="4">
        <f>ClientiBanca[[#This Row],[Prestito]]+ClientiBanca[[#This Row],[Mutuo]]</f>
        <v>19600</v>
      </c>
      <c r="L3860" t="str">
        <f>IF(ClientiBanca[[#This Row],[Reddito annuo]]&gt;=70000,"si","no")</f>
        <v>si</v>
      </c>
    </row>
    <row r="3861" spans="1:12">
      <c r="A3861">
        <v>103860</v>
      </c>
      <c r="B3861">
        <v>38</v>
      </c>
      <c r="C3861" s="2">
        <v>77400</v>
      </c>
      <c r="D3861" t="s">
        <v>21</v>
      </c>
      <c r="E3861" s="2">
        <v>14600</v>
      </c>
      <c r="F3861" s="2">
        <v>0</v>
      </c>
      <c r="G3861" t="s">
        <v>27</v>
      </c>
      <c r="H3861" t="s">
        <v>14</v>
      </c>
      <c r="I3861" t="s">
        <v>18</v>
      </c>
      <c r="J3861" s="3">
        <v>45755</v>
      </c>
      <c r="K3861" s="4">
        <f>ClientiBanca[[#This Row],[Prestito]]+ClientiBanca[[#This Row],[Mutuo]]</f>
        <v>14600</v>
      </c>
      <c r="L3861" t="str">
        <f>IF(ClientiBanca[[#This Row],[Reddito annuo]]&gt;=70000,"si","no")</f>
        <v>si</v>
      </c>
    </row>
    <row r="3862" spans="1:12">
      <c r="A3862">
        <v>103861</v>
      </c>
      <c r="B3862">
        <v>20</v>
      </c>
      <c r="C3862" s="2">
        <v>36900</v>
      </c>
      <c r="D3862" t="s">
        <v>21</v>
      </c>
      <c r="E3862" s="2">
        <v>0</v>
      </c>
      <c r="F3862" s="2">
        <v>0</v>
      </c>
      <c r="G3862" t="s">
        <v>26</v>
      </c>
      <c r="H3862" t="s">
        <v>20</v>
      </c>
      <c r="I3862" t="s">
        <v>18</v>
      </c>
      <c r="J3862" s="3">
        <v>45930</v>
      </c>
      <c r="K3862" s="4">
        <f>ClientiBanca[[#This Row],[Prestito]]+ClientiBanca[[#This Row],[Mutuo]]</f>
        <v>0</v>
      </c>
      <c r="L3862" t="str">
        <f>IF(ClientiBanca[[#This Row],[Reddito annuo]]&gt;=70000,"si","no")</f>
        <v>no</v>
      </c>
    </row>
    <row r="3863" spans="1:12">
      <c r="A3863">
        <v>103862</v>
      </c>
      <c r="B3863">
        <v>35</v>
      </c>
      <c r="C3863" s="2">
        <v>71800</v>
      </c>
      <c r="D3863" t="s">
        <v>12</v>
      </c>
      <c r="E3863" s="2">
        <v>60300</v>
      </c>
      <c r="F3863" s="2">
        <v>0</v>
      </c>
      <c r="G3863" t="s">
        <v>23</v>
      </c>
      <c r="H3863" t="s">
        <v>20</v>
      </c>
      <c r="I3863" t="s">
        <v>18</v>
      </c>
      <c r="J3863" s="3">
        <v>45948</v>
      </c>
      <c r="K3863" s="4">
        <f>ClientiBanca[[#This Row],[Prestito]]+ClientiBanca[[#This Row],[Mutuo]]</f>
        <v>60300</v>
      </c>
      <c r="L3863" t="str">
        <f>IF(ClientiBanca[[#This Row],[Reddito annuo]]&gt;=70000,"si","no")</f>
        <v>si</v>
      </c>
    </row>
    <row r="3864" spans="1:12">
      <c r="A3864">
        <v>103863</v>
      </c>
      <c r="B3864">
        <v>27</v>
      </c>
      <c r="C3864" s="2">
        <v>39900</v>
      </c>
      <c r="D3864" t="s">
        <v>21</v>
      </c>
      <c r="E3864" s="2">
        <v>44000</v>
      </c>
      <c r="F3864" s="2">
        <v>183000</v>
      </c>
      <c r="G3864" t="s">
        <v>23</v>
      </c>
      <c r="H3864" t="s">
        <v>17</v>
      </c>
      <c r="I3864" t="s">
        <v>18</v>
      </c>
      <c r="J3864" s="3">
        <v>45851</v>
      </c>
      <c r="K3864" s="4">
        <f>ClientiBanca[[#This Row],[Prestito]]+ClientiBanca[[#This Row],[Mutuo]]</f>
        <v>227000</v>
      </c>
      <c r="L3864" t="str">
        <f>IF(ClientiBanca[[#This Row],[Reddito annuo]]&gt;=70000,"si","no")</f>
        <v>no</v>
      </c>
    </row>
    <row r="3865" spans="1:12">
      <c r="A3865">
        <v>103864</v>
      </c>
      <c r="B3865">
        <v>34</v>
      </c>
      <c r="C3865" s="2">
        <v>37300</v>
      </c>
      <c r="D3865" t="s">
        <v>12</v>
      </c>
      <c r="E3865" s="2">
        <v>46600</v>
      </c>
      <c r="F3865" s="2">
        <v>0</v>
      </c>
      <c r="G3865" t="s">
        <v>19</v>
      </c>
      <c r="H3865" t="s">
        <v>20</v>
      </c>
      <c r="I3865" t="s">
        <v>18</v>
      </c>
      <c r="J3865" s="3">
        <v>46197</v>
      </c>
      <c r="K3865" s="4">
        <f>ClientiBanca[[#This Row],[Prestito]]+ClientiBanca[[#This Row],[Mutuo]]</f>
        <v>46600</v>
      </c>
      <c r="L3865" t="str">
        <f>IF(ClientiBanca[[#This Row],[Reddito annuo]]&gt;=70000,"si","no")</f>
        <v>no</v>
      </c>
    </row>
    <row r="3866" spans="1:12">
      <c r="A3866">
        <v>103865</v>
      </c>
      <c r="B3866">
        <v>30</v>
      </c>
      <c r="C3866" s="2">
        <v>33400</v>
      </c>
      <c r="D3866" t="s">
        <v>21</v>
      </c>
      <c r="E3866" s="2">
        <v>37400</v>
      </c>
      <c r="F3866" s="2">
        <v>0</v>
      </c>
      <c r="G3866" t="s">
        <v>24</v>
      </c>
      <c r="H3866" t="s">
        <v>17</v>
      </c>
      <c r="I3866" t="s">
        <v>18</v>
      </c>
      <c r="J3866" s="3">
        <v>45512</v>
      </c>
      <c r="K3866" s="4">
        <f>ClientiBanca[[#This Row],[Prestito]]+ClientiBanca[[#This Row],[Mutuo]]</f>
        <v>37400</v>
      </c>
      <c r="L3866" t="str">
        <f>IF(ClientiBanca[[#This Row],[Reddito annuo]]&gt;=70000,"si","no")</f>
        <v>no</v>
      </c>
    </row>
    <row r="3867" spans="1:12">
      <c r="A3867">
        <v>103866</v>
      </c>
      <c r="B3867">
        <v>30</v>
      </c>
      <c r="C3867" s="2">
        <v>97200</v>
      </c>
      <c r="D3867" t="s">
        <v>21</v>
      </c>
      <c r="E3867" s="2">
        <v>50100</v>
      </c>
      <c r="F3867" s="2">
        <v>197000</v>
      </c>
      <c r="G3867" t="s">
        <v>13</v>
      </c>
      <c r="H3867" t="s">
        <v>20</v>
      </c>
      <c r="I3867" t="s">
        <v>18</v>
      </c>
      <c r="J3867" s="3">
        <v>46237</v>
      </c>
      <c r="K3867" s="4">
        <f>ClientiBanca[[#This Row],[Prestito]]+ClientiBanca[[#This Row],[Mutuo]]</f>
        <v>247100</v>
      </c>
      <c r="L3867" t="str">
        <f>IF(ClientiBanca[[#This Row],[Reddito annuo]]&gt;=70000,"si","no")</f>
        <v>si</v>
      </c>
    </row>
    <row r="3868" spans="1:12">
      <c r="A3868">
        <v>103867</v>
      </c>
      <c r="B3868">
        <v>49</v>
      </c>
      <c r="C3868" s="2">
        <v>85000</v>
      </c>
      <c r="D3868" t="s">
        <v>12</v>
      </c>
      <c r="E3868" s="2">
        <v>15800</v>
      </c>
      <c r="F3868" s="2">
        <v>0</v>
      </c>
      <c r="G3868" t="s">
        <v>24</v>
      </c>
      <c r="H3868" t="s">
        <v>20</v>
      </c>
      <c r="I3868" t="s">
        <v>18</v>
      </c>
      <c r="J3868" s="3">
        <v>45811</v>
      </c>
      <c r="K3868" s="4">
        <f>ClientiBanca[[#This Row],[Prestito]]+ClientiBanca[[#This Row],[Mutuo]]</f>
        <v>15800</v>
      </c>
      <c r="L3868" t="str">
        <f>IF(ClientiBanca[[#This Row],[Reddito annuo]]&gt;=70000,"si","no")</f>
        <v>si</v>
      </c>
    </row>
    <row r="3869" spans="1:12">
      <c r="A3869">
        <v>103868</v>
      </c>
      <c r="B3869">
        <v>45</v>
      </c>
      <c r="C3869" s="2">
        <v>94900</v>
      </c>
      <c r="D3869" t="s">
        <v>12</v>
      </c>
      <c r="E3869" s="2">
        <v>20300</v>
      </c>
      <c r="F3869" s="2">
        <v>142000</v>
      </c>
      <c r="G3869" t="s">
        <v>26</v>
      </c>
      <c r="H3869" t="s">
        <v>20</v>
      </c>
      <c r="I3869" t="s">
        <v>18</v>
      </c>
      <c r="J3869" s="3">
        <v>46245</v>
      </c>
      <c r="K3869" s="4">
        <f>ClientiBanca[[#This Row],[Prestito]]+ClientiBanca[[#This Row],[Mutuo]]</f>
        <v>162300</v>
      </c>
      <c r="L3869" t="str">
        <f>IF(ClientiBanca[[#This Row],[Reddito annuo]]&gt;=70000,"si","no")</f>
        <v>si</v>
      </c>
    </row>
    <row r="3870" spans="1:12">
      <c r="A3870">
        <v>103869</v>
      </c>
      <c r="B3870">
        <v>41</v>
      </c>
      <c r="C3870" s="2">
        <v>41700</v>
      </c>
      <c r="D3870" t="s">
        <v>22</v>
      </c>
      <c r="E3870" s="2">
        <v>44500</v>
      </c>
      <c r="F3870" s="2">
        <v>0</v>
      </c>
      <c r="G3870" t="s">
        <v>23</v>
      </c>
      <c r="H3870" t="s">
        <v>20</v>
      </c>
      <c r="I3870" t="s">
        <v>18</v>
      </c>
      <c r="J3870" s="3">
        <v>46090</v>
      </c>
      <c r="K3870" s="4">
        <f>ClientiBanca[[#This Row],[Prestito]]+ClientiBanca[[#This Row],[Mutuo]]</f>
        <v>44500</v>
      </c>
      <c r="L3870" t="str">
        <f>IF(ClientiBanca[[#This Row],[Reddito annuo]]&gt;=70000,"si","no")</f>
        <v>no</v>
      </c>
    </row>
    <row r="3871" spans="1:12">
      <c r="A3871">
        <v>103870</v>
      </c>
      <c r="B3871">
        <v>24</v>
      </c>
      <c r="C3871" s="2">
        <v>30800</v>
      </c>
      <c r="D3871" t="s">
        <v>21</v>
      </c>
      <c r="E3871" s="2">
        <v>38500</v>
      </c>
      <c r="F3871" s="2">
        <v>161000</v>
      </c>
      <c r="G3871" t="s">
        <v>19</v>
      </c>
      <c r="H3871" t="s">
        <v>17</v>
      </c>
      <c r="I3871" t="s">
        <v>18</v>
      </c>
      <c r="J3871" s="3">
        <v>46243</v>
      </c>
      <c r="K3871" s="4">
        <f>ClientiBanca[[#This Row],[Prestito]]+ClientiBanca[[#This Row],[Mutuo]]</f>
        <v>199500</v>
      </c>
      <c r="L3871" t="str">
        <f>IF(ClientiBanca[[#This Row],[Reddito annuo]]&gt;=70000,"si","no")</f>
        <v>no</v>
      </c>
    </row>
    <row r="3872" spans="1:12">
      <c r="A3872">
        <v>103871</v>
      </c>
      <c r="B3872">
        <v>51</v>
      </c>
      <c r="C3872" s="2">
        <v>56100</v>
      </c>
      <c r="D3872" t="s">
        <v>21</v>
      </c>
      <c r="E3872" s="2">
        <v>21100</v>
      </c>
      <c r="F3872" s="2">
        <v>0</v>
      </c>
      <c r="G3872" t="s">
        <v>28</v>
      </c>
      <c r="H3872" t="s">
        <v>20</v>
      </c>
      <c r="I3872" t="s">
        <v>15</v>
      </c>
      <c r="J3872" s="3">
        <v>45962</v>
      </c>
      <c r="K3872" s="4">
        <f>ClientiBanca[[#This Row],[Prestito]]+ClientiBanca[[#This Row],[Mutuo]]</f>
        <v>21100</v>
      </c>
      <c r="L3872" t="str">
        <f>IF(ClientiBanca[[#This Row],[Reddito annuo]]&gt;=70000,"si","no")</f>
        <v>no</v>
      </c>
    </row>
    <row r="3873" spans="1:12">
      <c r="A3873">
        <v>103872</v>
      </c>
      <c r="B3873">
        <v>66</v>
      </c>
      <c r="C3873" s="2">
        <v>42700</v>
      </c>
      <c r="D3873" t="s">
        <v>21</v>
      </c>
      <c r="E3873" s="2">
        <v>22100</v>
      </c>
      <c r="F3873" s="2">
        <v>0</v>
      </c>
      <c r="G3873" t="s">
        <v>27</v>
      </c>
      <c r="H3873" t="s">
        <v>17</v>
      </c>
      <c r="I3873" t="s">
        <v>18</v>
      </c>
      <c r="J3873" s="3">
        <v>45621</v>
      </c>
      <c r="K3873" s="4">
        <f>ClientiBanca[[#This Row],[Prestito]]+ClientiBanca[[#This Row],[Mutuo]]</f>
        <v>22100</v>
      </c>
      <c r="L3873" t="str">
        <f>IF(ClientiBanca[[#This Row],[Reddito annuo]]&gt;=70000,"si","no")</f>
        <v>no</v>
      </c>
    </row>
    <row r="3874" spans="1:12">
      <c r="A3874">
        <v>103873</v>
      </c>
      <c r="B3874">
        <v>40</v>
      </c>
      <c r="C3874" s="2">
        <v>77300</v>
      </c>
      <c r="D3874" t="s">
        <v>21</v>
      </c>
      <c r="E3874" s="2">
        <v>17200</v>
      </c>
      <c r="F3874" s="2">
        <v>240000</v>
      </c>
      <c r="G3874" t="s">
        <v>28</v>
      </c>
      <c r="H3874" t="s">
        <v>20</v>
      </c>
      <c r="I3874" t="s">
        <v>18</v>
      </c>
      <c r="J3874" s="3">
        <v>45853</v>
      </c>
      <c r="K3874" s="4">
        <f>ClientiBanca[[#This Row],[Prestito]]+ClientiBanca[[#This Row],[Mutuo]]</f>
        <v>257200</v>
      </c>
      <c r="L3874" t="str">
        <f>IF(ClientiBanca[[#This Row],[Reddito annuo]]&gt;=70000,"si","no")</f>
        <v>si</v>
      </c>
    </row>
    <row r="3875" spans="1:12">
      <c r="A3875">
        <v>103874</v>
      </c>
      <c r="B3875">
        <v>31</v>
      </c>
      <c r="C3875" s="2">
        <v>64500</v>
      </c>
      <c r="D3875" t="s">
        <v>21</v>
      </c>
      <c r="E3875" s="2">
        <v>65800</v>
      </c>
      <c r="F3875" s="2">
        <v>180000</v>
      </c>
      <c r="G3875" t="s">
        <v>13</v>
      </c>
      <c r="H3875" t="s">
        <v>14</v>
      </c>
      <c r="I3875" t="s">
        <v>15</v>
      </c>
      <c r="J3875" s="3">
        <v>45489</v>
      </c>
      <c r="K3875" s="4">
        <f>ClientiBanca[[#This Row],[Prestito]]+ClientiBanca[[#This Row],[Mutuo]]</f>
        <v>245800</v>
      </c>
      <c r="L3875" t="str">
        <f>IF(ClientiBanca[[#This Row],[Reddito annuo]]&gt;=70000,"si","no")</f>
        <v>no</v>
      </c>
    </row>
    <row r="3876" spans="1:12">
      <c r="A3876">
        <v>103875</v>
      </c>
      <c r="B3876">
        <v>36</v>
      </c>
      <c r="C3876" s="2">
        <v>26600</v>
      </c>
      <c r="D3876" t="s">
        <v>22</v>
      </c>
      <c r="E3876" s="2">
        <v>0</v>
      </c>
      <c r="F3876" s="2">
        <v>0</v>
      </c>
      <c r="G3876" t="s">
        <v>13</v>
      </c>
      <c r="H3876" t="s">
        <v>25</v>
      </c>
      <c r="I3876" t="s">
        <v>18</v>
      </c>
      <c r="J3876" s="3">
        <v>45902</v>
      </c>
      <c r="K3876" s="4">
        <f>ClientiBanca[[#This Row],[Prestito]]+ClientiBanca[[#This Row],[Mutuo]]</f>
        <v>0</v>
      </c>
      <c r="L3876" t="str">
        <f>IF(ClientiBanca[[#This Row],[Reddito annuo]]&gt;=70000,"si","no")</f>
        <v>no</v>
      </c>
    </row>
    <row r="3877" spans="1:12">
      <c r="A3877">
        <v>103876</v>
      </c>
      <c r="B3877">
        <v>22</v>
      </c>
      <c r="C3877" s="2">
        <v>50800</v>
      </c>
      <c r="D3877" t="s">
        <v>21</v>
      </c>
      <c r="E3877" s="2">
        <v>24100</v>
      </c>
      <c r="F3877" s="2">
        <v>201000</v>
      </c>
      <c r="G3877" t="s">
        <v>26</v>
      </c>
      <c r="H3877" t="s">
        <v>14</v>
      </c>
      <c r="I3877" t="s">
        <v>18</v>
      </c>
      <c r="J3877" s="3">
        <v>45371</v>
      </c>
      <c r="K3877" s="4">
        <f>ClientiBanca[[#This Row],[Prestito]]+ClientiBanca[[#This Row],[Mutuo]]</f>
        <v>225100</v>
      </c>
      <c r="L3877" t="str">
        <f>IF(ClientiBanca[[#This Row],[Reddito annuo]]&gt;=70000,"si","no")</f>
        <v>no</v>
      </c>
    </row>
    <row r="3878" spans="1:12">
      <c r="A3878">
        <v>103877</v>
      </c>
      <c r="B3878">
        <v>66</v>
      </c>
      <c r="C3878" s="2">
        <v>33400</v>
      </c>
      <c r="D3878" t="s">
        <v>21</v>
      </c>
      <c r="E3878" s="2">
        <v>36100</v>
      </c>
      <c r="F3878" s="2">
        <v>0</v>
      </c>
      <c r="G3878" t="s">
        <v>28</v>
      </c>
      <c r="H3878" t="s">
        <v>14</v>
      </c>
      <c r="I3878" t="s">
        <v>18</v>
      </c>
      <c r="J3878" s="3">
        <v>45861</v>
      </c>
      <c r="K3878" s="4">
        <f>ClientiBanca[[#This Row],[Prestito]]+ClientiBanca[[#This Row],[Mutuo]]</f>
        <v>36100</v>
      </c>
      <c r="L3878" t="str">
        <f>IF(ClientiBanca[[#This Row],[Reddito annuo]]&gt;=70000,"si","no")</f>
        <v>no</v>
      </c>
    </row>
    <row r="3879" spans="1:12">
      <c r="A3879">
        <v>103878</v>
      </c>
      <c r="B3879">
        <v>45</v>
      </c>
      <c r="C3879" s="2">
        <v>108300</v>
      </c>
      <c r="D3879" t="s">
        <v>12</v>
      </c>
      <c r="E3879" s="2">
        <v>64100</v>
      </c>
      <c r="F3879" s="2">
        <v>0</v>
      </c>
      <c r="G3879" t="s">
        <v>26</v>
      </c>
      <c r="H3879" t="s">
        <v>14</v>
      </c>
      <c r="I3879" t="s">
        <v>18</v>
      </c>
      <c r="J3879" s="3">
        <v>45968</v>
      </c>
      <c r="K3879" s="4">
        <f>ClientiBanca[[#This Row],[Prestito]]+ClientiBanca[[#This Row],[Mutuo]]</f>
        <v>64100</v>
      </c>
      <c r="L3879" t="str">
        <f>IF(ClientiBanca[[#This Row],[Reddito annuo]]&gt;=70000,"si","no")</f>
        <v>si</v>
      </c>
    </row>
    <row r="3880" spans="1:12">
      <c r="A3880">
        <v>103879</v>
      </c>
      <c r="B3880">
        <v>58</v>
      </c>
      <c r="C3880" s="2">
        <v>26200</v>
      </c>
      <c r="D3880" t="s">
        <v>12</v>
      </c>
      <c r="E3880" s="2">
        <v>12600</v>
      </c>
      <c r="F3880" s="2">
        <v>0</v>
      </c>
      <c r="G3880" t="s">
        <v>13</v>
      </c>
      <c r="H3880" t="s">
        <v>14</v>
      </c>
      <c r="I3880" t="s">
        <v>18</v>
      </c>
      <c r="J3880" s="3">
        <v>45394</v>
      </c>
      <c r="K3880" s="4">
        <f>ClientiBanca[[#This Row],[Prestito]]+ClientiBanca[[#This Row],[Mutuo]]</f>
        <v>12600</v>
      </c>
      <c r="L3880" t="str">
        <f>IF(ClientiBanca[[#This Row],[Reddito annuo]]&gt;=70000,"si","no")</f>
        <v>no</v>
      </c>
    </row>
    <row r="3881" spans="1:12">
      <c r="A3881">
        <v>103880</v>
      </c>
      <c r="B3881">
        <v>68</v>
      </c>
      <c r="C3881" s="2">
        <v>107500</v>
      </c>
      <c r="D3881" t="s">
        <v>21</v>
      </c>
      <c r="E3881" s="2">
        <v>0</v>
      </c>
      <c r="F3881" s="2">
        <v>0</v>
      </c>
      <c r="G3881" t="s">
        <v>28</v>
      </c>
      <c r="H3881" t="s">
        <v>17</v>
      </c>
      <c r="I3881" t="s">
        <v>18</v>
      </c>
      <c r="J3881" s="3">
        <v>45703</v>
      </c>
      <c r="K3881" s="4">
        <f>ClientiBanca[[#This Row],[Prestito]]+ClientiBanca[[#This Row],[Mutuo]]</f>
        <v>0</v>
      </c>
      <c r="L3881" t="str">
        <f>IF(ClientiBanca[[#This Row],[Reddito annuo]]&gt;=70000,"si","no")</f>
        <v>si</v>
      </c>
    </row>
    <row r="3882" spans="1:12">
      <c r="A3882">
        <v>103881</v>
      </c>
      <c r="B3882">
        <v>49</v>
      </c>
      <c r="C3882" s="2">
        <v>55600</v>
      </c>
      <c r="D3882" t="s">
        <v>22</v>
      </c>
      <c r="E3882" s="2">
        <v>25300</v>
      </c>
      <c r="F3882" s="2">
        <v>187000</v>
      </c>
      <c r="G3882" t="s">
        <v>27</v>
      </c>
      <c r="H3882" t="s">
        <v>20</v>
      </c>
      <c r="I3882" t="s">
        <v>18</v>
      </c>
      <c r="J3882" s="3">
        <v>45448</v>
      </c>
      <c r="K3882" s="4">
        <f>ClientiBanca[[#This Row],[Prestito]]+ClientiBanca[[#This Row],[Mutuo]]</f>
        <v>212300</v>
      </c>
      <c r="L3882" t="str">
        <f>IF(ClientiBanca[[#This Row],[Reddito annuo]]&gt;=70000,"si","no")</f>
        <v>no</v>
      </c>
    </row>
    <row r="3883" spans="1:12">
      <c r="A3883">
        <v>103882</v>
      </c>
      <c r="B3883">
        <v>70</v>
      </c>
      <c r="C3883" s="2">
        <v>33900</v>
      </c>
      <c r="D3883" t="s">
        <v>21</v>
      </c>
      <c r="E3883" s="2">
        <v>42400</v>
      </c>
      <c r="F3883" s="2">
        <v>0</v>
      </c>
      <c r="G3883" t="s">
        <v>28</v>
      </c>
      <c r="H3883" t="s">
        <v>14</v>
      </c>
      <c r="I3883" t="s">
        <v>15</v>
      </c>
      <c r="J3883" s="3">
        <v>46197</v>
      </c>
      <c r="K3883" s="4">
        <f>ClientiBanca[[#This Row],[Prestito]]+ClientiBanca[[#This Row],[Mutuo]]</f>
        <v>42400</v>
      </c>
      <c r="L3883" t="str">
        <f>IF(ClientiBanca[[#This Row],[Reddito annuo]]&gt;=70000,"si","no")</f>
        <v>no</v>
      </c>
    </row>
    <row r="3884" spans="1:12">
      <c r="A3884">
        <v>103883</v>
      </c>
      <c r="B3884">
        <v>29</v>
      </c>
      <c r="C3884" s="2">
        <v>72600</v>
      </c>
      <c r="D3884" t="s">
        <v>12</v>
      </c>
      <c r="E3884" s="2">
        <v>80300</v>
      </c>
      <c r="F3884" s="2">
        <v>0</v>
      </c>
      <c r="G3884" t="s">
        <v>26</v>
      </c>
      <c r="H3884" t="s">
        <v>17</v>
      </c>
      <c r="I3884" t="s">
        <v>18</v>
      </c>
      <c r="J3884" s="3">
        <v>45742</v>
      </c>
      <c r="K3884" s="4">
        <f>ClientiBanca[[#This Row],[Prestito]]+ClientiBanca[[#This Row],[Mutuo]]</f>
        <v>80300</v>
      </c>
      <c r="L3884" t="str">
        <f>IF(ClientiBanca[[#This Row],[Reddito annuo]]&gt;=70000,"si","no")</f>
        <v>si</v>
      </c>
    </row>
    <row r="3885" spans="1:12">
      <c r="A3885">
        <v>103884</v>
      </c>
      <c r="B3885">
        <v>49</v>
      </c>
      <c r="C3885" s="2">
        <v>71900</v>
      </c>
      <c r="D3885" t="s">
        <v>21</v>
      </c>
      <c r="E3885" s="2">
        <v>16500</v>
      </c>
      <c r="F3885" s="2">
        <v>0</v>
      </c>
      <c r="G3885" t="s">
        <v>19</v>
      </c>
      <c r="H3885" t="s">
        <v>17</v>
      </c>
      <c r="I3885" t="s">
        <v>18</v>
      </c>
      <c r="J3885" s="3">
        <v>45478</v>
      </c>
      <c r="K3885" s="4">
        <f>ClientiBanca[[#This Row],[Prestito]]+ClientiBanca[[#This Row],[Mutuo]]</f>
        <v>16500</v>
      </c>
      <c r="L3885" t="str">
        <f>IF(ClientiBanca[[#This Row],[Reddito annuo]]&gt;=70000,"si","no")</f>
        <v>si</v>
      </c>
    </row>
    <row r="3886" spans="1:12">
      <c r="A3886">
        <v>103885</v>
      </c>
      <c r="B3886">
        <v>54</v>
      </c>
      <c r="C3886" s="2">
        <v>45000</v>
      </c>
      <c r="D3886" t="s">
        <v>12</v>
      </c>
      <c r="E3886" s="2">
        <v>20400</v>
      </c>
      <c r="F3886" s="2">
        <v>0</v>
      </c>
      <c r="G3886" t="s">
        <v>28</v>
      </c>
      <c r="H3886" t="s">
        <v>20</v>
      </c>
      <c r="I3886" t="s">
        <v>18</v>
      </c>
      <c r="J3886" s="3">
        <v>45467</v>
      </c>
      <c r="K3886" s="4">
        <f>ClientiBanca[[#This Row],[Prestito]]+ClientiBanca[[#This Row],[Mutuo]]</f>
        <v>20400</v>
      </c>
      <c r="L3886" t="str">
        <f>IF(ClientiBanca[[#This Row],[Reddito annuo]]&gt;=70000,"si","no")</f>
        <v>no</v>
      </c>
    </row>
    <row r="3887" spans="1:12">
      <c r="A3887">
        <v>103886</v>
      </c>
      <c r="B3887">
        <v>59</v>
      </c>
      <c r="C3887" s="2">
        <v>67800</v>
      </c>
      <c r="D3887" t="s">
        <v>22</v>
      </c>
      <c r="E3887" s="2">
        <v>48200</v>
      </c>
      <c r="F3887" s="2">
        <v>0</v>
      </c>
      <c r="G3887" t="s">
        <v>27</v>
      </c>
      <c r="H3887" t="s">
        <v>20</v>
      </c>
      <c r="I3887" t="s">
        <v>18</v>
      </c>
      <c r="J3887" s="3">
        <v>45322</v>
      </c>
      <c r="K3887" s="4">
        <f>ClientiBanca[[#This Row],[Prestito]]+ClientiBanca[[#This Row],[Mutuo]]</f>
        <v>48200</v>
      </c>
      <c r="L3887" t="str">
        <f>IF(ClientiBanca[[#This Row],[Reddito annuo]]&gt;=70000,"si","no")</f>
        <v>no</v>
      </c>
    </row>
    <row r="3888" spans="1:12">
      <c r="A3888">
        <v>103887</v>
      </c>
      <c r="B3888">
        <v>72</v>
      </c>
      <c r="C3888" s="2">
        <v>68200</v>
      </c>
      <c r="D3888" t="s">
        <v>12</v>
      </c>
      <c r="E3888" s="2">
        <v>29600</v>
      </c>
      <c r="F3888" s="2">
        <v>0</v>
      </c>
      <c r="G3888" t="s">
        <v>26</v>
      </c>
      <c r="H3888" t="s">
        <v>14</v>
      </c>
      <c r="I3888" t="s">
        <v>18</v>
      </c>
      <c r="J3888" s="3">
        <v>45584</v>
      </c>
      <c r="K3888" s="4">
        <f>ClientiBanca[[#This Row],[Prestito]]+ClientiBanca[[#This Row],[Mutuo]]</f>
        <v>29600</v>
      </c>
      <c r="L3888" t="str">
        <f>IF(ClientiBanca[[#This Row],[Reddito annuo]]&gt;=70000,"si","no")</f>
        <v>no</v>
      </c>
    </row>
    <row r="3889" spans="1:12">
      <c r="A3889">
        <v>103888</v>
      </c>
      <c r="B3889">
        <v>37</v>
      </c>
      <c r="C3889" s="2">
        <v>37100</v>
      </c>
      <c r="D3889" t="s">
        <v>21</v>
      </c>
      <c r="E3889" s="2">
        <v>20300</v>
      </c>
      <c r="F3889" s="2">
        <v>0</v>
      </c>
      <c r="G3889" t="s">
        <v>16</v>
      </c>
      <c r="H3889" t="s">
        <v>14</v>
      </c>
      <c r="I3889" t="s">
        <v>18</v>
      </c>
      <c r="J3889" s="3">
        <v>46019</v>
      </c>
      <c r="K3889" s="4">
        <f>ClientiBanca[[#This Row],[Prestito]]+ClientiBanca[[#This Row],[Mutuo]]</f>
        <v>20300</v>
      </c>
      <c r="L3889" t="str">
        <f>IF(ClientiBanca[[#This Row],[Reddito annuo]]&gt;=70000,"si","no")</f>
        <v>no</v>
      </c>
    </row>
    <row r="3890" spans="1:12">
      <c r="A3890">
        <v>103889</v>
      </c>
      <c r="B3890">
        <v>35</v>
      </c>
      <c r="C3890" s="2">
        <v>67400</v>
      </c>
      <c r="D3890" t="s">
        <v>12</v>
      </c>
      <c r="E3890" s="2">
        <v>43700</v>
      </c>
      <c r="F3890" s="2">
        <v>0</v>
      </c>
      <c r="G3890" t="s">
        <v>24</v>
      </c>
      <c r="H3890" t="s">
        <v>17</v>
      </c>
      <c r="I3890" t="s">
        <v>18</v>
      </c>
      <c r="J3890" s="3">
        <v>46179</v>
      </c>
      <c r="K3890" s="4">
        <f>ClientiBanca[[#This Row],[Prestito]]+ClientiBanca[[#This Row],[Mutuo]]</f>
        <v>43700</v>
      </c>
      <c r="L3890" t="str">
        <f>IF(ClientiBanca[[#This Row],[Reddito annuo]]&gt;=70000,"si","no")</f>
        <v>no</v>
      </c>
    </row>
    <row r="3891" spans="1:12">
      <c r="A3891">
        <v>103890</v>
      </c>
      <c r="B3891">
        <v>34</v>
      </c>
      <c r="C3891" s="2">
        <v>89100</v>
      </c>
      <c r="D3891" t="s">
        <v>22</v>
      </c>
      <c r="E3891" s="2">
        <v>0</v>
      </c>
      <c r="F3891" s="2">
        <v>0</v>
      </c>
      <c r="G3891" t="s">
        <v>24</v>
      </c>
      <c r="H3891" t="s">
        <v>20</v>
      </c>
      <c r="I3891" t="s">
        <v>18</v>
      </c>
      <c r="J3891" s="3">
        <v>45398</v>
      </c>
      <c r="K3891" s="4">
        <f>ClientiBanca[[#This Row],[Prestito]]+ClientiBanca[[#This Row],[Mutuo]]</f>
        <v>0</v>
      </c>
      <c r="L3891" t="str">
        <f>IF(ClientiBanca[[#This Row],[Reddito annuo]]&gt;=70000,"si","no")</f>
        <v>si</v>
      </c>
    </row>
    <row r="3892" spans="1:12">
      <c r="A3892">
        <v>103891</v>
      </c>
      <c r="B3892">
        <v>46</v>
      </c>
      <c r="C3892" s="2">
        <v>54700</v>
      </c>
      <c r="D3892" t="s">
        <v>21</v>
      </c>
      <c r="E3892" s="2">
        <v>0</v>
      </c>
      <c r="F3892" s="2">
        <v>253000</v>
      </c>
      <c r="G3892" t="s">
        <v>24</v>
      </c>
      <c r="H3892" t="s">
        <v>20</v>
      </c>
      <c r="I3892" t="s">
        <v>18</v>
      </c>
      <c r="J3892" s="3">
        <v>45699</v>
      </c>
      <c r="K3892" s="4">
        <f>ClientiBanca[[#This Row],[Prestito]]+ClientiBanca[[#This Row],[Mutuo]]</f>
        <v>253000</v>
      </c>
      <c r="L3892" t="str">
        <f>IF(ClientiBanca[[#This Row],[Reddito annuo]]&gt;=70000,"si","no")</f>
        <v>no</v>
      </c>
    </row>
    <row r="3893" spans="1:12">
      <c r="A3893">
        <v>103892</v>
      </c>
      <c r="B3893">
        <v>64</v>
      </c>
      <c r="C3893" s="2">
        <v>41000</v>
      </c>
      <c r="D3893" t="s">
        <v>22</v>
      </c>
      <c r="E3893" s="2">
        <v>0</v>
      </c>
      <c r="F3893" s="2">
        <v>0</v>
      </c>
      <c r="G3893" t="s">
        <v>16</v>
      </c>
      <c r="H3893" t="s">
        <v>17</v>
      </c>
      <c r="I3893" t="s">
        <v>18</v>
      </c>
      <c r="J3893" s="3">
        <v>45467</v>
      </c>
      <c r="K3893" s="4">
        <f>ClientiBanca[[#This Row],[Prestito]]+ClientiBanca[[#This Row],[Mutuo]]</f>
        <v>0</v>
      </c>
      <c r="L3893" t="str">
        <f>IF(ClientiBanca[[#This Row],[Reddito annuo]]&gt;=70000,"si","no")</f>
        <v>no</v>
      </c>
    </row>
    <row r="3894" spans="1:12">
      <c r="A3894">
        <v>103893</v>
      </c>
      <c r="B3894">
        <v>71</v>
      </c>
      <c r="C3894" s="2">
        <v>94000</v>
      </c>
      <c r="D3894" t="s">
        <v>12</v>
      </c>
      <c r="E3894" s="2">
        <v>19600</v>
      </c>
      <c r="F3894" s="2">
        <v>0</v>
      </c>
      <c r="G3894" t="s">
        <v>27</v>
      </c>
      <c r="H3894" t="s">
        <v>20</v>
      </c>
      <c r="I3894" t="s">
        <v>18</v>
      </c>
      <c r="J3894" s="3">
        <v>45663</v>
      </c>
      <c r="K3894" s="4">
        <f>ClientiBanca[[#This Row],[Prestito]]+ClientiBanca[[#This Row],[Mutuo]]</f>
        <v>19600</v>
      </c>
      <c r="L3894" t="str">
        <f>IF(ClientiBanca[[#This Row],[Reddito annuo]]&gt;=70000,"si","no")</f>
        <v>si</v>
      </c>
    </row>
    <row r="3895" spans="1:12">
      <c r="A3895">
        <v>103894</v>
      </c>
      <c r="B3895">
        <v>71</v>
      </c>
      <c r="C3895" s="2">
        <v>77100</v>
      </c>
      <c r="D3895" t="s">
        <v>12</v>
      </c>
      <c r="E3895" s="2">
        <v>0</v>
      </c>
      <c r="F3895" s="2">
        <v>0</v>
      </c>
      <c r="G3895" t="s">
        <v>23</v>
      </c>
      <c r="H3895" t="s">
        <v>20</v>
      </c>
      <c r="I3895" t="s">
        <v>18</v>
      </c>
      <c r="J3895" s="3">
        <v>45589</v>
      </c>
      <c r="K3895" s="4">
        <f>ClientiBanca[[#This Row],[Prestito]]+ClientiBanca[[#This Row],[Mutuo]]</f>
        <v>0</v>
      </c>
      <c r="L3895" t="str">
        <f>IF(ClientiBanca[[#This Row],[Reddito annuo]]&gt;=70000,"si","no")</f>
        <v>si</v>
      </c>
    </row>
    <row r="3896" spans="1:12">
      <c r="A3896">
        <v>103895</v>
      </c>
      <c r="B3896">
        <v>29</v>
      </c>
      <c r="C3896" s="2">
        <v>33000</v>
      </c>
      <c r="D3896" t="s">
        <v>21</v>
      </c>
      <c r="E3896" s="2">
        <v>41200</v>
      </c>
      <c r="F3896" s="2">
        <v>0</v>
      </c>
      <c r="G3896" t="s">
        <v>19</v>
      </c>
      <c r="H3896" t="s">
        <v>17</v>
      </c>
      <c r="I3896" t="s">
        <v>18</v>
      </c>
      <c r="J3896" s="3">
        <v>46075</v>
      </c>
      <c r="K3896" s="4">
        <f>ClientiBanca[[#This Row],[Prestito]]+ClientiBanca[[#This Row],[Mutuo]]</f>
        <v>41200</v>
      </c>
      <c r="L3896" t="str">
        <f>IF(ClientiBanca[[#This Row],[Reddito annuo]]&gt;=70000,"si","no")</f>
        <v>no</v>
      </c>
    </row>
    <row r="3897" spans="1:12">
      <c r="A3897">
        <v>103896</v>
      </c>
      <c r="B3897">
        <v>72</v>
      </c>
      <c r="C3897" s="2">
        <v>32800</v>
      </c>
      <c r="D3897" t="s">
        <v>12</v>
      </c>
      <c r="E3897" s="2">
        <v>17900</v>
      </c>
      <c r="F3897" s="2">
        <v>0</v>
      </c>
      <c r="G3897" t="s">
        <v>26</v>
      </c>
      <c r="H3897" t="s">
        <v>17</v>
      </c>
      <c r="I3897" t="s">
        <v>18</v>
      </c>
      <c r="J3897" s="3">
        <v>46212</v>
      </c>
      <c r="K3897" s="4">
        <f>ClientiBanca[[#This Row],[Prestito]]+ClientiBanca[[#This Row],[Mutuo]]</f>
        <v>17900</v>
      </c>
      <c r="L3897" t="str">
        <f>IF(ClientiBanca[[#This Row],[Reddito annuo]]&gt;=70000,"si","no")</f>
        <v>no</v>
      </c>
    </row>
    <row r="3898" spans="1:12">
      <c r="A3898">
        <v>103897</v>
      </c>
      <c r="B3898">
        <v>43</v>
      </c>
      <c r="C3898" s="2">
        <v>32200</v>
      </c>
      <c r="D3898" t="s">
        <v>12</v>
      </c>
      <c r="E3898" s="2">
        <v>40200</v>
      </c>
      <c r="F3898" s="2">
        <v>0</v>
      </c>
      <c r="G3898" t="s">
        <v>28</v>
      </c>
      <c r="H3898" t="s">
        <v>14</v>
      </c>
      <c r="I3898" t="s">
        <v>18</v>
      </c>
      <c r="J3898" s="3">
        <v>45549</v>
      </c>
      <c r="K3898" s="4">
        <f>ClientiBanca[[#This Row],[Prestito]]+ClientiBanca[[#This Row],[Mutuo]]</f>
        <v>40200</v>
      </c>
      <c r="L3898" t="str">
        <f>IF(ClientiBanca[[#This Row],[Reddito annuo]]&gt;=70000,"si","no")</f>
        <v>no</v>
      </c>
    </row>
    <row r="3899" spans="1:12">
      <c r="A3899">
        <v>103898</v>
      </c>
      <c r="B3899">
        <v>62</v>
      </c>
      <c r="C3899" s="2">
        <v>52300</v>
      </c>
      <c r="D3899" t="s">
        <v>21</v>
      </c>
      <c r="E3899" s="2">
        <v>33800</v>
      </c>
      <c r="F3899" s="2">
        <v>0</v>
      </c>
      <c r="G3899" t="s">
        <v>26</v>
      </c>
      <c r="H3899" t="s">
        <v>17</v>
      </c>
      <c r="I3899" t="s">
        <v>18</v>
      </c>
      <c r="J3899" s="3">
        <v>45511</v>
      </c>
      <c r="K3899" s="4">
        <f>ClientiBanca[[#This Row],[Prestito]]+ClientiBanca[[#This Row],[Mutuo]]</f>
        <v>33800</v>
      </c>
      <c r="L3899" t="str">
        <f>IF(ClientiBanca[[#This Row],[Reddito annuo]]&gt;=70000,"si","no")</f>
        <v>no</v>
      </c>
    </row>
    <row r="3900" spans="1:12">
      <c r="A3900">
        <v>103899</v>
      </c>
      <c r="B3900">
        <v>61</v>
      </c>
      <c r="C3900" s="2">
        <v>99800</v>
      </c>
      <c r="D3900" t="s">
        <v>12</v>
      </c>
      <c r="E3900" s="2">
        <v>0</v>
      </c>
      <c r="F3900" s="2">
        <v>0</v>
      </c>
      <c r="G3900" t="s">
        <v>13</v>
      </c>
      <c r="H3900" t="s">
        <v>20</v>
      </c>
      <c r="I3900" t="s">
        <v>18</v>
      </c>
      <c r="J3900" s="3">
        <v>46166</v>
      </c>
      <c r="K3900" s="4">
        <f>ClientiBanca[[#This Row],[Prestito]]+ClientiBanca[[#This Row],[Mutuo]]</f>
        <v>0</v>
      </c>
      <c r="L3900" t="str">
        <f>IF(ClientiBanca[[#This Row],[Reddito annuo]]&gt;=70000,"si","no")</f>
        <v>si</v>
      </c>
    </row>
    <row r="3901" spans="1:12">
      <c r="A3901">
        <v>103900</v>
      </c>
      <c r="B3901">
        <v>20</v>
      </c>
      <c r="C3901" s="2">
        <v>30800</v>
      </c>
      <c r="D3901" t="s">
        <v>21</v>
      </c>
      <c r="E3901" s="2">
        <v>26700</v>
      </c>
      <c r="F3901" s="2">
        <v>0</v>
      </c>
      <c r="G3901" t="s">
        <v>13</v>
      </c>
      <c r="H3901" t="s">
        <v>14</v>
      </c>
      <c r="I3901" t="s">
        <v>18</v>
      </c>
      <c r="J3901" s="3">
        <v>45576</v>
      </c>
      <c r="K3901" s="4">
        <f>ClientiBanca[[#This Row],[Prestito]]+ClientiBanca[[#This Row],[Mutuo]]</f>
        <v>26700</v>
      </c>
      <c r="L3901" t="str">
        <f>IF(ClientiBanca[[#This Row],[Reddito annuo]]&gt;=70000,"si","no")</f>
        <v>no</v>
      </c>
    </row>
    <row r="3902" spans="1:12">
      <c r="A3902">
        <v>103901</v>
      </c>
      <c r="B3902">
        <v>50</v>
      </c>
      <c r="C3902" s="2">
        <v>96100</v>
      </c>
      <c r="D3902" t="s">
        <v>21</v>
      </c>
      <c r="E3902" s="2">
        <v>20400</v>
      </c>
      <c r="F3902" s="2">
        <v>0</v>
      </c>
      <c r="G3902" t="s">
        <v>28</v>
      </c>
      <c r="H3902" t="s">
        <v>17</v>
      </c>
      <c r="I3902" t="s">
        <v>18</v>
      </c>
      <c r="J3902" s="3">
        <v>45558</v>
      </c>
      <c r="K3902" s="4">
        <f>ClientiBanca[[#This Row],[Prestito]]+ClientiBanca[[#This Row],[Mutuo]]</f>
        <v>20400</v>
      </c>
      <c r="L3902" t="str">
        <f>IF(ClientiBanca[[#This Row],[Reddito annuo]]&gt;=70000,"si","no")</f>
        <v>si</v>
      </c>
    </row>
    <row r="3903" spans="1:12">
      <c r="A3903">
        <v>103902</v>
      </c>
      <c r="B3903">
        <v>40</v>
      </c>
      <c r="C3903" s="2">
        <v>79400</v>
      </c>
      <c r="D3903" t="s">
        <v>22</v>
      </c>
      <c r="E3903" s="2">
        <v>33900</v>
      </c>
      <c r="F3903" s="2">
        <v>188000</v>
      </c>
      <c r="G3903" t="s">
        <v>26</v>
      </c>
      <c r="H3903" t="s">
        <v>14</v>
      </c>
      <c r="I3903" t="s">
        <v>18</v>
      </c>
      <c r="J3903" s="3">
        <v>45781</v>
      </c>
      <c r="K3903" s="4">
        <f>ClientiBanca[[#This Row],[Prestito]]+ClientiBanca[[#This Row],[Mutuo]]</f>
        <v>221900</v>
      </c>
      <c r="L3903" t="str">
        <f>IF(ClientiBanca[[#This Row],[Reddito annuo]]&gt;=70000,"si","no")</f>
        <v>si</v>
      </c>
    </row>
    <row r="3904" spans="1:12">
      <c r="A3904">
        <v>103903</v>
      </c>
      <c r="B3904">
        <v>54</v>
      </c>
      <c r="C3904" s="2">
        <v>70400</v>
      </c>
      <c r="D3904" t="s">
        <v>22</v>
      </c>
      <c r="E3904" s="2">
        <v>17400</v>
      </c>
      <c r="F3904" s="2">
        <v>103000</v>
      </c>
      <c r="G3904" t="s">
        <v>13</v>
      </c>
      <c r="H3904" t="s">
        <v>14</v>
      </c>
      <c r="I3904" t="s">
        <v>18</v>
      </c>
      <c r="J3904" s="3">
        <v>45305</v>
      </c>
      <c r="K3904" s="4">
        <f>ClientiBanca[[#This Row],[Prestito]]+ClientiBanca[[#This Row],[Mutuo]]</f>
        <v>120400</v>
      </c>
      <c r="L3904" t="str">
        <f>IF(ClientiBanca[[#This Row],[Reddito annuo]]&gt;=70000,"si","no")</f>
        <v>si</v>
      </c>
    </row>
    <row r="3905" spans="1:12">
      <c r="A3905">
        <v>103904</v>
      </c>
      <c r="B3905">
        <v>47</v>
      </c>
      <c r="C3905" s="2">
        <v>54400</v>
      </c>
      <c r="D3905" t="s">
        <v>12</v>
      </c>
      <c r="E3905" s="2">
        <v>48300</v>
      </c>
      <c r="F3905" s="2">
        <v>0</v>
      </c>
      <c r="G3905" t="s">
        <v>16</v>
      </c>
      <c r="H3905" t="s">
        <v>20</v>
      </c>
      <c r="I3905" t="s">
        <v>18</v>
      </c>
      <c r="J3905" s="3">
        <v>45608</v>
      </c>
      <c r="K3905" s="4">
        <f>ClientiBanca[[#This Row],[Prestito]]+ClientiBanca[[#This Row],[Mutuo]]</f>
        <v>48300</v>
      </c>
      <c r="L3905" t="str">
        <f>IF(ClientiBanca[[#This Row],[Reddito annuo]]&gt;=70000,"si","no")</f>
        <v>no</v>
      </c>
    </row>
    <row r="3906" spans="1:12">
      <c r="A3906">
        <v>103905</v>
      </c>
      <c r="B3906">
        <v>58</v>
      </c>
      <c r="C3906" s="2">
        <v>34600</v>
      </c>
      <c r="D3906" t="s">
        <v>12</v>
      </c>
      <c r="E3906" s="2">
        <v>0</v>
      </c>
      <c r="F3906" s="2">
        <v>0</v>
      </c>
      <c r="G3906" t="s">
        <v>28</v>
      </c>
      <c r="H3906" t="s">
        <v>14</v>
      </c>
      <c r="I3906" t="s">
        <v>18</v>
      </c>
      <c r="J3906" s="3">
        <v>46008</v>
      </c>
      <c r="K3906" s="4">
        <f>ClientiBanca[[#This Row],[Prestito]]+ClientiBanca[[#This Row],[Mutuo]]</f>
        <v>0</v>
      </c>
      <c r="L3906" t="str">
        <f>IF(ClientiBanca[[#This Row],[Reddito annuo]]&gt;=70000,"si","no")</f>
        <v>no</v>
      </c>
    </row>
    <row r="3907" spans="1:12">
      <c r="A3907">
        <v>103906</v>
      </c>
      <c r="B3907">
        <v>60</v>
      </c>
      <c r="C3907" s="2">
        <v>28000</v>
      </c>
      <c r="D3907" t="s">
        <v>21</v>
      </c>
      <c r="E3907" s="2">
        <v>35000</v>
      </c>
      <c r="F3907" s="2">
        <v>0</v>
      </c>
      <c r="G3907" t="s">
        <v>13</v>
      </c>
      <c r="H3907" t="s">
        <v>17</v>
      </c>
      <c r="I3907" t="s">
        <v>15</v>
      </c>
      <c r="J3907" s="3">
        <v>45402</v>
      </c>
      <c r="K3907" s="4">
        <f>ClientiBanca[[#This Row],[Prestito]]+ClientiBanca[[#This Row],[Mutuo]]</f>
        <v>35000</v>
      </c>
      <c r="L3907" t="str">
        <f>IF(ClientiBanca[[#This Row],[Reddito annuo]]&gt;=70000,"si","no")</f>
        <v>no</v>
      </c>
    </row>
    <row r="3908" spans="1:12">
      <c r="A3908">
        <v>103907</v>
      </c>
      <c r="B3908">
        <v>30</v>
      </c>
      <c r="C3908" s="2">
        <v>48000</v>
      </c>
      <c r="D3908" t="s">
        <v>21</v>
      </c>
      <c r="E3908" s="2">
        <v>0</v>
      </c>
      <c r="F3908" s="2">
        <v>102000</v>
      </c>
      <c r="G3908" t="s">
        <v>26</v>
      </c>
      <c r="H3908" t="s">
        <v>14</v>
      </c>
      <c r="I3908" t="s">
        <v>18</v>
      </c>
      <c r="J3908" s="3">
        <v>45483</v>
      </c>
      <c r="K3908" s="4">
        <f>ClientiBanca[[#This Row],[Prestito]]+ClientiBanca[[#This Row],[Mutuo]]</f>
        <v>102000</v>
      </c>
      <c r="L3908" t="str">
        <f>IF(ClientiBanca[[#This Row],[Reddito annuo]]&gt;=70000,"si","no")</f>
        <v>no</v>
      </c>
    </row>
    <row r="3909" spans="1:12">
      <c r="A3909">
        <v>103908</v>
      </c>
      <c r="B3909">
        <v>50</v>
      </c>
      <c r="C3909" s="2">
        <v>39100</v>
      </c>
      <c r="D3909" t="s">
        <v>22</v>
      </c>
      <c r="E3909" s="2">
        <v>29200</v>
      </c>
      <c r="F3909" s="2">
        <v>0</v>
      </c>
      <c r="G3909" t="s">
        <v>23</v>
      </c>
      <c r="H3909" t="s">
        <v>14</v>
      </c>
      <c r="I3909" t="s">
        <v>18</v>
      </c>
      <c r="J3909" s="3">
        <v>45468</v>
      </c>
      <c r="K3909" s="4">
        <f>ClientiBanca[[#This Row],[Prestito]]+ClientiBanca[[#This Row],[Mutuo]]</f>
        <v>29200</v>
      </c>
      <c r="L3909" t="str">
        <f>IF(ClientiBanca[[#This Row],[Reddito annuo]]&gt;=70000,"si","no")</f>
        <v>no</v>
      </c>
    </row>
    <row r="3910" spans="1:12">
      <c r="A3910">
        <v>103909</v>
      </c>
      <c r="B3910">
        <v>23</v>
      </c>
      <c r="C3910" s="2">
        <v>63700</v>
      </c>
      <c r="D3910" t="s">
        <v>22</v>
      </c>
      <c r="E3910" s="2">
        <v>46500</v>
      </c>
      <c r="F3910" s="2">
        <v>0</v>
      </c>
      <c r="G3910" t="s">
        <v>24</v>
      </c>
      <c r="H3910" t="s">
        <v>17</v>
      </c>
      <c r="I3910" t="s">
        <v>18</v>
      </c>
      <c r="J3910" s="3">
        <v>45925</v>
      </c>
      <c r="K3910" s="4">
        <f>ClientiBanca[[#This Row],[Prestito]]+ClientiBanca[[#This Row],[Mutuo]]</f>
        <v>46500</v>
      </c>
      <c r="L3910" t="str">
        <f>IF(ClientiBanca[[#This Row],[Reddito annuo]]&gt;=70000,"si","no")</f>
        <v>no</v>
      </c>
    </row>
    <row r="3911" spans="1:12">
      <c r="A3911">
        <v>103910</v>
      </c>
      <c r="B3911">
        <v>45</v>
      </c>
      <c r="C3911" s="2">
        <v>81700</v>
      </c>
      <c r="D3911" t="s">
        <v>12</v>
      </c>
      <c r="E3911" s="2">
        <v>0</v>
      </c>
      <c r="F3911" s="2">
        <v>0</v>
      </c>
      <c r="G3911" t="s">
        <v>28</v>
      </c>
      <c r="H3911" t="s">
        <v>17</v>
      </c>
      <c r="I3911" t="s">
        <v>18</v>
      </c>
      <c r="J3911" s="3">
        <v>45559</v>
      </c>
      <c r="K3911" s="4">
        <f>ClientiBanca[[#This Row],[Prestito]]+ClientiBanca[[#This Row],[Mutuo]]</f>
        <v>0</v>
      </c>
      <c r="L3911" t="str">
        <f>IF(ClientiBanca[[#This Row],[Reddito annuo]]&gt;=70000,"si","no")</f>
        <v>si</v>
      </c>
    </row>
    <row r="3912" spans="1:12">
      <c r="A3912">
        <v>103911</v>
      </c>
      <c r="B3912">
        <v>30</v>
      </c>
      <c r="C3912" s="2">
        <v>27300</v>
      </c>
      <c r="D3912" t="s">
        <v>21</v>
      </c>
      <c r="E3912" s="2">
        <v>12900</v>
      </c>
      <c r="F3912" s="2">
        <v>0</v>
      </c>
      <c r="G3912" t="s">
        <v>24</v>
      </c>
      <c r="H3912" t="s">
        <v>17</v>
      </c>
      <c r="I3912" t="s">
        <v>15</v>
      </c>
      <c r="J3912" s="3">
        <v>45779</v>
      </c>
      <c r="K3912" s="4">
        <f>ClientiBanca[[#This Row],[Prestito]]+ClientiBanca[[#This Row],[Mutuo]]</f>
        <v>12900</v>
      </c>
      <c r="L3912" t="str">
        <f>IF(ClientiBanca[[#This Row],[Reddito annuo]]&gt;=70000,"si","no")</f>
        <v>no</v>
      </c>
    </row>
    <row r="3913" spans="1:12">
      <c r="A3913">
        <v>103912</v>
      </c>
      <c r="B3913">
        <v>34</v>
      </c>
      <c r="C3913" s="2">
        <v>90600</v>
      </c>
      <c r="D3913" t="s">
        <v>21</v>
      </c>
      <c r="E3913" s="2">
        <v>35600</v>
      </c>
      <c r="F3913" s="2">
        <v>0</v>
      </c>
      <c r="G3913" t="s">
        <v>19</v>
      </c>
      <c r="H3913" t="s">
        <v>17</v>
      </c>
      <c r="I3913" t="s">
        <v>18</v>
      </c>
      <c r="J3913" s="3">
        <v>46013</v>
      </c>
      <c r="K3913" s="4">
        <f>ClientiBanca[[#This Row],[Prestito]]+ClientiBanca[[#This Row],[Mutuo]]</f>
        <v>35600</v>
      </c>
      <c r="L3913" t="str">
        <f>IF(ClientiBanca[[#This Row],[Reddito annuo]]&gt;=70000,"si","no")</f>
        <v>si</v>
      </c>
    </row>
    <row r="3914" spans="1:12">
      <c r="A3914">
        <v>103913</v>
      </c>
      <c r="B3914">
        <v>73</v>
      </c>
      <c r="C3914" s="2">
        <v>48300</v>
      </c>
      <c r="D3914" t="s">
        <v>12</v>
      </c>
      <c r="E3914" s="2">
        <v>0</v>
      </c>
      <c r="F3914" s="2">
        <v>0</v>
      </c>
      <c r="G3914" t="s">
        <v>19</v>
      </c>
      <c r="H3914" t="s">
        <v>17</v>
      </c>
      <c r="I3914" t="s">
        <v>18</v>
      </c>
      <c r="J3914" s="3">
        <v>46006</v>
      </c>
      <c r="K3914" s="4">
        <f>ClientiBanca[[#This Row],[Prestito]]+ClientiBanca[[#This Row],[Mutuo]]</f>
        <v>0</v>
      </c>
      <c r="L3914" t="str">
        <f>IF(ClientiBanca[[#This Row],[Reddito annuo]]&gt;=70000,"si","no")</f>
        <v>no</v>
      </c>
    </row>
    <row r="3915" spans="1:12">
      <c r="A3915">
        <v>103914</v>
      </c>
      <c r="B3915">
        <v>47</v>
      </c>
      <c r="C3915" s="2">
        <v>41900</v>
      </c>
      <c r="D3915" t="s">
        <v>12</v>
      </c>
      <c r="E3915" s="2">
        <v>51400</v>
      </c>
      <c r="F3915" s="2">
        <v>0</v>
      </c>
      <c r="G3915" t="s">
        <v>23</v>
      </c>
      <c r="H3915" t="s">
        <v>20</v>
      </c>
      <c r="I3915" t="s">
        <v>18</v>
      </c>
      <c r="J3915" s="3">
        <v>45781</v>
      </c>
      <c r="K3915" s="4">
        <f>ClientiBanca[[#This Row],[Prestito]]+ClientiBanca[[#This Row],[Mutuo]]</f>
        <v>51400</v>
      </c>
      <c r="L3915" t="str">
        <f>IF(ClientiBanca[[#This Row],[Reddito annuo]]&gt;=70000,"si","no")</f>
        <v>no</v>
      </c>
    </row>
    <row r="3916" spans="1:12">
      <c r="A3916">
        <v>103915</v>
      </c>
      <c r="B3916">
        <v>56</v>
      </c>
      <c r="C3916" s="2">
        <v>57700</v>
      </c>
      <c r="D3916" t="s">
        <v>22</v>
      </c>
      <c r="E3916" s="2">
        <v>59000</v>
      </c>
      <c r="F3916" s="2">
        <v>196000</v>
      </c>
      <c r="G3916" t="s">
        <v>27</v>
      </c>
      <c r="H3916" t="s">
        <v>17</v>
      </c>
      <c r="I3916" t="s">
        <v>18</v>
      </c>
      <c r="J3916" s="3">
        <v>45394</v>
      </c>
      <c r="K3916" s="4">
        <f>ClientiBanca[[#This Row],[Prestito]]+ClientiBanca[[#This Row],[Mutuo]]</f>
        <v>255000</v>
      </c>
      <c r="L3916" t="str">
        <f>IF(ClientiBanca[[#This Row],[Reddito annuo]]&gt;=70000,"si","no")</f>
        <v>no</v>
      </c>
    </row>
    <row r="3917" spans="1:12">
      <c r="A3917">
        <v>103916</v>
      </c>
      <c r="B3917">
        <v>22</v>
      </c>
      <c r="C3917" s="2">
        <v>51100</v>
      </c>
      <c r="D3917" t="s">
        <v>21</v>
      </c>
      <c r="E3917" s="2">
        <v>44500</v>
      </c>
      <c r="F3917" s="2">
        <v>73000</v>
      </c>
      <c r="G3917" t="s">
        <v>26</v>
      </c>
      <c r="H3917" t="s">
        <v>14</v>
      </c>
      <c r="I3917" t="s">
        <v>18</v>
      </c>
      <c r="J3917" s="3">
        <v>45349</v>
      </c>
      <c r="K3917" s="4">
        <f>ClientiBanca[[#This Row],[Prestito]]+ClientiBanca[[#This Row],[Mutuo]]</f>
        <v>117500</v>
      </c>
      <c r="L3917" t="str">
        <f>IF(ClientiBanca[[#This Row],[Reddito annuo]]&gt;=70000,"si","no")</f>
        <v>no</v>
      </c>
    </row>
    <row r="3918" spans="1:12">
      <c r="A3918">
        <v>103917</v>
      </c>
      <c r="B3918">
        <v>35</v>
      </c>
      <c r="C3918" s="2">
        <v>49400</v>
      </c>
      <c r="D3918" t="s">
        <v>12</v>
      </c>
      <c r="E3918" s="2">
        <v>0</v>
      </c>
      <c r="F3918" s="2">
        <v>0</v>
      </c>
      <c r="G3918" t="s">
        <v>19</v>
      </c>
      <c r="H3918" t="s">
        <v>14</v>
      </c>
      <c r="I3918" t="s">
        <v>18</v>
      </c>
      <c r="J3918" s="3">
        <v>45939</v>
      </c>
      <c r="K3918" s="4">
        <f>ClientiBanca[[#This Row],[Prestito]]+ClientiBanca[[#This Row],[Mutuo]]</f>
        <v>0</v>
      </c>
      <c r="L3918" t="str">
        <f>IF(ClientiBanca[[#This Row],[Reddito annuo]]&gt;=70000,"si","no")</f>
        <v>no</v>
      </c>
    </row>
    <row r="3919" spans="1:12">
      <c r="A3919">
        <v>103918</v>
      </c>
      <c r="B3919">
        <v>46</v>
      </c>
      <c r="C3919" s="2">
        <v>68700</v>
      </c>
      <c r="D3919" t="s">
        <v>22</v>
      </c>
      <c r="E3919" s="2">
        <v>6600</v>
      </c>
      <c r="F3919" s="2">
        <v>0</v>
      </c>
      <c r="G3919" t="s">
        <v>23</v>
      </c>
      <c r="H3919" t="s">
        <v>17</v>
      </c>
      <c r="I3919" t="s">
        <v>18</v>
      </c>
      <c r="J3919" s="3">
        <v>46220</v>
      </c>
      <c r="K3919" s="4">
        <f>ClientiBanca[[#This Row],[Prestito]]+ClientiBanca[[#This Row],[Mutuo]]</f>
        <v>6600</v>
      </c>
      <c r="L3919" t="str">
        <f>IF(ClientiBanca[[#This Row],[Reddito annuo]]&gt;=70000,"si","no")</f>
        <v>no</v>
      </c>
    </row>
    <row r="3920" spans="1:12">
      <c r="A3920">
        <v>103919</v>
      </c>
      <c r="B3920">
        <v>45</v>
      </c>
      <c r="C3920" s="2">
        <v>24800</v>
      </c>
      <c r="D3920" t="s">
        <v>21</v>
      </c>
      <c r="E3920" s="2">
        <v>0</v>
      </c>
      <c r="F3920" s="2">
        <v>0</v>
      </c>
      <c r="G3920" t="s">
        <v>13</v>
      </c>
      <c r="H3920" t="s">
        <v>20</v>
      </c>
      <c r="I3920" t="s">
        <v>18</v>
      </c>
      <c r="J3920" s="3">
        <v>45804</v>
      </c>
      <c r="K3920" s="4">
        <f>ClientiBanca[[#This Row],[Prestito]]+ClientiBanca[[#This Row],[Mutuo]]</f>
        <v>0</v>
      </c>
      <c r="L3920" t="str">
        <f>IF(ClientiBanca[[#This Row],[Reddito annuo]]&gt;=70000,"si","no")</f>
        <v>no</v>
      </c>
    </row>
    <row r="3921" spans="1:12">
      <c r="A3921">
        <v>103920</v>
      </c>
      <c r="B3921">
        <v>38</v>
      </c>
      <c r="C3921" s="2">
        <v>36700</v>
      </c>
      <c r="D3921" t="s">
        <v>21</v>
      </c>
      <c r="E3921" s="2">
        <v>23900</v>
      </c>
      <c r="F3921" s="2">
        <v>0</v>
      </c>
      <c r="G3921" t="s">
        <v>13</v>
      </c>
      <c r="H3921" t="s">
        <v>17</v>
      </c>
      <c r="I3921" t="s">
        <v>18</v>
      </c>
      <c r="J3921" s="3">
        <v>45425</v>
      </c>
      <c r="K3921" s="4">
        <f>ClientiBanca[[#This Row],[Prestito]]+ClientiBanca[[#This Row],[Mutuo]]</f>
        <v>23900</v>
      </c>
      <c r="L3921" t="str">
        <f>IF(ClientiBanca[[#This Row],[Reddito annuo]]&gt;=70000,"si","no")</f>
        <v>no</v>
      </c>
    </row>
    <row r="3922" spans="1:12">
      <c r="A3922">
        <v>103921</v>
      </c>
      <c r="B3922">
        <v>74</v>
      </c>
      <c r="C3922" s="2">
        <v>45600</v>
      </c>
      <c r="D3922" t="s">
        <v>12</v>
      </c>
      <c r="E3922" s="2">
        <v>25800</v>
      </c>
      <c r="F3922" s="2">
        <v>0</v>
      </c>
      <c r="G3922" t="s">
        <v>23</v>
      </c>
      <c r="H3922" t="s">
        <v>17</v>
      </c>
      <c r="I3922" t="s">
        <v>18</v>
      </c>
      <c r="J3922" s="3">
        <v>45636</v>
      </c>
      <c r="K3922" s="4">
        <f>ClientiBanca[[#This Row],[Prestito]]+ClientiBanca[[#This Row],[Mutuo]]</f>
        <v>25800</v>
      </c>
      <c r="L3922" t="str">
        <f>IF(ClientiBanca[[#This Row],[Reddito annuo]]&gt;=70000,"si","no")</f>
        <v>no</v>
      </c>
    </row>
    <row r="3923" spans="1:12">
      <c r="A3923">
        <v>103922</v>
      </c>
      <c r="B3923">
        <v>30</v>
      </c>
      <c r="C3923" s="2">
        <v>85700</v>
      </c>
      <c r="D3923" t="s">
        <v>12</v>
      </c>
      <c r="E3923" s="2">
        <v>31100</v>
      </c>
      <c r="F3923" s="2">
        <v>0</v>
      </c>
      <c r="G3923" t="s">
        <v>19</v>
      </c>
      <c r="H3923" t="s">
        <v>20</v>
      </c>
      <c r="I3923" t="s">
        <v>18</v>
      </c>
      <c r="J3923" s="3">
        <v>46207</v>
      </c>
      <c r="K3923" s="4">
        <f>ClientiBanca[[#This Row],[Prestito]]+ClientiBanca[[#This Row],[Mutuo]]</f>
        <v>31100</v>
      </c>
      <c r="L3923" t="str">
        <f>IF(ClientiBanca[[#This Row],[Reddito annuo]]&gt;=70000,"si","no")</f>
        <v>si</v>
      </c>
    </row>
    <row r="3924" spans="1:12">
      <c r="A3924">
        <v>103923</v>
      </c>
      <c r="B3924">
        <v>46</v>
      </c>
      <c r="C3924" s="2">
        <v>102100</v>
      </c>
      <c r="D3924" t="s">
        <v>22</v>
      </c>
      <c r="E3924" s="2">
        <v>0</v>
      </c>
      <c r="F3924" s="2">
        <v>0</v>
      </c>
      <c r="G3924" t="s">
        <v>23</v>
      </c>
      <c r="H3924" t="s">
        <v>20</v>
      </c>
      <c r="I3924" t="s">
        <v>18</v>
      </c>
      <c r="J3924" s="3">
        <v>46172</v>
      </c>
      <c r="K3924" s="4">
        <f>ClientiBanca[[#This Row],[Prestito]]+ClientiBanca[[#This Row],[Mutuo]]</f>
        <v>0</v>
      </c>
      <c r="L3924" t="str">
        <f>IF(ClientiBanca[[#This Row],[Reddito annuo]]&gt;=70000,"si","no")</f>
        <v>si</v>
      </c>
    </row>
    <row r="3925" spans="1:12">
      <c r="A3925">
        <v>103924</v>
      </c>
      <c r="B3925">
        <v>36</v>
      </c>
      <c r="C3925" s="2">
        <v>64200</v>
      </c>
      <c r="D3925" t="s">
        <v>12</v>
      </c>
      <c r="E3925" s="2">
        <v>0</v>
      </c>
      <c r="F3925" s="2">
        <v>0</v>
      </c>
      <c r="G3925" t="s">
        <v>24</v>
      </c>
      <c r="H3925" t="s">
        <v>17</v>
      </c>
      <c r="I3925" t="s">
        <v>18</v>
      </c>
      <c r="J3925" s="3">
        <v>45466</v>
      </c>
      <c r="K3925" s="4">
        <f>ClientiBanca[[#This Row],[Prestito]]+ClientiBanca[[#This Row],[Mutuo]]</f>
        <v>0</v>
      </c>
      <c r="L3925" t="str">
        <f>IF(ClientiBanca[[#This Row],[Reddito annuo]]&gt;=70000,"si","no")</f>
        <v>no</v>
      </c>
    </row>
    <row r="3926" spans="1:12">
      <c r="A3926">
        <v>103925</v>
      </c>
      <c r="B3926">
        <v>30</v>
      </c>
      <c r="C3926" s="2">
        <v>106300</v>
      </c>
      <c r="D3926" t="s">
        <v>22</v>
      </c>
      <c r="E3926" s="2">
        <v>0</v>
      </c>
      <c r="F3926" s="2">
        <v>0</v>
      </c>
      <c r="G3926" t="s">
        <v>16</v>
      </c>
      <c r="H3926" t="s">
        <v>20</v>
      </c>
      <c r="I3926" t="s">
        <v>18</v>
      </c>
      <c r="J3926" s="3">
        <v>45898</v>
      </c>
      <c r="K3926" s="4">
        <f>ClientiBanca[[#This Row],[Prestito]]+ClientiBanca[[#This Row],[Mutuo]]</f>
        <v>0</v>
      </c>
      <c r="L3926" t="str">
        <f>IF(ClientiBanca[[#This Row],[Reddito annuo]]&gt;=70000,"si","no")</f>
        <v>si</v>
      </c>
    </row>
    <row r="3927" spans="1:12">
      <c r="A3927">
        <v>103926</v>
      </c>
      <c r="B3927">
        <v>74</v>
      </c>
      <c r="C3927" s="2">
        <v>70500</v>
      </c>
      <c r="D3927" t="s">
        <v>21</v>
      </c>
      <c r="E3927" s="2">
        <v>24600</v>
      </c>
      <c r="F3927" s="2">
        <v>139000</v>
      </c>
      <c r="G3927" t="s">
        <v>28</v>
      </c>
      <c r="H3927" t="s">
        <v>17</v>
      </c>
      <c r="I3927" t="s">
        <v>18</v>
      </c>
      <c r="J3927" s="3">
        <v>45471</v>
      </c>
      <c r="K3927" s="4">
        <f>ClientiBanca[[#This Row],[Prestito]]+ClientiBanca[[#This Row],[Mutuo]]</f>
        <v>163600</v>
      </c>
      <c r="L3927" t="str">
        <f>IF(ClientiBanca[[#This Row],[Reddito annuo]]&gt;=70000,"si","no")</f>
        <v>si</v>
      </c>
    </row>
    <row r="3928" spans="1:12">
      <c r="A3928">
        <v>103927</v>
      </c>
      <c r="B3928">
        <v>59</v>
      </c>
      <c r="C3928" s="2">
        <v>45400</v>
      </c>
      <c r="D3928" t="s">
        <v>12</v>
      </c>
      <c r="E3928" s="2">
        <v>0</v>
      </c>
      <c r="F3928" s="2">
        <v>0</v>
      </c>
      <c r="G3928" t="s">
        <v>24</v>
      </c>
      <c r="H3928" t="s">
        <v>20</v>
      </c>
      <c r="I3928" t="s">
        <v>18</v>
      </c>
      <c r="J3928" s="3">
        <v>45931</v>
      </c>
      <c r="K3928" s="4">
        <f>ClientiBanca[[#This Row],[Prestito]]+ClientiBanca[[#This Row],[Mutuo]]</f>
        <v>0</v>
      </c>
      <c r="L3928" t="str">
        <f>IF(ClientiBanca[[#This Row],[Reddito annuo]]&gt;=70000,"si","no")</f>
        <v>no</v>
      </c>
    </row>
    <row r="3929" spans="1:12">
      <c r="A3929">
        <v>103928</v>
      </c>
      <c r="B3929">
        <v>45</v>
      </c>
      <c r="C3929" s="2">
        <v>59500</v>
      </c>
      <c r="D3929" t="s">
        <v>12</v>
      </c>
      <c r="E3929" s="2">
        <v>69800</v>
      </c>
      <c r="F3929" s="2">
        <v>0</v>
      </c>
      <c r="G3929" t="s">
        <v>24</v>
      </c>
      <c r="H3929" t="s">
        <v>20</v>
      </c>
      <c r="I3929" t="s">
        <v>18</v>
      </c>
      <c r="J3929" s="3">
        <v>45821</v>
      </c>
      <c r="K3929" s="4">
        <f>ClientiBanca[[#This Row],[Prestito]]+ClientiBanca[[#This Row],[Mutuo]]</f>
        <v>69800</v>
      </c>
      <c r="L3929" t="str">
        <f>IF(ClientiBanca[[#This Row],[Reddito annuo]]&gt;=70000,"si","no")</f>
        <v>no</v>
      </c>
    </row>
    <row r="3930" spans="1:12">
      <c r="A3930">
        <v>103929</v>
      </c>
      <c r="B3930">
        <v>41</v>
      </c>
      <c r="C3930" s="2">
        <v>45100</v>
      </c>
      <c r="D3930" t="s">
        <v>21</v>
      </c>
      <c r="E3930" s="2">
        <v>21600</v>
      </c>
      <c r="F3930" s="2">
        <v>223000</v>
      </c>
      <c r="G3930" t="s">
        <v>13</v>
      </c>
      <c r="H3930" t="s">
        <v>25</v>
      </c>
      <c r="I3930" t="s">
        <v>18</v>
      </c>
      <c r="J3930" s="3">
        <v>45716</v>
      </c>
      <c r="K3930" s="4">
        <f>ClientiBanca[[#This Row],[Prestito]]+ClientiBanca[[#This Row],[Mutuo]]</f>
        <v>244600</v>
      </c>
      <c r="L3930" t="str">
        <f>IF(ClientiBanca[[#This Row],[Reddito annuo]]&gt;=70000,"si","no")</f>
        <v>no</v>
      </c>
    </row>
    <row r="3931" spans="1:12">
      <c r="A3931">
        <v>103930</v>
      </c>
      <c r="B3931">
        <v>56</v>
      </c>
      <c r="C3931" s="2">
        <v>79400</v>
      </c>
      <c r="D3931" t="s">
        <v>21</v>
      </c>
      <c r="E3931" s="2">
        <v>57900</v>
      </c>
      <c r="F3931" s="2">
        <v>0</v>
      </c>
      <c r="G3931" t="s">
        <v>13</v>
      </c>
      <c r="H3931" t="s">
        <v>17</v>
      </c>
      <c r="I3931" t="s">
        <v>18</v>
      </c>
      <c r="J3931" s="3">
        <v>46256</v>
      </c>
      <c r="K3931" s="4">
        <f>ClientiBanca[[#This Row],[Prestito]]+ClientiBanca[[#This Row],[Mutuo]]</f>
        <v>57900</v>
      </c>
      <c r="L3931" t="str">
        <f>IF(ClientiBanca[[#This Row],[Reddito annuo]]&gt;=70000,"si","no")</f>
        <v>si</v>
      </c>
    </row>
    <row r="3932" spans="1:12">
      <c r="A3932">
        <v>103931</v>
      </c>
      <c r="B3932">
        <v>58</v>
      </c>
      <c r="C3932" s="2">
        <v>94300</v>
      </c>
      <c r="D3932" t="s">
        <v>21</v>
      </c>
      <c r="E3932" s="2">
        <v>17100</v>
      </c>
      <c r="F3932" s="2">
        <v>0</v>
      </c>
      <c r="G3932" t="s">
        <v>13</v>
      </c>
      <c r="H3932" t="s">
        <v>20</v>
      </c>
      <c r="I3932" t="s">
        <v>18</v>
      </c>
      <c r="J3932" s="3">
        <v>46057</v>
      </c>
      <c r="K3932" s="4">
        <f>ClientiBanca[[#This Row],[Prestito]]+ClientiBanca[[#This Row],[Mutuo]]</f>
        <v>17100</v>
      </c>
      <c r="L3932" t="str">
        <f>IF(ClientiBanca[[#This Row],[Reddito annuo]]&gt;=70000,"si","no")</f>
        <v>si</v>
      </c>
    </row>
    <row r="3933" spans="1:12">
      <c r="A3933">
        <v>103932</v>
      </c>
      <c r="B3933">
        <v>30</v>
      </c>
      <c r="C3933" s="2">
        <v>25600</v>
      </c>
      <c r="D3933" t="s">
        <v>21</v>
      </c>
      <c r="E3933" s="2">
        <v>7600</v>
      </c>
      <c r="F3933" s="2">
        <v>0</v>
      </c>
      <c r="G3933" t="s">
        <v>23</v>
      </c>
      <c r="H3933" t="s">
        <v>17</v>
      </c>
      <c r="I3933" t="s">
        <v>18</v>
      </c>
      <c r="J3933" s="3">
        <v>45362</v>
      </c>
      <c r="K3933" s="4">
        <f>ClientiBanca[[#This Row],[Prestito]]+ClientiBanca[[#This Row],[Mutuo]]</f>
        <v>7600</v>
      </c>
      <c r="L3933" t="str">
        <f>IF(ClientiBanca[[#This Row],[Reddito annuo]]&gt;=70000,"si","no")</f>
        <v>no</v>
      </c>
    </row>
    <row r="3934" spans="1:12">
      <c r="A3934">
        <v>103933</v>
      </c>
      <c r="B3934">
        <v>53</v>
      </c>
      <c r="C3934" s="2">
        <v>67100</v>
      </c>
      <c r="D3934" t="s">
        <v>12</v>
      </c>
      <c r="E3934" s="2">
        <v>16200</v>
      </c>
      <c r="F3934" s="2">
        <v>184000</v>
      </c>
      <c r="G3934" t="s">
        <v>19</v>
      </c>
      <c r="H3934" t="s">
        <v>25</v>
      </c>
      <c r="I3934" t="s">
        <v>18</v>
      </c>
      <c r="J3934" s="3">
        <v>45485</v>
      </c>
      <c r="K3934" s="4">
        <f>ClientiBanca[[#This Row],[Prestito]]+ClientiBanca[[#This Row],[Mutuo]]</f>
        <v>200200</v>
      </c>
      <c r="L3934" t="str">
        <f>IF(ClientiBanca[[#This Row],[Reddito annuo]]&gt;=70000,"si","no")</f>
        <v>no</v>
      </c>
    </row>
    <row r="3935" spans="1:12">
      <c r="A3935">
        <v>103934</v>
      </c>
      <c r="B3935">
        <v>62</v>
      </c>
      <c r="C3935" s="2">
        <v>42200</v>
      </c>
      <c r="D3935" t="s">
        <v>12</v>
      </c>
      <c r="E3935" s="2">
        <v>47300</v>
      </c>
      <c r="F3935" s="2">
        <v>0</v>
      </c>
      <c r="G3935" t="s">
        <v>28</v>
      </c>
      <c r="H3935" t="s">
        <v>20</v>
      </c>
      <c r="I3935" t="s">
        <v>18</v>
      </c>
      <c r="J3935" s="3">
        <v>45685</v>
      </c>
      <c r="K3935" s="4">
        <f>ClientiBanca[[#This Row],[Prestito]]+ClientiBanca[[#This Row],[Mutuo]]</f>
        <v>47300</v>
      </c>
      <c r="L3935" t="str">
        <f>IF(ClientiBanca[[#This Row],[Reddito annuo]]&gt;=70000,"si","no")</f>
        <v>no</v>
      </c>
    </row>
    <row r="3936" spans="1:12">
      <c r="A3936">
        <v>103935</v>
      </c>
      <c r="B3936">
        <v>23</v>
      </c>
      <c r="C3936" s="2">
        <v>121300</v>
      </c>
      <c r="D3936" t="s">
        <v>21</v>
      </c>
      <c r="E3936" s="2">
        <v>0</v>
      </c>
      <c r="F3936" s="2">
        <v>0</v>
      </c>
      <c r="G3936" t="s">
        <v>23</v>
      </c>
      <c r="H3936" t="s">
        <v>20</v>
      </c>
      <c r="I3936" t="s">
        <v>18</v>
      </c>
      <c r="J3936" s="3">
        <v>46126</v>
      </c>
      <c r="K3936" s="4">
        <f>ClientiBanca[[#This Row],[Prestito]]+ClientiBanca[[#This Row],[Mutuo]]</f>
        <v>0</v>
      </c>
      <c r="L3936" t="str">
        <f>IF(ClientiBanca[[#This Row],[Reddito annuo]]&gt;=70000,"si","no")</f>
        <v>si</v>
      </c>
    </row>
    <row r="3937" spans="1:12">
      <c r="A3937">
        <v>103936</v>
      </c>
      <c r="B3937">
        <v>43</v>
      </c>
      <c r="C3937" s="2">
        <v>46500</v>
      </c>
      <c r="D3937" t="s">
        <v>21</v>
      </c>
      <c r="E3937" s="2">
        <v>21100</v>
      </c>
      <c r="F3937" s="2">
        <v>0</v>
      </c>
      <c r="G3937" t="s">
        <v>16</v>
      </c>
      <c r="H3937" t="s">
        <v>20</v>
      </c>
      <c r="I3937" t="s">
        <v>18</v>
      </c>
      <c r="J3937" s="3">
        <v>45308</v>
      </c>
      <c r="K3937" s="4">
        <f>ClientiBanca[[#This Row],[Prestito]]+ClientiBanca[[#This Row],[Mutuo]]</f>
        <v>21100</v>
      </c>
      <c r="L3937" t="str">
        <f>IF(ClientiBanca[[#This Row],[Reddito annuo]]&gt;=70000,"si","no")</f>
        <v>no</v>
      </c>
    </row>
    <row r="3938" spans="1:12">
      <c r="A3938">
        <v>103937</v>
      </c>
      <c r="B3938">
        <v>60</v>
      </c>
      <c r="C3938" s="2">
        <v>67600</v>
      </c>
      <c r="D3938" t="s">
        <v>21</v>
      </c>
      <c r="E3938" s="2">
        <v>66200</v>
      </c>
      <c r="F3938" s="2">
        <v>0</v>
      </c>
      <c r="G3938" t="s">
        <v>24</v>
      </c>
      <c r="H3938" t="s">
        <v>17</v>
      </c>
      <c r="I3938" t="s">
        <v>18</v>
      </c>
      <c r="J3938" s="3">
        <v>45886</v>
      </c>
      <c r="K3938" s="4">
        <f>ClientiBanca[[#This Row],[Prestito]]+ClientiBanca[[#This Row],[Mutuo]]</f>
        <v>66200</v>
      </c>
      <c r="L3938" t="str">
        <f>IF(ClientiBanca[[#This Row],[Reddito annuo]]&gt;=70000,"si","no")</f>
        <v>no</v>
      </c>
    </row>
    <row r="3939" spans="1:12">
      <c r="A3939">
        <v>103938</v>
      </c>
      <c r="B3939">
        <v>35</v>
      </c>
      <c r="C3939" s="2">
        <v>103700</v>
      </c>
      <c r="D3939" t="s">
        <v>21</v>
      </c>
      <c r="E3939" s="2">
        <v>0</v>
      </c>
      <c r="F3939" s="2">
        <v>0</v>
      </c>
      <c r="G3939" t="s">
        <v>28</v>
      </c>
      <c r="H3939" t="s">
        <v>14</v>
      </c>
      <c r="I3939" t="s">
        <v>18</v>
      </c>
      <c r="J3939" s="3">
        <v>46093</v>
      </c>
      <c r="K3939" s="4">
        <f>ClientiBanca[[#This Row],[Prestito]]+ClientiBanca[[#This Row],[Mutuo]]</f>
        <v>0</v>
      </c>
      <c r="L3939" t="str">
        <f>IF(ClientiBanca[[#This Row],[Reddito annuo]]&gt;=70000,"si","no")</f>
        <v>si</v>
      </c>
    </row>
    <row r="3940" spans="1:12">
      <c r="A3940">
        <v>103939</v>
      </c>
      <c r="B3940">
        <v>49</v>
      </c>
      <c r="C3940" s="2">
        <v>56700</v>
      </c>
      <c r="D3940" t="s">
        <v>22</v>
      </c>
      <c r="E3940" s="2">
        <v>70900</v>
      </c>
      <c r="F3940" s="2">
        <v>0</v>
      </c>
      <c r="G3940" t="s">
        <v>19</v>
      </c>
      <c r="H3940" t="s">
        <v>17</v>
      </c>
      <c r="I3940" t="s">
        <v>18</v>
      </c>
      <c r="J3940" s="3">
        <v>46198</v>
      </c>
      <c r="K3940" s="4">
        <f>ClientiBanca[[#This Row],[Prestito]]+ClientiBanca[[#This Row],[Mutuo]]</f>
        <v>70900</v>
      </c>
      <c r="L3940" t="str">
        <f>IF(ClientiBanca[[#This Row],[Reddito annuo]]&gt;=70000,"si","no")</f>
        <v>no</v>
      </c>
    </row>
    <row r="3941" spans="1:12">
      <c r="A3941">
        <v>103940</v>
      </c>
      <c r="B3941">
        <v>23</v>
      </c>
      <c r="C3941" s="2">
        <v>41600</v>
      </c>
      <c r="D3941" t="s">
        <v>22</v>
      </c>
      <c r="E3941" s="2">
        <v>40500</v>
      </c>
      <c r="F3941" s="2">
        <v>0</v>
      </c>
      <c r="G3941" t="s">
        <v>26</v>
      </c>
      <c r="H3941" t="s">
        <v>17</v>
      </c>
      <c r="I3941" t="s">
        <v>18</v>
      </c>
      <c r="J3941" s="3">
        <v>46031</v>
      </c>
      <c r="K3941" s="4">
        <f>ClientiBanca[[#This Row],[Prestito]]+ClientiBanca[[#This Row],[Mutuo]]</f>
        <v>40500</v>
      </c>
      <c r="L3941" t="str">
        <f>IF(ClientiBanca[[#This Row],[Reddito annuo]]&gt;=70000,"si","no")</f>
        <v>no</v>
      </c>
    </row>
    <row r="3942" spans="1:12">
      <c r="A3942">
        <v>103941</v>
      </c>
      <c r="B3942">
        <v>27</v>
      </c>
      <c r="C3942" s="2">
        <v>35000</v>
      </c>
      <c r="D3942" t="s">
        <v>21</v>
      </c>
      <c r="E3942" s="2">
        <v>19000</v>
      </c>
      <c r="F3942" s="2">
        <v>0</v>
      </c>
      <c r="G3942" t="s">
        <v>23</v>
      </c>
      <c r="H3942" t="s">
        <v>17</v>
      </c>
      <c r="I3942" t="s">
        <v>15</v>
      </c>
      <c r="J3942" s="3">
        <v>45925</v>
      </c>
      <c r="K3942" s="4">
        <f>ClientiBanca[[#This Row],[Prestito]]+ClientiBanca[[#This Row],[Mutuo]]</f>
        <v>19000</v>
      </c>
      <c r="L3942" t="str">
        <f>IF(ClientiBanca[[#This Row],[Reddito annuo]]&gt;=70000,"si","no")</f>
        <v>no</v>
      </c>
    </row>
    <row r="3943" spans="1:12">
      <c r="A3943">
        <v>103942</v>
      </c>
      <c r="B3943">
        <v>66</v>
      </c>
      <c r="C3943" s="2">
        <v>80500</v>
      </c>
      <c r="D3943" t="s">
        <v>21</v>
      </c>
      <c r="E3943" s="2">
        <v>43100</v>
      </c>
      <c r="F3943" s="2">
        <v>0</v>
      </c>
      <c r="G3943" t="s">
        <v>23</v>
      </c>
      <c r="H3943" t="s">
        <v>20</v>
      </c>
      <c r="I3943" t="s">
        <v>18</v>
      </c>
      <c r="J3943" s="3">
        <v>45363</v>
      </c>
      <c r="K3943" s="4">
        <f>ClientiBanca[[#This Row],[Prestito]]+ClientiBanca[[#This Row],[Mutuo]]</f>
        <v>43100</v>
      </c>
      <c r="L3943" t="str">
        <f>IF(ClientiBanca[[#This Row],[Reddito annuo]]&gt;=70000,"si","no")</f>
        <v>si</v>
      </c>
    </row>
    <row r="3944" spans="1:12">
      <c r="A3944">
        <v>103943</v>
      </c>
      <c r="B3944">
        <v>39</v>
      </c>
      <c r="C3944" s="2">
        <v>113900</v>
      </c>
      <c r="D3944" t="s">
        <v>12</v>
      </c>
      <c r="E3944" s="2">
        <v>53100</v>
      </c>
      <c r="F3944" s="2">
        <v>0</v>
      </c>
      <c r="G3944" t="s">
        <v>24</v>
      </c>
      <c r="H3944" t="s">
        <v>20</v>
      </c>
      <c r="I3944" t="s">
        <v>15</v>
      </c>
      <c r="J3944" s="3">
        <v>45433</v>
      </c>
      <c r="K3944" s="4">
        <f>ClientiBanca[[#This Row],[Prestito]]+ClientiBanca[[#This Row],[Mutuo]]</f>
        <v>53100</v>
      </c>
      <c r="L3944" t="str">
        <f>IF(ClientiBanca[[#This Row],[Reddito annuo]]&gt;=70000,"si","no")</f>
        <v>si</v>
      </c>
    </row>
    <row r="3945" spans="1:12">
      <c r="A3945">
        <v>103944</v>
      </c>
      <c r="B3945">
        <v>71</v>
      </c>
      <c r="C3945" s="2">
        <v>85100</v>
      </c>
      <c r="D3945" t="s">
        <v>21</v>
      </c>
      <c r="E3945" s="2">
        <v>47700</v>
      </c>
      <c r="F3945" s="2">
        <v>0</v>
      </c>
      <c r="G3945" t="s">
        <v>13</v>
      </c>
      <c r="H3945" t="s">
        <v>17</v>
      </c>
      <c r="I3945" t="s">
        <v>18</v>
      </c>
      <c r="J3945" s="3">
        <v>46126</v>
      </c>
      <c r="K3945" s="4">
        <f>ClientiBanca[[#This Row],[Prestito]]+ClientiBanca[[#This Row],[Mutuo]]</f>
        <v>47700</v>
      </c>
      <c r="L3945" t="str">
        <f>IF(ClientiBanca[[#This Row],[Reddito annuo]]&gt;=70000,"si","no")</f>
        <v>si</v>
      </c>
    </row>
    <row r="3946" spans="1:12">
      <c r="A3946">
        <v>103945</v>
      </c>
      <c r="B3946">
        <v>52</v>
      </c>
      <c r="C3946" s="2">
        <v>58200</v>
      </c>
      <c r="D3946" t="s">
        <v>21</v>
      </c>
      <c r="E3946" s="2">
        <v>0</v>
      </c>
      <c r="F3946" s="2">
        <v>0</v>
      </c>
      <c r="G3946" t="s">
        <v>16</v>
      </c>
      <c r="H3946" t="s">
        <v>25</v>
      </c>
      <c r="I3946" t="s">
        <v>18</v>
      </c>
      <c r="J3946" s="3">
        <v>45867</v>
      </c>
      <c r="K3946" s="4">
        <f>ClientiBanca[[#This Row],[Prestito]]+ClientiBanca[[#This Row],[Mutuo]]</f>
        <v>0</v>
      </c>
      <c r="L3946" t="str">
        <f>IF(ClientiBanca[[#This Row],[Reddito annuo]]&gt;=70000,"si","no")</f>
        <v>no</v>
      </c>
    </row>
    <row r="3947" spans="1:12">
      <c r="A3947">
        <v>103946</v>
      </c>
      <c r="B3947">
        <v>35</v>
      </c>
      <c r="C3947" s="2">
        <v>78900</v>
      </c>
      <c r="D3947" t="s">
        <v>21</v>
      </c>
      <c r="E3947" s="2">
        <v>46200</v>
      </c>
      <c r="F3947" s="2">
        <v>0</v>
      </c>
      <c r="G3947" t="s">
        <v>28</v>
      </c>
      <c r="H3947" t="s">
        <v>20</v>
      </c>
      <c r="I3947" t="s">
        <v>18</v>
      </c>
      <c r="J3947" s="3">
        <v>45580</v>
      </c>
      <c r="K3947" s="4">
        <f>ClientiBanca[[#This Row],[Prestito]]+ClientiBanca[[#This Row],[Mutuo]]</f>
        <v>46200</v>
      </c>
      <c r="L3947" t="str">
        <f>IF(ClientiBanca[[#This Row],[Reddito annuo]]&gt;=70000,"si","no")</f>
        <v>si</v>
      </c>
    </row>
    <row r="3948" spans="1:12">
      <c r="A3948">
        <v>103947</v>
      </c>
      <c r="B3948">
        <v>23</v>
      </c>
      <c r="C3948" s="2">
        <v>55500</v>
      </c>
      <c r="D3948" t="s">
        <v>21</v>
      </c>
      <c r="E3948" s="2">
        <v>17400</v>
      </c>
      <c r="F3948" s="2">
        <v>96000</v>
      </c>
      <c r="G3948" t="s">
        <v>23</v>
      </c>
      <c r="H3948" t="s">
        <v>14</v>
      </c>
      <c r="I3948" t="s">
        <v>18</v>
      </c>
      <c r="J3948" s="3">
        <v>45661</v>
      </c>
      <c r="K3948" s="4">
        <f>ClientiBanca[[#This Row],[Prestito]]+ClientiBanca[[#This Row],[Mutuo]]</f>
        <v>113400</v>
      </c>
      <c r="L3948" t="str">
        <f>IF(ClientiBanca[[#This Row],[Reddito annuo]]&gt;=70000,"si","no")</f>
        <v>no</v>
      </c>
    </row>
    <row r="3949" spans="1:12">
      <c r="A3949">
        <v>103948</v>
      </c>
      <c r="B3949">
        <v>52</v>
      </c>
      <c r="C3949" s="2">
        <v>68800</v>
      </c>
      <c r="D3949" t="s">
        <v>21</v>
      </c>
      <c r="E3949" s="2">
        <v>0</v>
      </c>
      <c r="F3949" s="2">
        <v>218000</v>
      </c>
      <c r="G3949" t="s">
        <v>26</v>
      </c>
      <c r="H3949" t="s">
        <v>17</v>
      </c>
      <c r="I3949" t="s">
        <v>18</v>
      </c>
      <c r="J3949" s="3">
        <v>46076</v>
      </c>
      <c r="K3949" s="4">
        <f>ClientiBanca[[#This Row],[Prestito]]+ClientiBanca[[#This Row],[Mutuo]]</f>
        <v>218000</v>
      </c>
      <c r="L3949" t="str">
        <f>IF(ClientiBanca[[#This Row],[Reddito annuo]]&gt;=70000,"si","no")</f>
        <v>no</v>
      </c>
    </row>
    <row r="3950" spans="1:12">
      <c r="A3950">
        <v>103949</v>
      </c>
      <c r="B3950">
        <v>55</v>
      </c>
      <c r="C3950" s="2">
        <v>67400</v>
      </c>
      <c r="D3950" t="s">
        <v>21</v>
      </c>
      <c r="E3950" s="2">
        <v>56900</v>
      </c>
      <c r="F3950" s="2">
        <v>0</v>
      </c>
      <c r="G3950" t="s">
        <v>26</v>
      </c>
      <c r="H3950" t="s">
        <v>14</v>
      </c>
      <c r="I3950" t="s">
        <v>18</v>
      </c>
      <c r="J3950" s="3">
        <v>45376</v>
      </c>
      <c r="K3950" s="4">
        <f>ClientiBanca[[#This Row],[Prestito]]+ClientiBanca[[#This Row],[Mutuo]]</f>
        <v>56900</v>
      </c>
      <c r="L3950" t="str">
        <f>IF(ClientiBanca[[#This Row],[Reddito annuo]]&gt;=70000,"si","no")</f>
        <v>no</v>
      </c>
    </row>
    <row r="3951" spans="1:12">
      <c r="A3951">
        <v>103950</v>
      </c>
      <c r="B3951">
        <v>44</v>
      </c>
      <c r="C3951" s="2">
        <v>73700</v>
      </c>
      <c r="D3951" t="s">
        <v>21</v>
      </c>
      <c r="E3951" s="2">
        <v>50100</v>
      </c>
      <c r="F3951" s="2">
        <v>0</v>
      </c>
      <c r="G3951" t="s">
        <v>26</v>
      </c>
      <c r="H3951" t="s">
        <v>17</v>
      </c>
      <c r="I3951" t="s">
        <v>18</v>
      </c>
      <c r="J3951" s="3">
        <v>45964</v>
      </c>
      <c r="K3951" s="4">
        <f>ClientiBanca[[#This Row],[Prestito]]+ClientiBanca[[#This Row],[Mutuo]]</f>
        <v>50100</v>
      </c>
      <c r="L3951" t="str">
        <f>IF(ClientiBanca[[#This Row],[Reddito annuo]]&gt;=70000,"si","no")</f>
        <v>si</v>
      </c>
    </row>
    <row r="3952" spans="1:12">
      <c r="A3952">
        <v>103951</v>
      </c>
      <c r="B3952">
        <v>38</v>
      </c>
      <c r="C3952" s="2">
        <v>126100</v>
      </c>
      <c r="D3952" t="s">
        <v>21</v>
      </c>
      <c r="E3952" s="2">
        <v>0</v>
      </c>
      <c r="F3952" s="2">
        <v>294000</v>
      </c>
      <c r="G3952" t="s">
        <v>27</v>
      </c>
      <c r="H3952" t="s">
        <v>20</v>
      </c>
      <c r="I3952" t="s">
        <v>18</v>
      </c>
      <c r="J3952" s="3">
        <v>45366</v>
      </c>
      <c r="K3952" s="4">
        <f>ClientiBanca[[#This Row],[Prestito]]+ClientiBanca[[#This Row],[Mutuo]]</f>
        <v>294000</v>
      </c>
      <c r="L3952" t="str">
        <f>IF(ClientiBanca[[#This Row],[Reddito annuo]]&gt;=70000,"si","no")</f>
        <v>si</v>
      </c>
    </row>
    <row r="3953" spans="1:12">
      <c r="A3953">
        <v>103952</v>
      </c>
      <c r="B3953">
        <v>43</v>
      </c>
      <c r="C3953" s="2">
        <v>39400</v>
      </c>
      <c r="D3953" t="s">
        <v>22</v>
      </c>
      <c r="E3953" s="2">
        <v>0</v>
      </c>
      <c r="F3953" s="2">
        <v>0</v>
      </c>
      <c r="G3953" t="s">
        <v>16</v>
      </c>
      <c r="H3953" t="s">
        <v>17</v>
      </c>
      <c r="I3953" t="s">
        <v>18</v>
      </c>
      <c r="J3953" s="3">
        <v>45666</v>
      </c>
      <c r="K3953" s="4">
        <f>ClientiBanca[[#This Row],[Prestito]]+ClientiBanca[[#This Row],[Mutuo]]</f>
        <v>0</v>
      </c>
      <c r="L3953" t="str">
        <f>IF(ClientiBanca[[#This Row],[Reddito annuo]]&gt;=70000,"si","no")</f>
        <v>no</v>
      </c>
    </row>
    <row r="3954" spans="1:12">
      <c r="A3954">
        <v>103953</v>
      </c>
      <c r="B3954">
        <v>41</v>
      </c>
      <c r="C3954" s="2">
        <v>44300</v>
      </c>
      <c r="D3954" t="s">
        <v>22</v>
      </c>
      <c r="E3954" s="2">
        <v>0</v>
      </c>
      <c r="F3954" s="2">
        <v>0</v>
      </c>
      <c r="G3954" t="s">
        <v>28</v>
      </c>
      <c r="H3954" t="s">
        <v>14</v>
      </c>
      <c r="I3954" t="s">
        <v>18</v>
      </c>
      <c r="J3954" s="3">
        <v>45905</v>
      </c>
      <c r="K3954" s="4">
        <f>ClientiBanca[[#This Row],[Prestito]]+ClientiBanca[[#This Row],[Mutuo]]</f>
        <v>0</v>
      </c>
      <c r="L3954" t="str">
        <f>IF(ClientiBanca[[#This Row],[Reddito annuo]]&gt;=70000,"si","no")</f>
        <v>no</v>
      </c>
    </row>
    <row r="3955" spans="1:12">
      <c r="A3955">
        <v>103954</v>
      </c>
      <c r="B3955">
        <v>63</v>
      </c>
      <c r="C3955" s="2">
        <v>49800</v>
      </c>
      <c r="D3955" t="s">
        <v>21</v>
      </c>
      <c r="E3955" s="2">
        <v>0</v>
      </c>
      <c r="F3955" s="2">
        <v>0</v>
      </c>
      <c r="G3955" t="s">
        <v>28</v>
      </c>
      <c r="H3955" t="s">
        <v>14</v>
      </c>
      <c r="I3955" t="s">
        <v>18</v>
      </c>
      <c r="J3955" s="3">
        <v>46058</v>
      </c>
      <c r="K3955" s="4">
        <f>ClientiBanca[[#This Row],[Prestito]]+ClientiBanca[[#This Row],[Mutuo]]</f>
        <v>0</v>
      </c>
      <c r="L3955" t="str">
        <f>IF(ClientiBanca[[#This Row],[Reddito annuo]]&gt;=70000,"si","no")</f>
        <v>no</v>
      </c>
    </row>
    <row r="3956" spans="1:12">
      <c r="A3956">
        <v>103955</v>
      </c>
      <c r="B3956">
        <v>59</v>
      </c>
      <c r="C3956" s="2">
        <v>73800</v>
      </c>
      <c r="D3956" t="s">
        <v>21</v>
      </c>
      <c r="E3956" s="2">
        <v>50900</v>
      </c>
      <c r="F3956" s="2">
        <v>0</v>
      </c>
      <c r="G3956" t="s">
        <v>27</v>
      </c>
      <c r="H3956" t="s">
        <v>14</v>
      </c>
      <c r="I3956" t="s">
        <v>18</v>
      </c>
      <c r="J3956" s="3">
        <v>46006</v>
      </c>
      <c r="K3956" s="4">
        <f>ClientiBanca[[#This Row],[Prestito]]+ClientiBanca[[#This Row],[Mutuo]]</f>
        <v>50900</v>
      </c>
      <c r="L3956" t="str">
        <f>IF(ClientiBanca[[#This Row],[Reddito annuo]]&gt;=70000,"si","no")</f>
        <v>si</v>
      </c>
    </row>
    <row r="3957" spans="1:12">
      <c r="A3957">
        <v>103956</v>
      </c>
      <c r="B3957">
        <v>21</v>
      </c>
      <c r="C3957" s="2">
        <v>30400</v>
      </c>
      <c r="D3957" t="s">
        <v>12</v>
      </c>
      <c r="E3957" s="2">
        <v>31600</v>
      </c>
      <c r="F3957" s="2">
        <v>0</v>
      </c>
      <c r="G3957" t="s">
        <v>27</v>
      </c>
      <c r="H3957" t="s">
        <v>14</v>
      </c>
      <c r="I3957" t="s">
        <v>18</v>
      </c>
      <c r="J3957" s="3">
        <v>45568</v>
      </c>
      <c r="K3957" s="4">
        <f>ClientiBanca[[#This Row],[Prestito]]+ClientiBanca[[#This Row],[Mutuo]]</f>
        <v>31600</v>
      </c>
      <c r="L3957" t="str">
        <f>IF(ClientiBanca[[#This Row],[Reddito annuo]]&gt;=70000,"si","no")</f>
        <v>no</v>
      </c>
    </row>
    <row r="3958" spans="1:12">
      <c r="A3958">
        <v>103957</v>
      </c>
      <c r="B3958">
        <v>64</v>
      </c>
      <c r="C3958" s="2">
        <v>91600</v>
      </c>
      <c r="D3958" t="s">
        <v>21</v>
      </c>
      <c r="E3958" s="2">
        <v>29000</v>
      </c>
      <c r="F3958" s="2">
        <v>0</v>
      </c>
      <c r="G3958" t="s">
        <v>26</v>
      </c>
      <c r="H3958" t="s">
        <v>20</v>
      </c>
      <c r="I3958" t="s">
        <v>18</v>
      </c>
      <c r="J3958" s="3">
        <v>45924</v>
      </c>
      <c r="K3958" s="4">
        <f>ClientiBanca[[#This Row],[Prestito]]+ClientiBanca[[#This Row],[Mutuo]]</f>
        <v>29000</v>
      </c>
      <c r="L3958" t="str">
        <f>IF(ClientiBanca[[#This Row],[Reddito annuo]]&gt;=70000,"si","no")</f>
        <v>si</v>
      </c>
    </row>
    <row r="3959" spans="1:12">
      <c r="A3959">
        <v>103958</v>
      </c>
      <c r="B3959">
        <v>28</v>
      </c>
      <c r="C3959" s="2">
        <v>85800</v>
      </c>
      <c r="D3959" t="s">
        <v>12</v>
      </c>
      <c r="E3959" s="2">
        <v>21900</v>
      </c>
      <c r="F3959" s="2">
        <v>0</v>
      </c>
      <c r="G3959" t="s">
        <v>24</v>
      </c>
      <c r="H3959" t="s">
        <v>20</v>
      </c>
      <c r="I3959" t="s">
        <v>18</v>
      </c>
      <c r="J3959" s="3">
        <v>45475</v>
      </c>
      <c r="K3959" s="4">
        <f>ClientiBanca[[#This Row],[Prestito]]+ClientiBanca[[#This Row],[Mutuo]]</f>
        <v>21900</v>
      </c>
      <c r="L3959" t="str">
        <f>IF(ClientiBanca[[#This Row],[Reddito annuo]]&gt;=70000,"si","no")</f>
        <v>si</v>
      </c>
    </row>
    <row r="3960" spans="1:12">
      <c r="A3960">
        <v>103959</v>
      </c>
      <c r="B3960">
        <v>65</v>
      </c>
      <c r="C3960" s="2">
        <v>60000</v>
      </c>
      <c r="D3960" t="s">
        <v>22</v>
      </c>
      <c r="E3960" s="2">
        <v>0</v>
      </c>
      <c r="F3960" s="2">
        <v>0</v>
      </c>
      <c r="G3960" t="s">
        <v>16</v>
      </c>
      <c r="H3960" t="s">
        <v>17</v>
      </c>
      <c r="I3960" t="s">
        <v>18</v>
      </c>
      <c r="J3960" s="3">
        <v>46212</v>
      </c>
      <c r="K3960" s="4">
        <f>ClientiBanca[[#This Row],[Prestito]]+ClientiBanca[[#This Row],[Mutuo]]</f>
        <v>0</v>
      </c>
      <c r="L3960" t="str">
        <f>IF(ClientiBanca[[#This Row],[Reddito annuo]]&gt;=70000,"si","no")</f>
        <v>no</v>
      </c>
    </row>
    <row r="3961" spans="1:12">
      <c r="A3961">
        <v>103960</v>
      </c>
      <c r="B3961">
        <v>52</v>
      </c>
      <c r="C3961" s="2">
        <v>49300</v>
      </c>
      <c r="D3961" t="s">
        <v>21</v>
      </c>
      <c r="E3961" s="2">
        <v>10600</v>
      </c>
      <c r="F3961" s="2">
        <v>0</v>
      </c>
      <c r="G3961" t="s">
        <v>16</v>
      </c>
      <c r="H3961" t="s">
        <v>17</v>
      </c>
      <c r="I3961" t="s">
        <v>18</v>
      </c>
      <c r="J3961" s="3">
        <v>45647</v>
      </c>
      <c r="K3961" s="4">
        <f>ClientiBanca[[#This Row],[Prestito]]+ClientiBanca[[#This Row],[Mutuo]]</f>
        <v>10600</v>
      </c>
      <c r="L3961" t="str">
        <f>IF(ClientiBanca[[#This Row],[Reddito annuo]]&gt;=70000,"si","no")</f>
        <v>no</v>
      </c>
    </row>
    <row r="3962" spans="1:12">
      <c r="A3962">
        <v>103961</v>
      </c>
      <c r="B3962">
        <v>42</v>
      </c>
      <c r="C3962" s="2">
        <v>79600</v>
      </c>
      <c r="D3962" t="s">
        <v>21</v>
      </c>
      <c r="E3962" s="2">
        <v>57800</v>
      </c>
      <c r="F3962" s="2">
        <v>0</v>
      </c>
      <c r="G3962" t="s">
        <v>13</v>
      </c>
      <c r="H3962" t="s">
        <v>14</v>
      </c>
      <c r="I3962" t="s">
        <v>18</v>
      </c>
      <c r="J3962" s="3">
        <v>45888</v>
      </c>
      <c r="K3962" s="4">
        <f>ClientiBanca[[#This Row],[Prestito]]+ClientiBanca[[#This Row],[Mutuo]]</f>
        <v>57800</v>
      </c>
      <c r="L3962" t="str">
        <f>IF(ClientiBanca[[#This Row],[Reddito annuo]]&gt;=70000,"si","no")</f>
        <v>si</v>
      </c>
    </row>
    <row r="3963" spans="1:12">
      <c r="A3963">
        <v>103962</v>
      </c>
      <c r="B3963">
        <v>39</v>
      </c>
      <c r="C3963" s="2">
        <v>116100</v>
      </c>
      <c r="D3963" t="s">
        <v>12</v>
      </c>
      <c r="E3963" s="2">
        <v>49900</v>
      </c>
      <c r="F3963" s="2">
        <v>0</v>
      </c>
      <c r="G3963" t="s">
        <v>16</v>
      </c>
      <c r="H3963" t="s">
        <v>17</v>
      </c>
      <c r="I3963" t="s">
        <v>18</v>
      </c>
      <c r="J3963" s="3">
        <v>46195</v>
      </c>
      <c r="K3963" s="4">
        <f>ClientiBanca[[#This Row],[Prestito]]+ClientiBanca[[#This Row],[Mutuo]]</f>
        <v>49900</v>
      </c>
      <c r="L3963" t="str">
        <f>IF(ClientiBanca[[#This Row],[Reddito annuo]]&gt;=70000,"si","no")</f>
        <v>si</v>
      </c>
    </row>
    <row r="3964" spans="1:12">
      <c r="A3964">
        <v>103963</v>
      </c>
      <c r="B3964">
        <v>43</v>
      </c>
      <c r="C3964" s="2">
        <v>47700</v>
      </c>
      <c r="D3964" t="s">
        <v>12</v>
      </c>
      <c r="E3964" s="2">
        <v>59600</v>
      </c>
      <c r="F3964" s="2">
        <v>227000</v>
      </c>
      <c r="G3964" t="s">
        <v>16</v>
      </c>
      <c r="H3964" t="s">
        <v>25</v>
      </c>
      <c r="I3964" t="s">
        <v>15</v>
      </c>
      <c r="J3964" s="3">
        <v>45559</v>
      </c>
      <c r="K3964" s="4">
        <f>ClientiBanca[[#This Row],[Prestito]]+ClientiBanca[[#This Row],[Mutuo]]</f>
        <v>286600</v>
      </c>
      <c r="L3964" t="str">
        <f>IF(ClientiBanca[[#This Row],[Reddito annuo]]&gt;=70000,"si","no")</f>
        <v>no</v>
      </c>
    </row>
    <row r="3965" spans="1:12">
      <c r="A3965">
        <v>103964</v>
      </c>
      <c r="B3965">
        <v>43</v>
      </c>
      <c r="C3965" s="2">
        <v>103900</v>
      </c>
      <c r="D3965" t="s">
        <v>12</v>
      </c>
      <c r="E3965" s="2">
        <v>40100</v>
      </c>
      <c r="F3965" s="2">
        <v>131000</v>
      </c>
      <c r="G3965" t="s">
        <v>24</v>
      </c>
      <c r="H3965" t="s">
        <v>17</v>
      </c>
      <c r="I3965" t="s">
        <v>18</v>
      </c>
      <c r="J3965" s="3">
        <v>45873</v>
      </c>
      <c r="K3965" s="4">
        <f>ClientiBanca[[#This Row],[Prestito]]+ClientiBanca[[#This Row],[Mutuo]]</f>
        <v>171100</v>
      </c>
      <c r="L3965" t="str">
        <f>IF(ClientiBanca[[#This Row],[Reddito annuo]]&gt;=70000,"si","no")</f>
        <v>si</v>
      </c>
    </row>
    <row r="3966" spans="1:12">
      <c r="A3966">
        <v>103965</v>
      </c>
      <c r="B3966">
        <v>48</v>
      </c>
      <c r="C3966" s="2">
        <v>91000</v>
      </c>
      <c r="D3966" t="s">
        <v>22</v>
      </c>
      <c r="E3966" s="2">
        <v>51000</v>
      </c>
      <c r="F3966" s="2">
        <v>0</v>
      </c>
      <c r="G3966" t="s">
        <v>28</v>
      </c>
      <c r="H3966" t="s">
        <v>17</v>
      </c>
      <c r="I3966" t="s">
        <v>18</v>
      </c>
      <c r="J3966" s="3">
        <v>45876</v>
      </c>
      <c r="K3966" s="4">
        <f>ClientiBanca[[#This Row],[Prestito]]+ClientiBanca[[#This Row],[Mutuo]]</f>
        <v>51000</v>
      </c>
      <c r="L3966" t="str">
        <f>IF(ClientiBanca[[#This Row],[Reddito annuo]]&gt;=70000,"si","no")</f>
        <v>si</v>
      </c>
    </row>
    <row r="3967" spans="1:12">
      <c r="A3967">
        <v>103966</v>
      </c>
      <c r="B3967">
        <v>68</v>
      </c>
      <c r="C3967" s="2">
        <v>88700</v>
      </c>
      <c r="D3967" t="s">
        <v>12</v>
      </c>
      <c r="E3967" s="2">
        <v>0</v>
      </c>
      <c r="F3967" s="2">
        <v>0</v>
      </c>
      <c r="G3967" t="s">
        <v>13</v>
      </c>
      <c r="H3967" t="s">
        <v>17</v>
      </c>
      <c r="I3967" t="s">
        <v>18</v>
      </c>
      <c r="J3967" s="3">
        <v>46244</v>
      </c>
      <c r="K3967" s="4">
        <f>ClientiBanca[[#This Row],[Prestito]]+ClientiBanca[[#This Row],[Mutuo]]</f>
        <v>0</v>
      </c>
      <c r="L3967" t="str">
        <f>IF(ClientiBanca[[#This Row],[Reddito annuo]]&gt;=70000,"si","no")</f>
        <v>si</v>
      </c>
    </row>
    <row r="3968" spans="1:12">
      <c r="A3968">
        <v>103967</v>
      </c>
      <c r="B3968">
        <v>34</v>
      </c>
      <c r="C3968" s="2">
        <v>30500</v>
      </c>
      <c r="D3968" t="s">
        <v>21</v>
      </c>
      <c r="E3968" s="2">
        <v>21500</v>
      </c>
      <c r="F3968" s="2">
        <v>0</v>
      </c>
      <c r="G3968" t="s">
        <v>24</v>
      </c>
      <c r="H3968" t="s">
        <v>17</v>
      </c>
      <c r="I3968" t="s">
        <v>18</v>
      </c>
      <c r="J3968" s="3">
        <v>45868</v>
      </c>
      <c r="K3968" s="4">
        <f>ClientiBanca[[#This Row],[Prestito]]+ClientiBanca[[#This Row],[Mutuo]]</f>
        <v>21500</v>
      </c>
      <c r="L3968" t="str">
        <f>IF(ClientiBanca[[#This Row],[Reddito annuo]]&gt;=70000,"si","no")</f>
        <v>no</v>
      </c>
    </row>
    <row r="3969" spans="1:12">
      <c r="A3969">
        <v>103968</v>
      </c>
      <c r="B3969">
        <v>66</v>
      </c>
      <c r="C3969" s="2">
        <v>32500</v>
      </c>
      <c r="D3969" t="s">
        <v>21</v>
      </c>
      <c r="E3969" s="2">
        <v>40600</v>
      </c>
      <c r="F3969" s="2">
        <v>0</v>
      </c>
      <c r="G3969" t="s">
        <v>26</v>
      </c>
      <c r="H3969" t="s">
        <v>17</v>
      </c>
      <c r="I3969" t="s">
        <v>18</v>
      </c>
      <c r="J3969" s="3">
        <v>46076</v>
      </c>
      <c r="K3969" s="4">
        <f>ClientiBanca[[#This Row],[Prestito]]+ClientiBanca[[#This Row],[Mutuo]]</f>
        <v>40600</v>
      </c>
      <c r="L3969" t="str">
        <f>IF(ClientiBanca[[#This Row],[Reddito annuo]]&gt;=70000,"si","no")</f>
        <v>no</v>
      </c>
    </row>
    <row r="3970" spans="1:12">
      <c r="A3970">
        <v>103969</v>
      </c>
      <c r="B3970">
        <v>20</v>
      </c>
      <c r="C3970" s="2">
        <v>35200</v>
      </c>
      <c r="D3970" t="s">
        <v>21</v>
      </c>
      <c r="E3970" s="2">
        <v>0</v>
      </c>
      <c r="F3970" s="2">
        <v>0</v>
      </c>
      <c r="G3970" t="s">
        <v>13</v>
      </c>
      <c r="H3970" t="s">
        <v>14</v>
      </c>
      <c r="I3970" t="s">
        <v>18</v>
      </c>
      <c r="J3970" s="3">
        <v>45806</v>
      </c>
      <c r="K3970" s="4">
        <f>ClientiBanca[[#This Row],[Prestito]]+ClientiBanca[[#This Row],[Mutuo]]</f>
        <v>0</v>
      </c>
      <c r="L3970" t="str">
        <f>IF(ClientiBanca[[#This Row],[Reddito annuo]]&gt;=70000,"si","no")</f>
        <v>no</v>
      </c>
    </row>
    <row r="3971" spans="1:12">
      <c r="A3971">
        <v>103970</v>
      </c>
      <c r="B3971">
        <v>75</v>
      </c>
      <c r="C3971" s="2">
        <v>54700</v>
      </c>
      <c r="D3971" t="s">
        <v>21</v>
      </c>
      <c r="E3971" s="2">
        <v>6900</v>
      </c>
      <c r="F3971" s="2">
        <v>0</v>
      </c>
      <c r="G3971" t="s">
        <v>19</v>
      </c>
      <c r="H3971" t="s">
        <v>20</v>
      </c>
      <c r="I3971" t="s">
        <v>18</v>
      </c>
      <c r="J3971" s="3">
        <v>45722</v>
      </c>
      <c r="K3971" s="4">
        <f>ClientiBanca[[#This Row],[Prestito]]+ClientiBanca[[#This Row],[Mutuo]]</f>
        <v>6900</v>
      </c>
      <c r="L3971" t="str">
        <f>IF(ClientiBanca[[#This Row],[Reddito annuo]]&gt;=70000,"si","no")</f>
        <v>no</v>
      </c>
    </row>
    <row r="3972" spans="1:12">
      <c r="A3972">
        <v>103971</v>
      </c>
      <c r="B3972">
        <v>70</v>
      </c>
      <c r="C3972" s="2">
        <v>38100</v>
      </c>
      <c r="D3972" t="s">
        <v>21</v>
      </c>
      <c r="E3972" s="2">
        <v>25700</v>
      </c>
      <c r="F3972" s="2">
        <v>0</v>
      </c>
      <c r="G3972" t="s">
        <v>19</v>
      </c>
      <c r="H3972" t="s">
        <v>17</v>
      </c>
      <c r="I3972" t="s">
        <v>18</v>
      </c>
      <c r="J3972" s="3">
        <v>45927</v>
      </c>
      <c r="K3972" s="4">
        <f>ClientiBanca[[#This Row],[Prestito]]+ClientiBanca[[#This Row],[Mutuo]]</f>
        <v>25700</v>
      </c>
      <c r="L3972" t="str">
        <f>IF(ClientiBanca[[#This Row],[Reddito annuo]]&gt;=70000,"si","no")</f>
        <v>no</v>
      </c>
    </row>
    <row r="3973" spans="1:12">
      <c r="A3973">
        <v>103972</v>
      </c>
      <c r="B3973">
        <v>66</v>
      </c>
      <c r="C3973" s="2">
        <v>46300</v>
      </c>
      <c r="D3973" t="s">
        <v>12</v>
      </c>
      <c r="E3973" s="2">
        <v>54400</v>
      </c>
      <c r="F3973" s="2">
        <v>169000</v>
      </c>
      <c r="G3973" t="s">
        <v>27</v>
      </c>
      <c r="H3973" t="s">
        <v>14</v>
      </c>
      <c r="I3973" t="s">
        <v>18</v>
      </c>
      <c r="J3973" s="3">
        <v>45514</v>
      </c>
      <c r="K3973" s="4">
        <f>ClientiBanca[[#This Row],[Prestito]]+ClientiBanca[[#This Row],[Mutuo]]</f>
        <v>223400</v>
      </c>
      <c r="L3973" t="str">
        <f>IF(ClientiBanca[[#This Row],[Reddito annuo]]&gt;=70000,"si","no")</f>
        <v>no</v>
      </c>
    </row>
    <row r="3974" spans="1:12">
      <c r="A3974">
        <v>103973</v>
      </c>
      <c r="B3974">
        <v>74</v>
      </c>
      <c r="C3974" s="2">
        <v>79800</v>
      </c>
      <c r="D3974" t="s">
        <v>21</v>
      </c>
      <c r="E3974" s="2">
        <v>50400</v>
      </c>
      <c r="F3974" s="2">
        <v>0</v>
      </c>
      <c r="G3974" t="s">
        <v>24</v>
      </c>
      <c r="H3974" t="s">
        <v>17</v>
      </c>
      <c r="I3974" t="s">
        <v>18</v>
      </c>
      <c r="J3974" s="3">
        <v>46003</v>
      </c>
      <c r="K3974" s="4">
        <f>ClientiBanca[[#This Row],[Prestito]]+ClientiBanca[[#This Row],[Mutuo]]</f>
        <v>50400</v>
      </c>
      <c r="L3974" t="str">
        <f>IF(ClientiBanca[[#This Row],[Reddito annuo]]&gt;=70000,"si","no")</f>
        <v>si</v>
      </c>
    </row>
    <row r="3975" spans="1:12">
      <c r="A3975">
        <v>103974</v>
      </c>
      <c r="B3975">
        <v>44</v>
      </c>
      <c r="C3975" s="2">
        <v>41600</v>
      </c>
      <c r="D3975" t="s">
        <v>12</v>
      </c>
      <c r="E3975" s="2">
        <v>48200</v>
      </c>
      <c r="F3975" s="2">
        <v>0</v>
      </c>
      <c r="G3975" t="s">
        <v>16</v>
      </c>
      <c r="H3975" t="s">
        <v>20</v>
      </c>
      <c r="I3975" t="s">
        <v>18</v>
      </c>
      <c r="J3975" s="3">
        <v>45999</v>
      </c>
      <c r="K3975" s="4">
        <f>ClientiBanca[[#This Row],[Prestito]]+ClientiBanca[[#This Row],[Mutuo]]</f>
        <v>48200</v>
      </c>
      <c r="L3975" t="str">
        <f>IF(ClientiBanca[[#This Row],[Reddito annuo]]&gt;=70000,"si","no")</f>
        <v>no</v>
      </c>
    </row>
    <row r="3976" spans="1:12">
      <c r="A3976">
        <v>103975</v>
      </c>
      <c r="B3976">
        <v>68</v>
      </c>
      <c r="C3976" s="2">
        <v>38200</v>
      </c>
      <c r="D3976" t="s">
        <v>22</v>
      </c>
      <c r="E3976" s="2">
        <v>0</v>
      </c>
      <c r="F3976" s="2">
        <v>0</v>
      </c>
      <c r="G3976" t="s">
        <v>16</v>
      </c>
      <c r="H3976" t="s">
        <v>14</v>
      </c>
      <c r="I3976" t="s">
        <v>18</v>
      </c>
      <c r="J3976" s="3">
        <v>45980</v>
      </c>
      <c r="K3976" s="4">
        <f>ClientiBanca[[#This Row],[Prestito]]+ClientiBanca[[#This Row],[Mutuo]]</f>
        <v>0</v>
      </c>
      <c r="L3976" t="str">
        <f>IF(ClientiBanca[[#This Row],[Reddito annuo]]&gt;=70000,"si","no")</f>
        <v>no</v>
      </c>
    </row>
    <row r="3977" spans="1:12">
      <c r="A3977">
        <v>103976</v>
      </c>
      <c r="B3977">
        <v>65</v>
      </c>
      <c r="C3977" s="2">
        <v>77500</v>
      </c>
      <c r="D3977" t="s">
        <v>21</v>
      </c>
      <c r="E3977" s="2">
        <v>29000</v>
      </c>
      <c r="F3977" s="2">
        <v>112000</v>
      </c>
      <c r="G3977" t="s">
        <v>19</v>
      </c>
      <c r="H3977" t="s">
        <v>20</v>
      </c>
      <c r="I3977" t="s">
        <v>18</v>
      </c>
      <c r="J3977" s="3">
        <v>45972</v>
      </c>
      <c r="K3977" s="4">
        <f>ClientiBanca[[#This Row],[Prestito]]+ClientiBanca[[#This Row],[Mutuo]]</f>
        <v>141000</v>
      </c>
      <c r="L3977" t="str">
        <f>IF(ClientiBanca[[#This Row],[Reddito annuo]]&gt;=70000,"si","no")</f>
        <v>si</v>
      </c>
    </row>
    <row r="3978" spans="1:12">
      <c r="A3978">
        <v>103977</v>
      </c>
      <c r="B3978">
        <v>75</v>
      </c>
      <c r="C3978" s="2">
        <v>31100</v>
      </c>
      <c r="D3978" t="s">
        <v>21</v>
      </c>
      <c r="E3978" s="2">
        <v>17200</v>
      </c>
      <c r="F3978" s="2">
        <v>0</v>
      </c>
      <c r="G3978" t="s">
        <v>28</v>
      </c>
      <c r="H3978" t="s">
        <v>17</v>
      </c>
      <c r="I3978" t="s">
        <v>18</v>
      </c>
      <c r="J3978" s="3">
        <v>46120</v>
      </c>
      <c r="K3978" s="4">
        <f>ClientiBanca[[#This Row],[Prestito]]+ClientiBanca[[#This Row],[Mutuo]]</f>
        <v>17200</v>
      </c>
      <c r="L3978" t="str">
        <f>IF(ClientiBanca[[#This Row],[Reddito annuo]]&gt;=70000,"si","no")</f>
        <v>no</v>
      </c>
    </row>
    <row r="3979" spans="1:12">
      <c r="A3979">
        <v>103978</v>
      </c>
      <c r="B3979">
        <v>33</v>
      </c>
      <c r="C3979" s="2">
        <v>70200</v>
      </c>
      <c r="D3979" t="s">
        <v>21</v>
      </c>
      <c r="E3979" s="2">
        <v>27900</v>
      </c>
      <c r="F3979" s="2">
        <v>0</v>
      </c>
      <c r="G3979" t="s">
        <v>26</v>
      </c>
      <c r="H3979" t="s">
        <v>17</v>
      </c>
      <c r="I3979" t="s">
        <v>18</v>
      </c>
      <c r="J3979" s="3">
        <v>45957</v>
      </c>
      <c r="K3979" s="4">
        <f>ClientiBanca[[#This Row],[Prestito]]+ClientiBanca[[#This Row],[Mutuo]]</f>
        <v>27900</v>
      </c>
      <c r="L3979" t="str">
        <f>IF(ClientiBanca[[#This Row],[Reddito annuo]]&gt;=70000,"si","no")</f>
        <v>si</v>
      </c>
    </row>
    <row r="3980" spans="1:12">
      <c r="A3980">
        <v>103979</v>
      </c>
      <c r="B3980">
        <v>35</v>
      </c>
      <c r="C3980" s="2">
        <v>38600</v>
      </c>
      <c r="D3980" t="s">
        <v>22</v>
      </c>
      <c r="E3980" s="2">
        <v>34600</v>
      </c>
      <c r="F3980" s="2">
        <v>0</v>
      </c>
      <c r="G3980" t="s">
        <v>23</v>
      </c>
      <c r="H3980" t="s">
        <v>17</v>
      </c>
      <c r="I3980" t="s">
        <v>18</v>
      </c>
      <c r="J3980" s="3">
        <v>45917</v>
      </c>
      <c r="K3980" s="4">
        <f>ClientiBanca[[#This Row],[Prestito]]+ClientiBanca[[#This Row],[Mutuo]]</f>
        <v>34600</v>
      </c>
      <c r="L3980" t="str">
        <f>IF(ClientiBanca[[#This Row],[Reddito annuo]]&gt;=70000,"si","no")</f>
        <v>no</v>
      </c>
    </row>
    <row r="3981" spans="1:12">
      <c r="A3981">
        <v>103980</v>
      </c>
      <c r="B3981">
        <v>23</v>
      </c>
      <c r="C3981" s="2">
        <v>77200</v>
      </c>
      <c r="D3981" t="s">
        <v>12</v>
      </c>
      <c r="E3981" s="2">
        <v>81200</v>
      </c>
      <c r="F3981" s="2">
        <v>154000</v>
      </c>
      <c r="G3981" t="s">
        <v>19</v>
      </c>
      <c r="H3981" t="s">
        <v>20</v>
      </c>
      <c r="I3981" t="s">
        <v>18</v>
      </c>
      <c r="J3981" s="3">
        <v>45494</v>
      </c>
      <c r="K3981" s="4">
        <f>ClientiBanca[[#This Row],[Prestito]]+ClientiBanca[[#This Row],[Mutuo]]</f>
        <v>235200</v>
      </c>
      <c r="L3981" t="str">
        <f>IF(ClientiBanca[[#This Row],[Reddito annuo]]&gt;=70000,"si","no")</f>
        <v>si</v>
      </c>
    </row>
    <row r="3982" spans="1:12">
      <c r="A3982">
        <v>103981</v>
      </c>
      <c r="B3982">
        <v>62</v>
      </c>
      <c r="C3982" s="2">
        <v>79600</v>
      </c>
      <c r="D3982" t="s">
        <v>12</v>
      </c>
      <c r="E3982" s="2">
        <v>21100</v>
      </c>
      <c r="F3982" s="2">
        <v>0</v>
      </c>
      <c r="G3982" t="s">
        <v>28</v>
      </c>
      <c r="H3982" t="s">
        <v>14</v>
      </c>
      <c r="I3982" t="s">
        <v>18</v>
      </c>
      <c r="J3982" s="3">
        <v>45754</v>
      </c>
      <c r="K3982" s="4">
        <f>ClientiBanca[[#This Row],[Prestito]]+ClientiBanca[[#This Row],[Mutuo]]</f>
        <v>21100</v>
      </c>
      <c r="L3982" t="str">
        <f>IF(ClientiBanca[[#This Row],[Reddito annuo]]&gt;=70000,"si","no")</f>
        <v>si</v>
      </c>
    </row>
    <row r="3983" spans="1:12">
      <c r="A3983">
        <v>103982</v>
      </c>
      <c r="B3983">
        <v>73</v>
      </c>
      <c r="C3983" s="2">
        <v>34200</v>
      </c>
      <c r="D3983" t="s">
        <v>12</v>
      </c>
      <c r="E3983" s="2">
        <v>42800</v>
      </c>
      <c r="F3983" s="2">
        <v>0</v>
      </c>
      <c r="G3983" t="s">
        <v>23</v>
      </c>
      <c r="H3983" t="s">
        <v>20</v>
      </c>
      <c r="I3983" t="s">
        <v>18</v>
      </c>
      <c r="J3983" s="3">
        <v>45757</v>
      </c>
      <c r="K3983" s="4">
        <f>ClientiBanca[[#This Row],[Prestito]]+ClientiBanca[[#This Row],[Mutuo]]</f>
        <v>42800</v>
      </c>
      <c r="L3983" t="str">
        <f>IF(ClientiBanca[[#This Row],[Reddito annuo]]&gt;=70000,"si","no")</f>
        <v>no</v>
      </c>
    </row>
    <row r="3984" spans="1:12">
      <c r="A3984">
        <v>103983</v>
      </c>
      <c r="B3984">
        <v>55</v>
      </c>
      <c r="C3984" s="2">
        <v>30900</v>
      </c>
      <c r="D3984" t="s">
        <v>12</v>
      </c>
      <c r="E3984" s="2">
        <v>38600</v>
      </c>
      <c r="F3984" s="2">
        <v>0</v>
      </c>
      <c r="G3984" t="s">
        <v>24</v>
      </c>
      <c r="H3984" t="s">
        <v>17</v>
      </c>
      <c r="I3984" t="s">
        <v>18</v>
      </c>
      <c r="J3984" s="3">
        <v>45591</v>
      </c>
      <c r="K3984" s="4">
        <f>ClientiBanca[[#This Row],[Prestito]]+ClientiBanca[[#This Row],[Mutuo]]</f>
        <v>38600</v>
      </c>
      <c r="L3984" t="str">
        <f>IF(ClientiBanca[[#This Row],[Reddito annuo]]&gt;=70000,"si","no")</f>
        <v>no</v>
      </c>
    </row>
    <row r="3985" spans="1:12">
      <c r="A3985">
        <v>103984</v>
      </c>
      <c r="B3985">
        <v>70</v>
      </c>
      <c r="C3985" s="2">
        <v>62800</v>
      </c>
      <c r="D3985" t="s">
        <v>21</v>
      </c>
      <c r="E3985" s="2">
        <v>54300</v>
      </c>
      <c r="F3985" s="2">
        <v>0</v>
      </c>
      <c r="G3985" t="s">
        <v>23</v>
      </c>
      <c r="H3985" t="s">
        <v>17</v>
      </c>
      <c r="I3985" t="s">
        <v>18</v>
      </c>
      <c r="J3985" s="3">
        <v>46223</v>
      </c>
      <c r="K3985" s="4">
        <f>ClientiBanca[[#This Row],[Prestito]]+ClientiBanca[[#This Row],[Mutuo]]</f>
        <v>54300</v>
      </c>
      <c r="L3985" t="str">
        <f>IF(ClientiBanca[[#This Row],[Reddito annuo]]&gt;=70000,"si","no")</f>
        <v>no</v>
      </c>
    </row>
    <row r="3986" spans="1:12">
      <c r="A3986">
        <v>103985</v>
      </c>
      <c r="B3986">
        <v>20</v>
      </c>
      <c r="C3986" s="2">
        <v>99700</v>
      </c>
      <c r="D3986" t="s">
        <v>21</v>
      </c>
      <c r="E3986" s="2">
        <v>38900</v>
      </c>
      <c r="F3986" s="2">
        <v>0</v>
      </c>
      <c r="G3986" t="s">
        <v>16</v>
      </c>
      <c r="H3986" t="s">
        <v>20</v>
      </c>
      <c r="I3986" t="s">
        <v>18</v>
      </c>
      <c r="J3986" s="3">
        <v>45701</v>
      </c>
      <c r="K3986" s="4">
        <f>ClientiBanca[[#This Row],[Prestito]]+ClientiBanca[[#This Row],[Mutuo]]</f>
        <v>38900</v>
      </c>
      <c r="L3986" t="str">
        <f>IF(ClientiBanca[[#This Row],[Reddito annuo]]&gt;=70000,"si","no")</f>
        <v>si</v>
      </c>
    </row>
    <row r="3987" spans="1:12">
      <c r="A3987">
        <v>103986</v>
      </c>
      <c r="B3987">
        <v>66</v>
      </c>
      <c r="C3987" s="2">
        <v>33100</v>
      </c>
      <c r="D3987" t="s">
        <v>22</v>
      </c>
      <c r="E3987" s="2">
        <v>41400</v>
      </c>
      <c r="F3987" s="2">
        <v>0</v>
      </c>
      <c r="G3987" t="s">
        <v>24</v>
      </c>
      <c r="H3987" t="s">
        <v>25</v>
      </c>
      <c r="I3987" t="s">
        <v>18</v>
      </c>
      <c r="J3987" s="3">
        <v>46116</v>
      </c>
      <c r="K3987" s="4">
        <f>ClientiBanca[[#This Row],[Prestito]]+ClientiBanca[[#This Row],[Mutuo]]</f>
        <v>41400</v>
      </c>
      <c r="L3987" t="str">
        <f>IF(ClientiBanca[[#This Row],[Reddito annuo]]&gt;=70000,"si","no")</f>
        <v>no</v>
      </c>
    </row>
    <row r="3988" spans="1:12">
      <c r="A3988">
        <v>103987</v>
      </c>
      <c r="B3988">
        <v>68</v>
      </c>
      <c r="C3988" s="2">
        <v>52300</v>
      </c>
      <c r="D3988" t="s">
        <v>22</v>
      </c>
      <c r="E3988" s="2">
        <v>43400</v>
      </c>
      <c r="F3988" s="2">
        <v>0</v>
      </c>
      <c r="G3988" t="s">
        <v>27</v>
      </c>
      <c r="H3988" t="s">
        <v>14</v>
      </c>
      <c r="I3988" t="s">
        <v>18</v>
      </c>
      <c r="J3988" s="3">
        <v>45868</v>
      </c>
      <c r="K3988" s="4">
        <f>ClientiBanca[[#This Row],[Prestito]]+ClientiBanca[[#This Row],[Mutuo]]</f>
        <v>43400</v>
      </c>
      <c r="L3988" t="str">
        <f>IF(ClientiBanca[[#This Row],[Reddito annuo]]&gt;=70000,"si","no")</f>
        <v>no</v>
      </c>
    </row>
    <row r="3989" spans="1:12">
      <c r="A3989">
        <v>103988</v>
      </c>
      <c r="B3989">
        <v>39</v>
      </c>
      <c r="C3989" s="2">
        <v>64300</v>
      </c>
      <c r="D3989" t="s">
        <v>21</v>
      </c>
      <c r="E3989" s="2">
        <v>0</v>
      </c>
      <c r="F3989" s="2">
        <v>305000</v>
      </c>
      <c r="G3989" t="s">
        <v>26</v>
      </c>
      <c r="H3989" t="s">
        <v>14</v>
      </c>
      <c r="I3989" t="s">
        <v>18</v>
      </c>
      <c r="J3989" s="3">
        <v>45619</v>
      </c>
      <c r="K3989" s="4">
        <f>ClientiBanca[[#This Row],[Prestito]]+ClientiBanca[[#This Row],[Mutuo]]</f>
        <v>305000</v>
      </c>
      <c r="L3989" t="str">
        <f>IF(ClientiBanca[[#This Row],[Reddito annuo]]&gt;=70000,"si","no")</f>
        <v>no</v>
      </c>
    </row>
    <row r="3990" spans="1:12">
      <c r="A3990">
        <v>103989</v>
      </c>
      <c r="B3990">
        <v>49</v>
      </c>
      <c r="C3990" s="2">
        <v>58400</v>
      </c>
      <c r="D3990" t="s">
        <v>12</v>
      </c>
      <c r="E3990" s="2">
        <v>28100</v>
      </c>
      <c r="F3990" s="2">
        <v>0</v>
      </c>
      <c r="G3990" t="s">
        <v>23</v>
      </c>
      <c r="H3990" t="s">
        <v>14</v>
      </c>
      <c r="I3990" t="s">
        <v>18</v>
      </c>
      <c r="J3990" s="3">
        <v>45739</v>
      </c>
      <c r="K3990" s="4">
        <f>ClientiBanca[[#This Row],[Prestito]]+ClientiBanca[[#This Row],[Mutuo]]</f>
        <v>28100</v>
      </c>
      <c r="L3990" t="str">
        <f>IF(ClientiBanca[[#This Row],[Reddito annuo]]&gt;=70000,"si","no")</f>
        <v>no</v>
      </c>
    </row>
    <row r="3991" spans="1:12">
      <c r="A3991">
        <v>103990</v>
      </c>
      <c r="B3991">
        <v>41</v>
      </c>
      <c r="C3991" s="2">
        <v>69200</v>
      </c>
      <c r="D3991" t="s">
        <v>21</v>
      </c>
      <c r="E3991" s="2">
        <v>0</v>
      </c>
      <c r="F3991" s="2">
        <v>0</v>
      </c>
      <c r="G3991" t="s">
        <v>27</v>
      </c>
      <c r="H3991" t="s">
        <v>17</v>
      </c>
      <c r="I3991" t="s">
        <v>18</v>
      </c>
      <c r="J3991" s="3">
        <v>45888</v>
      </c>
      <c r="K3991" s="4">
        <f>ClientiBanca[[#This Row],[Prestito]]+ClientiBanca[[#This Row],[Mutuo]]</f>
        <v>0</v>
      </c>
      <c r="L3991" t="str">
        <f>IF(ClientiBanca[[#This Row],[Reddito annuo]]&gt;=70000,"si","no")</f>
        <v>no</v>
      </c>
    </row>
    <row r="3992" spans="1:12">
      <c r="A3992">
        <v>103991</v>
      </c>
      <c r="B3992">
        <v>74</v>
      </c>
      <c r="C3992" s="2">
        <v>33600</v>
      </c>
      <c r="D3992" t="s">
        <v>21</v>
      </c>
      <c r="E3992" s="2">
        <v>28400</v>
      </c>
      <c r="F3992" s="2">
        <v>0</v>
      </c>
      <c r="G3992" t="s">
        <v>23</v>
      </c>
      <c r="H3992" t="s">
        <v>20</v>
      </c>
      <c r="I3992" t="s">
        <v>18</v>
      </c>
      <c r="J3992" s="3">
        <v>46005</v>
      </c>
      <c r="K3992" s="4">
        <f>ClientiBanca[[#This Row],[Prestito]]+ClientiBanca[[#This Row],[Mutuo]]</f>
        <v>28400</v>
      </c>
      <c r="L3992" t="str">
        <f>IF(ClientiBanca[[#This Row],[Reddito annuo]]&gt;=70000,"si","no")</f>
        <v>no</v>
      </c>
    </row>
    <row r="3993" spans="1:12">
      <c r="A3993">
        <v>103992</v>
      </c>
      <c r="B3993">
        <v>61</v>
      </c>
      <c r="C3993" s="2">
        <v>113700</v>
      </c>
      <c r="D3993" t="s">
        <v>12</v>
      </c>
      <c r="E3993" s="2">
        <v>69800</v>
      </c>
      <c r="F3993" s="2">
        <v>0</v>
      </c>
      <c r="G3993" t="s">
        <v>23</v>
      </c>
      <c r="H3993" t="s">
        <v>20</v>
      </c>
      <c r="I3993" t="s">
        <v>15</v>
      </c>
      <c r="J3993" s="3">
        <v>45411</v>
      </c>
      <c r="K3993" s="4">
        <f>ClientiBanca[[#This Row],[Prestito]]+ClientiBanca[[#This Row],[Mutuo]]</f>
        <v>69800</v>
      </c>
      <c r="L3993" t="str">
        <f>IF(ClientiBanca[[#This Row],[Reddito annuo]]&gt;=70000,"si","no")</f>
        <v>si</v>
      </c>
    </row>
    <row r="3994" spans="1:12">
      <c r="A3994">
        <v>103993</v>
      </c>
      <c r="B3994">
        <v>57</v>
      </c>
      <c r="C3994" s="2">
        <v>83500</v>
      </c>
      <c r="D3994" t="s">
        <v>21</v>
      </c>
      <c r="E3994" s="2">
        <v>8600</v>
      </c>
      <c r="F3994" s="2">
        <v>0</v>
      </c>
      <c r="G3994" t="s">
        <v>19</v>
      </c>
      <c r="H3994" t="s">
        <v>17</v>
      </c>
      <c r="I3994" t="s">
        <v>18</v>
      </c>
      <c r="J3994" s="3">
        <v>46014</v>
      </c>
      <c r="K3994" s="4">
        <f>ClientiBanca[[#This Row],[Prestito]]+ClientiBanca[[#This Row],[Mutuo]]</f>
        <v>8600</v>
      </c>
      <c r="L3994" t="str">
        <f>IF(ClientiBanca[[#This Row],[Reddito annuo]]&gt;=70000,"si","no")</f>
        <v>si</v>
      </c>
    </row>
    <row r="3995" spans="1:12">
      <c r="A3995">
        <v>103994</v>
      </c>
      <c r="B3995">
        <v>53</v>
      </c>
      <c r="C3995" s="2">
        <v>59300</v>
      </c>
      <c r="D3995" t="s">
        <v>21</v>
      </c>
      <c r="E3995" s="2">
        <v>0</v>
      </c>
      <c r="F3995" s="2">
        <v>247000</v>
      </c>
      <c r="G3995" t="s">
        <v>27</v>
      </c>
      <c r="H3995" t="s">
        <v>14</v>
      </c>
      <c r="I3995" t="s">
        <v>18</v>
      </c>
      <c r="J3995" s="3">
        <v>46216</v>
      </c>
      <c r="K3995" s="4">
        <f>ClientiBanca[[#This Row],[Prestito]]+ClientiBanca[[#This Row],[Mutuo]]</f>
        <v>247000</v>
      </c>
      <c r="L3995" t="str">
        <f>IF(ClientiBanca[[#This Row],[Reddito annuo]]&gt;=70000,"si","no")</f>
        <v>no</v>
      </c>
    </row>
    <row r="3996" spans="1:12">
      <c r="A3996">
        <v>103995</v>
      </c>
      <c r="B3996">
        <v>34</v>
      </c>
      <c r="C3996" s="2">
        <v>103100</v>
      </c>
      <c r="D3996" t="s">
        <v>12</v>
      </c>
      <c r="E3996" s="2">
        <v>36600</v>
      </c>
      <c r="F3996" s="2">
        <v>0</v>
      </c>
      <c r="G3996" t="s">
        <v>24</v>
      </c>
      <c r="H3996" t="s">
        <v>20</v>
      </c>
      <c r="I3996" t="s">
        <v>18</v>
      </c>
      <c r="J3996" s="3">
        <v>45924</v>
      </c>
      <c r="K3996" s="4">
        <f>ClientiBanca[[#This Row],[Prestito]]+ClientiBanca[[#This Row],[Mutuo]]</f>
        <v>36600</v>
      </c>
      <c r="L3996" t="str">
        <f>IF(ClientiBanca[[#This Row],[Reddito annuo]]&gt;=70000,"si","no")</f>
        <v>si</v>
      </c>
    </row>
    <row r="3997" spans="1:12">
      <c r="A3997">
        <v>103996</v>
      </c>
      <c r="B3997">
        <v>47</v>
      </c>
      <c r="C3997" s="2">
        <v>52800</v>
      </c>
      <c r="D3997" t="s">
        <v>21</v>
      </c>
      <c r="E3997" s="2">
        <v>0</v>
      </c>
      <c r="F3997" s="2">
        <v>0</v>
      </c>
      <c r="G3997" t="s">
        <v>27</v>
      </c>
      <c r="H3997" t="s">
        <v>20</v>
      </c>
      <c r="I3997" t="s">
        <v>18</v>
      </c>
      <c r="J3997" s="3">
        <v>45746</v>
      </c>
      <c r="K3997" s="4">
        <f>ClientiBanca[[#This Row],[Prestito]]+ClientiBanca[[#This Row],[Mutuo]]</f>
        <v>0</v>
      </c>
      <c r="L3997" t="str">
        <f>IF(ClientiBanca[[#This Row],[Reddito annuo]]&gt;=70000,"si","no")</f>
        <v>no</v>
      </c>
    </row>
    <row r="3998" spans="1:12">
      <c r="A3998">
        <v>103997</v>
      </c>
      <c r="B3998">
        <v>34</v>
      </c>
      <c r="C3998" s="2">
        <v>46700</v>
      </c>
      <c r="D3998" t="s">
        <v>21</v>
      </c>
      <c r="E3998" s="2">
        <v>58400</v>
      </c>
      <c r="F3998" s="2">
        <v>0</v>
      </c>
      <c r="G3998" t="s">
        <v>28</v>
      </c>
      <c r="H3998" t="s">
        <v>20</v>
      </c>
      <c r="I3998" t="s">
        <v>18</v>
      </c>
      <c r="J3998" s="3">
        <v>45885</v>
      </c>
      <c r="K3998" s="4">
        <f>ClientiBanca[[#This Row],[Prestito]]+ClientiBanca[[#This Row],[Mutuo]]</f>
        <v>58400</v>
      </c>
      <c r="L3998" t="str">
        <f>IF(ClientiBanca[[#This Row],[Reddito annuo]]&gt;=70000,"si","no")</f>
        <v>no</v>
      </c>
    </row>
    <row r="3999" spans="1:12">
      <c r="A3999">
        <v>103998</v>
      </c>
      <c r="B3999">
        <v>60</v>
      </c>
      <c r="C3999" s="2">
        <v>75300</v>
      </c>
      <c r="D3999" t="s">
        <v>21</v>
      </c>
      <c r="E3999" s="2">
        <v>24700</v>
      </c>
      <c r="F3999" s="2">
        <v>0</v>
      </c>
      <c r="G3999" t="s">
        <v>23</v>
      </c>
      <c r="H3999" t="s">
        <v>17</v>
      </c>
      <c r="I3999" t="s">
        <v>18</v>
      </c>
      <c r="J3999" s="3">
        <v>45326</v>
      </c>
      <c r="K3999" s="4">
        <f>ClientiBanca[[#This Row],[Prestito]]+ClientiBanca[[#This Row],[Mutuo]]</f>
        <v>24700</v>
      </c>
      <c r="L3999" t="str">
        <f>IF(ClientiBanca[[#This Row],[Reddito annuo]]&gt;=70000,"si","no")</f>
        <v>si</v>
      </c>
    </row>
    <row r="4000" spans="1:12">
      <c r="A4000">
        <v>103999</v>
      </c>
      <c r="B4000">
        <v>40</v>
      </c>
      <c r="C4000" s="2">
        <v>44600</v>
      </c>
      <c r="D4000" t="s">
        <v>12</v>
      </c>
      <c r="E4000" s="2">
        <v>20800</v>
      </c>
      <c r="F4000" s="2">
        <v>0</v>
      </c>
      <c r="G4000" t="s">
        <v>27</v>
      </c>
      <c r="H4000" t="s">
        <v>14</v>
      </c>
      <c r="I4000" t="s">
        <v>18</v>
      </c>
      <c r="J4000" s="3">
        <v>45641</v>
      </c>
      <c r="K4000" s="4">
        <f>ClientiBanca[[#This Row],[Prestito]]+ClientiBanca[[#This Row],[Mutuo]]</f>
        <v>20800</v>
      </c>
      <c r="L4000" t="str">
        <f>IF(ClientiBanca[[#This Row],[Reddito annuo]]&gt;=70000,"si","no")</f>
        <v>no</v>
      </c>
    </row>
    <row r="4001" spans="1:12">
      <c r="A4001">
        <v>104000</v>
      </c>
      <c r="B4001">
        <v>37</v>
      </c>
      <c r="C4001" s="2">
        <v>119000</v>
      </c>
      <c r="D4001" t="s">
        <v>22</v>
      </c>
      <c r="E4001" s="2">
        <v>33400</v>
      </c>
      <c r="F4001" s="2">
        <v>0</v>
      </c>
      <c r="G4001" t="s">
        <v>27</v>
      </c>
      <c r="H4001" t="s">
        <v>17</v>
      </c>
      <c r="I4001" t="s">
        <v>18</v>
      </c>
      <c r="J4001" s="3">
        <v>45806</v>
      </c>
      <c r="K4001" s="4">
        <f>ClientiBanca[[#This Row],[Prestito]]+ClientiBanca[[#This Row],[Mutuo]]</f>
        <v>33400</v>
      </c>
      <c r="L4001" t="str">
        <f>IF(ClientiBanca[[#This Row],[Reddito annuo]]&gt;=70000,"si","no")</f>
        <v>si</v>
      </c>
    </row>
    <row r="4002" spans="1:12">
      <c r="A4002">
        <v>104001</v>
      </c>
      <c r="B4002">
        <v>47</v>
      </c>
      <c r="C4002" s="2">
        <v>62200</v>
      </c>
      <c r="D4002" t="s">
        <v>21</v>
      </c>
      <c r="E4002" s="2">
        <v>19400</v>
      </c>
      <c r="F4002" s="2">
        <v>366000</v>
      </c>
      <c r="G4002" t="s">
        <v>24</v>
      </c>
      <c r="H4002" t="s">
        <v>17</v>
      </c>
      <c r="I4002" t="s">
        <v>18</v>
      </c>
      <c r="J4002" s="3">
        <v>45422</v>
      </c>
      <c r="K4002" s="4">
        <f>ClientiBanca[[#This Row],[Prestito]]+ClientiBanca[[#This Row],[Mutuo]]</f>
        <v>385400</v>
      </c>
      <c r="L4002" t="str">
        <f>IF(ClientiBanca[[#This Row],[Reddito annuo]]&gt;=70000,"si","no")</f>
        <v>no</v>
      </c>
    </row>
    <row r="4003" spans="1:12">
      <c r="A4003">
        <v>104002</v>
      </c>
      <c r="B4003">
        <v>40</v>
      </c>
      <c r="C4003" s="2">
        <v>45300</v>
      </c>
      <c r="D4003" t="s">
        <v>21</v>
      </c>
      <c r="E4003" s="2">
        <v>10300</v>
      </c>
      <c r="F4003" s="2">
        <v>174000</v>
      </c>
      <c r="G4003" t="s">
        <v>27</v>
      </c>
      <c r="H4003" t="s">
        <v>17</v>
      </c>
      <c r="I4003" t="s">
        <v>18</v>
      </c>
      <c r="J4003" s="3">
        <v>46090</v>
      </c>
      <c r="K4003" s="4">
        <f>ClientiBanca[[#This Row],[Prestito]]+ClientiBanca[[#This Row],[Mutuo]]</f>
        <v>184300</v>
      </c>
      <c r="L4003" t="str">
        <f>IF(ClientiBanca[[#This Row],[Reddito annuo]]&gt;=70000,"si","no")</f>
        <v>no</v>
      </c>
    </row>
    <row r="4004" spans="1:12">
      <c r="A4004">
        <v>104003</v>
      </c>
      <c r="B4004">
        <v>38</v>
      </c>
      <c r="C4004" s="2">
        <v>52200</v>
      </c>
      <c r="D4004" t="s">
        <v>22</v>
      </c>
      <c r="E4004" s="2">
        <v>31900</v>
      </c>
      <c r="F4004" s="2">
        <v>0</v>
      </c>
      <c r="G4004" t="s">
        <v>27</v>
      </c>
      <c r="H4004" t="s">
        <v>20</v>
      </c>
      <c r="I4004" t="s">
        <v>18</v>
      </c>
      <c r="J4004" s="3">
        <v>45979</v>
      </c>
      <c r="K4004" s="4">
        <f>ClientiBanca[[#This Row],[Prestito]]+ClientiBanca[[#This Row],[Mutuo]]</f>
        <v>31900</v>
      </c>
      <c r="L4004" t="str">
        <f>IF(ClientiBanca[[#This Row],[Reddito annuo]]&gt;=70000,"si","no")</f>
        <v>no</v>
      </c>
    </row>
    <row r="4005" spans="1:12">
      <c r="A4005">
        <v>104004</v>
      </c>
      <c r="B4005">
        <v>23</v>
      </c>
      <c r="C4005" s="2">
        <v>111700</v>
      </c>
      <c r="D4005" t="s">
        <v>22</v>
      </c>
      <c r="E4005" s="2">
        <v>34800</v>
      </c>
      <c r="F4005" s="2">
        <v>0</v>
      </c>
      <c r="G4005" t="s">
        <v>26</v>
      </c>
      <c r="H4005" t="s">
        <v>20</v>
      </c>
      <c r="I4005" t="s">
        <v>18</v>
      </c>
      <c r="J4005" s="3">
        <v>46018</v>
      </c>
      <c r="K4005" s="4">
        <f>ClientiBanca[[#This Row],[Prestito]]+ClientiBanca[[#This Row],[Mutuo]]</f>
        <v>34800</v>
      </c>
      <c r="L4005" t="str">
        <f>IF(ClientiBanca[[#This Row],[Reddito annuo]]&gt;=70000,"si","no")</f>
        <v>si</v>
      </c>
    </row>
    <row r="4006" spans="1:12">
      <c r="A4006">
        <v>104005</v>
      </c>
      <c r="B4006">
        <v>34</v>
      </c>
      <c r="C4006" s="2">
        <v>69700</v>
      </c>
      <c r="D4006" t="s">
        <v>12</v>
      </c>
      <c r="E4006" s="2">
        <v>58600</v>
      </c>
      <c r="F4006" s="2">
        <v>0</v>
      </c>
      <c r="G4006" t="s">
        <v>23</v>
      </c>
      <c r="H4006" t="s">
        <v>14</v>
      </c>
      <c r="I4006" t="s">
        <v>18</v>
      </c>
      <c r="J4006" s="3">
        <v>45325</v>
      </c>
      <c r="K4006" s="4">
        <f>ClientiBanca[[#This Row],[Prestito]]+ClientiBanca[[#This Row],[Mutuo]]</f>
        <v>58600</v>
      </c>
      <c r="L4006" t="str">
        <f>IF(ClientiBanca[[#This Row],[Reddito annuo]]&gt;=70000,"si","no")</f>
        <v>no</v>
      </c>
    </row>
    <row r="4007" spans="1:12">
      <c r="A4007">
        <v>104006</v>
      </c>
      <c r="B4007">
        <v>55</v>
      </c>
      <c r="C4007" s="2">
        <v>67600</v>
      </c>
      <c r="D4007" t="s">
        <v>21</v>
      </c>
      <c r="E4007" s="2">
        <v>35500</v>
      </c>
      <c r="F4007" s="2">
        <v>0</v>
      </c>
      <c r="G4007" t="s">
        <v>16</v>
      </c>
      <c r="H4007" t="s">
        <v>17</v>
      </c>
      <c r="I4007" t="s">
        <v>18</v>
      </c>
      <c r="J4007" s="3">
        <v>45438</v>
      </c>
      <c r="K4007" s="4">
        <f>ClientiBanca[[#This Row],[Prestito]]+ClientiBanca[[#This Row],[Mutuo]]</f>
        <v>35500</v>
      </c>
      <c r="L4007" t="str">
        <f>IF(ClientiBanca[[#This Row],[Reddito annuo]]&gt;=70000,"si","no")</f>
        <v>no</v>
      </c>
    </row>
    <row r="4008" spans="1:12">
      <c r="A4008">
        <v>104007</v>
      </c>
      <c r="B4008">
        <v>26</v>
      </c>
      <c r="C4008" s="2">
        <v>41300</v>
      </c>
      <c r="D4008" t="s">
        <v>21</v>
      </c>
      <c r="E4008" s="2">
        <v>51600</v>
      </c>
      <c r="F4008" s="2">
        <v>0</v>
      </c>
      <c r="G4008" t="s">
        <v>26</v>
      </c>
      <c r="H4008" t="s">
        <v>14</v>
      </c>
      <c r="I4008" t="s">
        <v>18</v>
      </c>
      <c r="J4008" s="3">
        <v>45659</v>
      </c>
      <c r="K4008" s="4">
        <f>ClientiBanca[[#This Row],[Prestito]]+ClientiBanca[[#This Row],[Mutuo]]</f>
        <v>51600</v>
      </c>
      <c r="L4008" t="str">
        <f>IF(ClientiBanca[[#This Row],[Reddito annuo]]&gt;=70000,"si","no")</f>
        <v>no</v>
      </c>
    </row>
    <row r="4009" spans="1:12">
      <c r="A4009">
        <v>104008</v>
      </c>
      <c r="B4009">
        <v>60</v>
      </c>
      <c r="C4009" s="2">
        <v>31500</v>
      </c>
      <c r="D4009" t="s">
        <v>21</v>
      </c>
      <c r="E4009" s="2">
        <v>0</v>
      </c>
      <c r="F4009" s="2">
        <v>0</v>
      </c>
      <c r="G4009" t="s">
        <v>23</v>
      </c>
      <c r="H4009" t="s">
        <v>14</v>
      </c>
      <c r="I4009" t="s">
        <v>18</v>
      </c>
      <c r="J4009" s="3">
        <v>45907</v>
      </c>
      <c r="K4009" s="4">
        <f>ClientiBanca[[#This Row],[Prestito]]+ClientiBanca[[#This Row],[Mutuo]]</f>
        <v>0</v>
      </c>
      <c r="L4009" t="str">
        <f>IF(ClientiBanca[[#This Row],[Reddito annuo]]&gt;=70000,"si","no")</f>
        <v>no</v>
      </c>
    </row>
    <row r="4010" spans="1:12">
      <c r="A4010">
        <v>104009</v>
      </c>
      <c r="B4010">
        <v>39</v>
      </c>
      <c r="C4010" s="2">
        <v>92800</v>
      </c>
      <c r="D4010" t="s">
        <v>21</v>
      </c>
      <c r="E4010" s="2">
        <v>43700</v>
      </c>
      <c r="F4010" s="2">
        <v>0</v>
      </c>
      <c r="G4010" t="s">
        <v>24</v>
      </c>
      <c r="H4010" t="s">
        <v>20</v>
      </c>
      <c r="I4010" t="s">
        <v>18</v>
      </c>
      <c r="J4010" s="3">
        <v>45931</v>
      </c>
      <c r="K4010" s="4">
        <f>ClientiBanca[[#This Row],[Prestito]]+ClientiBanca[[#This Row],[Mutuo]]</f>
        <v>43700</v>
      </c>
      <c r="L4010" t="str">
        <f>IF(ClientiBanca[[#This Row],[Reddito annuo]]&gt;=70000,"si","no")</f>
        <v>si</v>
      </c>
    </row>
    <row r="4011" spans="1:12">
      <c r="A4011">
        <v>104010</v>
      </c>
      <c r="B4011">
        <v>67</v>
      </c>
      <c r="C4011" s="2">
        <v>87900</v>
      </c>
      <c r="D4011" t="s">
        <v>21</v>
      </c>
      <c r="E4011" s="2">
        <v>51000</v>
      </c>
      <c r="F4011" s="2">
        <v>221000</v>
      </c>
      <c r="G4011" t="s">
        <v>28</v>
      </c>
      <c r="H4011" t="s">
        <v>17</v>
      </c>
      <c r="I4011" t="s">
        <v>18</v>
      </c>
      <c r="J4011" s="3">
        <v>45690</v>
      </c>
      <c r="K4011" s="4">
        <f>ClientiBanca[[#This Row],[Prestito]]+ClientiBanca[[#This Row],[Mutuo]]</f>
        <v>272000</v>
      </c>
      <c r="L4011" t="str">
        <f>IF(ClientiBanca[[#This Row],[Reddito annuo]]&gt;=70000,"si","no")</f>
        <v>si</v>
      </c>
    </row>
    <row r="4012" spans="1:12">
      <c r="A4012">
        <v>104011</v>
      </c>
      <c r="B4012">
        <v>74</v>
      </c>
      <c r="C4012" s="2">
        <v>55100</v>
      </c>
      <c r="D4012" t="s">
        <v>22</v>
      </c>
      <c r="E4012" s="2">
        <v>17300</v>
      </c>
      <c r="F4012" s="2">
        <v>0</v>
      </c>
      <c r="G4012" t="s">
        <v>19</v>
      </c>
      <c r="H4012" t="s">
        <v>14</v>
      </c>
      <c r="I4012" t="s">
        <v>18</v>
      </c>
      <c r="J4012" s="3">
        <v>46207</v>
      </c>
      <c r="K4012" s="4">
        <f>ClientiBanca[[#This Row],[Prestito]]+ClientiBanca[[#This Row],[Mutuo]]</f>
        <v>17300</v>
      </c>
      <c r="L4012" t="str">
        <f>IF(ClientiBanca[[#This Row],[Reddito annuo]]&gt;=70000,"si","no")</f>
        <v>no</v>
      </c>
    </row>
    <row r="4013" spans="1:12">
      <c r="A4013">
        <v>104012</v>
      </c>
      <c r="B4013">
        <v>32</v>
      </c>
      <c r="C4013" s="2">
        <v>83600</v>
      </c>
      <c r="D4013" t="s">
        <v>22</v>
      </c>
      <c r="E4013" s="2">
        <v>19400</v>
      </c>
      <c r="F4013" s="2">
        <v>0</v>
      </c>
      <c r="G4013" t="s">
        <v>28</v>
      </c>
      <c r="H4013" t="s">
        <v>17</v>
      </c>
      <c r="I4013" t="s">
        <v>18</v>
      </c>
      <c r="J4013" s="3">
        <v>45585</v>
      </c>
      <c r="K4013" s="4">
        <f>ClientiBanca[[#This Row],[Prestito]]+ClientiBanca[[#This Row],[Mutuo]]</f>
        <v>19400</v>
      </c>
      <c r="L4013" t="str">
        <f>IF(ClientiBanca[[#This Row],[Reddito annuo]]&gt;=70000,"si","no")</f>
        <v>si</v>
      </c>
    </row>
    <row r="4014" spans="1:12">
      <c r="A4014">
        <v>104013</v>
      </c>
      <c r="B4014">
        <v>38</v>
      </c>
      <c r="C4014" s="2">
        <v>72900</v>
      </c>
      <c r="D4014" t="s">
        <v>12</v>
      </c>
      <c r="E4014" s="2">
        <v>13900</v>
      </c>
      <c r="F4014" s="2">
        <v>157000</v>
      </c>
      <c r="G4014" t="s">
        <v>23</v>
      </c>
      <c r="H4014" t="s">
        <v>17</v>
      </c>
      <c r="I4014" t="s">
        <v>18</v>
      </c>
      <c r="J4014" s="3">
        <v>46130</v>
      </c>
      <c r="K4014" s="4">
        <f>ClientiBanca[[#This Row],[Prestito]]+ClientiBanca[[#This Row],[Mutuo]]</f>
        <v>170900</v>
      </c>
      <c r="L4014" t="str">
        <f>IF(ClientiBanca[[#This Row],[Reddito annuo]]&gt;=70000,"si","no")</f>
        <v>si</v>
      </c>
    </row>
    <row r="4015" spans="1:12">
      <c r="A4015">
        <v>104014</v>
      </c>
      <c r="B4015">
        <v>48</v>
      </c>
      <c r="C4015" s="2">
        <v>76100</v>
      </c>
      <c r="D4015" t="s">
        <v>21</v>
      </c>
      <c r="E4015" s="2">
        <v>0</v>
      </c>
      <c r="F4015" s="2">
        <v>141000</v>
      </c>
      <c r="G4015" t="s">
        <v>27</v>
      </c>
      <c r="H4015" t="s">
        <v>20</v>
      </c>
      <c r="I4015" t="s">
        <v>18</v>
      </c>
      <c r="J4015" s="3">
        <v>45648</v>
      </c>
      <c r="K4015" s="4">
        <f>ClientiBanca[[#This Row],[Prestito]]+ClientiBanca[[#This Row],[Mutuo]]</f>
        <v>141000</v>
      </c>
      <c r="L4015" t="str">
        <f>IF(ClientiBanca[[#This Row],[Reddito annuo]]&gt;=70000,"si","no")</f>
        <v>si</v>
      </c>
    </row>
    <row r="4016" spans="1:12">
      <c r="A4016">
        <v>104015</v>
      </c>
      <c r="B4016">
        <v>39</v>
      </c>
      <c r="C4016" s="2">
        <v>64100</v>
      </c>
      <c r="D4016" t="s">
        <v>12</v>
      </c>
      <c r="E4016" s="2">
        <v>19800</v>
      </c>
      <c r="F4016" s="2">
        <v>0</v>
      </c>
      <c r="G4016" t="s">
        <v>13</v>
      </c>
      <c r="H4016" t="s">
        <v>14</v>
      </c>
      <c r="I4016" t="s">
        <v>18</v>
      </c>
      <c r="J4016" s="3">
        <v>45349</v>
      </c>
      <c r="K4016" s="4">
        <f>ClientiBanca[[#This Row],[Prestito]]+ClientiBanca[[#This Row],[Mutuo]]</f>
        <v>19800</v>
      </c>
      <c r="L4016" t="str">
        <f>IF(ClientiBanca[[#This Row],[Reddito annuo]]&gt;=70000,"si","no")</f>
        <v>no</v>
      </c>
    </row>
    <row r="4017" spans="1:12">
      <c r="A4017">
        <v>104016</v>
      </c>
      <c r="B4017">
        <v>41</v>
      </c>
      <c r="C4017" s="2">
        <v>55600</v>
      </c>
      <c r="D4017" t="s">
        <v>21</v>
      </c>
      <c r="E4017" s="2">
        <v>0</v>
      </c>
      <c r="F4017" s="2">
        <v>0</v>
      </c>
      <c r="G4017" t="s">
        <v>24</v>
      </c>
      <c r="H4017" t="s">
        <v>25</v>
      </c>
      <c r="I4017" t="s">
        <v>18</v>
      </c>
      <c r="J4017" s="3">
        <v>46093</v>
      </c>
      <c r="K4017" s="4">
        <f>ClientiBanca[[#This Row],[Prestito]]+ClientiBanca[[#This Row],[Mutuo]]</f>
        <v>0</v>
      </c>
      <c r="L4017" t="str">
        <f>IF(ClientiBanca[[#This Row],[Reddito annuo]]&gt;=70000,"si","no")</f>
        <v>no</v>
      </c>
    </row>
    <row r="4018" spans="1:12">
      <c r="A4018">
        <v>104017</v>
      </c>
      <c r="B4018">
        <v>75</v>
      </c>
      <c r="C4018" s="2">
        <v>87000</v>
      </c>
      <c r="D4018" t="s">
        <v>12</v>
      </c>
      <c r="E4018" s="2">
        <v>51300</v>
      </c>
      <c r="F4018" s="2">
        <v>0</v>
      </c>
      <c r="G4018" t="s">
        <v>27</v>
      </c>
      <c r="H4018" t="s">
        <v>14</v>
      </c>
      <c r="I4018" t="s">
        <v>18</v>
      </c>
      <c r="J4018" s="3">
        <v>45746</v>
      </c>
      <c r="K4018" s="4">
        <f>ClientiBanca[[#This Row],[Prestito]]+ClientiBanca[[#This Row],[Mutuo]]</f>
        <v>51300</v>
      </c>
      <c r="L4018" t="str">
        <f>IF(ClientiBanca[[#This Row],[Reddito annuo]]&gt;=70000,"si","no")</f>
        <v>si</v>
      </c>
    </row>
    <row r="4019" spans="1:12">
      <c r="A4019">
        <v>104018</v>
      </c>
      <c r="B4019">
        <v>40</v>
      </c>
      <c r="C4019" s="2">
        <v>86000</v>
      </c>
      <c r="D4019" t="s">
        <v>21</v>
      </c>
      <c r="E4019" s="2">
        <v>41200</v>
      </c>
      <c r="F4019" s="2">
        <v>0</v>
      </c>
      <c r="G4019" t="s">
        <v>23</v>
      </c>
      <c r="H4019" t="s">
        <v>17</v>
      </c>
      <c r="I4019" t="s">
        <v>15</v>
      </c>
      <c r="J4019" s="3">
        <v>45719</v>
      </c>
      <c r="K4019" s="4">
        <f>ClientiBanca[[#This Row],[Prestito]]+ClientiBanca[[#This Row],[Mutuo]]</f>
        <v>41200</v>
      </c>
      <c r="L4019" t="str">
        <f>IF(ClientiBanca[[#This Row],[Reddito annuo]]&gt;=70000,"si","no")</f>
        <v>si</v>
      </c>
    </row>
    <row r="4020" spans="1:12">
      <c r="A4020">
        <v>104019</v>
      </c>
      <c r="B4020">
        <v>20</v>
      </c>
      <c r="C4020" s="2">
        <v>51700</v>
      </c>
      <c r="D4020" t="s">
        <v>21</v>
      </c>
      <c r="E4020" s="2">
        <v>39300</v>
      </c>
      <c r="F4020" s="2">
        <v>0</v>
      </c>
      <c r="G4020" t="s">
        <v>26</v>
      </c>
      <c r="H4020" t="s">
        <v>14</v>
      </c>
      <c r="I4020" t="s">
        <v>18</v>
      </c>
      <c r="J4020" s="3">
        <v>46243</v>
      </c>
      <c r="K4020" s="4">
        <f>ClientiBanca[[#This Row],[Prestito]]+ClientiBanca[[#This Row],[Mutuo]]</f>
        <v>39300</v>
      </c>
      <c r="L4020" t="str">
        <f>IF(ClientiBanca[[#This Row],[Reddito annuo]]&gt;=70000,"si","no")</f>
        <v>no</v>
      </c>
    </row>
    <row r="4021" spans="1:12">
      <c r="A4021">
        <v>104020</v>
      </c>
      <c r="B4021">
        <v>31</v>
      </c>
      <c r="C4021" s="2">
        <v>51700</v>
      </c>
      <c r="D4021" t="s">
        <v>21</v>
      </c>
      <c r="E4021" s="2">
        <v>0</v>
      </c>
      <c r="F4021" s="2">
        <v>337000</v>
      </c>
      <c r="G4021" t="s">
        <v>26</v>
      </c>
      <c r="H4021" t="s">
        <v>17</v>
      </c>
      <c r="I4021" t="s">
        <v>18</v>
      </c>
      <c r="J4021" s="3">
        <v>45716</v>
      </c>
      <c r="K4021" s="4">
        <f>ClientiBanca[[#This Row],[Prestito]]+ClientiBanca[[#This Row],[Mutuo]]</f>
        <v>337000</v>
      </c>
      <c r="L4021" t="str">
        <f>IF(ClientiBanca[[#This Row],[Reddito annuo]]&gt;=70000,"si","no")</f>
        <v>no</v>
      </c>
    </row>
    <row r="4022" spans="1:12">
      <c r="A4022">
        <v>104021</v>
      </c>
      <c r="B4022">
        <v>50</v>
      </c>
      <c r="C4022" s="2">
        <v>107400</v>
      </c>
      <c r="D4022" t="s">
        <v>12</v>
      </c>
      <c r="E4022" s="2">
        <v>49800</v>
      </c>
      <c r="F4022" s="2">
        <v>0</v>
      </c>
      <c r="G4022" t="s">
        <v>28</v>
      </c>
      <c r="H4022" t="s">
        <v>20</v>
      </c>
      <c r="I4022" t="s">
        <v>18</v>
      </c>
      <c r="J4022" s="3">
        <v>45746</v>
      </c>
      <c r="K4022" s="4">
        <f>ClientiBanca[[#This Row],[Prestito]]+ClientiBanca[[#This Row],[Mutuo]]</f>
        <v>49800</v>
      </c>
      <c r="L4022" t="str">
        <f>IF(ClientiBanca[[#This Row],[Reddito annuo]]&gt;=70000,"si","no")</f>
        <v>si</v>
      </c>
    </row>
    <row r="4023" spans="1:12">
      <c r="A4023">
        <v>104022</v>
      </c>
      <c r="B4023">
        <v>66</v>
      </c>
      <c r="C4023" s="2">
        <v>47000</v>
      </c>
      <c r="D4023" t="s">
        <v>12</v>
      </c>
      <c r="E4023" s="2">
        <v>58800</v>
      </c>
      <c r="F4023" s="2">
        <v>0</v>
      </c>
      <c r="G4023" t="s">
        <v>24</v>
      </c>
      <c r="H4023" t="s">
        <v>25</v>
      </c>
      <c r="I4023" t="s">
        <v>18</v>
      </c>
      <c r="J4023" s="3">
        <v>46029</v>
      </c>
      <c r="K4023" s="4">
        <f>ClientiBanca[[#This Row],[Prestito]]+ClientiBanca[[#This Row],[Mutuo]]</f>
        <v>58800</v>
      </c>
      <c r="L4023" t="str">
        <f>IF(ClientiBanca[[#This Row],[Reddito annuo]]&gt;=70000,"si","no")</f>
        <v>no</v>
      </c>
    </row>
    <row r="4024" spans="1:12">
      <c r="A4024">
        <v>104023</v>
      </c>
      <c r="B4024">
        <v>46</v>
      </c>
      <c r="C4024" s="2">
        <v>71700</v>
      </c>
      <c r="D4024" t="s">
        <v>22</v>
      </c>
      <c r="E4024" s="2">
        <v>10300</v>
      </c>
      <c r="F4024" s="2">
        <v>212000</v>
      </c>
      <c r="G4024" t="s">
        <v>13</v>
      </c>
      <c r="H4024" t="s">
        <v>14</v>
      </c>
      <c r="I4024" t="s">
        <v>15</v>
      </c>
      <c r="J4024" s="3">
        <v>45406</v>
      </c>
      <c r="K4024" s="4">
        <f>ClientiBanca[[#This Row],[Prestito]]+ClientiBanca[[#This Row],[Mutuo]]</f>
        <v>222300</v>
      </c>
      <c r="L4024" t="str">
        <f>IF(ClientiBanca[[#This Row],[Reddito annuo]]&gt;=70000,"si","no")</f>
        <v>si</v>
      </c>
    </row>
    <row r="4025" spans="1:12">
      <c r="A4025">
        <v>104024</v>
      </c>
      <c r="B4025">
        <v>40</v>
      </c>
      <c r="C4025" s="2">
        <v>79000</v>
      </c>
      <c r="D4025" t="s">
        <v>21</v>
      </c>
      <c r="E4025" s="2">
        <v>20300</v>
      </c>
      <c r="F4025" s="2">
        <v>0</v>
      </c>
      <c r="G4025" t="s">
        <v>13</v>
      </c>
      <c r="H4025" t="s">
        <v>20</v>
      </c>
      <c r="I4025" t="s">
        <v>18</v>
      </c>
      <c r="J4025" s="3">
        <v>46045</v>
      </c>
      <c r="K4025" s="4">
        <f>ClientiBanca[[#This Row],[Prestito]]+ClientiBanca[[#This Row],[Mutuo]]</f>
        <v>20300</v>
      </c>
      <c r="L4025" t="str">
        <f>IF(ClientiBanca[[#This Row],[Reddito annuo]]&gt;=70000,"si","no")</f>
        <v>si</v>
      </c>
    </row>
    <row r="4026" spans="1:12">
      <c r="A4026">
        <v>104025</v>
      </c>
      <c r="B4026">
        <v>46</v>
      </c>
      <c r="C4026" s="2">
        <v>59400</v>
      </c>
      <c r="D4026" t="s">
        <v>21</v>
      </c>
      <c r="E4026" s="2">
        <v>43700</v>
      </c>
      <c r="F4026" s="2">
        <v>0</v>
      </c>
      <c r="G4026" t="s">
        <v>27</v>
      </c>
      <c r="H4026" t="s">
        <v>25</v>
      </c>
      <c r="I4026" t="s">
        <v>18</v>
      </c>
      <c r="J4026" s="3">
        <v>45808</v>
      </c>
      <c r="K4026" s="4">
        <f>ClientiBanca[[#This Row],[Prestito]]+ClientiBanca[[#This Row],[Mutuo]]</f>
        <v>43700</v>
      </c>
      <c r="L4026" t="str">
        <f>IF(ClientiBanca[[#This Row],[Reddito annuo]]&gt;=70000,"si","no")</f>
        <v>no</v>
      </c>
    </row>
    <row r="4027" spans="1:12">
      <c r="A4027">
        <v>104026</v>
      </c>
      <c r="B4027">
        <v>67</v>
      </c>
      <c r="C4027" s="2">
        <v>41700</v>
      </c>
      <c r="D4027" t="s">
        <v>21</v>
      </c>
      <c r="E4027" s="2">
        <v>21500</v>
      </c>
      <c r="F4027" s="2">
        <v>0</v>
      </c>
      <c r="G4027" t="s">
        <v>27</v>
      </c>
      <c r="H4027" t="s">
        <v>17</v>
      </c>
      <c r="I4027" t="s">
        <v>18</v>
      </c>
      <c r="J4027" s="3">
        <v>45813</v>
      </c>
      <c r="K4027" s="4">
        <f>ClientiBanca[[#This Row],[Prestito]]+ClientiBanca[[#This Row],[Mutuo]]</f>
        <v>21500</v>
      </c>
      <c r="L4027" t="str">
        <f>IF(ClientiBanca[[#This Row],[Reddito annuo]]&gt;=70000,"si","no")</f>
        <v>no</v>
      </c>
    </row>
    <row r="4028" spans="1:12">
      <c r="A4028">
        <v>104027</v>
      </c>
      <c r="B4028">
        <v>47</v>
      </c>
      <c r="C4028" s="2">
        <v>29800</v>
      </c>
      <c r="D4028" t="s">
        <v>22</v>
      </c>
      <c r="E4028" s="2">
        <v>37200</v>
      </c>
      <c r="F4028" s="2">
        <v>0</v>
      </c>
      <c r="G4028" t="s">
        <v>23</v>
      </c>
      <c r="H4028" t="s">
        <v>14</v>
      </c>
      <c r="I4028" t="s">
        <v>18</v>
      </c>
      <c r="J4028" s="3">
        <v>46088</v>
      </c>
      <c r="K4028" s="4">
        <f>ClientiBanca[[#This Row],[Prestito]]+ClientiBanca[[#This Row],[Mutuo]]</f>
        <v>37200</v>
      </c>
      <c r="L4028" t="str">
        <f>IF(ClientiBanca[[#This Row],[Reddito annuo]]&gt;=70000,"si","no")</f>
        <v>no</v>
      </c>
    </row>
    <row r="4029" spans="1:12">
      <c r="A4029">
        <v>104028</v>
      </c>
      <c r="B4029">
        <v>54</v>
      </c>
      <c r="C4029" s="2">
        <v>65500</v>
      </c>
      <c r="D4029" t="s">
        <v>21</v>
      </c>
      <c r="E4029" s="2">
        <v>63100</v>
      </c>
      <c r="F4029" s="2">
        <v>276000</v>
      </c>
      <c r="G4029" t="s">
        <v>28</v>
      </c>
      <c r="H4029" t="s">
        <v>20</v>
      </c>
      <c r="I4029" t="s">
        <v>18</v>
      </c>
      <c r="J4029" s="3">
        <v>46176</v>
      </c>
      <c r="K4029" s="4">
        <f>ClientiBanca[[#This Row],[Prestito]]+ClientiBanca[[#This Row],[Mutuo]]</f>
        <v>339100</v>
      </c>
      <c r="L4029" t="str">
        <f>IF(ClientiBanca[[#This Row],[Reddito annuo]]&gt;=70000,"si","no")</f>
        <v>no</v>
      </c>
    </row>
    <row r="4030" spans="1:12">
      <c r="A4030">
        <v>104029</v>
      </c>
      <c r="B4030">
        <v>75</v>
      </c>
      <c r="C4030" s="2">
        <v>49200</v>
      </c>
      <c r="D4030" t="s">
        <v>21</v>
      </c>
      <c r="E4030" s="2">
        <v>61500</v>
      </c>
      <c r="F4030" s="2">
        <v>147000</v>
      </c>
      <c r="G4030" t="s">
        <v>27</v>
      </c>
      <c r="H4030" t="s">
        <v>14</v>
      </c>
      <c r="I4030" t="s">
        <v>18</v>
      </c>
      <c r="J4030" s="3">
        <v>45462</v>
      </c>
      <c r="K4030" s="4">
        <f>ClientiBanca[[#This Row],[Prestito]]+ClientiBanca[[#This Row],[Mutuo]]</f>
        <v>208500</v>
      </c>
      <c r="L4030" t="str">
        <f>IF(ClientiBanca[[#This Row],[Reddito annuo]]&gt;=70000,"si","no")</f>
        <v>no</v>
      </c>
    </row>
    <row r="4031" spans="1:12">
      <c r="A4031">
        <v>104030</v>
      </c>
      <c r="B4031">
        <v>37</v>
      </c>
      <c r="C4031" s="2">
        <v>123200</v>
      </c>
      <c r="D4031" t="s">
        <v>12</v>
      </c>
      <c r="E4031" s="2">
        <v>0</v>
      </c>
      <c r="F4031" s="2">
        <v>0</v>
      </c>
      <c r="G4031" t="s">
        <v>16</v>
      </c>
      <c r="H4031" t="s">
        <v>20</v>
      </c>
      <c r="I4031" t="s">
        <v>18</v>
      </c>
      <c r="J4031" s="3">
        <v>45829</v>
      </c>
      <c r="K4031" s="4">
        <f>ClientiBanca[[#This Row],[Prestito]]+ClientiBanca[[#This Row],[Mutuo]]</f>
        <v>0</v>
      </c>
      <c r="L4031" t="str">
        <f>IF(ClientiBanca[[#This Row],[Reddito annuo]]&gt;=70000,"si","no")</f>
        <v>si</v>
      </c>
    </row>
    <row r="4032" spans="1:12">
      <c r="A4032">
        <v>104031</v>
      </c>
      <c r="B4032">
        <v>67</v>
      </c>
      <c r="C4032" s="2">
        <v>73100</v>
      </c>
      <c r="D4032" t="s">
        <v>12</v>
      </c>
      <c r="E4032" s="2">
        <v>45500</v>
      </c>
      <c r="F4032" s="2">
        <v>0</v>
      </c>
      <c r="G4032" t="s">
        <v>16</v>
      </c>
      <c r="H4032" t="s">
        <v>17</v>
      </c>
      <c r="I4032" t="s">
        <v>18</v>
      </c>
      <c r="J4032" s="3">
        <v>46045</v>
      </c>
      <c r="K4032" s="4">
        <f>ClientiBanca[[#This Row],[Prestito]]+ClientiBanca[[#This Row],[Mutuo]]</f>
        <v>45500</v>
      </c>
      <c r="L4032" t="str">
        <f>IF(ClientiBanca[[#This Row],[Reddito annuo]]&gt;=70000,"si","no")</f>
        <v>si</v>
      </c>
    </row>
    <row r="4033" spans="1:12">
      <c r="A4033">
        <v>104032</v>
      </c>
      <c r="B4033">
        <v>36</v>
      </c>
      <c r="C4033" s="2">
        <v>58500</v>
      </c>
      <c r="D4033" t="s">
        <v>12</v>
      </c>
      <c r="E4033" s="2">
        <v>63900</v>
      </c>
      <c r="F4033" s="2">
        <v>201000</v>
      </c>
      <c r="G4033" t="s">
        <v>23</v>
      </c>
      <c r="H4033" t="s">
        <v>17</v>
      </c>
      <c r="I4033" t="s">
        <v>18</v>
      </c>
      <c r="J4033" s="3">
        <v>45577</v>
      </c>
      <c r="K4033" s="4">
        <f>ClientiBanca[[#This Row],[Prestito]]+ClientiBanca[[#This Row],[Mutuo]]</f>
        <v>264900</v>
      </c>
      <c r="L4033" t="str">
        <f>IF(ClientiBanca[[#This Row],[Reddito annuo]]&gt;=70000,"si","no")</f>
        <v>no</v>
      </c>
    </row>
    <row r="4034" spans="1:12">
      <c r="A4034">
        <v>104033</v>
      </c>
      <c r="B4034">
        <v>50</v>
      </c>
      <c r="C4034" s="2">
        <v>64200</v>
      </c>
      <c r="D4034" t="s">
        <v>21</v>
      </c>
      <c r="E4034" s="2">
        <v>0</v>
      </c>
      <c r="F4034" s="2">
        <v>214000</v>
      </c>
      <c r="G4034" t="s">
        <v>23</v>
      </c>
      <c r="H4034" t="s">
        <v>14</v>
      </c>
      <c r="I4034" t="s">
        <v>18</v>
      </c>
      <c r="J4034" s="3">
        <v>46107</v>
      </c>
      <c r="K4034" s="4">
        <f>ClientiBanca[[#This Row],[Prestito]]+ClientiBanca[[#This Row],[Mutuo]]</f>
        <v>214000</v>
      </c>
      <c r="L4034" t="str">
        <f>IF(ClientiBanca[[#This Row],[Reddito annuo]]&gt;=70000,"si","no")</f>
        <v>no</v>
      </c>
    </row>
    <row r="4035" spans="1:12">
      <c r="A4035">
        <v>104034</v>
      </c>
      <c r="B4035">
        <v>59</v>
      </c>
      <c r="C4035" s="2">
        <v>38400</v>
      </c>
      <c r="D4035" t="s">
        <v>12</v>
      </c>
      <c r="E4035" s="2">
        <v>0</v>
      </c>
      <c r="F4035" s="2">
        <v>284000</v>
      </c>
      <c r="G4035" t="s">
        <v>24</v>
      </c>
      <c r="H4035" t="s">
        <v>25</v>
      </c>
      <c r="I4035" t="s">
        <v>18</v>
      </c>
      <c r="J4035" s="3">
        <v>46010</v>
      </c>
      <c r="K4035" s="4">
        <f>ClientiBanca[[#This Row],[Prestito]]+ClientiBanca[[#This Row],[Mutuo]]</f>
        <v>284000</v>
      </c>
      <c r="L4035" t="str">
        <f>IF(ClientiBanca[[#This Row],[Reddito annuo]]&gt;=70000,"si","no")</f>
        <v>no</v>
      </c>
    </row>
    <row r="4036" spans="1:12">
      <c r="A4036">
        <v>104035</v>
      </c>
      <c r="B4036">
        <v>34</v>
      </c>
      <c r="C4036" s="2">
        <v>37400</v>
      </c>
      <c r="D4036" t="s">
        <v>12</v>
      </c>
      <c r="E4036" s="2">
        <v>46800</v>
      </c>
      <c r="F4036" s="2">
        <v>0</v>
      </c>
      <c r="G4036" t="s">
        <v>16</v>
      </c>
      <c r="H4036" t="s">
        <v>17</v>
      </c>
      <c r="I4036" t="s">
        <v>18</v>
      </c>
      <c r="J4036" s="3">
        <v>45885</v>
      </c>
      <c r="K4036" s="4">
        <f>ClientiBanca[[#This Row],[Prestito]]+ClientiBanca[[#This Row],[Mutuo]]</f>
        <v>46800</v>
      </c>
      <c r="L4036" t="str">
        <f>IF(ClientiBanca[[#This Row],[Reddito annuo]]&gt;=70000,"si","no")</f>
        <v>no</v>
      </c>
    </row>
    <row r="4037" spans="1:12">
      <c r="A4037">
        <v>104036</v>
      </c>
      <c r="B4037">
        <v>36</v>
      </c>
      <c r="C4037" s="2">
        <v>93900</v>
      </c>
      <c r="D4037" t="s">
        <v>21</v>
      </c>
      <c r="E4037" s="2">
        <v>22200</v>
      </c>
      <c r="F4037" s="2">
        <v>0</v>
      </c>
      <c r="G4037" t="s">
        <v>13</v>
      </c>
      <c r="H4037" t="s">
        <v>14</v>
      </c>
      <c r="I4037" t="s">
        <v>18</v>
      </c>
      <c r="J4037" s="3">
        <v>45617</v>
      </c>
      <c r="K4037" s="4">
        <f>ClientiBanca[[#This Row],[Prestito]]+ClientiBanca[[#This Row],[Mutuo]]</f>
        <v>22200</v>
      </c>
      <c r="L4037" t="str">
        <f>IF(ClientiBanca[[#This Row],[Reddito annuo]]&gt;=70000,"si","no")</f>
        <v>si</v>
      </c>
    </row>
    <row r="4038" spans="1:12">
      <c r="A4038">
        <v>104037</v>
      </c>
      <c r="B4038">
        <v>54</v>
      </c>
      <c r="C4038" s="2">
        <v>98200</v>
      </c>
      <c r="D4038" t="s">
        <v>22</v>
      </c>
      <c r="E4038" s="2">
        <v>0</v>
      </c>
      <c r="F4038" s="2">
        <v>275000</v>
      </c>
      <c r="G4038" t="s">
        <v>27</v>
      </c>
      <c r="H4038" t="s">
        <v>14</v>
      </c>
      <c r="I4038" t="s">
        <v>18</v>
      </c>
      <c r="J4038" s="3">
        <v>45647</v>
      </c>
      <c r="K4038" s="4">
        <f>ClientiBanca[[#This Row],[Prestito]]+ClientiBanca[[#This Row],[Mutuo]]</f>
        <v>275000</v>
      </c>
      <c r="L4038" t="str">
        <f>IF(ClientiBanca[[#This Row],[Reddito annuo]]&gt;=70000,"si","no")</f>
        <v>si</v>
      </c>
    </row>
    <row r="4039" spans="1:12">
      <c r="A4039">
        <v>104038</v>
      </c>
      <c r="B4039">
        <v>45</v>
      </c>
      <c r="C4039" s="2">
        <v>42600</v>
      </c>
      <c r="D4039" t="s">
        <v>21</v>
      </c>
      <c r="E4039" s="2">
        <v>0</v>
      </c>
      <c r="F4039" s="2">
        <v>0</v>
      </c>
      <c r="G4039" t="s">
        <v>16</v>
      </c>
      <c r="H4039" t="s">
        <v>17</v>
      </c>
      <c r="I4039" t="s">
        <v>18</v>
      </c>
      <c r="J4039" s="3">
        <v>45626</v>
      </c>
      <c r="K4039" s="4">
        <f>ClientiBanca[[#This Row],[Prestito]]+ClientiBanca[[#This Row],[Mutuo]]</f>
        <v>0</v>
      </c>
      <c r="L4039" t="str">
        <f>IF(ClientiBanca[[#This Row],[Reddito annuo]]&gt;=70000,"si","no")</f>
        <v>no</v>
      </c>
    </row>
    <row r="4040" spans="1:12">
      <c r="A4040">
        <v>104039</v>
      </c>
      <c r="B4040">
        <v>62</v>
      </c>
      <c r="C4040" s="2">
        <v>47100</v>
      </c>
      <c r="D4040" t="s">
        <v>12</v>
      </c>
      <c r="E4040" s="2">
        <v>30800</v>
      </c>
      <c r="F4040" s="2">
        <v>0</v>
      </c>
      <c r="G4040" t="s">
        <v>16</v>
      </c>
      <c r="H4040" t="s">
        <v>17</v>
      </c>
      <c r="I4040" t="s">
        <v>18</v>
      </c>
      <c r="J4040" s="3">
        <v>46140</v>
      </c>
      <c r="K4040" s="4">
        <f>ClientiBanca[[#This Row],[Prestito]]+ClientiBanca[[#This Row],[Mutuo]]</f>
        <v>30800</v>
      </c>
      <c r="L4040" t="str">
        <f>IF(ClientiBanca[[#This Row],[Reddito annuo]]&gt;=70000,"si","no")</f>
        <v>no</v>
      </c>
    </row>
    <row r="4041" spans="1:12">
      <c r="A4041">
        <v>104040</v>
      </c>
      <c r="B4041">
        <v>70</v>
      </c>
      <c r="C4041" s="2">
        <v>60100</v>
      </c>
      <c r="D4041" t="s">
        <v>12</v>
      </c>
      <c r="E4041" s="2">
        <v>13400</v>
      </c>
      <c r="F4041" s="2">
        <v>267000</v>
      </c>
      <c r="G4041" t="s">
        <v>19</v>
      </c>
      <c r="H4041" t="s">
        <v>20</v>
      </c>
      <c r="I4041" t="s">
        <v>18</v>
      </c>
      <c r="J4041" s="3">
        <v>46162</v>
      </c>
      <c r="K4041" s="4">
        <f>ClientiBanca[[#This Row],[Prestito]]+ClientiBanca[[#This Row],[Mutuo]]</f>
        <v>280400</v>
      </c>
      <c r="L4041" t="str">
        <f>IF(ClientiBanca[[#This Row],[Reddito annuo]]&gt;=70000,"si","no")</f>
        <v>no</v>
      </c>
    </row>
    <row r="4042" spans="1:12">
      <c r="A4042">
        <v>104041</v>
      </c>
      <c r="B4042">
        <v>54</v>
      </c>
      <c r="C4042" s="2">
        <v>53600</v>
      </c>
      <c r="D4042" t="s">
        <v>12</v>
      </c>
      <c r="E4042" s="2">
        <v>67000</v>
      </c>
      <c r="F4042" s="2">
        <v>195000</v>
      </c>
      <c r="G4042" t="s">
        <v>27</v>
      </c>
      <c r="H4042" t="s">
        <v>17</v>
      </c>
      <c r="I4042" t="s">
        <v>18</v>
      </c>
      <c r="J4042" s="3">
        <v>46186</v>
      </c>
      <c r="K4042" s="4">
        <f>ClientiBanca[[#This Row],[Prestito]]+ClientiBanca[[#This Row],[Mutuo]]</f>
        <v>262000</v>
      </c>
      <c r="L4042" t="str">
        <f>IF(ClientiBanca[[#This Row],[Reddito annuo]]&gt;=70000,"si","no")</f>
        <v>no</v>
      </c>
    </row>
    <row r="4043" spans="1:12">
      <c r="A4043">
        <v>104042</v>
      </c>
      <c r="B4043">
        <v>54</v>
      </c>
      <c r="C4043" s="2">
        <v>39700</v>
      </c>
      <c r="D4043" t="s">
        <v>21</v>
      </c>
      <c r="E4043" s="2">
        <v>26400</v>
      </c>
      <c r="F4043" s="2">
        <v>0</v>
      </c>
      <c r="G4043" t="s">
        <v>26</v>
      </c>
      <c r="H4043" t="s">
        <v>17</v>
      </c>
      <c r="I4043" t="s">
        <v>18</v>
      </c>
      <c r="J4043" s="3">
        <v>45972</v>
      </c>
      <c r="K4043" s="4">
        <f>ClientiBanca[[#This Row],[Prestito]]+ClientiBanca[[#This Row],[Mutuo]]</f>
        <v>26400</v>
      </c>
      <c r="L4043" t="str">
        <f>IF(ClientiBanca[[#This Row],[Reddito annuo]]&gt;=70000,"si","no")</f>
        <v>no</v>
      </c>
    </row>
    <row r="4044" spans="1:12">
      <c r="A4044">
        <v>104043</v>
      </c>
      <c r="B4044">
        <v>33</v>
      </c>
      <c r="C4044" s="2">
        <v>52600</v>
      </c>
      <c r="D4044" t="s">
        <v>21</v>
      </c>
      <c r="E4044" s="2">
        <v>6800</v>
      </c>
      <c r="F4044" s="2">
        <v>0</v>
      </c>
      <c r="G4044" t="s">
        <v>16</v>
      </c>
      <c r="H4044" t="s">
        <v>20</v>
      </c>
      <c r="I4044" t="s">
        <v>18</v>
      </c>
      <c r="J4044" s="3">
        <v>46054</v>
      </c>
      <c r="K4044" s="4">
        <f>ClientiBanca[[#This Row],[Prestito]]+ClientiBanca[[#This Row],[Mutuo]]</f>
        <v>6800</v>
      </c>
      <c r="L4044" t="str">
        <f>IF(ClientiBanca[[#This Row],[Reddito annuo]]&gt;=70000,"si","no")</f>
        <v>no</v>
      </c>
    </row>
    <row r="4045" spans="1:12">
      <c r="A4045">
        <v>104044</v>
      </c>
      <c r="B4045">
        <v>45</v>
      </c>
      <c r="C4045" s="2">
        <v>112100</v>
      </c>
      <c r="D4045" t="s">
        <v>21</v>
      </c>
      <c r="E4045" s="2">
        <v>0</v>
      </c>
      <c r="F4045" s="2">
        <v>151000</v>
      </c>
      <c r="G4045" t="s">
        <v>16</v>
      </c>
      <c r="H4045" t="s">
        <v>20</v>
      </c>
      <c r="I4045" t="s">
        <v>18</v>
      </c>
      <c r="J4045" s="3">
        <v>45342</v>
      </c>
      <c r="K4045" s="4">
        <f>ClientiBanca[[#This Row],[Prestito]]+ClientiBanca[[#This Row],[Mutuo]]</f>
        <v>151000</v>
      </c>
      <c r="L4045" t="str">
        <f>IF(ClientiBanca[[#This Row],[Reddito annuo]]&gt;=70000,"si","no")</f>
        <v>si</v>
      </c>
    </row>
    <row r="4046" spans="1:12">
      <c r="A4046">
        <v>104045</v>
      </c>
      <c r="B4046">
        <v>52</v>
      </c>
      <c r="C4046" s="2">
        <v>88500</v>
      </c>
      <c r="D4046" t="s">
        <v>21</v>
      </c>
      <c r="E4046" s="2">
        <v>0</v>
      </c>
      <c r="F4046" s="2">
        <v>0</v>
      </c>
      <c r="G4046" t="s">
        <v>13</v>
      </c>
      <c r="H4046" t="s">
        <v>17</v>
      </c>
      <c r="I4046" t="s">
        <v>18</v>
      </c>
      <c r="J4046" s="3">
        <v>45735</v>
      </c>
      <c r="K4046" s="4">
        <f>ClientiBanca[[#This Row],[Prestito]]+ClientiBanca[[#This Row],[Mutuo]]</f>
        <v>0</v>
      </c>
      <c r="L4046" t="str">
        <f>IF(ClientiBanca[[#This Row],[Reddito annuo]]&gt;=70000,"si","no")</f>
        <v>si</v>
      </c>
    </row>
    <row r="4047" spans="1:12">
      <c r="A4047">
        <v>104046</v>
      </c>
      <c r="B4047">
        <v>71</v>
      </c>
      <c r="C4047" s="2">
        <v>126500</v>
      </c>
      <c r="D4047" t="s">
        <v>21</v>
      </c>
      <c r="E4047" s="2">
        <v>19800</v>
      </c>
      <c r="F4047" s="2">
        <v>0</v>
      </c>
      <c r="G4047" t="s">
        <v>27</v>
      </c>
      <c r="H4047" t="s">
        <v>20</v>
      </c>
      <c r="I4047" t="s">
        <v>18</v>
      </c>
      <c r="J4047" s="3">
        <v>46022</v>
      </c>
      <c r="K4047" s="4">
        <f>ClientiBanca[[#This Row],[Prestito]]+ClientiBanca[[#This Row],[Mutuo]]</f>
        <v>19800</v>
      </c>
      <c r="L4047" t="str">
        <f>IF(ClientiBanca[[#This Row],[Reddito annuo]]&gt;=70000,"si","no")</f>
        <v>si</v>
      </c>
    </row>
    <row r="4048" spans="1:12">
      <c r="A4048">
        <v>104047</v>
      </c>
      <c r="B4048">
        <v>64</v>
      </c>
      <c r="C4048" s="2">
        <v>34200</v>
      </c>
      <c r="D4048" t="s">
        <v>21</v>
      </c>
      <c r="E4048" s="2">
        <v>0</v>
      </c>
      <c r="F4048" s="2">
        <v>0</v>
      </c>
      <c r="G4048" t="s">
        <v>24</v>
      </c>
      <c r="H4048" t="s">
        <v>17</v>
      </c>
      <c r="I4048" t="s">
        <v>18</v>
      </c>
      <c r="J4048" s="3">
        <v>45663</v>
      </c>
      <c r="K4048" s="4">
        <f>ClientiBanca[[#This Row],[Prestito]]+ClientiBanca[[#This Row],[Mutuo]]</f>
        <v>0</v>
      </c>
      <c r="L4048" t="str">
        <f>IF(ClientiBanca[[#This Row],[Reddito annuo]]&gt;=70000,"si","no")</f>
        <v>no</v>
      </c>
    </row>
    <row r="4049" spans="1:12">
      <c r="A4049">
        <v>104048</v>
      </c>
      <c r="B4049">
        <v>73</v>
      </c>
      <c r="C4049" s="2">
        <v>48000</v>
      </c>
      <c r="D4049" t="s">
        <v>21</v>
      </c>
      <c r="E4049" s="2">
        <v>0</v>
      </c>
      <c r="F4049" s="2">
        <v>0</v>
      </c>
      <c r="G4049" t="s">
        <v>19</v>
      </c>
      <c r="H4049" t="s">
        <v>17</v>
      </c>
      <c r="I4049" t="s">
        <v>18</v>
      </c>
      <c r="J4049" s="3">
        <v>46227</v>
      </c>
      <c r="K4049" s="4">
        <f>ClientiBanca[[#This Row],[Prestito]]+ClientiBanca[[#This Row],[Mutuo]]</f>
        <v>0</v>
      </c>
      <c r="L4049" t="str">
        <f>IF(ClientiBanca[[#This Row],[Reddito annuo]]&gt;=70000,"si","no")</f>
        <v>no</v>
      </c>
    </row>
    <row r="4050" spans="1:12">
      <c r="A4050">
        <v>104049</v>
      </c>
      <c r="B4050">
        <v>74</v>
      </c>
      <c r="C4050" s="2">
        <v>108100</v>
      </c>
      <c r="D4050" t="s">
        <v>21</v>
      </c>
      <c r="E4050" s="2">
        <v>0</v>
      </c>
      <c r="F4050" s="2">
        <v>0</v>
      </c>
      <c r="G4050" t="s">
        <v>13</v>
      </c>
      <c r="H4050" t="s">
        <v>17</v>
      </c>
      <c r="I4050" t="s">
        <v>18</v>
      </c>
      <c r="J4050" s="3">
        <v>45815</v>
      </c>
      <c r="K4050" s="4">
        <f>ClientiBanca[[#This Row],[Prestito]]+ClientiBanca[[#This Row],[Mutuo]]</f>
        <v>0</v>
      </c>
      <c r="L4050" t="str">
        <f>IF(ClientiBanca[[#This Row],[Reddito annuo]]&gt;=70000,"si","no")</f>
        <v>si</v>
      </c>
    </row>
    <row r="4051" spans="1:12">
      <c r="A4051">
        <v>104050</v>
      </c>
      <c r="B4051">
        <v>39</v>
      </c>
      <c r="C4051" s="2">
        <v>61700</v>
      </c>
      <c r="D4051" t="s">
        <v>21</v>
      </c>
      <c r="E4051" s="2">
        <v>77100</v>
      </c>
      <c r="F4051" s="2">
        <v>0</v>
      </c>
      <c r="G4051" t="s">
        <v>27</v>
      </c>
      <c r="H4051" t="s">
        <v>14</v>
      </c>
      <c r="I4051" t="s">
        <v>18</v>
      </c>
      <c r="J4051" s="3">
        <v>45479</v>
      </c>
      <c r="K4051" s="4">
        <f>ClientiBanca[[#This Row],[Prestito]]+ClientiBanca[[#This Row],[Mutuo]]</f>
        <v>77100</v>
      </c>
      <c r="L4051" t="str">
        <f>IF(ClientiBanca[[#This Row],[Reddito annuo]]&gt;=70000,"si","no")</f>
        <v>no</v>
      </c>
    </row>
    <row r="4052" spans="1:12">
      <c r="A4052">
        <v>104051</v>
      </c>
      <c r="B4052">
        <v>75</v>
      </c>
      <c r="C4052" s="2">
        <v>52400</v>
      </c>
      <c r="D4052" t="s">
        <v>21</v>
      </c>
      <c r="E4052" s="2">
        <v>7000</v>
      </c>
      <c r="F4052" s="2">
        <v>162000</v>
      </c>
      <c r="G4052" t="s">
        <v>19</v>
      </c>
      <c r="H4052" t="s">
        <v>20</v>
      </c>
      <c r="I4052" t="s">
        <v>18</v>
      </c>
      <c r="J4052" s="3">
        <v>45931</v>
      </c>
      <c r="K4052" s="4">
        <f>ClientiBanca[[#This Row],[Prestito]]+ClientiBanca[[#This Row],[Mutuo]]</f>
        <v>169000</v>
      </c>
      <c r="L4052" t="str">
        <f>IF(ClientiBanca[[#This Row],[Reddito annuo]]&gt;=70000,"si","no")</f>
        <v>no</v>
      </c>
    </row>
    <row r="4053" spans="1:12">
      <c r="A4053">
        <v>104052</v>
      </c>
      <c r="B4053">
        <v>26</v>
      </c>
      <c r="C4053" s="2">
        <v>100100</v>
      </c>
      <c r="D4053" t="s">
        <v>12</v>
      </c>
      <c r="E4053" s="2">
        <v>0</v>
      </c>
      <c r="F4053" s="2">
        <v>171000</v>
      </c>
      <c r="G4053" t="s">
        <v>13</v>
      </c>
      <c r="H4053" t="s">
        <v>25</v>
      </c>
      <c r="I4053" t="s">
        <v>18</v>
      </c>
      <c r="J4053" s="3">
        <v>45718</v>
      </c>
      <c r="K4053" s="4">
        <f>ClientiBanca[[#This Row],[Prestito]]+ClientiBanca[[#This Row],[Mutuo]]</f>
        <v>171000</v>
      </c>
      <c r="L4053" t="str">
        <f>IF(ClientiBanca[[#This Row],[Reddito annuo]]&gt;=70000,"si","no")</f>
        <v>si</v>
      </c>
    </row>
    <row r="4054" spans="1:12">
      <c r="A4054">
        <v>104053</v>
      </c>
      <c r="B4054">
        <v>44</v>
      </c>
      <c r="C4054" s="2">
        <v>69300</v>
      </c>
      <c r="D4054" t="s">
        <v>12</v>
      </c>
      <c r="E4054" s="2">
        <v>80800</v>
      </c>
      <c r="F4054" s="2">
        <v>0</v>
      </c>
      <c r="G4054" t="s">
        <v>23</v>
      </c>
      <c r="H4054" t="s">
        <v>14</v>
      </c>
      <c r="I4054" t="s">
        <v>18</v>
      </c>
      <c r="J4054" s="3">
        <v>45369</v>
      </c>
      <c r="K4054" s="4">
        <f>ClientiBanca[[#This Row],[Prestito]]+ClientiBanca[[#This Row],[Mutuo]]</f>
        <v>80800</v>
      </c>
      <c r="L4054" t="str">
        <f>IF(ClientiBanca[[#This Row],[Reddito annuo]]&gt;=70000,"si","no")</f>
        <v>no</v>
      </c>
    </row>
    <row r="4055" spans="1:12">
      <c r="A4055">
        <v>104054</v>
      </c>
      <c r="B4055">
        <v>47</v>
      </c>
      <c r="C4055" s="2">
        <v>49900</v>
      </c>
      <c r="D4055" t="s">
        <v>22</v>
      </c>
      <c r="E4055" s="2">
        <v>0</v>
      </c>
      <c r="F4055" s="2">
        <v>324000</v>
      </c>
      <c r="G4055" t="s">
        <v>23</v>
      </c>
      <c r="H4055" t="s">
        <v>17</v>
      </c>
      <c r="I4055" t="s">
        <v>18</v>
      </c>
      <c r="J4055" s="3">
        <v>46052</v>
      </c>
      <c r="K4055" s="4">
        <f>ClientiBanca[[#This Row],[Prestito]]+ClientiBanca[[#This Row],[Mutuo]]</f>
        <v>324000</v>
      </c>
      <c r="L4055" t="str">
        <f>IF(ClientiBanca[[#This Row],[Reddito annuo]]&gt;=70000,"si","no")</f>
        <v>no</v>
      </c>
    </row>
    <row r="4056" spans="1:12">
      <c r="A4056">
        <v>104055</v>
      </c>
      <c r="B4056">
        <v>36</v>
      </c>
      <c r="C4056" s="2">
        <v>91200</v>
      </c>
      <c r="D4056" t="s">
        <v>21</v>
      </c>
      <c r="E4056" s="2">
        <v>11800</v>
      </c>
      <c r="F4056" s="2">
        <v>0</v>
      </c>
      <c r="G4056" t="s">
        <v>28</v>
      </c>
      <c r="H4056" t="s">
        <v>17</v>
      </c>
      <c r="I4056" t="s">
        <v>18</v>
      </c>
      <c r="J4056" s="3">
        <v>45675</v>
      </c>
      <c r="K4056" s="4">
        <f>ClientiBanca[[#This Row],[Prestito]]+ClientiBanca[[#This Row],[Mutuo]]</f>
        <v>11800</v>
      </c>
      <c r="L4056" t="str">
        <f>IF(ClientiBanca[[#This Row],[Reddito annuo]]&gt;=70000,"si","no")</f>
        <v>si</v>
      </c>
    </row>
    <row r="4057" spans="1:12">
      <c r="A4057">
        <v>104056</v>
      </c>
      <c r="B4057">
        <v>21</v>
      </c>
      <c r="C4057" s="2">
        <v>39300</v>
      </c>
      <c r="D4057" t="s">
        <v>12</v>
      </c>
      <c r="E4057" s="2">
        <v>25600</v>
      </c>
      <c r="F4057" s="2">
        <v>0</v>
      </c>
      <c r="G4057" t="s">
        <v>27</v>
      </c>
      <c r="H4057" t="s">
        <v>14</v>
      </c>
      <c r="I4057" t="s">
        <v>18</v>
      </c>
      <c r="J4057" s="3">
        <v>45388</v>
      </c>
      <c r="K4057" s="4">
        <f>ClientiBanca[[#This Row],[Prestito]]+ClientiBanca[[#This Row],[Mutuo]]</f>
        <v>25600</v>
      </c>
      <c r="L4057" t="str">
        <f>IF(ClientiBanca[[#This Row],[Reddito annuo]]&gt;=70000,"si","no")</f>
        <v>no</v>
      </c>
    </row>
    <row r="4058" spans="1:12">
      <c r="A4058">
        <v>104057</v>
      </c>
      <c r="B4058">
        <v>36</v>
      </c>
      <c r="C4058" s="2">
        <v>62700</v>
      </c>
      <c r="D4058" t="s">
        <v>21</v>
      </c>
      <c r="E4058" s="2">
        <v>18800</v>
      </c>
      <c r="F4058" s="2">
        <v>274000</v>
      </c>
      <c r="G4058" t="s">
        <v>26</v>
      </c>
      <c r="H4058" t="s">
        <v>17</v>
      </c>
      <c r="I4058" t="s">
        <v>18</v>
      </c>
      <c r="J4058" s="3">
        <v>45657</v>
      </c>
      <c r="K4058" s="4">
        <f>ClientiBanca[[#This Row],[Prestito]]+ClientiBanca[[#This Row],[Mutuo]]</f>
        <v>292800</v>
      </c>
      <c r="L4058" t="str">
        <f>IF(ClientiBanca[[#This Row],[Reddito annuo]]&gt;=70000,"si","no")</f>
        <v>no</v>
      </c>
    </row>
    <row r="4059" spans="1:12">
      <c r="A4059">
        <v>104058</v>
      </c>
      <c r="B4059">
        <v>36</v>
      </c>
      <c r="C4059" s="2">
        <v>78900</v>
      </c>
      <c r="D4059" t="s">
        <v>21</v>
      </c>
      <c r="E4059" s="2">
        <v>54400</v>
      </c>
      <c r="F4059" s="2">
        <v>0</v>
      </c>
      <c r="G4059" t="s">
        <v>24</v>
      </c>
      <c r="H4059" t="s">
        <v>20</v>
      </c>
      <c r="I4059" t="s">
        <v>18</v>
      </c>
      <c r="J4059" s="3">
        <v>45474</v>
      </c>
      <c r="K4059" s="4">
        <f>ClientiBanca[[#This Row],[Prestito]]+ClientiBanca[[#This Row],[Mutuo]]</f>
        <v>54400</v>
      </c>
      <c r="L4059" t="str">
        <f>IF(ClientiBanca[[#This Row],[Reddito annuo]]&gt;=70000,"si","no")</f>
        <v>si</v>
      </c>
    </row>
    <row r="4060" spans="1:12">
      <c r="A4060">
        <v>104059</v>
      </c>
      <c r="B4060">
        <v>30</v>
      </c>
      <c r="C4060" s="2">
        <v>21900</v>
      </c>
      <c r="D4060" t="s">
        <v>12</v>
      </c>
      <c r="E4060" s="2">
        <v>27400</v>
      </c>
      <c r="F4060" s="2">
        <v>0</v>
      </c>
      <c r="G4060" t="s">
        <v>19</v>
      </c>
      <c r="H4060" t="s">
        <v>14</v>
      </c>
      <c r="I4060" t="s">
        <v>18</v>
      </c>
      <c r="J4060" s="3">
        <v>45813</v>
      </c>
      <c r="K4060" s="4">
        <f>ClientiBanca[[#This Row],[Prestito]]+ClientiBanca[[#This Row],[Mutuo]]</f>
        <v>27400</v>
      </c>
      <c r="L4060" t="str">
        <f>IF(ClientiBanca[[#This Row],[Reddito annuo]]&gt;=70000,"si","no")</f>
        <v>no</v>
      </c>
    </row>
    <row r="4061" spans="1:12">
      <c r="A4061">
        <v>104060</v>
      </c>
      <c r="B4061">
        <v>57</v>
      </c>
      <c r="C4061" s="2">
        <v>92800</v>
      </c>
      <c r="D4061" t="s">
        <v>12</v>
      </c>
      <c r="E4061" s="2">
        <v>58600</v>
      </c>
      <c r="F4061" s="2">
        <v>0</v>
      </c>
      <c r="G4061" t="s">
        <v>27</v>
      </c>
      <c r="H4061" t="s">
        <v>20</v>
      </c>
      <c r="I4061" t="s">
        <v>18</v>
      </c>
      <c r="J4061" s="3">
        <v>45719</v>
      </c>
      <c r="K4061" s="4">
        <f>ClientiBanca[[#This Row],[Prestito]]+ClientiBanca[[#This Row],[Mutuo]]</f>
        <v>58600</v>
      </c>
      <c r="L4061" t="str">
        <f>IF(ClientiBanca[[#This Row],[Reddito annuo]]&gt;=70000,"si","no")</f>
        <v>si</v>
      </c>
    </row>
    <row r="4062" spans="1:12">
      <c r="A4062">
        <v>104061</v>
      </c>
      <c r="B4062">
        <v>58</v>
      </c>
      <c r="C4062" s="2">
        <v>55100</v>
      </c>
      <c r="D4062" t="s">
        <v>21</v>
      </c>
      <c r="E4062" s="2">
        <v>24700</v>
      </c>
      <c r="F4062" s="2">
        <v>266000</v>
      </c>
      <c r="G4062" t="s">
        <v>24</v>
      </c>
      <c r="H4062" t="s">
        <v>20</v>
      </c>
      <c r="I4062" t="s">
        <v>18</v>
      </c>
      <c r="J4062" s="3">
        <v>45356</v>
      </c>
      <c r="K4062" s="4">
        <f>ClientiBanca[[#This Row],[Prestito]]+ClientiBanca[[#This Row],[Mutuo]]</f>
        <v>290700</v>
      </c>
      <c r="L4062" t="str">
        <f>IF(ClientiBanca[[#This Row],[Reddito annuo]]&gt;=70000,"si","no")</f>
        <v>no</v>
      </c>
    </row>
    <row r="4063" spans="1:12">
      <c r="A4063">
        <v>104062</v>
      </c>
      <c r="B4063">
        <v>34</v>
      </c>
      <c r="C4063" s="2">
        <v>96700</v>
      </c>
      <c r="D4063" t="s">
        <v>21</v>
      </c>
      <c r="E4063" s="2">
        <v>56100</v>
      </c>
      <c r="F4063" s="2">
        <v>0</v>
      </c>
      <c r="G4063" t="s">
        <v>24</v>
      </c>
      <c r="H4063" t="s">
        <v>20</v>
      </c>
      <c r="I4063" t="s">
        <v>18</v>
      </c>
      <c r="J4063" s="3">
        <v>45464</v>
      </c>
      <c r="K4063" s="4">
        <f>ClientiBanca[[#This Row],[Prestito]]+ClientiBanca[[#This Row],[Mutuo]]</f>
        <v>56100</v>
      </c>
      <c r="L4063" t="str">
        <f>IF(ClientiBanca[[#This Row],[Reddito annuo]]&gt;=70000,"si","no")</f>
        <v>si</v>
      </c>
    </row>
    <row r="4064" spans="1:12">
      <c r="A4064">
        <v>104063</v>
      </c>
      <c r="B4064">
        <v>51</v>
      </c>
      <c r="C4064" s="2">
        <v>44100</v>
      </c>
      <c r="D4064" t="s">
        <v>21</v>
      </c>
      <c r="E4064" s="2">
        <v>55100</v>
      </c>
      <c r="F4064" s="2">
        <v>0</v>
      </c>
      <c r="G4064" t="s">
        <v>26</v>
      </c>
      <c r="H4064" t="s">
        <v>17</v>
      </c>
      <c r="I4064" t="s">
        <v>18</v>
      </c>
      <c r="J4064" s="3">
        <v>46245</v>
      </c>
      <c r="K4064" s="4">
        <f>ClientiBanca[[#This Row],[Prestito]]+ClientiBanca[[#This Row],[Mutuo]]</f>
        <v>55100</v>
      </c>
      <c r="L4064" t="str">
        <f>IF(ClientiBanca[[#This Row],[Reddito annuo]]&gt;=70000,"si","no")</f>
        <v>no</v>
      </c>
    </row>
    <row r="4065" spans="1:12">
      <c r="A4065">
        <v>104064</v>
      </c>
      <c r="B4065">
        <v>63</v>
      </c>
      <c r="C4065" s="2">
        <v>90300</v>
      </c>
      <c r="D4065" t="s">
        <v>21</v>
      </c>
      <c r="E4065" s="2">
        <v>21400</v>
      </c>
      <c r="F4065" s="2">
        <v>0</v>
      </c>
      <c r="G4065" t="s">
        <v>26</v>
      </c>
      <c r="H4065" t="s">
        <v>20</v>
      </c>
      <c r="I4065" t="s">
        <v>18</v>
      </c>
      <c r="J4065" s="3">
        <v>46067</v>
      </c>
      <c r="K4065" s="4">
        <f>ClientiBanca[[#This Row],[Prestito]]+ClientiBanca[[#This Row],[Mutuo]]</f>
        <v>21400</v>
      </c>
      <c r="L4065" t="str">
        <f>IF(ClientiBanca[[#This Row],[Reddito annuo]]&gt;=70000,"si","no")</f>
        <v>si</v>
      </c>
    </row>
    <row r="4066" spans="1:12">
      <c r="A4066">
        <v>104065</v>
      </c>
      <c r="B4066">
        <v>42</v>
      </c>
      <c r="C4066" s="2">
        <v>79100</v>
      </c>
      <c r="D4066" t="s">
        <v>21</v>
      </c>
      <c r="E4066" s="2">
        <v>8100</v>
      </c>
      <c r="F4066" s="2">
        <v>0</v>
      </c>
      <c r="G4066" t="s">
        <v>26</v>
      </c>
      <c r="H4066" t="s">
        <v>14</v>
      </c>
      <c r="I4066" t="s">
        <v>18</v>
      </c>
      <c r="J4066" s="3">
        <v>45713</v>
      </c>
      <c r="K4066" s="4">
        <f>ClientiBanca[[#This Row],[Prestito]]+ClientiBanca[[#This Row],[Mutuo]]</f>
        <v>8100</v>
      </c>
      <c r="L4066" t="str">
        <f>IF(ClientiBanca[[#This Row],[Reddito annuo]]&gt;=70000,"si","no")</f>
        <v>si</v>
      </c>
    </row>
    <row r="4067" spans="1:12">
      <c r="A4067">
        <v>104066</v>
      </c>
      <c r="B4067">
        <v>61</v>
      </c>
      <c r="C4067" s="2">
        <v>43800</v>
      </c>
      <c r="D4067" t="s">
        <v>21</v>
      </c>
      <c r="E4067" s="2">
        <v>34600</v>
      </c>
      <c r="F4067" s="2">
        <v>0</v>
      </c>
      <c r="G4067" t="s">
        <v>19</v>
      </c>
      <c r="H4067" t="s">
        <v>25</v>
      </c>
      <c r="I4067" t="s">
        <v>18</v>
      </c>
      <c r="J4067" s="3">
        <v>45570</v>
      </c>
      <c r="K4067" s="4">
        <f>ClientiBanca[[#This Row],[Prestito]]+ClientiBanca[[#This Row],[Mutuo]]</f>
        <v>34600</v>
      </c>
      <c r="L4067" t="str">
        <f>IF(ClientiBanca[[#This Row],[Reddito annuo]]&gt;=70000,"si","no")</f>
        <v>no</v>
      </c>
    </row>
    <row r="4068" spans="1:12">
      <c r="A4068">
        <v>104067</v>
      </c>
      <c r="B4068">
        <v>62</v>
      </c>
      <c r="C4068" s="2">
        <v>60600</v>
      </c>
      <c r="D4068" t="s">
        <v>21</v>
      </c>
      <c r="E4068" s="2">
        <v>38700</v>
      </c>
      <c r="F4068" s="2">
        <v>0</v>
      </c>
      <c r="G4068" t="s">
        <v>13</v>
      </c>
      <c r="H4068" t="s">
        <v>17</v>
      </c>
      <c r="I4068" t="s">
        <v>18</v>
      </c>
      <c r="J4068" s="3">
        <v>45769</v>
      </c>
      <c r="K4068" s="4">
        <f>ClientiBanca[[#This Row],[Prestito]]+ClientiBanca[[#This Row],[Mutuo]]</f>
        <v>38700</v>
      </c>
      <c r="L4068" t="str">
        <f>IF(ClientiBanca[[#This Row],[Reddito annuo]]&gt;=70000,"si","no")</f>
        <v>no</v>
      </c>
    </row>
    <row r="4069" spans="1:12">
      <c r="A4069">
        <v>104068</v>
      </c>
      <c r="B4069">
        <v>51</v>
      </c>
      <c r="C4069" s="2">
        <v>39400</v>
      </c>
      <c r="D4069" t="s">
        <v>21</v>
      </c>
      <c r="E4069" s="2">
        <v>21200</v>
      </c>
      <c r="F4069" s="2">
        <v>0</v>
      </c>
      <c r="G4069" t="s">
        <v>23</v>
      </c>
      <c r="H4069" t="s">
        <v>14</v>
      </c>
      <c r="I4069" t="s">
        <v>18</v>
      </c>
      <c r="J4069" s="3">
        <v>45774</v>
      </c>
      <c r="K4069" s="4">
        <f>ClientiBanca[[#This Row],[Prestito]]+ClientiBanca[[#This Row],[Mutuo]]</f>
        <v>21200</v>
      </c>
      <c r="L4069" t="str">
        <f>IF(ClientiBanca[[#This Row],[Reddito annuo]]&gt;=70000,"si","no")</f>
        <v>no</v>
      </c>
    </row>
    <row r="4070" spans="1:12">
      <c r="A4070">
        <v>104069</v>
      </c>
      <c r="B4070">
        <v>27</v>
      </c>
      <c r="C4070" s="2">
        <v>58700</v>
      </c>
      <c r="D4070" t="s">
        <v>21</v>
      </c>
      <c r="E4070" s="2">
        <v>8500</v>
      </c>
      <c r="F4070" s="2">
        <v>0</v>
      </c>
      <c r="G4070" t="s">
        <v>19</v>
      </c>
      <c r="H4070" t="s">
        <v>17</v>
      </c>
      <c r="I4070" t="s">
        <v>18</v>
      </c>
      <c r="J4070" s="3">
        <v>45808</v>
      </c>
      <c r="K4070" s="4">
        <f>ClientiBanca[[#This Row],[Prestito]]+ClientiBanca[[#This Row],[Mutuo]]</f>
        <v>8500</v>
      </c>
      <c r="L4070" t="str">
        <f>IF(ClientiBanca[[#This Row],[Reddito annuo]]&gt;=70000,"si","no")</f>
        <v>no</v>
      </c>
    </row>
    <row r="4071" spans="1:12">
      <c r="A4071">
        <v>104070</v>
      </c>
      <c r="B4071">
        <v>64</v>
      </c>
      <c r="C4071" s="2">
        <v>45600</v>
      </c>
      <c r="D4071" t="s">
        <v>22</v>
      </c>
      <c r="E4071" s="2">
        <v>44600</v>
      </c>
      <c r="F4071" s="2">
        <v>0</v>
      </c>
      <c r="G4071" t="s">
        <v>23</v>
      </c>
      <c r="H4071" t="s">
        <v>17</v>
      </c>
      <c r="I4071" t="s">
        <v>18</v>
      </c>
      <c r="J4071" s="3">
        <v>45905</v>
      </c>
      <c r="K4071" s="4">
        <f>ClientiBanca[[#This Row],[Prestito]]+ClientiBanca[[#This Row],[Mutuo]]</f>
        <v>44600</v>
      </c>
      <c r="L4071" t="str">
        <f>IF(ClientiBanca[[#This Row],[Reddito annuo]]&gt;=70000,"si","no")</f>
        <v>no</v>
      </c>
    </row>
    <row r="4072" spans="1:12">
      <c r="A4072">
        <v>104071</v>
      </c>
      <c r="B4072">
        <v>44</v>
      </c>
      <c r="C4072" s="2">
        <v>53400</v>
      </c>
      <c r="D4072" t="s">
        <v>22</v>
      </c>
      <c r="E4072" s="2">
        <v>19700</v>
      </c>
      <c r="F4072" s="2">
        <v>0</v>
      </c>
      <c r="G4072" t="s">
        <v>27</v>
      </c>
      <c r="H4072" t="s">
        <v>14</v>
      </c>
      <c r="I4072" t="s">
        <v>18</v>
      </c>
      <c r="J4072" s="3">
        <v>46106</v>
      </c>
      <c r="K4072" s="4">
        <f>ClientiBanca[[#This Row],[Prestito]]+ClientiBanca[[#This Row],[Mutuo]]</f>
        <v>19700</v>
      </c>
      <c r="L4072" t="str">
        <f>IF(ClientiBanca[[#This Row],[Reddito annuo]]&gt;=70000,"si","no")</f>
        <v>no</v>
      </c>
    </row>
    <row r="4073" spans="1:12">
      <c r="A4073">
        <v>104072</v>
      </c>
      <c r="B4073">
        <v>50</v>
      </c>
      <c r="C4073" s="2">
        <v>44800</v>
      </c>
      <c r="D4073" t="s">
        <v>21</v>
      </c>
      <c r="E4073" s="2">
        <v>36200</v>
      </c>
      <c r="F4073" s="2">
        <v>0</v>
      </c>
      <c r="G4073" t="s">
        <v>23</v>
      </c>
      <c r="H4073" t="s">
        <v>17</v>
      </c>
      <c r="I4073" t="s">
        <v>18</v>
      </c>
      <c r="J4073" s="3">
        <v>46152</v>
      </c>
      <c r="K4073" s="4">
        <f>ClientiBanca[[#This Row],[Prestito]]+ClientiBanca[[#This Row],[Mutuo]]</f>
        <v>36200</v>
      </c>
      <c r="L4073" t="str">
        <f>IF(ClientiBanca[[#This Row],[Reddito annuo]]&gt;=70000,"si","no")</f>
        <v>no</v>
      </c>
    </row>
    <row r="4074" spans="1:12">
      <c r="A4074">
        <v>104073</v>
      </c>
      <c r="B4074">
        <v>74</v>
      </c>
      <c r="C4074" s="2">
        <v>36900</v>
      </c>
      <c r="D4074" t="s">
        <v>12</v>
      </c>
      <c r="E4074" s="2">
        <v>0</v>
      </c>
      <c r="F4074" s="2">
        <v>0</v>
      </c>
      <c r="G4074" t="s">
        <v>27</v>
      </c>
      <c r="H4074" t="s">
        <v>17</v>
      </c>
      <c r="I4074" t="s">
        <v>18</v>
      </c>
      <c r="J4074" s="3">
        <v>45886</v>
      </c>
      <c r="K4074" s="4">
        <f>ClientiBanca[[#This Row],[Prestito]]+ClientiBanca[[#This Row],[Mutuo]]</f>
        <v>0</v>
      </c>
      <c r="L4074" t="str">
        <f>IF(ClientiBanca[[#This Row],[Reddito annuo]]&gt;=70000,"si","no")</f>
        <v>no</v>
      </c>
    </row>
    <row r="4075" spans="1:12">
      <c r="A4075">
        <v>104074</v>
      </c>
      <c r="B4075">
        <v>35</v>
      </c>
      <c r="C4075" s="2">
        <v>82800</v>
      </c>
      <c r="D4075" t="s">
        <v>21</v>
      </c>
      <c r="E4075" s="2">
        <v>28100</v>
      </c>
      <c r="F4075" s="2">
        <v>0</v>
      </c>
      <c r="G4075" t="s">
        <v>19</v>
      </c>
      <c r="H4075" t="s">
        <v>20</v>
      </c>
      <c r="I4075" t="s">
        <v>18</v>
      </c>
      <c r="J4075" s="3">
        <v>45427</v>
      </c>
      <c r="K4075" s="4">
        <f>ClientiBanca[[#This Row],[Prestito]]+ClientiBanca[[#This Row],[Mutuo]]</f>
        <v>28100</v>
      </c>
      <c r="L4075" t="str">
        <f>IF(ClientiBanca[[#This Row],[Reddito annuo]]&gt;=70000,"si","no")</f>
        <v>si</v>
      </c>
    </row>
    <row r="4076" spans="1:12">
      <c r="A4076">
        <v>104075</v>
      </c>
      <c r="B4076">
        <v>64</v>
      </c>
      <c r="C4076" s="2">
        <v>101600</v>
      </c>
      <c r="D4076" t="s">
        <v>21</v>
      </c>
      <c r="E4076" s="2">
        <v>37100</v>
      </c>
      <c r="F4076" s="2">
        <v>247000</v>
      </c>
      <c r="G4076" t="s">
        <v>13</v>
      </c>
      <c r="H4076" t="s">
        <v>20</v>
      </c>
      <c r="I4076" t="s">
        <v>18</v>
      </c>
      <c r="J4076" s="3">
        <v>45827</v>
      </c>
      <c r="K4076" s="4">
        <f>ClientiBanca[[#This Row],[Prestito]]+ClientiBanca[[#This Row],[Mutuo]]</f>
        <v>284100</v>
      </c>
      <c r="L4076" t="str">
        <f>IF(ClientiBanca[[#This Row],[Reddito annuo]]&gt;=70000,"si","no")</f>
        <v>si</v>
      </c>
    </row>
    <row r="4077" spans="1:12">
      <c r="A4077">
        <v>104076</v>
      </c>
      <c r="B4077">
        <v>24</v>
      </c>
      <c r="C4077" s="2">
        <v>57000</v>
      </c>
      <c r="D4077" t="s">
        <v>21</v>
      </c>
      <c r="E4077" s="2">
        <v>0</v>
      </c>
      <c r="F4077" s="2">
        <v>0</v>
      </c>
      <c r="G4077" t="s">
        <v>23</v>
      </c>
      <c r="H4077" t="s">
        <v>17</v>
      </c>
      <c r="I4077" t="s">
        <v>18</v>
      </c>
      <c r="J4077" s="3">
        <v>45791</v>
      </c>
      <c r="K4077" s="4">
        <f>ClientiBanca[[#This Row],[Prestito]]+ClientiBanca[[#This Row],[Mutuo]]</f>
        <v>0</v>
      </c>
      <c r="L4077" t="str">
        <f>IF(ClientiBanca[[#This Row],[Reddito annuo]]&gt;=70000,"si","no")</f>
        <v>no</v>
      </c>
    </row>
    <row r="4078" spans="1:12">
      <c r="A4078">
        <v>104077</v>
      </c>
      <c r="B4078">
        <v>44</v>
      </c>
      <c r="C4078" s="2">
        <v>96500</v>
      </c>
      <c r="D4078" t="s">
        <v>21</v>
      </c>
      <c r="E4078" s="2">
        <v>0</v>
      </c>
      <c r="F4078" s="2">
        <v>0</v>
      </c>
      <c r="G4078" t="s">
        <v>23</v>
      </c>
      <c r="H4078" t="s">
        <v>17</v>
      </c>
      <c r="I4078" t="s">
        <v>18</v>
      </c>
      <c r="J4078" s="3">
        <v>45517</v>
      </c>
      <c r="K4078" s="4">
        <f>ClientiBanca[[#This Row],[Prestito]]+ClientiBanca[[#This Row],[Mutuo]]</f>
        <v>0</v>
      </c>
      <c r="L4078" t="str">
        <f>IF(ClientiBanca[[#This Row],[Reddito annuo]]&gt;=70000,"si","no")</f>
        <v>si</v>
      </c>
    </row>
    <row r="4079" spans="1:12">
      <c r="A4079">
        <v>104078</v>
      </c>
      <c r="B4079">
        <v>20</v>
      </c>
      <c r="C4079" s="2">
        <v>41700</v>
      </c>
      <c r="D4079" t="s">
        <v>12</v>
      </c>
      <c r="E4079" s="2">
        <v>0</v>
      </c>
      <c r="F4079" s="2">
        <v>0</v>
      </c>
      <c r="G4079" t="s">
        <v>19</v>
      </c>
      <c r="H4079" t="s">
        <v>20</v>
      </c>
      <c r="I4079" t="s">
        <v>18</v>
      </c>
      <c r="J4079" s="3">
        <v>46006</v>
      </c>
      <c r="K4079" s="4">
        <f>ClientiBanca[[#This Row],[Prestito]]+ClientiBanca[[#This Row],[Mutuo]]</f>
        <v>0</v>
      </c>
      <c r="L4079" t="str">
        <f>IF(ClientiBanca[[#This Row],[Reddito annuo]]&gt;=70000,"si","no")</f>
        <v>no</v>
      </c>
    </row>
    <row r="4080" spans="1:12">
      <c r="A4080">
        <v>104079</v>
      </c>
      <c r="B4080">
        <v>74</v>
      </c>
      <c r="C4080" s="2">
        <v>52900</v>
      </c>
      <c r="D4080" t="s">
        <v>12</v>
      </c>
      <c r="E4080" s="2">
        <v>25600</v>
      </c>
      <c r="F4080" s="2">
        <v>288000</v>
      </c>
      <c r="G4080" t="s">
        <v>28</v>
      </c>
      <c r="H4080" t="s">
        <v>14</v>
      </c>
      <c r="I4080" t="s">
        <v>18</v>
      </c>
      <c r="J4080" s="3">
        <v>46177</v>
      </c>
      <c r="K4080" s="4">
        <f>ClientiBanca[[#This Row],[Prestito]]+ClientiBanca[[#This Row],[Mutuo]]</f>
        <v>313600</v>
      </c>
      <c r="L4080" t="str">
        <f>IF(ClientiBanca[[#This Row],[Reddito annuo]]&gt;=70000,"si","no")</f>
        <v>no</v>
      </c>
    </row>
    <row r="4081" spans="1:12">
      <c r="A4081">
        <v>104080</v>
      </c>
      <c r="B4081">
        <v>21</v>
      </c>
      <c r="C4081" s="2">
        <v>33800</v>
      </c>
      <c r="D4081" t="s">
        <v>21</v>
      </c>
      <c r="E4081" s="2">
        <v>0</v>
      </c>
      <c r="F4081" s="2">
        <v>0</v>
      </c>
      <c r="G4081" t="s">
        <v>26</v>
      </c>
      <c r="H4081" t="s">
        <v>17</v>
      </c>
      <c r="I4081" t="s">
        <v>18</v>
      </c>
      <c r="J4081" s="3">
        <v>45628</v>
      </c>
      <c r="K4081" s="4">
        <f>ClientiBanca[[#This Row],[Prestito]]+ClientiBanca[[#This Row],[Mutuo]]</f>
        <v>0</v>
      </c>
      <c r="L4081" t="str">
        <f>IF(ClientiBanca[[#This Row],[Reddito annuo]]&gt;=70000,"si","no")</f>
        <v>no</v>
      </c>
    </row>
    <row r="4082" spans="1:12">
      <c r="A4082">
        <v>104081</v>
      </c>
      <c r="B4082">
        <v>37</v>
      </c>
      <c r="C4082" s="2">
        <v>78200</v>
      </c>
      <c r="D4082" t="s">
        <v>21</v>
      </c>
      <c r="E4082" s="2">
        <v>0</v>
      </c>
      <c r="F4082" s="2">
        <v>0</v>
      </c>
      <c r="G4082" t="s">
        <v>28</v>
      </c>
      <c r="H4082" t="s">
        <v>20</v>
      </c>
      <c r="I4082" t="s">
        <v>18</v>
      </c>
      <c r="J4082" s="3">
        <v>46071</v>
      </c>
      <c r="K4082" s="4">
        <f>ClientiBanca[[#This Row],[Prestito]]+ClientiBanca[[#This Row],[Mutuo]]</f>
        <v>0</v>
      </c>
      <c r="L4082" t="str">
        <f>IF(ClientiBanca[[#This Row],[Reddito annuo]]&gt;=70000,"si","no")</f>
        <v>si</v>
      </c>
    </row>
    <row r="4083" spans="1:12">
      <c r="A4083">
        <v>104082</v>
      </c>
      <c r="B4083">
        <v>57</v>
      </c>
      <c r="C4083" s="2">
        <v>108400</v>
      </c>
      <c r="D4083" t="s">
        <v>21</v>
      </c>
      <c r="E4083" s="2">
        <v>0</v>
      </c>
      <c r="F4083" s="2">
        <v>0</v>
      </c>
      <c r="G4083" t="s">
        <v>13</v>
      </c>
      <c r="H4083" t="s">
        <v>17</v>
      </c>
      <c r="I4083" t="s">
        <v>18</v>
      </c>
      <c r="J4083" s="3">
        <v>45665</v>
      </c>
      <c r="K4083" s="4">
        <f>ClientiBanca[[#This Row],[Prestito]]+ClientiBanca[[#This Row],[Mutuo]]</f>
        <v>0</v>
      </c>
      <c r="L4083" t="str">
        <f>IF(ClientiBanca[[#This Row],[Reddito annuo]]&gt;=70000,"si","no")</f>
        <v>si</v>
      </c>
    </row>
    <row r="4084" spans="1:12">
      <c r="A4084">
        <v>104083</v>
      </c>
      <c r="B4084">
        <v>72</v>
      </c>
      <c r="C4084" s="2">
        <v>84700</v>
      </c>
      <c r="D4084" t="s">
        <v>22</v>
      </c>
      <c r="E4084" s="2">
        <v>32600</v>
      </c>
      <c r="F4084" s="2">
        <v>0</v>
      </c>
      <c r="G4084" t="s">
        <v>16</v>
      </c>
      <c r="H4084" t="s">
        <v>20</v>
      </c>
      <c r="I4084" t="s">
        <v>18</v>
      </c>
      <c r="J4084" s="3">
        <v>45971</v>
      </c>
      <c r="K4084" s="4">
        <f>ClientiBanca[[#This Row],[Prestito]]+ClientiBanca[[#This Row],[Mutuo]]</f>
        <v>32600</v>
      </c>
      <c r="L4084" t="str">
        <f>IF(ClientiBanca[[#This Row],[Reddito annuo]]&gt;=70000,"si","no")</f>
        <v>si</v>
      </c>
    </row>
    <row r="4085" spans="1:12">
      <c r="A4085">
        <v>104084</v>
      </c>
      <c r="B4085">
        <v>32</v>
      </c>
      <c r="C4085" s="2">
        <v>82700</v>
      </c>
      <c r="D4085" t="s">
        <v>21</v>
      </c>
      <c r="E4085" s="2">
        <v>19100</v>
      </c>
      <c r="F4085" s="2">
        <v>0</v>
      </c>
      <c r="G4085" t="s">
        <v>13</v>
      </c>
      <c r="H4085" t="s">
        <v>14</v>
      </c>
      <c r="I4085" t="s">
        <v>18</v>
      </c>
      <c r="J4085" s="3">
        <v>46055</v>
      </c>
      <c r="K4085" s="4">
        <f>ClientiBanca[[#This Row],[Prestito]]+ClientiBanca[[#This Row],[Mutuo]]</f>
        <v>19100</v>
      </c>
      <c r="L4085" t="str">
        <f>IF(ClientiBanca[[#This Row],[Reddito annuo]]&gt;=70000,"si","no")</f>
        <v>si</v>
      </c>
    </row>
    <row r="4086" spans="1:12">
      <c r="A4086">
        <v>104085</v>
      </c>
      <c r="B4086">
        <v>21</v>
      </c>
      <c r="C4086" s="2">
        <v>46500</v>
      </c>
      <c r="D4086" t="s">
        <v>21</v>
      </c>
      <c r="E4086" s="2">
        <v>58100</v>
      </c>
      <c r="F4086" s="2">
        <v>0</v>
      </c>
      <c r="G4086" t="s">
        <v>26</v>
      </c>
      <c r="H4086" t="s">
        <v>14</v>
      </c>
      <c r="I4086" t="s">
        <v>15</v>
      </c>
      <c r="J4086" s="3">
        <v>46168</v>
      </c>
      <c r="K4086" s="4">
        <f>ClientiBanca[[#This Row],[Prestito]]+ClientiBanca[[#This Row],[Mutuo]]</f>
        <v>58100</v>
      </c>
      <c r="L4086" t="str">
        <f>IF(ClientiBanca[[#This Row],[Reddito annuo]]&gt;=70000,"si","no")</f>
        <v>no</v>
      </c>
    </row>
    <row r="4087" spans="1:12">
      <c r="A4087">
        <v>104086</v>
      </c>
      <c r="B4087">
        <v>65</v>
      </c>
      <c r="C4087" s="2">
        <v>100500</v>
      </c>
      <c r="D4087" t="s">
        <v>12</v>
      </c>
      <c r="E4087" s="2">
        <v>0</v>
      </c>
      <c r="F4087" s="2">
        <v>0</v>
      </c>
      <c r="G4087" t="s">
        <v>28</v>
      </c>
      <c r="H4087" t="s">
        <v>17</v>
      </c>
      <c r="I4087" t="s">
        <v>18</v>
      </c>
      <c r="J4087" s="3">
        <v>46113</v>
      </c>
      <c r="K4087" s="4">
        <f>ClientiBanca[[#This Row],[Prestito]]+ClientiBanca[[#This Row],[Mutuo]]</f>
        <v>0</v>
      </c>
      <c r="L4087" t="str">
        <f>IF(ClientiBanca[[#This Row],[Reddito annuo]]&gt;=70000,"si","no")</f>
        <v>si</v>
      </c>
    </row>
    <row r="4088" spans="1:12">
      <c r="A4088">
        <v>104087</v>
      </c>
      <c r="B4088">
        <v>24</v>
      </c>
      <c r="C4088" s="2">
        <v>73600</v>
      </c>
      <c r="D4088" t="s">
        <v>21</v>
      </c>
      <c r="E4088" s="2">
        <v>0</v>
      </c>
      <c r="F4088" s="2">
        <v>0</v>
      </c>
      <c r="G4088" t="s">
        <v>16</v>
      </c>
      <c r="H4088" t="s">
        <v>17</v>
      </c>
      <c r="I4088" t="s">
        <v>18</v>
      </c>
      <c r="J4088" s="3">
        <v>45765</v>
      </c>
      <c r="K4088" s="4">
        <f>ClientiBanca[[#This Row],[Prestito]]+ClientiBanca[[#This Row],[Mutuo]]</f>
        <v>0</v>
      </c>
      <c r="L4088" t="str">
        <f>IF(ClientiBanca[[#This Row],[Reddito annuo]]&gt;=70000,"si","no")</f>
        <v>si</v>
      </c>
    </row>
    <row r="4089" spans="1:12">
      <c r="A4089">
        <v>104088</v>
      </c>
      <c r="B4089">
        <v>31</v>
      </c>
      <c r="C4089" s="2">
        <v>43000</v>
      </c>
      <c r="D4089" t="s">
        <v>21</v>
      </c>
      <c r="E4089" s="2">
        <v>0</v>
      </c>
      <c r="F4089" s="2">
        <v>162000</v>
      </c>
      <c r="G4089" t="s">
        <v>19</v>
      </c>
      <c r="H4089" t="s">
        <v>17</v>
      </c>
      <c r="I4089" t="s">
        <v>18</v>
      </c>
      <c r="J4089" s="3">
        <v>45861</v>
      </c>
      <c r="K4089" s="4">
        <f>ClientiBanca[[#This Row],[Prestito]]+ClientiBanca[[#This Row],[Mutuo]]</f>
        <v>162000</v>
      </c>
      <c r="L4089" t="str">
        <f>IF(ClientiBanca[[#This Row],[Reddito annuo]]&gt;=70000,"si","no")</f>
        <v>no</v>
      </c>
    </row>
    <row r="4090" spans="1:12">
      <c r="A4090">
        <v>104089</v>
      </c>
      <c r="B4090">
        <v>65</v>
      </c>
      <c r="C4090" s="2">
        <v>54400</v>
      </c>
      <c r="D4090" t="s">
        <v>22</v>
      </c>
      <c r="E4090" s="2">
        <v>16300</v>
      </c>
      <c r="F4090" s="2">
        <v>0</v>
      </c>
      <c r="G4090" t="s">
        <v>28</v>
      </c>
      <c r="H4090" t="s">
        <v>17</v>
      </c>
      <c r="I4090" t="s">
        <v>18</v>
      </c>
      <c r="J4090" s="3">
        <v>45360</v>
      </c>
      <c r="K4090" s="4">
        <f>ClientiBanca[[#This Row],[Prestito]]+ClientiBanca[[#This Row],[Mutuo]]</f>
        <v>16300</v>
      </c>
      <c r="L4090" t="str">
        <f>IF(ClientiBanca[[#This Row],[Reddito annuo]]&gt;=70000,"si","no")</f>
        <v>no</v>
      </c>
    </row>
    <row r="4091" spans="1:12">
      <c r="A4091">
        <v>104090</v>
      </c>
      <c r="B4091">
        <v>55</v>
      </c>
      <c r="C4091" s="2">
        <v>112500</v>
      </c>
      <c r="D4091" t="s">
        <v>22</v>
      </c>
      <c r="E4091" s="2">
        <v>14900</v>
      </c>
      <c r="F4091" s="2">
        <v>0</v>
      </c>
      <c r="G4091" t="s">
        <v>19</v>
      </c>
      <c r="H4091" t="s">
        <v>14</v>
      </c>
      <c r="I4091" t="s">
        <v>18</v>
      </c>
      <c r="J4091" s="3">
        <v>45883</v>
      </c>
      <c r="K4091" s="4">
        <f>ClientiBanca[[#This Row],[Prestito]]+ClientiBanca[[#This Row],[Mutuo]]</f>
        <v>14900</v>
      </c>
      <c r="L4091" t="str">
        <f>IF(ClientiBanca[[#This Row],[Reddito annuo]]&gt;=70000,"si","no")</f>
        <v>si</v>
      </c>
    </row>
    <row r="4092" spans="1:12">
      <c r="A4092">
        <v>104091</v>
      </c>
      <c r="B4092">
        <v>63</v>
      </c>
      <c r="C4092" s="2">
        <v>65900</v>
      </c>
      <c r="D4092" t="s">
        <v>12</v>
      </c>
      <c r="E4092" s="2">
        <v>42100</v>
      </c>
      <c r="F4092" s="2">
        <v>0</v>
      </c>
      <c r="G4092" t="s">
        <v>19</v>
      </c>
      <c r="H4092" t="s">
        <v>17</v>
      </c>
      <c r="I4092" t="s">
        <v>18</v>
      </c>
      <c r="J4092" s="3">
        <v>45634</v>
      </c>
      <c r="K4092" s="4">
        <f>ClientiBanca[[#This Row],[Prestito]]+ClientiBanca[[#This Row],[Mutuo]]</f>
        <v>42100</v>
      </c>
      <c r="L4092" t="str">
        <f>IF(ClientiBanca[[#This Row],[Reddito annuo]]&gt;=70000,"si","no")</f>
        <v>no</v>
      </c>
    </row>
    <row r="4093" spans="1:12">
      <c r="A4093">
        <v>104092</v>
      </c>
      <c r="B4093">
        <v>43</v>
      </c>
      <c r="C4093" s="2">
        <v>40800</v>
      </c>
      <c r="D4093" t="s">
        <v>12</v>
      </c>
      <c r="E4093" s="2">
        <v>51000</v>
      </c>
      <c r="F4093" s="2">
        <v>0</v>
      </c>
      <c r="G4093" t="s">
        <v>16</v>
      </c>
      <c r="H4093" t="s">
        <v>17</v>
      </c>
      <c r="I4093" t="s">
        <v>18</v>
      </c>
      <c r="J4093" s="3">
        <v>45669</v>
      </c>
      <c r="K4093" s="4">
        <f>ClientiBanca[[#This Row],[Prestito]]+ClientiBanca[[#This Row],[Mutuo]]</f>
        <v>51000</v>
      </c>
      <c r="L4093" t="str">
        <f>IF(ClientiBanca[[#This Row],[Reddito annuo]]&gt;=70000,"si","no")</f>
        <v>no</v>
      </c>
    </row>
    <row r="4094" spans="1:12">
      <c r="A4094">
        <v>104093</v>
      </c>
      <c r="B4094">
        <v>56</v>
      </c>
      <c r="C4094" s="2">
        <v>53300</v>
      </c>
      <c r="D4094" t="s">
        <v>21</v>
      </c>
      <c r="E4094" s="2">
        <v>15200</v>
      </c>
      <c r="F4094" s="2">
        <v>0</v>
      </c>
      <c r="G4094" t="s">
        <v>26</v>
      </c>
      <c r="H4094" t="s">
        <v>20</v>
      </c>
      <c r="I4094" t="s">
        <v>18</v>
      </c>
      <c r="J4094" s="3">
        <v>46159</v>
      </c>
      <c r="K4094" s="4">
        <f>ClientiBanca[[#This Row],[Prestito]]+ClientiBanca[[#This Row],[Mutuo]]</f>
        <v>15200</v>
      </c>
      <c r="L4094" t="str">
        <f>IF(ClientiBanca[[#This Row],[Reddito annuo]]&gt;=70000,"si","no")</f>
        <v>no</v>
      </c>
    </row>
    <row r="4095" spans="1:12">
      <c r="A4095">
        <v>104094</v>
      </c>
      <c r="B4095">
        <v>26</v>
      </c>
      <c r="C4095" s="2">
        <v>45200</v>
      </c>
      <c r="D4095" t="s">
        <v>21</v>
      </c>
      <c r="E4095" s="2">
        <v>49900</v>
      </c>
      <c r="F4095" s="2">
        <v>0</v>
      </c>
      <c r="G4095" t="s">
        <v>28</v>
      </c>
      <c r="H4095" t="s">
        <v>17</v>
      </c>
      <c r="I4095" t="s">
        <v>15</v>
      </c>
      <c r="J4095" s="3">
        <v>45536</v>
      </c>
      <c r="K4095" s="4">
        <f>ClientiBanca[[#This Row],[Prestito]]+ClientiBanca[[#This Row],[Mutuo]]</f>
        <v>49900</v>
      </c>
      <c r="L4095" t="str">
        <f>IF(ClientiBanca[[#This Row],[Reddito annuo]]&gt;=70000,"si","no")</f>
        <v>no</v>
      </c>
    </row>
    <row r="4096" spans="1:12">
      <c r="A4096">
        <v>104095</v>
      </c>
      <c r="B4096">
        <v>69</v>
      </c>
      <c r="C4096" s="2">
        <v>93000</v>
      </c>
      <c r="D4096" t="s">
        <v>21</v>
      </c>
      <c r="E4096" s="2">
        <v>0</v>
      </c>
      <c r="F4096" s="2">
        <v>0</v>
      </c>
      <c r="G4096" t="s">
        <v>27</v>
      </c>
      <c r="H4096" t="s">
        <v>20</v>
      </c>
      <c r="I4096" t="s">
        <v>18</v>
      </c>
      <c r="J4096" s="3">
        <v>45913</v>
      </c>
      <c r="K4096" s="4">
        <f>ClientiBanca[[#This Row],[Prestito]]+ClientiBanca[[#This Row],[Mutuo]]</f>
        <v>0</v>
      </c>
      <c r="L4096" t="str">
        <f>IF(ClientiBanca[[#This Row],[Reddito annuo]]&gt;=70000,"si","no")</f>
        <v>si</v>
      </c>
    </row>
    <row r="4097" spans="1:12">
      <c r="A4097">
        <v>104096</v>
      </c>
      <c r="B4097">
        <v>51</v>
      </c>
      <c r="C4097" s="2">
        <v>38700</v>
      </c>
      <c r="D4097" t="s">
        <v>21</v>
      </c>
      <c r="E4097" s="2">
        <v>0</v>
      </c>
      <c r="F4097" s="2">
        <v>221000</v>
      </c>
      <c r="G4097" t="s">
        <v>19</v>
      </c>
      <c r="H4097" t="s">
        <v>14</v>
      </c>
      <c r="I4097" t="s">
        <v>18</v>
      </c>
      <c r="J4097" s="3">
        <v>45604</v>
      </c>
      <c r="K4097" s="4">
        <f>ClientiBanca[[#This Row],[Prestito]]+ClientiBanca[[#This Row],[Mutuo]]</f>
        <v>221000</v>
      </c>
      <c r="L4097" t="str">
        <f>IF(ClientiBanca[[#This Row],[Reddito annuo]]&gt;=70000,"si","no")</f>
        <v>no</v>
      </c>
    </row>
    <row r="4098" spans="1:12">
      <c r="A4098">
        <v>104097</v>
      </c>
      <c r="B4098">
        <v>29</v>
      </c>
      <c r="C4098" s="2">
        <v>56600</v>
      </c>
      <c r="D4098" t="s">
        <v>21</v>
      </c>
      <c r="E4098" s="2">
        <v>70800</v>
      </c>
      <c r="F4098" s="2">
        <v>0</v>
      </c>
      <c r="G4098" t="s">
        <v>24</v>
      </c>
      <c r="H4098" t="s">
        <v>14</v>
      </c>
      <c r="I4098" t="s">
        <v>18</v>
      </c>
      <c r="J4098" s="3">
        <v>46108</v>
      </c>
      <c r="K4098" s="4">
        <f>ClientiBanca[[#This Row],[Prestito]]+ClientiBanca[[#This Row],[Mutuo]]</f>
        <v>70800</v>
      </c>
      <c r="L4098" t="str">
        <f>IF(ClientiBanca[[#This Row],[Reddito annuo]]&gt;=70000,"si","no")</f>
        <v>no</v>
      </c>
    </row>
    <row r="4099" spans="1:12">
      <c r="A4099">
        <v>104098</v>
      </c>
      <c r="B4099">
        <v>74</v>
      </c>
      <c r="C4099" s="2">
        <v>70600</v>
      </c>
      <c r="D4099" t="s">
        <v>12</v>
      </c>
      <c r="E4099" s="2">
        <v>55500</v>
      </c>
      <c r="F4099" s="2">
        <v>0</v>
      </c>
      <c r="G4099" t="s">
        <v>19</v>
      </c>
      <c r="H4099" t="s">
        <v>25</v>
      </c>
      <c r="I4099" t="s">
        <v>18</v>
      </c>
      <c r="J4099" s="3">
        <v>46254</v>
      </c>
      <c r="K4099" s="4">
        <f>ClientiBanca[[#This Row],[Prestito]]+ClientiBanca[[#This Row],[Mutuo]]</f>
        <v>55500</v>
      </c>
      <c r="L4099" t="str">
        <f>IF(ClientiBanca[[#This Row],[Reddito annuo]]&gt;=70000,"si","no")</f>
        <v>si</v>
      </c>
    </row>
    <row r="4100" spans="1:12">
      <c r="A4100">
        <v>104099</v>
      </c>
      <c r="B4100">
        <v>43</v>
      </c>
      <c r="C4100" s="2">
        <v>60400</v>
      </c>
      <c r="D4100" t="s">
        <v>22</v>
      </c>
      <c r="E4100" s="2">
        <v>0</v>
      </c>
      <c r="F4100" s="2">
        <v>0</v>
      </c>
      <c r="G4100" t="s">
        <v>23</v>
      </c>
      <c r="H4100" t="s">
        <v>25</v>
      </c>
      <c r="I4100" t="s">
        <v>18</v>
      </c>
      <c r="J4100" s="3">
        <v>45787</v>
      </c>
      <c r="K4100" s="4">
        <f>ClientiBanca[[#This Row],[Prestito]]+ClientiBanca[[#This Row],[Mutuo]]</f>
        <v>0</v>
      </c>
      <c r="L4100" t="str">
        <f>IF(ClientiBanca[[#This Row],[Reddito annuo]]&gt;=70000,"si","no")</f>
        <v>no</v>
      </c>
    </row>
    <row r="4101" spans="1:12">
      <c r="A4101">
        <v>104100</v>
      </c>
      <c r="B4101">
        <v>24</v>
      </c>
      <c r="C4101" s="2">
        <v>100300</v>
      </c>
      <c r="D4101" t="s">
        <v>22</v>
      </c>
      <c r="E4101" s="2">
        <v>77100</v>
      </c>
      <c r="F4101" s="2">
        <v>0</v>
      </c>
      <c r="G4101" t="s">
        <v>24</v>
      </c>
      <c r="H4101" t="s">
        <v>20</v>
      </c>
      <c r="I4101" t="s">
        <v>18</v>
      </c>
      <c r="J4101" s="3">
        <v>45348</v>
      </c>
      <c r="K4101" s="4">
        <f>ClientiBanca[[#This Row],[Prestito]]+ClientiBanca[[#This Row],[Mutuo]]</f>
        <v>77100</v>
      </c>
      <c r="L4101" t="str">
        <f>IF(ClientiBanca[[#This Row],[Reddito annuo]]&gt;=70000,"si","no")</f>
        <v>si</v>
      </c>
    </row>
    <row r="4102" spans="1:12">
      <c r="A4102">
        <v>104101</v>
      </c>
      <c r="B4102">
        <v>70</v>
      </c>
      <c r="C4102" s="2">
        <v>55100</v>
      </c>
      <c r="D4102" t="s">
        <v>12</v>
      </c>
      <c r="E4102" s="2">
        <v>37100</v>
      </c>
      <c r="F4102" s="2">
        <v>188000</v>
      </c>
      <c r="G4102" t="s">
        <v>13</v>
      </c>
      <c r="H4102" t="s">
        <v>17</v>
      </c>
      <c r="I4102" t="s">
        <v>18</v>
      </c>
      <c r="J4102" s="3">
        <v>46009</v>
      </c>
      <c r="K4102" s="4">
        <f>ClientiBanca[[#This Row],[Prestito]]+ClientiBanca[[#This Row],[Mutuo]]</f>
        <v>225100</v>
      </c>
      <c r="L4102" t="str">
        <f>IF(ClientiBanca[[#This Row],[Reddito annuo]]&gt;=70000,"si","no")</f>
        <v>no</v>
      </c>
    </row>
    <row r="4103" spans="1:12">
      <c r="A4103">
        <v>104102</v>
      </c>
      <c r="B4103">
        <v>21</v>
      </c>
      <c r="C4103" s="2">
        <v>44400</v>
      </c>
      <c r="D4103" t="s">
        <v>22</v>
      </c>
      <c r="E4103" s="2">
        <v>27200</v>
      </c>
      <c r="F4103" s="2">
        <v>0</v>
      </c>
      <c r="G4103" t="s">
        <v>27</v>
      </c>
      <c r="H4103" t="s">
        <v>17</v>
      </c>
      <c r="I4103" t="s">
        <v>18</v>
      </c>
      <c r="J4103" s="3">
        <v>45393</v>
      </c>
      <c r="K4103" s="4">
        <f>ClientiBanca[[#This Row],[Prestito]]+ClientiBanca[[#This Row],[Mutuo]]</f>
        <v>27200</v>
      </c>
      <c r="L4103" t="str">
        <f>IF(ClientiBanca[[#This Row],[Reddito annuo]]&gt;=70000,"si","no")</f>
        <v>no</v>
      </c>
    </row>
    <row r="4104" spans="1:12">
      <c r="A4104">
        <v>104103</v>
      </c>
      <c r="B4104">
        <v>46</v>
      </c>
      <c r="C4104" s="2">
        <v>74000</v>
      </c>
      <c r="D4104" t="s">
        <v>22</v>
      </c>
      <c r="E4104" s="2">
        <v>16400</v>
      </c>
      <c r="F4104" s="2">
        <v>0</v>
      </c>
      <c r="G4104" t="s">
        <v>27</v>
      </c>
      <c r="H4104" t="s">
        <v>17</v>
      </c>
      <c r="I4104" t="s">
        <v>18</v>
      </c>
      <c r="J4104" s="3">
        <v>46194</v>
      </c>
      <c r="K4104" s="4">
        <f>ClientiBanca[[#This Row],[Prestito]]+ClientiBanca[[#This Row],[Mutuo]]</f>
        <v>16400</v>
      </c>
      <c r="L4104" t="str">
        <f>IF(ClientiBanca[[#This Row],[Reddito annuo]]&gt;=70000,"si","no")</f>
        <v>si</v>
      </c>
    </row>
    <row r="4105" spans="1:12">
      <c r="A4105">
        <v>104104</v>
      </c>
      <c r="B4105">
        <v>48</v>
      </c>
      <c r="C4105" s="2">
        <v>65300</v>
      </c>
      <c r="D4105" t="s">
        <v>12</v>
      </c>
      <c r="E4105" s="2">
        <v>14000</v>
      </c>
      <c r="F4105" s="2">
        <v>0</v>
      </c>
      <c r="G4105" t="s">
        <v>19</v>
      </c>
      <c r="H4105" t="s">
        <v>20</v>
      </c>
      <c r="I4105" t="s">
        <v>18</v>
      </c>
      <c r="J4105" s="3">
        <v>46071</v>
      </c>
      <c r="K4105" s="4">
        <f>ClientiBanca[[#This Row],[Prestito]]+ClientiBanca[[#This Row],[Mutuo]]</f>
        <v>14000</v>
      </c>
      <c r="L4105" t="str">
        <f>IF(ClientiBanca[[#This Row],[Reddito annuo]]&gt;=70000,"si","no")</f>
        <v>no</v>
      </c>
    </row>
    <row r="4106" spans="1:12">
      <c r="A4106">
        <v>104105</v>
      </c>
      <c r="B4106">
        <v>38</v>
      </c>
      <c r="C4106" s="2">
        <v>39900</v>
      </c>
      <c r="D4106" t="s">
        <v>12</v>
      </c>
      <c r="E4106" s="2">
        <v>47900</v>
      </c>
      <c r="F4106" s="2">
        <v>0</v>
      </c>
      <c r="G4106" t="s">
        <v>26</v>
      </c>
      <c r="H4106" t="s">
        <v>17</v>
      </c>
      <c r="I4106" t="s">
        <v>18</v>
      </c>
      <c r="J4106" s="3">
        <v>45395</v>
      </c>
      <c r="K4106" s="4">
        <f>ClientiBanca[[#This Row],[Prestito]]+ClientiBanca[[#This Row],[Mutuo]]</f>
        <v>47900</v>
      </c>
      <c r="L4106" t="str">
        <f>IF(ClientiBanca[[#This Row],[Reddito annuo]]&gt;=70000,"si","no")</f>
        <v>no</v>
      </c>
    </row>
    <row r="4107" spans="1:12">
      <c r="A4107">
        <v>104106</v>
      </c>
      <c r="B4107">
        <v>51</v>
      </c>
      <c r="C4107" s="2">
        <v>100000</v>
      </c>
      <c r="D4107" t="s">
        <v>21</v>
      </c>
      <c r="E4107" s="2">
        <v>69400</v>
      </c>
      <c r="F4107" s="2">
        <v>318000</v>
      </c>
      <c r="G4107" t="s">
        <v>27</v>
      </c>
      <c r="H4107" t="s">
        <v>20</v>
      </c>
      <c r="I4107" t="s">
        <v>18</v>
      </c>
      <c r="J4107" s="3">
        <v>45544</v>
      </c>
      <c r="K4107" s="4">
        <f>ClientiBanca[[#This Row],[Prestito]]+ClientiBanca[[#This Row],[Mutuo]]</f>
        <v>387400</v>
      </c>
      <c r="L4107" t="str">
        <f>IF(ClientiBanca[[#This Row],[Reddito annuo]]&gt;=70000,"si","no")</f>
        <v>si</v>
      </c>
    </row>
    <row r="4108" spans="1:12">
      <c r="A4108">
        <v>104107</v>
      </c>
      <c r="B4108">
        <v>24</v>
      </c>
      <c r="C4108" s="2">
        <v>52900</v>
      </c>
      <c r="D4108" t="s">
        <v>22</v>
      </c>
      <c r="E4108" s="2">
        <v>11700</v>
      </c>
      <c r="F4108" s="2">
        <v>0</v>
      </c>
      <c r="G4108" t="s">
        <v>16</v>
      </c>
      <c r="H4108" t="s">
        <v>20</v>
      </c>
      <c r="I4108" t="s">
        <v>18</v>
      </c>
      <c r="J4108" s="3">
        <v>45635</v>
      </c>
      <c r="K4108" s="4">
        <f>ClientiBanca[[#This Row],[Prestito]]+ClientiBanca[[#This Row],[Mutuo]]</f>
        <v>11700</v>
      </c>
      <c r="L4108" t="str">
        <f>IF(ClientiBanca[[#This Row],[Reddito annuo]]&gt;=70000,"si","no")</f>
        <v>no</v>
      </c>
    </row>
    <row r="4109" spans="1:12">
      <c r="A4109">
        <v>104108</v>
      </c>
      <c r="B4109">
        <v>46</v>
      </c>
      <c r="C4109" s="2">
        <v>30100</v>
      </c>
      <c r="D4109" t="s">
        <v>21</v>
      </c>
      <c r="E4109" s="2">
        <v>0</v>
      </c>
      <c r="F4109" s="2">
        <v>0</v>
      </c>
      <c r="G4109" t="s">
        <v>24</v>
      </c>
      <c r="H4109" t="s">
        <v>25</v>
      </c>
      <c r="I4109" t="s">
        <v>18</v>
      </c>
      <c r="J4109" s="3">
        <v>45337</v>
      </c>
      <c r="K4109" s="4">
        <f>ClientiBanca[[#This Row],[Prestito]]+ClientiBanca[[#This Row],[Mutuo]]</f>
        <v>0</v>
      </c>
      <c r="L4109" t="str">
        <f>IF(ClientiBanca[[#This Row],[Reddito annuo]]&gt;=70000,"si","no")</f>
        <v>no</v>
      </c>
    </row>
    <row r="4110" spans="1:12">
      <c r="A4110">
        <v>104109</v>
      </c>
      <c r="B4110">
        <v>63</v>
      </c>
      <c r="C4110" s="2">
        <v>41400</v>
      </c>
      <c r="D4110" t="s">
        <v>12</v>
      </c>
      <c r="E4110" s="2">
        <v>51800</v>
      </c>
      <c r="F4110" s="2">
        <v>0</v>
      </c>
      <c r="G4110" t="s">
        <v>19</v>
      </c>
      <c r="H4110" t="s">
        <v>20</v>
      </c>
      <c r="I4110" t="s">
        <v>18</v>
      </c>
      <c r="J4110" s="3">
        <v>45694</v>
      </c>
      <c r="K4110" s="4">
        <f>ClientiBanca[[#This Row],[Prestito]]+ClientiBanca[[#This Row],[Mutuo]]</f>
        <v>51800</v>
      </c>
      <c r="L4110" t="str">
        <f>IF(ClientiBanca[[#This Row],[Reddito annuo]]&gt;=70000,"si","no")</f>
        <v>no</v>
      </c>
    </row>
    <row r="4111" spans="1:12">
      <c r="A4111">
        <v>104110</v>
      </c>
      <c r="B4111">
        <v>24</v>
      </c>
      <c r="C4111" s="2">
        <v>43300</v>
      </c>
      <c r="D4111" t="s">
        <v>21</v>
      </c>
      <c r="E4111" s="2">
        <v>54100</v>
      </c>
      <c r="F4111" s="2">
        <v>0</v>
      </c>
      <c r="G4111" t="s">
        <v>24</v>
      </c>
      <c r="H4111" t="s">
        <v>17</v>
      </c>
      <c r="I4111" t="s">
        <v>18</v>
      </c>
      <c r="J4111" s="3">
        <v>45348</v>
      </c>
      <c r="K4111" s="4">
        <f>ClientiBanca[[#This Row],[Prestito]]+ClientiBanca[[#This Row],[Mutuo]]</f>
        <v>54100</v>
      </c>
      <c r="L4111" t="str">
        <f>IF(ClientiBanca[[#This Row],[Reddito annuo]]&gt;=70000,"si","no")</f>
        <v>no</v>
      </c>
    </row>
    <row r="4112" spans="1:12">
      <c r="A4112">
        <v>104111</v>
      </c>
      <c r="B4112">
        <v>72</v>
      </c>
      <c r="C4112" s="2">
        <v>87200</v>
      </c>
      <c r="D4112" t="s">
        <v>21</v>
      </c>
      <c r="E4112" s="2">
        <v>28600</v>
      </c>
      <c r="F4112" s="2">
        <v>0</v>
      </c>
      <c r="G4112" t="s">
        <v>27</v>
      </c>
      <c r="H4112" t="s">
        <v>20</v>
      </c>
      <c r="I4112" t="s">
        <v>18</v>
      </c>
      <c r="J4112" s="3">
        <v>45475</v>
      </c>
      <c r="K4112" s="4">
        <f>ClientiBanca[[#This Row],[Prestito]]+ClientiBanca[[#This Row],[Mutuo]]</f>
        <v>28600</v>
      </c>
      <c r="L4112" t="str">
        <f>IF(ClientiBanca[[#This Row],[Reddito annuo]]&gt;=70000,"si","no")</f>
        <v>si</v>
      </c>
    </row>
    <row r="4113" spans="1:12">
      <c r="A4113">
        <v>104112</v>
      </c>
      <c r="B4113">
        <v>37</v>
      </c>
      <c r="C4113" s="2">
        <v>38500</v>
      </c>
      <c r="D4113" t="s">
        <v>22</v>
      </c>
      <c r="E4113" s="2">
        <v>48100</v>
      </c>
      <c r="F4113" s="2">
        <v>0</v>
      </c>
      <c r="G4113" t="s">
        <v>26</v>
      </c>
      <c r="H4113" t="s">
        <v>17</v>
      </c>
      <c r="I4113" t="s">
        <v>18</v>
      </c>
      <c r="J4113" s="3">
        <v>45462</v>
      </c>
      <c r="K4113" s="4">
        <f>ClientiBanca[[#This Row],[Prestito]]+ClientiBanca[[#This Row],[Mutuo]]</f>
        <v>48100</v>
      </c>
      <c r="L4113" t="str">
        <f>IF(ClientiBanca[[#This Row],[Reddito annuo]]&gt;=70000,"si","no")</f>
        <v>no</v>
      </c>
    </row>
    <row r="4114" spans="1:12">
      <c r="A4114">
        <v>104113</v>
      </c>
      <c r="B4114">
        <v>52</v>
      </c>
      <c r="C4114" s="2">
        <v>79900</v>
      </c>
      <c r="D4114" t="s">
        <v>22</v>
      </c>
      <c r="E4114" s="2">
        <v>44000</v>
      </c>
      <c r="F4114" s="2">
        <v>0</v>
      </c>
      <c r="G4114" t="s">
        <v>13</v>
      </c>
      <c r="H4114" t="s">
        <v>20</v>
      </c>
      <c r="I4114" t="s">
        <v>18</v>
      </c>
      <c r="J4114" s="3">
        <v>45324</v>
      </c>
      <c r="K4114" s="4">
        <f>ClientiBanca[[#This Row],[Prestito]]+ClientiBanca[[#This Row],[Mutuo]]</f>
        <v>44000</v>
      </c>
      <c r="L4114" t="str">
        <f>IF(ClientiBanca[[#This Row],[Reddito annuo]]&gt;=70000,"si","no")</f>
        <v>si</v>
      </c>
    </row>
    <row r="4115" spans="1:12">
      <c r="A4115">
        <v>104114</v>
      </c>
      <c r="B4115">
        <v>41</v>
      </c>
      <c r="C4115" s="2">
        <v>56600</v>
      </c>
      <c r="D4115" t="s">
        <v>21</v>
      </c>
      <c r="E4115" s="2">
        <v>52300</v>
      </c>
      <c r="F4115" s="2">
        <v>0</v>
      </c>
      <c r="G4115" t="s">
        <v>16</v>
      </c>
      <c r="H4115" t="s">
        <v>20</v>
      </c>
      <c r="I4115" t="s">
        <v>18</v>
      </c>
      <c r="J4115" s="3">
        <v>45673</v>
      </c>
      <c r="K4115" s="4">
        <f>ClientiBanca[[#This Row],[Prestito]]+ClientiBanca[[#This Row],[Mutuo]]</f>
        <v>52300</v>
      </c>
      <c r="L4115" t="str">
        <f>IF(ClientiBanca[[#This Row],[Reddito annuo]]&gt;=70000,"si","no")</f>
        <v>no</v>
      </c>
    </row>
    <row r="4116" spans="1:12">
      <c r="A4116">
        <v>104115</v>
      </c>
      <c r="B4116">
        <v>28</v>
      </c>
      <c r="C4116" s="2">
        <v>53700</v>
      </c>
      <c r="D4116" t="s">
        <v>21</v>
      </c>
      <c r="E4116" s="2">
        <v>6000</v>
      </c>
      <c r="F4116" s="2">
        <v>0</v>
      </c>
      <c r="G4116" t="s">
        <v>19</v>
      </c>
      <c r="H4116" t="s">
        <v>25</v>
      </c>
      <c r="I4116" t="s">
        <v>15</v>
      </c>
      <c r="J4116" s="3">
        <v>45452</v>
      </c>
      <c r="K4116" s="4">
        <f>ClientiBanca[[#This Row],[Prestito]]+ClientiBanca[[#This Row],[Mutuo]]</f>
        <v>6000</v>
      </c>
      <c r="L4116" t="str">
        <f>IF(ClientiBanca[[#This Row],[Reddito annuo]]&gt;=70000,"si","no")</f>
        <v>no</v>
      </c>
    </row>
    <row r="4117" spans="1:12">
      <c r="A4117">
        <v>104116</v>
      </c>
      <c r="B4117">
        <v>59</v>
      </c>
      <c r="C4117" s="2">
        <v>107000</v>
      </c>
      <c r="D4117" t="s">
        <v>21</v>
      </c>
      <c r="E4117" s="2">
        <v>33300</v>
      </c>
      <c r="F4117" s="2">
        <v>0</v>
      </c>
      <c r="G4117" t="s">
        <v>26</v>
      </c>
      <c r="H4117" t="s">
        <v>20</v>
      </c>
      <c r="I4117" t="s">
        <v>18</v>
      </c>
      <c r="J4117" s="3">
        <v>45643</v>
      </c>
      <c r="K4117" s="4">
        <f>ClientiBanca[[#This Row],[Prestito]]+ClientiBanca[[#This Row],[Mutuo]]</f>
        <v>33300</v>
      </c>
      <c r="L4117" t="str">
        <f>IF(ClientiBanca[[#This Row],[Reddito annuo]]&gt;=70000,"si","no")</f>
        <v>si</v>
      </c>
    </row>
    <row r="4118" spans="1:12">
      <c r="A4118">
        <v>104117</v>
      </c>
      <c r="B4118">
        <v>63</v>
      </c>
      <c r="C4118" s="2">
        <v>66200</v>
      </c>
      <c r="D4118" t="s">
        <v>22</v>
      </c>
      <c r="E4118" s="2">
        <v>0</v>
      </c>
      <c r="F4118" s="2">
        <v>0</v>
      </c>
      <c r="G4118" t="s">
        <v>16</v>
      </c>
      <c r="H4118" t="s">
        <v>17</v>
      </c>
      <c r="I4118" t="s">
        <v>18</v>
      </c>
      <c r="J4118" s="3">
        <v>46247</v>
      </c>
      <c r="K4118" s="4">
        <f>ClientiBanca[[#This Row],[Prestito]]+ClientiBanca[[#This Row],[Mutuo]]</f>
        <v>0</v>
      </c>
      <c r="L4118" t="str">
        <f>IF(ClientiBanca[[#This Row],[Reddito annuo]]&gt;=70000,"si","no")</f>
        <v>no</v>
      </c>
    </row>
    <row r="4119" spans="1:12">
      <c r="A4119">
        <v>104118</v>
      </c>
      <c r="B4119">
        <v>40</v>
      </c>
      <c r="C4119" s="2">
        <v>64200</v>
      </c>
      <c r="D4119" t="s">
        <v>12</v>
      </c>
      <c r="E4119" s="2">
        <v>0</v>
      </c>
      <c r="F4119" s="2">
        <v>194000</v>
      </c>
      <c r="G4119" t="s">
        <v>27</v>
      </c>
      <c r="H4119" t="s">
        <v>17</v>
      </c>
      <c r="I4119" t="s">
        <v>18</v>
      </c>
      <c r="J4119" s="3">
        <v>45483</v>
      </c>
      <c r="K4119" s="4">
        <f>ClientiBanca[[#This Row],[Prestito]]+ClientiBanca[[#This Row],[Mutuo]]</f>
        <v>194000</v>
      </c>
      <c r="L4119" t="str">
        <f>IF(ClientiBanca[[#This Row],[Reddito annuo]]&gt;=70000,"si","no")</f>
        <v>no</v>
      </c>
    </row>
    <row r="4120" spans="1:12">
      <c r="A4120">
        <v>104119</v>
      </c>
      <c r="B4120">
        <v>41</v>
      </c>
      <c r="C4120" s="2">
        <v>72600</v>
      </c>
      <c r="D4120" t="s">
        <v>21</v>
      </c>
      <c r="E4120" s="2">
        <v>54400</v>
      </c>
      <c r="F4120" s="2">
        <v>0</v>
      </c>
      <c r="G4120" t="s">
        <v>28</v>
      </c>
      <c r="H4120" t="s">
        <v>17</v>
      </c>
      <c r="I4120" t="s">
        <v>18</v>
      </c>
      <c r="J4120" s="3">
        <v>46178</v>
      </c>
      <c r="K4120" s="4">
        <f>ClientiBanca[[#This Row],[Prestito]]+ClientiBanca[[#This Row],[Mutuo]]</f>
        <v>54400</v>
      </c>
      <c r="L4120" t="str">
        <f>IF(ClientiBanca[[#This Row],[Reddito annuo]]&gt;=70000,"si","no")</f>
        <v>si</v>
      </c>
    </row>
    <row r="4121" spans="1:12">
      <c r="A4121">
        <v>104120</v>
      </c>
      <c r="B4121">
        <v>57</v>
      </c>
      <c r="C4121" s="2">
        <v>41200</v>
      </c>
      <c r="D4121" t="s">
        <v>22</v>
      </c>
      <c r="E4121" s="2">
        <v>25100</v>
      </c>
      <c r="F4121" s="2">
        <v>377000</v>
      </c>
      <c r="G4121" t="s">
        <v>28</v>
      </c>
      <c r="H4121" t="s">
        <v>14</v>
      </c>
      <c r="I4121" t="s">
        <v>18</v>
      </c>
      <c r="J4121" s="3">
        <v>46181</v>
      </c>
      <c r="K4121" s="4">
        <f>ClientiBanca[[#This Row],[Prestito]]+ClientiBanca[[#This Row],[Mutuo]]</f>
        <v>402100</v>
      </c>
      <c r="L4121" t="str">
        <f>IF(ClientiBanca[[#This Row],[Reddito annuo]]&gt;=70000,"si","no")</f>
        <v>no</v>
      </c>
    </row>
    <row r="4122" spans="1:12">
      <c r="A4122">
        <v>104121</v>
      </c>
      <c r="B4122">
        <v>36</v>
      </c>
      <c r="C4122" s="2">
        <v>86400</v>
      </c>
      <c r="D4122" t="s">
        <v>21</v>
      </c>
      <c r="E4122" s="2">
        <v>44200</v>
      </c>
      <c r="F4122" s="2">
        <v>0</v>
      </c>
      <c r="G4122" t="s">
        <v>28</v>
      </c>
      <c r="H4122" t="s">
        <v>20</v>
      </c>
      <c r="I4122" t="s">
        <v>18</v>
      </c>
      <c r="J4122" s="3">
        <v>45494</v>
      </c>
      <c r="K4122" s="4">
        <f>ClientiBanca[[#This Row],[Prestito]]+ClientiBanca[[#This Row],[Mutuo]]</f>
        <v>44200</v>
      </c>
      <c r="L4122" t="str">
        <f>IF(ClientiBanca[[#This Row],[Reddito annuo]]&gt;=70000,"si","no")</f>
        <v>si</v>
      </c>
    </row>
    <row r="4123" spans="1:12">
      <c r="A4123">
        <v>104122</v>
      </c>
      <c r="B4123">
        <v>37</v>
      </c>
      <c r="C4123" s="2">
        <v>54200</v>
      </c>
      <c r="D4123" t="s">
        <v>21</v>
      </c>
      <c r="E4123" s="2">
        <v>27200</v>
      </c>
      <c r="F4123" s="2">
        <v>0</v>
      </c>
      <c r="G4123" t="s">
        <v>16</v>
      </c>
      <c r="H4123" t="s">
        <v>14</v>
      </c>
      <c r="I4123" t="s">
        <v>18</v>
      </c>
      <c r="J4123" s="3">
        <v>46123</v>
      </c>
      <c r="K4123" s="4">
        <f>ClientiBanca[[#This Row],[Prestito]]+ClientiBanca[[#This Row],[Mutuo]]</f>
        <v>27200</v>
      </c>
      <c r="L4123" t="str">
        <f>IF(ClientiBanca[[#This Row],[Reddito annuo]]&gt;=70000,"si","no")</f>
        <v>no</v>
      </c>
    </row>
    <row r="4124" spans="1:12">
      <c r="A4124">
        <v>104123</v>
      </c>
      <c r="B4124">
        <v>29</v>
      </c>
      <c r="C4124" s="2">
        <v>36500</v>
      </c>
      <c r="D4124" t="s">
        <v>12</v>
      </c>
      <c r="E4124" s="2">
        <v>45600</v>
      </c>
      <c r="F4124" s="2">
        <v>0</v>
      </c>
      <c r="G4124" t="s">
        <v>13</v>
      </c>
      <c r="H4124" t="s">
        <v>25</v>
      </c>
      <c r="I4124" t="s">
        <v>15</v>
      </c>
      <c r="J4124" s="3">
        <v>45568</v>
      </c>
      <c r="K4124" s="4">
        <f>ClientiBanca[[#This Row],[Prestito]]+ClientiBanca[[#This Row],[Mutuo]]</f>
        <v>45600</v>
      </c>
      <c r="L4124" t="str">
        <f>IF(ClientiBanca[[#This Row],[Reddito annuo]]&gt;=70000,"si","no")</f>
        <v>no</v>
      </c>
    </row>
    <row r="4125" spans="1:12">
      <c r="A4125">
        <v>104124</v>
      </c>
      <c r="B4125">
        <v>53</v>
      </c>
      <c r="C4125" s="2">
        <v>74800</v>
      </c>
      <c r="D4125" t="s">
        <v>21</v>
      </c>
      <c r="E4125" s="2">
        <v>0</v>
      </c>
      <c r="F4125" s="2">
        <v>221000</v>
      </c>
      <c r="G4125" t="s">
        <v>26</v>
      </c>
      <c r="H4125" t="s">
        <v>20</v>
      </c>
      <c r="I4125" t="s">
        <v>18</v>
      </c>
      <c r="J4125" s="3">
        <v>46152</v>
      </c>
      <c r="K4125" s="4">
        <f>ClientiBanca[[#This Row],[Prestito]]+ClientiBanca[[#This Row],[Mutuo]]</f>
        <v>221000</v>
      </c>
      <c r="L4125" t="str">
        <f>IF(ClientiBanca[[#This Row],[Reddito annuo]]&gt;=70000,"si","no")</f>
        <v>si</v>
      </c>
    </row>
    <row r="4126" spans="1:12">
      <c r="A4126">
        <v>104125</v>
      </c>
      <c r="B4126">
        <v>55</v>
      </c>
      <c r="C4126" s="2">
        <v>67300</v>
      </c>
      <c r="D4126" t="s">
        <v>22</v>
      </c>
      <c r="E4126" s="2">
        <v>30800</v>
      </c>
      <c r="F4126" s="2">
        <v>0</v>
      </c>
      <c r="G4126" t="s">
        <v>26</v>
      </c>
      <c r="H4126" t="s">
        <v>17</v>
      </c>
      <c r="I4126" t="s">
        <v>18</v>
      </c>
      <c r="J4126" s="3">
        <v>46177</v>
      </c>
      <c r="K4126" s="4">
        <f>ClientiBanca[[#This Row],[Prestito]]+ClientiBanca[[#This Row],[Mutuo]]</f>
        <v>30800</v>
      </c>
      <c r="L4126" t="str">
        <f>IF(ClientiBanca[[#This Row],[Reddito annuo]]&gt;=70000,"si","no")</f>
        <v>no</v>
      </c>
    </row>
    <row r="4127" spans="1:12">
      <c r="A4127">
        <v>104126</v>
      </c>
      <c r="B4127">
        <v>61</v>
      </c>
      <c r="C4127" s="2">
        <v>78200</v>
      </c>
      <c r="D4127" t="s">
        <v>12</v>
      </c>
      <c r="E4127" s="2">
        <v>15800</v>
      </c>
      <c r="F4127" s="2">
        <v>0</v>
      </c>
      <c r="G4127" t="s">
        <v>13</v>
      </c>
      <c r="H4127" t="s">
        <v>20</v>
      </c>
      <c r="I4127" t="s">
        <v>18</v>
      </c>
      <c r="J4127" s="3">
        <v>45547</v>
      </c>
      <c r="K4127" s="4">
        <f>ClientiBanca[[#This Row],[Prestito]]+ClientiBanca[[#This Row],[Mutuo]]</f>
        <v>15800</v>
      </c>
      <c r="L4127" t="str">
        <f>IF(ClientiBanca[[#This Row],[Reddito annuo]]&gt;=70000,"si","no")</f>
        <v>si</v>
      </c>
    </row>
    <row r="4128" spans="1:12">
      <c r="A4128">
        <v>104127</v>
      </c>
      <c r="B4128">
        <v>20</v>
      </c>
      <c r="C4128" s="2">
        <v>78200</v>
      </c>
      <c r="D4128" t="s">
        <v>12</v>
      </c>
      <c r="E4128" s="2">
        <v>34600</v>
      </c>
      <c r="F4128" s="2">
        <v>0</v>
      </c>
      <c r="G4128" t="s">
        <v>27</v>
      </c>
      <c r="H4128" t="s">
        <v>20</v>
      </c>
      <c r="I4128" t="s">
        <v>18</v>
      </c>
      <c r="J4128" s="3">
        <v>45812</v>
      </c>
      <c r="K4128" s="4">
        <f>ClientiBanca[[#This Row],[Prestito]]+ClientiBanca[[#This Row],[Mutuo]]</f>
        <v>34600</v>
      </c>
      <c r="L4128" t="str">
        <f>IF(ClientiBanca[[#This Row],[Reddito annuo]]&gt;=70000,"si","no")</f>
        <v>si</v>
      </c>
    </row>
    <row r="4129" spans="1:12">
      <c r="A4129">
        <v>104128</v>
      </c>
      <c r="B4129">
        <v>22</v>
      </c>
      <c r="C4129" s="2">
        <v>63100</v>
      </c>
      <c r="D4129" t="s">
        <v>21</v>
      </c>
      <c r="E4129" s="2">
        <v>22600</v>
      </c>
      <c r="F4129" s="2">
        <v>0</v>
      </c>
      <c r="G4129" t="s">
        <v>19</v>
      </c>
      <c r="H4129" t="s">
        <v>25</v>
      </c>
      <c r="I4129" t="s">
        <v>18</v>
      </c>
      <c r="J4129" s="3">
        <v>46050</v>
      </c>
      <c r="K4129" s="4">
        <f>ClientiBanca[[#This Row],[Prestito]]+ClientiBanca[[#This Row],[Mutuo]]</f>
        <v>22600</v>
      </c>
      <c r="L4129" t="str">
        <f>IF(ClientiBanca[[#This Row],[Reddito annuo]]&gt;=70000,"si","no")</f>
        <v>no</v>
      </c>
    </row>
    <row r="4130" spans="1:12">
      <c r="A4130">
        <v>104129</v>
      </c>
      <c r="B4130">
        <v>27</v>
      </c>
      <c r="C4130" s="2">
        <v>75200</v>
      </c>
      <c r="D4130" t="s">
        <v>22</v>
      </c>
      <c r="E4130" s="2">
        <v>79000</v>
      </c>
      <c r="F4130" s="2">
        <v>0</v>
      </c>
      <c r="G4130" t="s">
        <v>19</v>
      </c>
      <c r="H4130" t="s">
        <v>14</v>
      </c>
      <c r="I4130" t="s">
        <v>18</v>
      </c>
      <c r="J4130" s="3">
        <v>46135</v>
      </c>
      <c r="K4130" s="4">
        <f>ClientiBanca[[#This Row],[Prestito]]+ClientiBanca[[#This Row],[Mutuo]]</f>
        <v>79000</v>
      </c>
      <c r="L4130" t="str">
        <f>IF(ClientiBanca[[#This Row],[Reddito annuo]]&gt;=70000,"si","no")</f>
        <v>si</v>
      </c>
    </row>
    <row r="4131" spans="1:12">
      <c r="A4131">
        <v>104130</v>
      </c>
      <c r="B4131">
        <v>62</v>
      </c>
      <c r="C4131" s="2">
        <v>55200</v>
      </c>
      <c r="D4131" t="s">
        <v>12</v>
      </c>
      <c r="E4131" s="2">
        <v>41900</v>
      </c>
      <c r="F4131" s="2">
        <v>0</v>
      </c>
      <c r="G4131" t="s">
        <v>23</v>
      </c>
      <c r="H4131" t="s">
        <v>25</v>
      </c>
      <c r="I4131" t="s">
        <v>15</v>
      </c>
      <c r="J4131" s="3">
        <v>46010</v>
      </c>
      <c r="K4131" s="4">
        <f>ClientiBanca[[#This Row],[Prestito]]+ClientiBanca[[#This Row],[Mutuo]]</f>
        <v>41900</v>
      </c>
      <c r="L4131" t="str">
        <f>IF(ClientiBanca[[#This Row],[Reddito annuo]]&gt;=70000,"si","no")</f>
        <v>no</v>
      </c>
    </row>
    <row r="4132" spans="1:12">
      <c r="A4132">
        <v>104131</v>
      </c>
      <c r="B4132">
        <v>46</v>
      </c>
      <c r="C4132" s="2">
        <v>64800</v>
      </c>
      <c r="D4132" t="s">
        <v>21</v>
      </c>
      <c r="E4132" s="2">
        <v>0</v>
      </c>
      <c r="F4132" s="2">
        <v>0</v>
      </c>
      <c r="G4132" t="s">
        <v>13</v>
      </c>
      <c r="H4132" t="s">
        <v>20</v>
      </c>
      <c r="I4132" t="s">
        <v>18</v>
      </c>
      <c r="J4132" s="3">
        <v>46193</v>
      </c>
      <c r="K4132" s="4">
        <f>ClientiBanca[[#This Row],[Prestito]]+ClientiBanca[[#This Row],[Mutuo]]</f>
        <v>0</v>
      </c>
      <c r="L4132" t="str">
        <f>IF(ClientiBanca[[#This Row],[Reddito annuo]]&gt;=70000,"si","no")</f>
        <v>no</v>
      </c>
    </row>
    <row r="4133" spans="1:12">
      <c r="A4133">
        <v>104132</v>
      </c>
      <c r="B4133">
        <v>38</v>
      </c>
      <c r="C4133" s="2">
        <v>99500</v>
      </c>
      <c r="D4133" t="s">
        <v>22</v>
      </c>
      <c r="E4133" s="2">
        <v>0</v>
      </c>
      <c r="F4133" s="2">
        <v>0</v>
      </c>
      <c r="G4133" t="s">
        <v>24</v>
      </c>
      <c r="H4133" t="s">
        <v>17</v>
      </c>
      <c r="I4133" t="s">
        <v>18</v>
      </c>
      <c r="J4133" s="3">
        <v>45444</v>
      </c>
      <c r="K4133" s="4">
        <f>ClientiBanca[[#This Row],[Prestito]]+ClientiBanca[[#This Row],[Mutuo]]</f>
        <v>0</v>
      </c>
      <c r="L4133" t="str">
        <f>IF(ClientiBanca[[#This Row],[Reddito annuo]]&gt;=70000,"si","no")</f>
        <v>si</v>
      </c>
    </row>
    <row r="4134" spans="1:12">
      <c r="A4134">
        <v>104133</v>
      </c>
      <c r="B4134">
        <v>65</v>
      </c>
      <c r="C4134" s="2">
        <v>74300</v>
      </c>
      <c r="D4134" t="s">
        <v>12</v>
      </c>
      <c r="E4134" s="2">
        <v>60600</v>
      </c>
      <c r="F4134" s="2">
        <v>0</v>
      </c>
      <c r="G4134" t="s">
        <v>24</v>
      </c>
      <c r="H4134" t="s">
        <v>20</v>
      </c>
      <c r="I4134" t="s">
        <v>18</v>
      </c>
      <c r="J4134" s="3">
        <v>45565</v>
      </c>
      <c r="K4134" s="4">
        <f>ClientiBanca[[#This Row],[Prestito]]+ClientiBanca[[#This Row],[Mutuo]]</f>
        <v>60600</v>
      </c>
      <c r="L4134" t="str">
        <f>IF(ClientiBanca[[#This Row],[Reddito annuo]]&gt;=70000,"si","no")</f>
        <v>si</v>
      </c>
    </row>
    <row r="4135" spans="1:12">
      <c r="A4135">
        <v>104134</v>
      </c>
      <c r="B4135">
        <v>59</v>
      </c>
      <c r="C4135" s="2">
        <v>60500</v>
      </c>
      <c r="D4135" t="s">
        <v>12</v>
      </c>
      <c r="E4135" s="2">
        <v>0</v>
      </c>
      <c r="F4135" s="2">
        <v>0</v>
      </c>
      <c r="G4135" t="s">
        <v>19</v>
      </c>
      <c r="H4135" t="s">
        <v>17</v>
      </c>
      <c r="I4135" t="s">
        <v>18</v>
      </c>
      <c r="J4135" s="3">
        <v>46159</v>
      </c>
      <c r="K4135" s="4">
        <f>ClientiBanca[[#This Row],[Prestito]]+ClientiBanca[[#This Row],[Mutuo]]</f>
        <v>0</v>
      </c>
      <c r="L4135" t="str">
        <f>IF(ClientiBanca[[#This Row],[Reddito annuo]]&gt;=70000,"si","no")</f>
        <v>no</v>
      </c>
    </row>
    <row r="4136" spans="1:12">
      <c r="A4136">
        <v>104135</v>
      </c>
      <c r="B4136">
        <v>31</v>
      </c>
      <c r="C4136" s="2">
        <v>52400</v>
      </c>
      <c r="D4136" t="s">
        <v>22</v>
      </c>
      <c r="E4136" s="2">
        <v>20800</v>
      </c>
      <c r="F4136" s="2">
        <v>301000</v>
      </c>
      <c r="G4136" t="s">
        <v>16</v>
      </c>
      <c r="H4136" t="s">
        <v>17</v>
      </c>
      <c r="I4136" t="s">
        <v>18</v>
      </c>
      <c r="J4136" s="3">
        <v>45654</v>
      </c>
      <c r="K4136" s="4">
        <f>ClientiBanca[[#This Row],[Prestito]]+ClientiBanca[[#This Row],[Mutuo]]</f>
        <v>321800</v>
      </c>
      <c r="L4136" t="str">
        <f>IF(ClientiBanca[[#This Row],[Reddito annuo]]&gt;=70000,"si","no")</f>
        <v>no</v>
      </c>
    </row>
    <row r="4137" spans="1:12">
      <c r="A4137">
        <v>104136</v>
      </c>
      <c r="B4137">
        <v>51</v>
      </c>
      <c r="C4137" s="2">
        <v>77000</v>
      </c>
      <c r="D4137" t="s">
        <v>22</v>
      </c>
      <c r="E4137" s="2">
        <v>0</v>
      </c>
      <c r="F4137" s="2">
        <v>0</v>
      </c>
      <c r="G4137" t="s">
        <v>28</v>
      </c>
      <c r="H4137" t="s">
        <v>14</v>
      </c>
      <c r="I4137" t="s">
        <v>18</v>
      </c>
      <c r="J4137" s="3">
        <v>46233</v>
      </c>
      <c r="K4137" s="4">
        <f>ClientiBanca[[#This Row],[Prestito]]+ClientiBanca[[#This Row],[Mutuo]]</f>
        <v>0</v>
      </c>
      <c r="L4137" t="str">
        <f>IF(ClientiBanca[[#This Row],[Reddito annuo]]&gt;=70000,"si","no")</f>
        <v>si</v>
      </c>
    </row>
    <row r="4138" spans="1:12">
      <c r="A4138">
        <v>104137</v>
      </c>
      <c r="B4138">
        <v>52</v>
      </c>
      <c r="C4138" s="2">
        <v>69800</v>
      </c>
      <c r="D4138" t="s">
        <v>21</v>
      </c>
      <c r="E4138" s="2">
        <v>38100</v>
      </c>
      <c r="F4138" s="2">
        <v>0</v>
      </c>
      <c r="G4138" t="s">
        <v>27</v>
      </c>
      <c r="H4138" t="s">
        <v>17</v>
      </c>
      <c r="I4138" t="s">
        <v>18</v>
      </c>
      <c r="J4138" s="3">
        <v>45875</v>
      </c>
      <c r="K4138" s="4">
        <f>ClientiBanca[[#This Row],[Prestito]]+ClientiBanca[[#This Row],[Mutuo]]</f>
        <v>38100</v>
      </c>
      <c r="L4138" t="str">
        <f>IF(ClientiBanca[[#This Row],[Reddito annuo]]&gt;=70000,"si","no")</f>
        <v>no</v>
      </c>
    </row>
    <row r="4139" spans="1:12">
      <c r="A4139">
        <v>104138</v>
      </c>
      <c r="B4139">
        <v>63</v>
      </c>
      <c r="C4139" s="2">
        <v>80700</v>
      </c>
      <c r="D4139" t="s">
        <v>21</v>
      </c>
      <c r="E4139" s="2">
        <v>22000</v>
      </c>
      <c r="F4139" s="2">
        <v>185000</v>
      </c>
      <c r="G4139" t="s">
        <v>19</v>
      </c>
      <c r="H4139" t="s">
        <v>20</v>
      </c>
      <c r="I4139" t="s">
        <v>18</v>
      </c>
      <c r="J4139" s="3">
        <v>46079</v>
      </c>
      <c r="K4139" s="4">
        <f>ClientiBanca[[#This Row],[Prestito]]+ClientiBanca[[#This Row],[Mutuo]]</f>
        <v>207000</v>
      </c>
      <c r="L4139" t="str">
        <f>IF(ClientiBanca[[#This Row],[Reddito annuo]]&gt;=70000,"si","no")</f>
        <v>si</v>
      </c>
    </row>
    <row r="4140" spans="1:12">
      <c r="A4140">
        <v>104139</v>
      </c>
      <c r="B4140">
        <v>28</v>
      </c>
      <c r="C4140" s="2">
        <v>91200</v>
      </c>
      <c r="D4140" t="s">
        <v>21</v>
      </c>
      <c r="E4140" s="2">
        <v>0</v>
      </c>
      <c r="F4140" s="2">
        <v>0</v>
      </c>
      <c r="G4140" t="s">
        <v>28</v>
      </c>
      <c r="H4140" t="s">
        <v>20</v>
      </c>
      <c r="I4140" t="s">
        <v>18</v>
      </c>
      <c r="J4140" s="3">
        <v>45388</v>
      </c>
      <c r="K4140" s="4">
        <f>ClientiBanca[[#This Row],[Prestito]]+ClientiBanca[[#This Row],[Mutuo]]</f>
        <v>0</v>
      </c>
      <c r="L4140" t="str">
        <f>IF(ClientiBanca[[#This Row],[Reddito annuo]]&gt;=70000,"si","no")</f>
        <v>si</v>
      </c>
    </row>
    <row r="4141" spans="1:12">
      <c r="A4141">
        <v>104140</v>
      </c>
      <c r="B4141">
        <v>31</v>
      </c>
      <c r="C4141" s="2">
        <v>54000</v>
      </c>
      <c r="D4141" t="s">
        <v>22</v>
      </c>
      <c r="E4141" s="2">
        <v>37700</v>
      </c>
      <c r="F4141" s="2">
        <v>0</v>
      </c>
      <c r="G4141" t="s">
        <v>19</v>
      </c>
      <c r="H4141" t="s">
        <v>17</v>
      </c>
      <c r="I4141" t="s">
        <v>18</v>
      </c>
      <c r="J4141" s="3">
        <v>45698</v>
      </c>
      <c r="K4141" s="4">
        <f>ClientiBanca[[#This Row],[Prestito]]+ClientiBanca[[#This Row],[Mutuo]]</f>
        <v>37700</v>
      </c>
      <c r="L4141" t="str">
        <f>IF(ClientiBanca[[#This Row],[Reddito annuo]]&gt;=70000,"si","no")</f>
        <v>no</v>
      </c>
    </row>
    <row r="4142" spans="1:12">
      <c r="A4142">
        <v>104141</v>
      </c>
      <c r="B4142">
        <v>27</v>
      </c>
      <c r="C4142" s="2">
        <v>60100</v>
      </c>
      <c r="D4142" t="s">
        <v>21</v>
      </c>
      <c r="E4142" s="2">
        <v>33900</v>
      </c>
      <c r="F4142" s="2">
        <v>0</v>
      </c>
      <c r="G4142" t="s">
        <v>26</v>
      </c>
      <c r="H4142" t="s">
        <v>14</v>
      </c>
      <c r="I4142" t="s">
        <v>15</v>
      </c>
      <c r="J4142" s="3">
        <v>45516</v>
      </c>
      <c r="K4142" s="4">
        <f>ClientiBanca[[#This Row],[Prestito]]+ClientiBanca[[#This Row],[Mutuo]]</f>
        <v>33900</v>
      </c>
      <c r="L4142" t="str">
        <f>IF(ClientiBanca[[#This Row],[Reddito annuo]]&gt;=70000,"si","no")</f>
        <v>no</v>
      </c>
    </row>
    <row r="4143" spans="1:12">
      <c r="A4143">
        <v>104142</v>
      </c>
      <c r="B4143">
        <v>43</v>
      </c>
      <c r="C4143" s="2">
        <v>45300</v>
      </c>
      <c r="D4143" t="s">
        <v>12</v>
      </c>
      <c r="E4143" s="2">
        <v>16100</v>
      </c>
      <c r="F4143" s="2">
        <v>0</v>
      </c>
      <c r="G4143" t="s">
        <v>19</v>
      </c>
      <c r="H4143" t="s">
        <v>17</v>
      </c>
      <c r="I4143" t="s">
        <v>18</v>
      </c>
      <c r="J4143" s="3">
        <v>45419</v>
      </c>
      <c r="K4143" s="4">
        <f>ClientiBanca[[#This Row],[Prestito]]+ClientiBanca[[#This Row],[Mutuo]]</f>
        <v>16100</v>
      </c>
      <c r="L4143" t="str">
        <f>IF(ClientiBanca[[#This Row],[Reddito annuo]]&gt;=70000,"si","no")</f>
        <v>no</v>
      </c>
    </row>
    <row r="4144" spans="1:12">
      <c r="A4144">
        <v>104143</v>
      </c>
      <c r="B4144">
        <v>57</v>
      </c>
      <c r="C4144" s="2">
        <v>39500</v>
      </c>
      <c r="D4144" t="s">
        <v>21</v>
      </c>
      <c r="E4144" s="2">
        <v>27400</v>
      </c>
      <c r="F4144" s="2">
        <v>0</v>
      </c>
      <c r="G4144" t="s">
        <v>19</v>
      </c>
      <c r="H4144" t="s">
        <v>14</v>
      </c>
      <c r="I4144" t="s">
        <v>18</v>
      </c>
      <c r="J4144" s="3">
        <v>46121</v>
      </c>
      <c r="K4144" s="4">
        <f>ClientiBanca[[#This Row],[Prestito]]+ClientiBanca[[#This Row],[Mutuo]]</f>
        <v>27400</v>
      </c>
      <c r="L4144" t="str">
        <f>IF(ClientiBanca[[#This Row],[Reddito annuo]]&gt;=70000,"si","no")</f>
        <v>no</v>
      </c>
    </row>
    <row r="4145" spans="1:12">
      <c r="A4145">
        <v>104144</v>
      </c>
      <c r="B4145">
        <v>29</v>
      </c>
      <c r="C4145" s="2">
        <v>108200</v>
      </c>
      <c r="D4145" t="s">
        <v>21</v>
      </c>
      <c r="E4145" s="2">
        <v>20600</v>
      </c>
      <c r="F4145" s="2">
        <v>0</v>
      </c>
      <c r="G4145" t="s">
        <v>13</v>
      </c>
      <c r="H4145" t="s">
        <v>17</v>
      </c>
      <c r="I4145" t="s">
        <v>18</v>
      </c>
      <c r="J4145" s="3">
        <v>45528</v>
      </c>
      <c r="K4145" s="4">
        <f>ClientiBanca[[#This Row],[Prestito]]+ClientiBanca[[#This Row],[Mutuo]]</f>
        <v>20600</v>
      </c>
      <c r="L4145" t="str">
        <f>IF(ClientiBanca[[#This Row],[Reddito annuo]]&gt;=70000,"si","no")</f>
        <v>si</v>
      </c>
    </row>
    <row r="4146" spans="1:12">
      <c r="A4146">
        <v>104145</v>
      </c>
      <c r="B4146">
        <v>36</v>
      </c>
      <c r="C4146" s="2">
        <v>36200</v>
      </c>
      <c r="D4146" t="s">
        <v>21</v>
      </c>
      <c r="E4146" s="2">
        <v>0</v>
      </c>
      <c r="F4146" s="2">
        <v>0</v>
      </c>
      <c r="G4146" t="s">
        <v>19</v>
      </c>
      <c r="H4146" t="s">
        <v>25</v>
      </c>
      <c r="I4146" t="s">
        <v>18</v>
      </c>
      <c r="J4146" s="3">
        <v>45942</v>
      </c>
      <c r="K4146" s="4">
        <f>ClientiBanca[[#This Row],[Prestito]]+ClientiBanca[[#This Row],[Mutuo]]</f>
        <v>0</v>
      </c>
      <c r="L4146" t="str">
        <f>IF(ClientiBanca[[#This Row],[Reddito annuo]]&gt;=70000,"si","no")</f>
        <v>no</v>
      </c>
    </row>
    <row r="4147" spans="1:12">
      <c r="A4147">
        <v>104146</v>
      </c>
      <c r="B4147">
        <v>50</v>
      </c>
      <c r="C4147" s="2">
        <v>89700</v>
      </c>
      <c r="D4147" t="s">
        <v>22</v>
      </c>
      <c r="E4147" s="2">
        <v>0</v>
      </c>
      <c r="F4147" s="2">
        <v>328000</v>
      </c>
      <c r="G4147" t="s">
        <v>24</v>
      </c>
      <c r="H4147" t="s">
        <v>14</v>
      </c>
      <c r="I4147" t="s">
        <v>18</v>
      </c>
      <c r="J4147" s="3">
        <v>45310</v>
      </c>
      <c r="K4147" s="4">
        <f>ClientiBanca[[#This Row],[Prestito]]+ClientiBanca[[#This Row],[Mutuo]]</f>
        <v>328000</v>
      </c>
      <c r="L4147" t="str">
        <f>IF(ClientiBanca[[#This Row],[Reddito annuo]]&gt;=70000,"si","no")</f>
        <v>si</v>
      </c>
    </row>
    <row r="4148" spans="1:12">
      <c r="A4148">
        <v>104147</v>
      </c>
      <c r="B4148">
        <v>25</v>
      </c>
      <c r="C4148" s="2">
        <v>93000</v>
      </c>
      <c r="D4148" t="s">
        <v>21</v>
      </c>
      <c r="E4148" s="2">
        <v>8100</v>
      </c>
      <c r="F4148" s="2">
        <v>168000</v>
      </c>
      <c r="G4148" t="s">
        <v>27</v>
      </c>
      <c r="H4148" t="s">
        <v>20</v>
      </c>
      <c r="I4148" t="s">
        <v>18</v>
      </c>
      <c r="J4148" s="3">
        <v>46068</v>
      </c>
      <c r="K4148" s="4">
        <f>ClientiBanca[[#This Row],[Prestito]]+ClientiBanca[[#This Row],[Mutuo]]</f>
        <v>176100</v>
      </c>
      <c r="L4148" t="str">
        <f>IF(ClientiBanca[[#This Row],[Reddito annuo]]&gt;=70000,"si","no")</f>
        <v>si</v>
      </c>
    </row>
    <row r="4149" spans="1:12">
      <c r="A4149">
        <v>104148</v>
      </c>
      <c r="B4149">
        <v>56</v>
      </c>
      <c r="C4149" s="2">
        <v>46100</v>
      </c>
      <c r="D4149" t="s">
        <v>21</v>
      </c>
      <c r="E4149" s="2">
        <v>0</v>
      </c>
      <c r="F4149" s="2">
        <v>0</v>
      </c>
      <c r="G4149" t="s">
        <v>26</v>
      </c>
      <c r="H4149" t="s">
        <v>20</v>
      </c>
      <c r="I4149" t="s">
        <v>18</v>
      </c>
      <c r="J4149" s="3">
        <v>46193</v>
      </c>
      <c r="K4149" s="4">
        <f>ClientiBanca[[#This Row],[Prestito]]+ClientiBanca[[#This Row],[Mutuo]]</f>
        <v>0</v>
      </c>
      <c r="L4149" t="str">
        <f>IF(ClientiBanca[[#This Row],[Reddito annuo]]&gt;=70000,"si","no")</f>
        <v>no</v>
      </c>
    </row>
    <row r="4150" spans="1:12">
      <c r="A4150">
        <v>104149</v>
      </c>
      <c r="B4150">
        <v>73</v>
      </c>
      <c r="C4150" s="2">
        <v>70600</v>
      </c>
      <c r="D4150" t="s">
        <v>12</v>
      </c>
      <c r="E4150" s="2">
        <v>8600</v>
      </c>
      <c r="F4150" s="2">
        <v>353000</v>
      </c>
      <c r="G4150" t="s">
        <v>13</v>
      </c>
      <c r="H4150" t="s">
        <v>14</v>
      </c>
      <c r="I4150" t="s">
        <v>18</v>
      </c>
      <c r="J4150" s="3">
        <v>45970</v>
      </c>
      <c r="K4150" s="4">
        <f>ClientiBanca[[#This Row],[Prestito]]+ClientiBanca[[#This Row],[Mutuo]]</f>
        <v>361600</v>
      </c>
      <c r="L4150" t="str">
        <f>IF(ClientiBanca[[#This Row],[Reddito annuo]]&gt;=70000,"si","no")</f>
        <v>si</v>
      </c>
    </row>
    <row r="4151" spans="1:12">
      <c r="A4151">
        <v>104150</v>
      </c>
      <c r="B4151">
        <v>67</v>
      </c>
      <c r="C4151" s="2">
        <v>54800</v>
      </c>
      <c r="D4151" t="s">
        <v>21</v>
      </c>
      <c r="E4151" s="2">
        <v>10400</v>
      </c>
      <c r="F4151" s="2">
        <v>0</v>
      </c>
      <c r="G4151" t="s">
        <v>28</v>
      </c>
      <c r="H4151" t="s">
        <v>25</v>
      </c>
      <c r="I4151" t="s">
        <v>18</v>
      </c>
      <c r="J4151" s="3">
        <v>45785</v>
      </c>
      <c r="K4151" s="4">
        <f>ClientiBanca[[#This Row],[Prestito]]+ClientiBanca[[#This Row],[Mutuo]]</f>
        <v>10400</v>
      </c>
      <c r="L4151" t="str">
        <f>IF(ClientiBanca[[#This Row],[Reddito annuo]]&gt;=70000,"si","no")</f>
        <v>no</v>
      </c>
    </row>
    <row r="4152" spans="1:12">
      <c r="A4152">
        <v>104151</v>
      </c>
      <c r="B4152">
        <v>61</v>
      </c>
      <c r="C4152" s="2">
        <v>70000</v>
      </c>
      <c r="D4152" t="s">
        <v>12</v>
      </c>
      <c r="E4152" s="2">
        <v>13700</v>
      </c>
      <c r="F4152" s="2">
        <v>0</v>
      </c>
      <c r="G4152" t="s">
        <v>27</v>
      </c>
      <c r="H4152" t="s">
        <v>20</v>
      </c>
      <c r="I4152" t="s">
        <v>18</v>
      </c>
      <c r="J4152" s="3">
        <v>45813</v>
      </c>
      <c r="K4152" s="4">
        <f>ClientiBanca[[#This Row],[Prestito]]+ClientiBanca[[#This Row],[Mutuo]]</f>
        <v>13700</v>
      </c>
      <c r="L4152" t="str">
        <f>IF(ClientiBanca[[#This Row],[Reddito annuo]]&gt;=70000,"si","no")</f>
        <v>si</v>
      </c>
    </row>
    <row r="4153" spans="1:12">
      <c r="A4153">
        <v>104152</v>
      </c>
      <c r="B4153">
        <v>36</v>
      </c>
      <c r="C4153" s="2">
        <v>43800</v>
      </c>
      <c r="D4153" t="s">
        <v>21</v>
      </c>
      <c r="E4153" s="2">
        <v>28000</v>
      </c>
      <c r="F4153" s="2">
        <v>0</v>
      </c>
      <c r="G4153" t="s">
        <v>28</v>
      </c>
      <c r="H4153" t="s">
        <v>17</v>
      </c>
      <c r="I4153" t="s">
        <v>18</v>
      </c>
      <c r="J4153" s="3">
        <v>45927</v>
      </c>
      <c r="K4153" s="4">
        <f>ClientiBanca[[#This Row],[Prestito]]+ClientiBanca[[#This Row],[Mutuo]]</f>
        <v>28000</v>
      </c>
      <c r="L4153" t="str">
        <f>IF(ClientiBanca[[#This Row],[Reddito annuo]]&gt;=70000,"si","no")</f>
        <v>no</v>
      </c>
    </row>
    <row r="4154" spans="1:12">
      <c r="A4154">
        <v>104153</v>
      </c>
      <c r="B4154">
        <v>68</v>
      </c>
      <c r="C4154" s="2">
        <v>49700</v>
      </c>
      <c r="D4154" t="s">
        <v>21</v>
      </c>
      <c r="E4154" s="2">
        <v>0</v>
      </c>
      <c r="F4154" s="2">
        <v>0</v>
      </c>
      <c r="G4154" t="s">
        <v>26</v>
      </c>
      <c r="H4154" t="s">
        <v>20</v>
      </c>
      <c r="I4154" t="s">
        <v>18</v>
      </c>
      <c r="J4154" s="3">
        <v>45624</v>
      </c>
      <c r="K4154" s="4">
        <f>ClientiBanca[[#This Row],[Prestito]]+ClientiBanca[[#This Row],[Mutuo]]</f>
        <v>0</v>
      </c>
      <c r="L4154" t="str">
        <f>IF(ClientiBanca[[#This Row],[Reddito annuo]]&gt;=70000,"si","no")</f>
        <v>no</v>
      </c>
    </row>
    <row r="4155" spans="1:12">
      <c r="A4155">
        <v>104154</v>
      </c>
      <c r="B4155">
        <v>33</v>
      </c>
      <c r="C4155" s="2">
        <v>66500</v>
      </c>
      <c r="D4155" t="s">
        <v>22</v>
      </c>
      <c r="E4155" s="2">
        <v>21700</v>
      </c>
      <c r="F4155" s="2">
        <v>0</v>
      </c>
      <c r="G4155" t="s">
        <v>28</v>
      </c>
      <c r="H4155" t="s">
        <v>17</v>
      </c>
      <c r="I4155" t="s">
        <v>18</v>
      </c>
      <c r="J4155" s="3">
        <v>45758</v>
      </c>
      <c r="K4155" s="4">
        <f>ClientiBanca[[#This Row],[Prestito]]+ClientiBanca[[#This Row],[Mutuo]]</f>
        <v>21700</v>
      </c>
      <c r="L4155" t="str">
        <f>IF(ClientiBanca[[#This Row],[Reddito annuo]]&gt;=70000,"si","no")</f>
        <v>no</v>
      </c>
    </row>
    <row r="4156" spans="1:12">
      <c r="A4156">
        <v>104155</v>
      </c>
      <c r="B4156">
        <v>49</v>
      </c>
      <c r="C4156" s="2">
        <v>44200</v>
      </c>
      <c r="D4156" t="s">
        <v>21</v>
      </c>
      <c r="E4156" s="2">
        <v>17200</v>
      </c>
      <c r="F4156" s="2">
        <v>287000</v>
      </c>
      <c r="G4156" t="s">
        <v>19</v>
      </c>
      <c r="H4156" t="s">
        <v>17</v>
      </c>
      <c r="I4156" t="s">
        <v>18</v>
      </c>
      <c r="J4156" s="3">
        <v>46239</v>
      </c>
      <c r="K4156" s="4">
        <f>ClientiBanca[[#This Row],[Prestito]]+ClientiBanca[[#This Row],[Mutuo]]</f>
        <v>304200</v>
      </c>
      <c r="L4156" t="str">
        <f>IF(ClientiBanca[[#This Row],[Reddito annuo]]&gt;=70000,"si","no")</f>
        <v>no</v>
      </c>
    </row>
    <row r="4157" spans="1:12">
      <c r="A4157">
        <v>104156</v>
      </c>
      <c r="B4157">
        <v>38</v>
      </c>
      <c r="C4157" s="2">
        <v>61700</v>
      </c>
      <c r="D4157" t="s">
        <v>21</v>
      </c>
      <c r="E4157" s="2">
        <v>47200</v>
      </c>
      <c r="F4157" s="2">
        <v>155000</v>
      </c>
      <c r="G4157" t="s">
        <v>16</v>
      </c>
      <c r="H4157" t="s">
        <v>17</v>
      </c>
      <c r="I4157" t="s">
        <v>18</v>
      </c>
      <c r="J4157" s="3">
        <v>45847</v>
      </c>
      <c r="K4157" s="4">
        <f>ClientiBanca[[#This Row],[Prestito]]+ClientiBanca[[#This Row],[Mutuo]]</f>
        <v>202200</v>
      </c>
      <c r="L4157" t="str">
        <f>IF(ClientiBanca[[#This Row],[Reddito annuo]]&gt;=70000,"si","no")</f>
        <v>no</v>
      </c>
    </row>
    <row r="4158" spans="1:12">
      <c r="A4158">
        <v>104157</v>
      </c>
      <c r="B4158">
        <v>73</v>
      </c>
      <c r="C4158" s="2">
        <v>60200</v>
      </c>
      <c r="D4158" t="s">
        <v>21</v>
      </c>
      <c r="E4158" s="2">
        <v>0</v>
      </c>
      <c r="F4158" s="2">
        <v>269000</v>
      </c>
      <c r="G4158" t="s">
        <v>26</v>
      </c>
      <c r="H4158" t="s">
        <v>17</v>
      </c>
      <c r="I4158" t="s">
        <v>18</v>
      </c>
      <c r="J4158" s="3">
        <v>46213</v>
      </c>
      <c r="K4158" s="4">
        <f>ClientiBanca[[#This Row],[Prestito]]+ClientiBanca[[#This Row],[Mutuo]]</f>
        <v>269000</v>
      </c>
      <c r="L4158" t="str">
        <f>IF(ClientiBanca[[#This Row],[Reddito annuo]]&gt;=70000,"si","no")</f>
        <v>no</v>
      </c>
    </row>
    <row r="4159" spans="1:12">
      <c r="A4159">
        <v>104158</v>
      </c>
      <c r="B4159">
        <v>64</v>
      </c>
      <c r="C4159" s="2">
        <v>69300</v>
      </c>
      <c r="D4159" t="s">
        <v>22</v>
      </c>
      <c r="E4159" s="2">
        <v>0</v>
      </c>
      <c r="F4159" s="2">
        <v>0</v>
      </c>
      <c r="G4159" t="s">
        <v>26</v>
      </c>
      <c r="H4159" t="s">
        <v>17</v>
      </c>
      <c r="I4159" t="s">
        <v>18</v>
      </c>
      <c r="J4159" s="3">
        <v>45778</v>
      </c>
      <c r="K4159" s="4">
        <f>ClientiBanca[[#This Row],[Prestito]]+ClientiBanca[[#This Row],[Mutuo]]</f>
        <v>0</v>
      </c>
      <c r="L4159" t="str">
        <f>IF(ClientiBanca[[#This Row],[Reddito annuo]]&gt;=70000,"si","no")</f>
        <v>no</v>
      </c>
    </row>
    <row r="4160" spans="1:12">
      <c r="A4160">
        <v>104159</v>
      </c>
      <c r="B4160">
        <v>23</v>
      </c>
      <c r="C4160" s="2">
        <v>95700</v>
      </c>
      <c r="D4160" t="s">
        <v>12</v>
      </c>
      <c r="E4160" s="2">
        <v>0</v>
      </c>
      <c r="F4160" s="2">
        <v>0</v>
      </c>
      <c r="G4160" t="s">
        <v>24</v>
      </c>
      <c r="H4160" t="s">
        <v>17</v>
      </c>
      <c r="I4160" t="s">
        <v>18</v>
      </c>
      <c r="J4160" s="3">
        <v>45539</v>
      </c>
      <c r="K4160" s="4">
        <f>ClientiBanca[[#This Row],[Prestito]]+ClientiBanca[[#This Row],[Mutuo]]</f>
        <v>0</v>
      </c>
      <c r="L4160" t="str">
        <f>IF(ClientiBanca[[#This Row],[Reddito annuo]]&gt;=70000,"si","no")</f>
        <v>si</v>
      </c>
    </row>
    <row r="4161" spans="1:12">
      <c r="A4161">
        <v>104160</v>
      </c>
      <c r="B4161">
        <v>28</v>
      </c>
      <c r="C4161" s="2">
        <v>70900</v>
      </c>
      <c r="D4161" t="s">
        <v>21</v>
      </c>
      <c r="E4161" s="2">
        <v>0</v>
      </c>
      <c r="F4161" s="2">
        <v>0</v>
      </c>
      <c r="G4161" t="s">
        <v>26</v>
      </c>
      <c r="H4161" t="s">
        <v>17</v>
      </c>
      <c r="I4161" t="s">
        <v>18</v>
      </c>
      <c r="J4161" s="3">
        <v>46164</v>
      </c>
      <c r="K4161" s="4">
        <f>ClientiBanca[[#This Row],[Prestito]]+ClientiBanca[[#This Row],[Mutuo]]</f>
        <v>0</v>
      </c>
      <c r="L4161" t="str">
        <f>IF(ClientiBanca[[#This Row],[Reddito annuo]]&gt;=70000,"si","no")</f>
        <v>si</v>
      </c>
    </row>
    <row r="4162" spans="1:12">
      <c r="A4162">
        <v>104161</v>
      </c>
      <c r="B4162">
        <v>46</v>
      </c>
      <c r="C4162" s="2">
        <v>76800</v>
      </c>
      <c r="D4162" t="s">
        <v>12</v>
      </c>
      <c r="E4162" s="2">
        <v>72200</v>
      </c>
      <c r="F4162" s="2">
        <v>0</v>
      </c>
      <c r="G4162" t="s">
        <v>28</v>
      </c>
      <c r="H4162" t="s">
        <v>17</v>
      </c>
      <c r="I4162" t="s">
        <v>18</v>
      </c>
      <c r="J4162" s="3">
        <v>46104</v>
      </c>
      <c r="K4162" s="4">
        <f>ClientiBanca[[#This Row],[Prestito]]+ClientiBanca[[#This Row],[Mutuo]]</f>
        <v>72200</v>
      </c>
      <c r="L4162" t="str">
        <f>IF(ClientiBanca[[#This Row],[Reddito annuo]]&gt;=70000,"si","no")</f>
        <v>si</v>
      </c>
    </row>
    <row r="4163" spans="1:12">
      <c r="A4163">
        <v>104162</v>
      </c>
      <c r="B4163">
        <v>24</v>
      </c>
      <c r="C4163" s="2">
        <v>61200</v>
      </c>
      <c r="D4163" t="s">
        <v>12</v>
      </c>
      <c r="E4163" s="2">
        <v>30100</v>
      </c>
      <c r="F4163" s="2">
        <v>0</v>
      </c>
      <c r="G4163" t="s">
        <v>13</v>
      </c>
      <c r="H4163" t="s">
        <v>14</v>
      </c>
      <c r="I4163" t="s">
        <v>18</v>
      </c>
      <c r="J4163" s="3">
        <v>45625</v>
      </c>
      <c r="K4163" s="4">
        <f>ClientiBanca[[#This Row],[Prestito]]+ClientiBanca[[#This Row],[Mutuo]]</f>
        <v>30100</v>
      </c>
      <c r="L4163" t="str">
        <f>IF(ClientiBanca[[#This Row],[Reddito annuo]]&gt;=70000,"si","no")</f>
        <v>no</v>
      </c>
    </row>
    <row r="4164" spans="1:12">
      <c r="A4164">
        <v>104163</v>
      </c>
      <c r="B4164">
        <v>59</v>
      </c>
      <c r="C4164" s="2">
        <v>77300</v>
      </c>
      <c r="D4164" t="s">
        <v>12</v>
      </c>
      <c r="E4164" s="2">
        <v>53100</v>
      </c>
      <c r="F4164" s="2">
        <v>370000</v>
      </c>
      <c r="G4164" t="s">
        <v>13</v>
      </c>
      <c r="H4164" t="s">
        <v>17</v>
      </c>
      <c r="I4164" t="s">
        <v>18</v>
      </c>
      <c r="J4164" s="3">
        <v>45740</v>
      </c>
      <c r="K4164" s="4">
        <f>ClientiBanca[[#This Row],[Prestito]]+ClientiBanca[[#This Row],[Mutuo]]</f>
        <v>423100</v>
      </c>
      <c r="L4164" t="str">
        <f>IF(ClientiBanca[[#This Row],[Reddito annuo]]&gt;=70000,"si","no")</f>
        <v>si</v>
      </c>
    </row>
    <row r="4165" spans="1:12">
      <c r="A4165">
        <v>104164</v>
      </c>
      <c r="B4165">
        <v>31</v>
      </c>
      <c r="C4165" s="2">
        <v>42900</v>
      </c>
      <c r="D4165" t="s">
        <v>12</v>
      </c>
      <c r="E4165" s="2">
        <v>0</v>
      </c>
      <c r="F4165" s="2">
        <v>235000</v>
      </c>
      <c r="G4165" t="s">
        <v>28</v>
      </c>
      <c r="H4165" t="s">
        <v>17</v>
      </c>
      <c r="I4165" t="s">
        <v>18</v>
      </c>
      <c r="J4165" s="3">
        <v>45791</v>
      </c>
      <c r="K4165" s="4">
        <f>ClientiBanca[[#This Row],[Prestito]]+ClientiBanca[[#This Row],[Mutuo]]</f>
        <v>235000</v>
      </c>
      <c r="L4165" t="str">
        <f>IF(ClientiBanca[[#This Row],[Reddito annuo]]&gt;=70000,"si","no")</f>
        <v>no</v>
      </c>
    </row>
    <row r="4166" spans="1:12">
      <c r="A4166">
        <v>104165</v>
      </c>
      <c r="B4166">
        <v>56</v>
      </c>
      <c r="C4166" s="2">
        <v>54600</v>
      </c>
      <c r="D4166" t="s">
        <v>21</v>
      </c>
      <c r="E4166" s="2">
        <v>66800</v>
      </c>
      <c r="F4166" s="2">
        <v>0</v>
      </c>
      <c r="G4166" t="s">
        <v>19</v>
      </c>
      <c r="H4166" t="s">
        <v>20</v>
      </c>
      <c r="I4166" t="s">
        <v>18</v>
      </c>
      <c r="J4166" s="3">
        <v>46258</v>
      </c>
      <c r="K4166" s="4">
        <f>ClientiBanca[[#This Row],[Prestito]]+ClientiBanca[[#This Row],[Mutuo]]</f>
        <v>66800</v>
      </c>
      <c r="L4166" t="str">
        <f>IF(ClientiBanca[[#This Row],[Reddito annuo]]&gt;=70000,"si","no")</f>
        <v>no</v>
      </c>
    </row>
    <row r="4167" spans="1:12">
      <c r="A4167">
        <v>104166</v>
      </c>
      <c r="B4167">
        <v>59</v>
      </c>
      <c r="C4167" s="2">
        <v>95300</v>
      </c>
      <c r="D4167" t="s">
        <v>12</v>
      </c>
      <c r="E4167" s="2">
        <v>47000</v>
      </c>
      <c r="F4167" s="2">
        <v>0</v>
      </c>
      <c r="G4167" t="s">
        <v>24</v>
      </c>
      <c r="H4167" t="s">
        <v>17</v>
      </c>
      <c r="I4167" t="s">
        <v>18</v>
      </c>
      <c r="J4167" s="3">
        <v>45312</v>
      </c>
      <c r="K4167" s="4">
        <f>ClientiBanca[[#This Row],[Prestito]]+ClientiBanca[[#This Row],[Mutuo]]</f>
        <v>47000</v>
      </c>
      <c r="L4167" t="str">
        <f>IF(ClientiBanca[[#This Row],[Reddito annuo]]&gt;=70000,"si","no")</f>
        <v>si</v>
      </c>
    </row>
    <row r="4168" spans="1:12">
      <c r="A4168">
        <v>104167</v>
      </c>
      <c r="B4168">
        <v>22</v>
      </c>
      <c r="C4168" s="2">
        <v>63400</v>
      </c>
      <c r="D4168" t="s">
        <v>12</v>
      </c>
      <c r="E4168" s="2">
        <v>8500</v>
      </c>
      <c r="F4168" s="2">
        <v>0</v>
      </c>
      <c r="G4168" t="s">
        <v>24</v>
      </c>
      <c r="H4168" t="s">
        <v>17</v>
      </c>
      <c r="I4168" t="s">
        <v>18</v>
      </c>
      <c r="J4168" s="3">
        <v>45718</v>
      </c>
      <c r="K4168" s="4">
        <f>ClientiBanca[[#This Row],[Prestito]]+ClientiBanca[[#This Row],[Mutuo]]</f>
        <v>8500</v>
      </c>
      <c r="L4168" t="str">
        <f>IF(ClientiBanca[[#This Row],[Reddito annuo]]&gt;=70000,"si","no")</f>
        <v>no</v>
      </c>
    </row>
    <row r="4169" spans="1:12">
      <c r="A4169">
        <v>104168</v>
      </c>
      <c r="B4169">
        <v>58</v>
      </c>
      <c r="C4169" s="2">
        <v>30500</v>
      </c>
      <c r="D4169" t="s">
        <v>21</v>
      </c>
      <c r="E4169" s="2">
        <v>33100</v>
      </c>
      <c r="F4169" s="2">
        <v>0</v>
      </c>
      <c r="G4169" t="s">
        <v>13</v>
      </c>
      <c r="H4169" t="s">
        <v>17</v>
      </c>
      <c r="I4169" t="s">
        <v>18</v>
      </c>
      <c r="J4169" s="3">
        <v>46064</v>
      </c>
      <c r="K4169" s="4">
        <f>ClientiBanca[[#This Row],[Prestito]]+ClientiBanca[[#This Row],[Mutuo]]</f>
        <v>33100</v>
      </c>
      <c r="L4169" t="str">
        <f>IF(ClientiBanca[[#This Row],[Reddito annuo]]&gt;=70000,"si","no")</f>
        <v>no</v>
      </c>
    </row>
    <row r="4170" spans="1:12">
      <c r="A4170">
        <v>104169</v>
      </c>
      <c r="B4170">
        <v>68</v>
      </c>
      <c r="C4170" s="2">
        <v>28700</v>
      </c>
      <c r="D4170" t="s">
        <v>12</v>
      </c>
      <c r="E4170" s="2">
        <v>35900</v>
      </c>
      <c r="F4170" s="2">
        <v>0</v>
      </c>
      <c r="G4170" t="s">
        <v>27</v>
      </c>
      <c r="H4170" t="s">
        <v>14</v>
      </c>
      <c r="I4170" t="s">
        <v>15</v>
      </c>
      <c r="J4170" s="3">
        <v>46022</v>
      </c>
      <c r="K4170" s="4">
        <f>ClientiBanca[[#This Row],[Prestito]]+ClientiBanca[[#This Row],[Mutuo]]</f>
        <v>35900</v>
      </c>
      <c r="L4170" t="str">
        <f>IF(ClientiBanca[[#This Row],[Reddito annuo]]&gt;=70000,"si","no")</f>
        <v>no</v>
      </c>
    </row>
    <row r="4171" spans="1:12">
      <c r="A4171">
        <v>104170</v>
      </c>
      <c r="B4171">
        <v>36</v>
      </c>
      <c r="C4171" s="2">
        <v>69700</v>
      </c>
      <c r="D4171" t="s">
        <v>21</v>
      </c>
      <c r="E4171" s="2">
        <v>64900</v>
      </c>
      <c r="F4171" s="2">
        <v>245000</v>
      </c>
      <c r="G4171" t="s">
        <v>28</v>
      </c>
      <c r="H4171" t="s">
        <v>14</v>
      </c>
      <c r="I4171" t="s">
        <v>18</v>
      </c>
      <c r="J4171" s="3">
        <v>45592</v>
      </c>
      <c r="K4171" s="4">
        <f>ClientiBanca[[#This Row],[Prestito]]+ClientiBanca[[#This Row],[Mutuo]]</f>
        <v>309900</v>
      </c>
      <c r="L4171" t="str">
        <f>IF(ClientiBanca[[#This Row],[Reddito annuo]]&gt;=70000,"si","no")</f>
        <v>no</v>
      </c>
    </row>
    <row r="4172" spans="1:12">
      <c r="A4172">
        <v>104171</v>
      </c>
      <c r="B4172">
        <v>66</v>
      </c>
      <c r="C4172" s="2">
        <v>74900</v>
      </c>
      <c r="D4172" t="s">
        <v>22</v>
      </c>
      <c r="E4172" s="2">
        <v>46700</v>
      </c>
      <c r="F4172" s="2">
        <v>169000</v>
      </c>
      <c r="G4172" t="s">
        <v>23</v>
      </c>
      <c r="H4172" t="s">
        <v>14</v>
      </c>
      <c r="I4172" t="s">
        <v>18</v>
      </c>
      <c r="J4172" s="3">
        <v>45645</v>
      </c>
      <c r="K4172" s="4">
        <f>ClientiBanca[[#This Row],[Prestito]]+ClientiBanca[[#This Row],[Mutuo]]</f>
        <v>215700</v>
      </c>
      <c r="L4172" t="str">
        <f>IF(ClientiBanca[[#This Row],[Reddito annuo]]&gt;=70000,"si","no")</f>
        <v>si</v>
      </c>
    </row>
    <row r="4173" spans="1:12">
      <c r="A4173">
        <v>104172</v>
      </c>
      <c r="B4173">
        <v>27</v>
      </c>
      <c r="C4173" s="2">
        <v>56800</v>
      </c>
      <c r="D4173" t="s">
        <v>12</v>
      </c>
      <c r="E4173" s="2">
        <v>24900</v>
      </c>
      <c r="F4173" s="2">
        <v>153000</v>
      </c>
      <c r="G4173" t="s">
        <v>26</v>
      </c>
      <c r="H4173" t="s">
        <v>20</v>
      </c>
      <c r="I4173" t="s">
        <v>18</v>
      </c>
      <c r="J4173" s="3">
        <v>45627</v>
      </c>
      <c r="K4173" s="4">
        <f>ClientiBanca[[#This Row],[Prestito]]+ClientiBanca[[#This Row],[Mutuo]]</f>
        <v>177900</v>
      </c>
      <c r="L4173" t="str">
        <f>IF(ClientiBanca[[#This Row],[Reddito annuo]]&gt;=70000,"si","no")</f>
        <v>no</v>
      </c>
    </row>
    <row r="4174" spans="1:12">
      <c r="A4174">
        <v>104173</v>
      </c>
      <c r="B4174">
        <v>34</v>
      </c>
      <c r="C4174" s="2">
        <v>106600</v>
      </c>
      <c r="D4174" t="s">
        <v>21</v>
      </c>
      <c r="E4174" s="2">
        <v>45000</v>
      </c>
      <c r="F4174" s="2">
        <v>0</v>
      </c>
      <c r="G4174" t="s">
        <v>23</v>
      </c>
      <c r="H4174" t="s">
        <v>20</v>
      </c>
      <c r="I4174" t="s">
        <v>18</v>
      </c>
      <c r="J4174" s="3">
        <v>46132</v>
      </c>
      <c r="K4174" s="4">
        <f>ClientiBanca[[#This Row],[Prestito]]+ClientiBanca[[#This Row],[Mutuo]]</f>
        <v>45000</v>
      </c>
      <c r="L4174" t="str">
        <f>IF(ClientiBanca[[#This Row],[Reddito annuo]]&gt;=70000,"si","no")</f>
        <v>si</v>
      </c>
    </row>
    <row r="4175" spans="1:12">
      <c r="A4175">
        <v>104174</v>
      </c>
      <c r="B4175">
        <v>28</v>
      </c>
      <c r="C4175" s="2">
        <v>52300</v>
      </c>
      <c r="D4175" t="s">
        <v>22</v>
      </c>
      <c r="E4175" s="2">
        <v>59600</v>
      </c>
      <c r="F4175" s="2">
        <v>0</v>
      </c>
      <c r="G4175" t="s">
        <v>23</v>
      </c>
      <c r="H4175" t="s">
        <v>17</v>
      </c>
      <c r="I4175" t="s">
        <v>15</v>
      </c>
      <c r="J4175" s="3">
        <v>46017</v>
      </c>
      <c r="K4175" s="4">
        <f>ClientiBanca[[#This Row],[Prestito]]+ClientiBanca[[#This Row],[Mutuo]]</f>
        <v>59600</v>
      </c>
      <c r="L4175" t="str">
        <f>IF(ClientiBanca[[#This Row],[Reddito annuo]]&gt;=70000,"si","no")</f>
        <v>no</v>
      </c>
    </row>
    <row r="4176" spans="1:12">
      <c r="A4176">
        <v>104175</v>
      </c>
      <c r="B4176">
        <v>61</v>
      </c>
      <c r="C4176" s="2">
        <v>66500</v>
      </c>
      <c r="D4176" t="s">
        <v>12</v>
      </c>
      <c r="E4176" s="2">
        <v>32100</v>
      </c>
      <c r="F4176" s="2">
        <v>0</v>
      </c>
      <c r="G4176" t="s">
        <v>24</v>
      </c>
      <c r="H4176" t="s">
        <v>14</v>
      </c>
      <c r="I4176" t="s">
        <v>15</v>
      </c>
      <c r="J4176" s="3">
        <v>46099</v>
      </c>
      <c r="K4176" s="4">
        <f>ClientiBanca[[#This Row],[Prestito]]+ClientiBanca[[#This Row],[Mutuo]]</f>
        <v>32100</v>
      </c>
      <c r="L4176" t="str">
        <f>IF(ClientiBanca[[#This Row],[Reddito annuo]]&gt;=70000,"si","no")</f>
        <v>no</v>
      </c>
    </row>
    <row r="4177" spans="1:12">
      <c r="A4177">
        <v>104176</v>
      </c>
      <c r="B4177">
        <v>46</v>
      </c>
      <c r="C4177" s="2">
        <v>33100</v>
      </c>
      <c r="D4177" t="s">
        <v>12</v>
      </c>
      <c r="E4177" s="2">
        <v>9000</v>
      </c>
      <c r="F4177" s="2">
        <v>0</v>
      </c>
      <c r="G4177" t="s">
        <v>16</v>
      </c>
      <c r="H4177" t="s">
        <v>17</v>
      </c>
      <c r="I4177" t="s">
        <v>18</v>
      </c>
      <c r="J4177" s="3">
        <v>45714</v>
      </c>
      <c r="K4177" s="4">
        <f>ClientiBanca[[#This Row],[Prestito]]+ClientiBanca[[#This Row],[Mutuo]]</f>
        <v>9000</v>
      </c>
      <c r="L4177" t="str">
        <f>IF(ClientiBanca[[#This Row],[Reddito annuo]]&gt;=70000,"si","no")</f>
        <v>no</v>
      </c>
    </row>
    <row r="4178" spans="1:12">
      <c r="A4178">
        <v>104177</v>
      </c>
      <c r="B4178">
        <v>58</v>
      </c>
      <c r="C4178" s="2">
        <v>81700</v>
      </c>
      <c r="D4178" t="s">
        <v>22</v>
      </c>
      <c r="E4178" s="2">
        <v>16600</v>
      </c>
      <c r="F4178" s="2">
        <v>0</v>
      </c>
      <c r="G4178" t="s">
        <v>13</v>
      </c>
      <c r="H4178" t="s">
        <v>20</v>
      </c>
      <c r="I4178" t="s">
        <v>18</v>
      </c>
      <c r="J4178" s="3">
        <v>45466</v>
      </c>
      <c r="K4178" s="4">
        <f>ClientiBanca[[#This Row],[Prestito]]+ClientiBanca[[#This Row],[Mutuo]]</f>
        <v>16600</v>
      </c>
      <c r="L4178" t="str">
        <f>IF(ClientiBanca[[#This Row],[Reddito annuo]]&gt;=70000,"si","no")</f>
        <v>si</v>
      </c>
    </row>
    <row r="4179" spans="1:12">
      <c r="A4179">
        <v>104178</v>
      </c>
      <c r="B4179">
        <v>38</v>
      </c>
      <c r="C4179" s="2">
        <v>82200</v>
      </c>
      <c r="D4179" t="s">
        <v>21</v>
      </c>
      <c r="E4179" s="2">
        <v>43300</v>
      </c>
      <c r="F4179" s="2">
        <v>389000</v>
      </c>
      <c r="G4179" t="s">
        <v>27</v>
      </c>
      <c r="H4179" t="s">
        <v>20</v>
      </c>
      <c r="I4179" t="s">
        <v>18</v>
      </c>
      <c r="J4179" s="3">
        <v>45493</v>
      </c>
      <c r="K4179" s="4">
        <f>ClientiBanca[[#This Row],[Prestito]]+ClientiBanca[[#This Row],[Mutuo]]</f>
        <v>432300</v>
      </c>
      <c r="L4179" t="str">
        <f>IF(ClientiBanca[[#This Row],[Reddito annuo]]&gt;=70000,"si","no")</f>
        <v>si</v>
      </c>
    </row>
    <row r="4180" spans="1:12">
      <c r="A4180">
        <v>104179</v>
      </c>
      <c r="B4180">
        <v>44</v>
      </c>
      <c r="C4180" s="2">
        <v>103800</v>
      </c>
      <c r="D4180" t="s">
        <v>22</v>
      </c>
      <c r="E4180" s="2">
        <v>47500</v>
      </c>
      <c r="F4180" s="2">
        <v>0</v>
      </c>
      <c r="G4180" t="s">
        <v>19</v>
      </c>
      <c r="H4180" t="s">
        <v>17</v>
      </c>
      <c r="I4180" t="s">
        <v>18</v>
      </c>
      <c r="J4180" s="3">
        <v>46202</v>
      </c>
      <c r="K4180" s="4">
        <f>ClientiBanca[[#This Row],[Prestito]]+ClientiBanca[[#This Row],[Mutuo]]</f>
        <v>47500</v>
      </c>
      <c r="L4180" t="str">
        <f>IF(ClientiBanca[[#This Row],[Reddito annuo]]&gt;=70000,"si","no")</f>
        <v>si</v>
      </c>
    </row>
    <row r="4181" spans="1:12">
      <c r="A4181">
        <v>104180</v>
      </c>
      <c r="B4181">
        <v>44</v>
      </c>
      <c r="C4181" s="2">
        <v>59100</v>
      </c>
      <c r="D4181" t="s">
        <v>21</v>
      </c>
      <c r="E4181" s="2">
        <v>73900</v>
      </c>
      <c r="F4181" s="2">
        <v>0</v>
      </c>
      <c r="G4181" t="s">
        <v>27</v>
      </c>
      <c r="H4181" t="s">
        <v>17</v>
      </c>
      <c r="I4181" t="s">
        <v>18</v>
      </c>
      <c r="J4181" s="3">
        <v>45997</v>
      </c>
      <c r="K4181" s="4">
        <f>ClientiBanca[[#This Row],[Prestito]]+ClientiBanca[[#This Row],[Mutuo]]</f>
        <v>73900</v>
      </c>
      <c r="L4181" t="str">
        <f>IF(ClientiBanca[[#This Row],[Reddito annuo]]&gt;=70000,"si","no")</f>
        <v>no</v>
      </c>
    </row>
    <row r="4182" spans="1:12">
      <c r="A4182">
        <v>104181</v>
      </c>
      <c r="B4182">
        <v>34</v>
      </c>
      <c r="C4182" s="2">
        <v>71500</v>
      </c>
      <c r="D4182" t="s">
        <v>21</v>
      </c>
      <c r="E4182" s="2">
        <v>27600</v>
      </c>
      <c r="F4182" s="2">
        <v>0</v>
      </c>
      <c r="G4182" t="s">
        <v>16</v>
      </c>
      <c r="H4182" t="s">
        <v>14</v>
      </c>
      <c r="I4182" t="s">
        <v>18</v>
      </c>
      <c r="J4182" s="3">
        <v>45365</v>
      </c>
      <c r="K4182" s="4">
        <f>ClientiBanca[[#This Row],[Prestito]]+ClientiBanca[[#This Row],[Mutuo]]</f>
        <v>27600</v>
      </c>
      <c r="L4182" t="str">
        <f>IF(ClientiBanca[[#This Row],[Reddito annuo]]&gt;=70000,"si","no")</f>
        <v>si</v>
      </c>
    </row>
    <row r="4183" spans="1:12">
      <c r="A4183">
        <v>104182</v>
      </c>
      <c r="B4183">
        <v>31</v>
      </c>
      <c r="C4183" s="2">
        <v>73800</v>
      </c>
      <c r="D4183" t="s">
        <v>21</v>
      </c>
      <c r="E4183" s="2">
        <v>42200</v>
      </c>
      <c r="F4183" s="2">
        <v>0</v>
      </c>
      <c r="G4183" t="s">
        <v>16</v>
      </c>
      <c r="H4183" t="s">
        <v>17</v>
      </c>
      <c r="I4183" t="s">
        <v>18</v>
      </c>
      <c r="J4183" s="3">
        <v>46081</v>
      </c>
      <c r="K4183" s="4">
        <f>ClientiBanca[[#This Row],[Prestito]]+ClientiBanca[[#This Row],[Mutuo]]</f>
        <v>42200</v>
      </c>
      <c r="L4183" t="str">
        <f>IF(ClientiBanca[[#This Row],[Reddito annuo]]&gt;=70000,"si","no")</f>
        <v>si</v>
      </c>
    </row>
    <row r="4184" spans="1:12">
      <c r="A4184">
        <v>104183</v>
      </c>
      <c r="B4184">
        <v>56</v>
      </c>
      <c r="C4184" s="2">
        <v>52800</v>
      </c>
      <c r="D4184" t="s">
        <v>22</v>
      </c>
      <c r="E4184" s="2">
        <v>0</v>
      </c>
      <c r="F4184" s="2">
        <v>0</v>
      </c>
      <c r="G4184" t="s">
        <v>26</v>
      </c>
      <c r="H4184" t="s">
        <v>20</v>
      </c>
      <c r="I4184" t="s">
        <v>18</v>
      </c>
      <c r="J4184" s="3">
        <v>45886</v>
      </c>
      <c r="K4184" s="4">
        <f>ClientiBanca[[#This Row],[Prestito]]+ClientiBanca[[#This Row],[Mutuo]]</f>
        <v>0</v>
      </c>
      <c r="L4184" t="str">
        <f>IF(ClientiBanca[[#This Row],[Reddito annuo]]&gt;=70000,"si","no")</f>
        <v>no</v>
      </c>
    </row>
    <row r="4185" spans="1:12">
      <c r="A4185">
        <v>104184</v>
      </c>
      <c r="B4185">
        <v>75</v>
      </c>
      <c r="C4185" s="2">
        <v>81600</v>
      </c>
      <c r="D4185" t="s">
        <v>12</v>
      </c>
      <c r="E4185" s="2">
        <v>40000</v>
      </c>
      <c r="F4185" s="2">
        <v>0</v>
      </c>
      <c r="G4185" t="s">
        <v>16</v>
      </c>
      <c r="H4185" t="s">
        <v>20</v>
      </c>
      <c r="I4185" t="s">
        <v>15</v>
      </c>
      <c r="J4185" s="3">
        <v>45959</v>
      </c>
      <c r="K4185" s="4">
        <f>ClientiBanca[[#This Row],[Prestito]]+ClientiBanca[[#This Row],[Mutuo]]</f>
        <v>40000</v>
      </c>
      <c r="L4185" t="str">
        <f>IF(ClientiBanca[[#This Row],[Reddito annuo]]&gt;=70000,"si","no")</f>
        <v>si</v>
      </c>
    </row>
    <row r="4186" spans="1:12">
      <c r="A4186">
        <v>104185</v>
      </c>
      <c r="B4186">
        <v>45</v>
      </c>
      <c r="C4186" s="2">
        <v>41200</v>
      </c>
      <c r="D4186" t="s">
        <v>21</v>
      </c>
      <c r="E4186" s="2">
        <v>0</v>
      </c>
      <c r="F4186" s="2">
        <v>0</v>
      </c>
      <c r="G4186" t="s">
        <v>27</v>
      </c>
      <c r="H4186" t="s">
        <v>17</v>
      </c>
      <c r="I4186" t="s">
        <v>18</v>
      </c>
      <c r="J4186" s="3">
        <v>45371</v>
      </c>
      <c r="K4186" s="4">
        <f>ClientiBanca[[#This Row],[Prestito]]+ClientiBanca[[#This Row],[Mutuo]]</f>
        <v>0</v>
      </c>
      <c r="L4186" t="str">
        <f>IF(ClientiBanca[[#This Row],[Reddito annuo]]&gt;=70000,"si","no")</f>
        <v>no</v>
      </c>
    </row>
    <row r="4187" spans="1:12">
      <c r="A4187">
        <v>104186</v>
      </c>
      <c r="B4187">
        <v>44</v>
      </c>
      <c r="C4187" s="2">
        <v>44500</v>
      </c>
      <c r="D4187" t="s">
        <v>21</v>
      </c>
      <c r="E4187" s="2">
        <v>49500</v>
      </c>
      <c r="F4187" s="2">
        <v>0</v>
      </c>
      <c r="G4187" t="s">
        <v>27</v>
      </c>
      <c r="H4187" t="s">
        <v>25</v>
      </c>
      <c r="I4187" t="s">
        <v>18</v>
      </c>
      <c r="J4187" s="3">
        <v>45805</v>
      </c>
      <c r="K4187" s="4">
        <f>ClientiBanca[[#This Row],[Prestito]]+ClientiBanca[[#This Row],[Mutuo]]</f>
        <v>49500</v>
      </c>
      <c r="L4187" t="str">
        <f>IF(ClientiBanca[[#This Row],[Reddito annuo]]&gt;=70000,"si","no")</f>
        <v>no</v>
      </c>
    </row>
    <row r="4188" spans="1:12">
      <c r="A4188">
        <v>104187</v>
      </c>
      <c r="B4188">
        <v>26</v>
      </c>
      <c r="C4188" s="2">
        <v>33600</v>
      </c>
      <c r="D4188" t="s">
        <v>12</v>
      </c>
      <c r="E4188" s="2">
        <v>42000</v>
      </c>
      <c r="F4188" s="2">
        <v>0</v>
      </c>
      <c r="G4188" t="s">
        <v>28</v>
      </c>
      <c r="H4188" t="s">
        <v>14</v>
      </c>
      <c r="I4188" t="s">
        <v>18</v>
      </c>
      <c r="J4188" s="3">
        <v>45938</v>
      </c>
      <c r="K4188" s="4">
        <f>ClientiBanca[[#This Row],[Prestito]]+ClientiBanca[[#This Row],[Mutuo]]</f>
        <v>42000</v>
      </c>
      <c r="L4188" t="str">
        <f>IF(ClientiBanca[[#This Row],[Reddito annuo]]&gt;=70000,"si","no")</f>
        <v>no</v>
      </c>
    </row>
    <row r="4189" spans="1:12">
      <c r="A4189">
        <v>104188</v>
      </c>
      <c r="B4189">
        <v>35</v>
      </c>
      <c r="C4189" s="2">
        <v>67600</v>
      </c>
      <c r="D4189" t="s">
        <v>21</v>
      </c>
      <c r="E4189" s="2">
        <v>67800</v>
      </c>
      <c r="F4189" s="2">
        <v>0</v>
      </c>
      <c r="G4189" t="s">
        <v>19</v>
      </c>
      <c r="H4189" t="s">
        <v>17</v>
      </c>
      <c r="I4189" t="s">
        <v>18</v>
      </c>
      <c r="J4189" s="3">
        <v>45743</v>
      </c>
      <c r="K4189" s="4">
        <f>ClientiBanca[[#This Row],[Prestito]]+ClientiBanca[[#This Row],[Mutuo]]</f>
        <v>67800</v>
      </c>
      <c r="L4189" t="str">
        <f>IF(ClientiBanca[[#This Row],[Reddito annuo]]&gt;=70000,"si","no")</f>
        <v>no</v>
      </c>
    </row>
    <row r="4190" spans="1:12">
      <c r="A4190">
        <v>104189</v>
      </c>
      <c r="B4190">
        <v>49</v>
      </c>
      <c r="C4190" s="2">
        <v>57600</v>
      </c>
      <c r="D4190" t="s">
        <v>21</v>
      </c>
      <c r="E4190" s="2">
        <v>34700</v>
      </c>
      <c r="F4190" s="2">
        <v>0</v>
      </c>
      <c r="G4190" t="s">
        <v>27</v>
      </c>
      <c r="H4190" t="s">
        <v>17</v>
      </c>
      <c r="I4190" t="s">
        <v>18</v>
      </c>
      <c r="J4190" s="3">
        <v>46002</v>
      </c>
      <c r="K4190" s="4">
        <f>ClientiBanca[[#This Row],[Prestito]]+ClientiBanca[[#This Row],[Mutuo]]</f>
        <v>34700</v>
      </c>
      <c r="L4190" t="str">
        <f>IF(ClientiBanca[[#This Row],[Reddito annuo]]&gt;=70000,"si","no")</f>
        <v>no</v>
      </c>
    </row>
    <row r="4191" spans="1:12">
      <c r="A4191">
        <v>104190</v>
      </c>
      <c r="B4191">
        <v>57</v>
      </c>
      <c r="C4191" s="2">
        <v>101900</v>
      </c>
      <c r="D4191" t="s">
        <v>21</v>
      </c>
      <c r="E4191" s="2">
        <v>0</v>
      </c>
      <c r="F4191" s="2">
        <v>0</v>
      </c>
      <c r="G4191" t="s">
        <v>19</v>
      </c>
      <c r="H4191" t="s">
        <v>20</v>
      </c>
      <c r="I4191" t="s">
        <v>18</v>
      </c>
      <c r="J4191" s="3">
        <v>45854</v>
      </c>
      <c r="K4191" s="4">
        <f>ClientiBanca[[#This Row],[Prestito]]+ClientiBanca[[#This Row],[Mutuo]]</f>
        <v>0</v>
      </c>
      <c r="L4191" t="str">
        <f>IF(ClientiBanca[[#This Row],[Reddito annuo]]&gt;=70000,"si","no")</f>
        <v>si</v>
      </c>
    </row>
    <row r="4192" spans="1:12">
      <c r="A4192">
        <v>104191</v>
      </c>
      <c r="B4192">
        <v>31</v>
      </c>
      <c r="C4192" s="2">
        <v>114000</v>
      </c>
      <c r="D4192" t="s">
        <v>22</v>
      </c>
      <c r="E4192" s="2">
        <v>43400</v>
      </c>
      <c r="F4192" s="2">
        <v>0</v>
      </c>
      <c r="G4192" t="s">
        <v>23</v>
      </c>
      <c r="H4192" t="s">
        <v>17</v>
      </c>
      <c r="I4192" t="s">
        <v>18</v>
      </c>
      <c r="J4192" s="3">
        <v>45509</v>
      </c>
      <c r="K4192" s="4">
        <f>ClientiBanca[[#This Row],[Prestito]]+ClientiBanca[[#This Row],[Mutuo]]</f>
        <v>43400</v>
      </c>
      <c r="L4192" t="str">
        <f>IF(ClientiBanca[[#This Row],[Reddito annuo]]&gt;=70000,"si","no")</f>
        <v>si</v>
      </c>
    </row>
    <row r="4193" spans="1:12">
      <c r="A4193">
        <v>104192</v>
      </c>
      <c r="B4193">
        <v>28</v>
      </c>
      <c r="C4193" s="2">
        <v>52500</v>
      </c>
      <c r="D4193" t="s">
        <v>12</v>
      </c>
      <c r="E4193" s="2">
        <v>21600</v>
      </c>
      <c r="F4193" s="2">
        <v>110000</v>
      </c>
      <c r="G4193" t="s">
        <v>16</v>
      </c>
      <c r="H4193" t="s">
        <v>14</v>
      </c>
      <c r="I4193" t="s">
        <v>18</v>
      </c>
      <c r="J4193" s="3">
        <v>45586</v>
      </c>
      <c r="K4193" s="4">
        <f>ClientiBanca[[#This Row],[Prestito]]+ClientiBanca[[#This Row],[Mutuo]]</f>
        <v>131600</v>
      </c>
      <c r="L4193" t="str">
        <f>IF(ClientiBanca[[#This Row],[Reddito annuo]]&gt;=70000,"si","no")</f>
        <v>no</v>
      </c>
    </row>
    <row r="4194" spans="1:12">
      <c r="A4194">
        <v>104193</v>
      </c>
      <c r="B4194">
        <v>24</v>
      </c>
      <c r="C4194" s="2">
        <v>50600</v>
      </c>
      <c r="D4194" t="s">
        <v>21</v>
      </c>
      <c r="E4194" s="2">
        <v>49600</v>
      </c>
      <c r="F4194" s="2">
        <v>0</v>
      </c>
      <c r="G4194" t="s">
        <v>26</v>
      </c>
      <c r="H4194" t="s">
        <v>20</v>
      </c>
      <c r="I4194" t="s">
        <v>18</v>
      </c>
      <c r="J4194" s="3">
        <v>45675</v>
      </c>
      <c r="K4194" s="4">
        <f>ClientiBanca[[#This Row],[Prestito]]+ClientiBanca[[#This Row],[Mutuo]]</f>
        <v>49600</v>
      </c>
      <c r="L4194" t="str">
        <f>IF(ClientiBanca[[#This Row],[Reddito annuo]]&gt;=70000,"si","no")</f>
        <v>no</v>
      </c>
    </row>
    <row r="4195" spans="1:12">
      <c r="A4195">
        <v>104194</v>
      </c>
      <c r="B4195">
        <v>24</v>
      </c>
      <c r="C4195" s="2">
        <v>77700</v>
      </c>
      <c r="D4195" t="s">
        <v>21</v>
      </c>
      <c r="E4195" s="2">
        <v>12900</v>
      </c>
      <c r="F4195" s="2">
        <v>0</v>
      </c>
      <c r="G4195" t="s">
        <v>19</v>
      </c>
      <c r="H4195" t="s">
        <v>20</v>
      </c>
      <c r="I4195" t="s">
        <v>18</v>
      </c>
      <c r="J4195" s="3">
        <v>45450</v>
      </c>
      <c r="K4195" s="4">
        <f>ClientiBanca[[#This Row],[Prestito]]+ClientiBanca[[#This Row],[Mutuo]]</f>
        <v>12900</v>
      </c>
      <c r="L4195" t="str">
        <f>IF(ClientiBanca[[#This Row],[Reddito annuo]]&gt;=70000,"si","no")</f>
        <v>si</v>
      </c>
    </row>
    <row r="4196" spans="1:12">
      <c r="A4196">
        <v>104195</v>
      </c>
      <c r="B4196">
        <v>34</v>
      </c>
      <c r="C4196" s="2">
        <v>75000</v>
      </c>
      <c r="D4196" t="s">
        <v>21</v>
      </c>
      <c r="E4196" s="2">
        <v>36400</v>
      </c>
      <c r="F4196" s="2">
        <v>0</v>
      </c>
      <c r="G4196" t="s">
        <v>27</v>
      </c>
      <c r="H4196" t="s">
        <v>14</v>
      </c>
      <c r="I4196" t="s">
        <v>18</v>
      </c>
      <c r="J4196" s="3">
        <v>45491</v>
      </c>
      <c r="K4196" s="4">
        <f>ClientiBanca[[#This Row],[Prestito]]+ClientiBanca[[#This Row],[Mutuo]]</f>
        <v>36400</v>
      </c>
      <c r="L4196" t="str">
        <f>IF(ClientiBanca[[#This Row],[Reddito annuo]]&gt;=70000,"si","no")</f>
        <v>si</v>
      </c>
    </row>
    <row r="4197" spans="1:12">
      <c r="A4197">
        <v>104196</v>
      </c>
      <c r="B4197">
        <v>20</v>
      </c>
      <c r="C4197" s="2">
        <v>83800</v>
      </c>
      <c r="D4197" t="s">
        <v>21</v>
      </c>
      <c r="E4197" s="2">
        <v>52500</v>
      </c>
      <c r="F4197" s="2">
        <v>0</v>
      </c>
      <c r="G4197" t="s">
        <v>23</v>
      </c>
      <c r="H4197" t="s">
        <v>17</v>
      </c>
      <c r="I4197" t="s">
        <v>18</v>
      </c>
      <c r="J4197" s="3">
        <v>45439</v>
      </c>
      <c r="K4197" s="4">
        <f>ClientiBanca[[#This Row],[Prestito]]+ClientiBanca[[#This Row],[Mutuo]]</f>
        <v>52500</v>
      </c>
      <c r="L4197" t="str">
        <f>IF(ClientiBanca[[#This Row],[Reddito annuo]]&gt;=70000,"si","no")</f>
        <v>si</v>
      </c>
    </row>
    <row r="4198" spans="1:12">
      <c r="A4198">
        <v>104197</v>
      </c>
      <c r="B4198">
        <v>54</v>
      </c>
      <c r="C4198" s="2">
        <v>92000</v>
      </c>
      <c r="D4198" t="s">
        <v>12</v>
      </c>
      <c r="E4198" s="2">
        <v>27000</v>
      </c>
      <c r="F4198" s="2">
        <v>0</v>
      </c>
      <c r="G4198" t="s">
        <v>19</v>
      </c>
      <c r="H4198" t="s">
        <v>17</v>
      </c>
      <c r="I4198" t="s">
        <v>18</v>
      </c>
      <c r="J4198" s="3">
        <v>45711</v>
      </c>
      <c r="K4198" s="4">
        <f>ClientiBanca[[#This Row],[Prestito]]+ClientiBanca[[#This Row],[Mutuo]]</f>
        <v>27000</v>
      </c>
      <c r="L4198" t="str">
        <f>IF(ClientiBanca[[#This Row],[Reddito annuo]]&gt;=70000,"si","no")</f>
        <v>si</v>
      </c>
    </row>
    <row r="4199" spans="1:12">
      <c r="A4199">
        <v>104198</v>
      </c>
      <c r="B4199">
        <v>39</v>
      </c>
      <c r="C4199" s="2">
        <v>58700</v>
      </c>
      <c r="D4199" t="s">
        <v>21</v>
      </c>
      <c r="E4199" s="2">
        <v>23900</v>
      </c>
      <c r="F4199" s="2">
        <v>0</v>
      </c>
      <c r="G4199" t="s">
        <v>26</v>
      </c>
      <c r="H4199" t="s">
        <v>17</v>
      </c>
      <c r="I4199" t="s">
        <v>18</v>
      </c>
      <c r="J4199" s="3">
        <v>45620</v>
      </c>
      <c r="K4199" s="4">
        <f>ClientiBanca[[#This Row],[Prestito]]+ClientiBanca[[#This Row],[Mutuo]]</f>
        <v>23900</v>
      </c>
      <c r="L4199" t="str">
        <f>IF(ClientiBanca[[#This Row],[Reddito annuo]]&gt;=70000,"si","no")</f>
        <v>no</v>
      </c>
    </row>
    <row r="4200" spans="1:12">
      <c r="A4200">
        <v>104199</v>
      </c>
      <c r="B4200">
        <v>22</v>
      </c>
      <c r="C4200" s="2">
        <v>56700</v>
      </c>
      <c r="D4200" t="s">
        <v>21</v>
      </c>
      <c r="E4200" s="2">
        <v>14000</v>
      </c>
      <c r="F4200" s="2">
        <v>364000</v>
      </c>
      <c r="G4200" t="s">
        <v>19</v>
      </c>
      <c r="H4200" t="s">
        <v>14</v>
      </c>
      <c r="I4200" t="s">
        <v>15</v>
      </c>
      <c r="J4200" s="3">
        <v>45851</v>
      </c>
      <c r="K4200" s="4">
        <f>ClientiBanca[[#This Row],[Prestito]]+ClientiBanca[[#This Row],[Mutuo]]</f>
        <v>378000</v>
      </c>
      <c r="L4200" t="str">
        <f>IF(ClientiBanca[[#This Row],[Reddito annuo]]&gt;=70000,"si","no")</f>
        <v>no</v>
      </c>
    </row>
    <row r="4201" spans="1:12">
      <c r="A4201">
        <v>104200</v>
      </c>
      <c r="B4201">
        <v>23</v>
      </c>
      <c r="C4201" s="2">
        <v>104600</v>
      </c>
      <c r="D4201" t="s">
        <v>21</v>
      </c>
      <c r="E4201" s="2">
        <v>23900</v>
      </c>
      <c r="F4201" s="2">
        <v>0</v>
      </c>
      <c r="G4201" t="s">
        <v>19</v>
      </c>
      <c r="H4201" t="s">
        <v>17</v>
      </c>
      <c r="I4201" t="s">
        <v>18</v>
      </c>
      <c r="J4201" s="3">
        <v>45638</v>
      </c>
      <c r="K4201" s="4">
        <f>ClientiBanca[[#This Row],[Prestito]]+ClientiBanca[[#This Row],[Mutuo]]</f>
        <v>23900</v>
      </c>
      <c r="L4201" t="str">
        <f>IF(ClientiBanca[[#This Row],[Reddito annuo]]&gt;=70000,"si","no")</f>
        <v>si</v>
      </c>
    </row>
    <row r="4202" spans="1:12">
      <c r="A4202">
        <v>104201</v>
      </c>
      <c r="B4202">
        <v>54</v>
      </c>
      <c r="C4202" s="2">
        <v>35300</v>
      </c>
      <c r="D4202" t="s">
        <v>21</v>
      </c>
      <c r="E4202" s="2">
        <v>14400</v>
      </c>
      <c r="F4202" s="2">
        <v>0</v>
      </c>
      <c r="G4202" t="s">
        <v>16</v>
      </c>
      <c r="H4202" t="s">
        <v>17</v>
      </c>
      <c r="I4202" t="s">
        <v>18</v>
      </c>
      <c r="J4202" s="3">
        <v>45558</v>
      </c>
      <c r="K4202" s="4">
        <f>ClientiBanca[[#This Row],[Prestito]]+ClientiBanca[[#This Row],[Mutuo]]</f>
        <v>14400</v>
      </c>
      <c r="L4202" t="str">
        <f>IF(ClientiBanca[[#This Row],[Reddito annuo]]&gt;=70000,"si","no")</f>
        <v>no</v>
      </c>
    </row>
    <row r="4203" spans="1:12">
      <c r="A4203">
        <v>104202</v>
      </c>
      <c r="B4203">
        <v>36</v>
      </c>
      <c r="C4203" s="2">
        <v>59800</v>
      </c>
      <c r="D4203" t="s">
        <v>21</v>
      </c>
      <c r="E4203" s="2">
        <v>35500</v>
      </c>
      <c r="F4203" s="2">
        <v>0</v>
      </c>
      <c r="G4203" t="s">
        <v>16</v>
      </c>
      <c r="H4203" t="s">
        <v>17</v>
      </c>
      <c r="I4203" t="s">
        <v>18</v>
      </c>
      <c r="J4203" s="3">
        <v>46096</v>
      </c>
      <c r="K4203" s="4">
        <f>ClientiBanca[[#This Row],[Prestito]]+ClientiBanca[[#This Row],[Mutuo]]</f>
        <v>35500</v>
      </c>
      <c r="L4203" t="str">
        <f>IF(ClientiBanca[[#This Row],[Reddito annuo]]&gt;=70000,"si","no")</f>
        <v>no</v>
      </c>
    </row>
    <row r="4204" spans="1:12">
      <c r="A4204">
        <v>104203</v>
      </c>
      <c r="B4204">
        <v>60</v>
      </c>
      <c r="C4204" s="2">
        <v>46700</v>
      </c>
      <c r="D4204" t="s">
        <v>12</v>
      </c>
      <c r="E4204" s="2">
        <v>19700</v>
      </c>
      <c r="F4204" s="2">
        <v>0</v>
      </c>
      <c r="G4204" t="s">
        <v>28</v>
      </c>
      <c r="H4204" t="s">
        <v>17</v>
      </c>
      <c r="I4204" t="s">
        <v>18</v>
      </c>
      <c r="J4204" s="3">
        <v>45710</v>
      </c>
      <c r="K4204" s="4">
        <f>ClientiBanca[[#This Row],[Prestito]]+ClientiBanca[[#This Row],[Mutuo]]</f>
        <v>19700</v>
      </c>
      <c r="L4204" t="str">
        <f>IF(ClientiBanca[[#This Row],[Reddito annuo]]&gt;=70000,"si","no")</f>
        <v>no</v>
      </c>
    </row>
    <row r="4205" spans="1:12">
      <c r="A4205">
        <v>104204</v>
      </c>
      <c r="B4205">
        <v>34</v>
      </c>
      <c r="C4205" s="2">
        <v>41100</v>
      </c>
      <c r="D4205" t="s">
        <v>21</v>
      </c>
      <c r="E4205" s="2">
        <v>0</v>
      </c>
      <c r="F4205" s="2">
        <v>284000</v>
      </c>
      <c r="G4205" t="s">
        <v>16</v>
      </c>
      <c r="H4205" t="s">
        <v>25</v>
      </c>
      <c r="I4205" t="s">
        <v>18</v>
      </c>
      <c r="J4205" s="3">
        <v>45466</v>
      </c>
      <c r="K4205" s="4">
        <f>ClientiBanca[[#This Row],[Prestito]]+ClientiBanca[[#This Row],[Mutuo]]</f>
        <v>284000</v>
      </c>
      <c r="L4205" t="str">
        <f>IF(ClientiBanca[[#This Row],[Reddito annuo]]&gt;=70000,"si","no")</f>
        <v>no</v>
      </c>
    </row>
    <row r="4206" spans="1:12">
      <c r="A4206">
        <v>104205</v>
      </c>
      <c r="B4206">
        <v>52</v>
      </c>
      <c r="C4206" s="2">
        <v>35500</v>
      </c>
      <c r="D4206" t="s">
        <v>22</v>
      </c>
      <c r="E4206" s="2">
        <v>18000</v>
      </c>
      <c r="F4206" s="2">
        <v>0</v>
      </c>
      <c r="G4206" t="s">
        <v>23</v>
      </c>
      <c r="H4206" t="s">
        <v>14</v>
      </c>
      <c r="I4206" t="s">
        <v>18</v>
      </c>
      <c r="J4206" s="3">
        <v>45542</v>
      </c>
      <c r="K4206" s="4">
        <f>ClientiBanca[[#This Row],[Prestito]]+ClientiBanca[[#This Row],[Mutuo]]</f>
        <v>18000</v>
      </c>
      <c r="L4206" t="str">
        <f>IF(ClientiBanca[[#This Row],[Reddito annuo]]&gt;=70000,"si","no")</f>
        <v>no</v>
      </c>
    </row>
    <row r="4207" spans="1:12">
      <c r="A4207">
        <v>104206</v>
      </c>
      <c r="B4207">
        <v>38</v>
      </c>
      <c r="C4207" s="2">
        <v>118700</v>
      </c>
      <c r="D4207" t="s">
        <v>21</v>
      </c>
      <c r="E4207" s="2">
        <v>0</v>
      </c>
      <c r="F4207" s="2">
        <v>167000</v>
      </c>
      <c r="G4207" t="s">
        <v>19</v>
      </c>
      <c r="H4207" t="s">
        <v>14</v>
      </c>
      <c r="I4207" t="s">
        <v>18</v>
      </c>
      <c r="J4207" s="3">
        <v>45295</v>
      </c>
      <c r="K4207" s="4">
        <f>ClientiBanca[[#This Row],[Prestito]]+ClientiBanca[[#This Row],[Mutuo]]</f>
        <v>167000</v>
      </c>
      <c r="L4207" t="str">
        <f>IF(ClientiBanca[[#This Row],[Reddito annuo]]&gt;=70000,"si","no")</f>
        <v>si</v>
      </c>
    </row>
    <row r="4208" spans="1:12">
      <c r="A4208">
        <v>104207</v>
      </c>
      <c r="B4208">
        <v>36</v>
      </c>
      <c r="C4208" s="2">
        <v>57900</v>
      </c>
      <c r="D4208" t="s">
        <v>12</v>
      </c>
      <c r="E4208" s="2">
        <v>32500</v>
      </c>
      <c r="F4208" s="2">
        <v>0</v>
      </c>
      <c r="G4208" t="s">
        <v>16</v>
      </c>
      <c r="H4208" t="s">
        <v>20</v>
      </c>
      <c r="I4208" t="s">
        <v>18</v>
      </c>
      <c r="J4208" s="3">
        <v>45655</v>
      </c>
      <c r="K4208" s="4">
        <f>ClientiBanca[[#This Row],[Prestito]]+ClientiBanca[[#This Row],[Mutuo]]</f>
        <v>32500</v>
      </c>
      <c r="L4208" t="str">
        <f>IF(ClientiBanca[[#This Row],[Reddito annuo]]&gt;=70000,"si","no")</f>
        <v>no</v>
      </c>
    </row>
    <row r="4209" spans="1:12">
      <c r="A4209">
        <v>104208</v>
      </c>
      <c r="B4209">
        <v>57</v>
      </c>
      <c r="C4209" s="2">
        <v>58900</v>
      </c>
      <c r="D4209" t="s">
        <v>21</v>
      </c>
      <c r="E4209" s="2">
        <v>0</v>
      </c>
      <c r="F4209" s="2">
        <v>0</v>
      </c>
      <c r="G4209" t="s">
        <v>19</v>
      </c>
      <c r="H4209" t="s">
        <v>17</v>
      </c>
      <c r="I4209" t="s">
        <v>18</v>
      </c>
      <c r="J4209" s="3">
        <v>45913</v>
      </c>
      <c r="K4209" s="4">
        <f>ClientiBanca[[#This Row],[Prestito]]+ClientiBanca[[#This Row],[Mutuo]]</f>
        <v>0</v>
      </c>
      <c r="L4209" t="str">
        <f>IF(ClientiBanca[[#This Row],[Reddito annuo]]&gt;=70000,"si","no")</f>
        <v>no</v>
      </c>
    </row>
    <row r="4210" spans="1:12">
      <c r="A4210">
        <v>104209</v>
      </c>
      <c r="B4210">
        <v>55</v>
      </c>
      <c r="C4210" s="2">
        <v>33800</v>
      </c>
      <c r="D4210" t="s">
        <v>12</v>
      </c>
      <c r="E4210" s="2">
        <v>42200</v>
      </c>
      <c r="F4210" s="2">
        <v>0</v>
      </c>
      <c r="G4210" t="s">
        <v>19</v>
      </c>
      <c r="H4210" t="s">
        <v>17</v>
      </c>
      <c r="I4210" t="s">
        <v>18</v>
      </c>
      <c r="J4210" s="3">
        <v>45833</v>
      </c>
      <c r="K4210" s="4">
        <f>ClientiBanca[[#This Row],[Prestito]]+ClientiBanca[[#This Row],[Mutuo]]</f>
        <v>42200</v>
      </c>
      <c r="L4210" t="str">
        <f>IF(ClientiBanca[[#This Row],[Reddito annuo]]&gt;=70000,"si","no")</f>
        <v>no</v>
      </c>
    </row>
    <row r="4211" spans="1:12">
      <c r="A4211">
        <v>104210</v>
      </c>
      <c r="B4211">
        <v>53</v>
      </c>
      <c r="C4211" s="2">
        <v>50000</v>
      </c>
      <c r="D4211" t="s">
        <v>21</v>
      </c>
      <c r="E4211" s="2">
        <v>50000</v>
      </c>
      <c r="F4211" s="2">
        <v>0</v>
      </c>
      <c r="G4211" t="s">
        <v>19</v>
      </c>
      <c r="H4211" t="s">
        <v>14</v>
      </c>
      <c r="I4211" t="s">
        <v>18</v>
      </c>
      <c r="J4211" s="3">
        <v>45755</v>
      </c>
      <c r="K4211" s="4">
        <f>ClientiBanca[[#This Row],[Prestito]]+ClientiBanca[[#This Row],[Mutuo]]</f>
        <v>50000</v>
      </c>
      <c r="L4211" t="str">
        <f>IF(ClientiBanca[[#This Row],[Reddito annuo]]&gt;=70000,"si","no")</f>
        <v>no</v>
      </c>
    </row>
    <row r="4212" spans="1:12">
      <c r="A4212">
        <v>104211</v>
      </c>
      <c r="B4212">
        <v>27</v>
      </c>
      <c r="C4212" s="2">
        <v>43700</v>
      </c>
      <c r="D4212" t="s">
        <v>12</v>
      </c>
      <c r="E4212" s="2">
        <v>21200</v>
      </c>
      <c r="F4212" s="2">
        <v>0</v>
      </c>
      <c r="G4212" t="s">
        <v>16</v>
      </c>
      <c r="H4212" t="s">
        <v>20</v>
      </c>
      <c r="I4212" t="s">
        <v>18</v>
      </c>
      <c r="J4212" s="3">
        <v>46156</v>
      </c>
      <c r="K4212" s="4">
        <f>ClientiBanca[[#This Row],[Prestito]]+ClientiBanca[[#This Row],[Mutuo]]</f>
        <v>21200</v>
      </c>
      <c r="L4212" t="str">
        <f>IF(ClientiBanca[[#This Row],[Reddito annuo]]&gt;=70000,"si","no")</f>
        <v>no</v>
      </c>
    </row>
    <row r="4213" spans="1:12">
      <c r="A4213">
        <v>104212</v>
      </c>
      <c r="B4213">
        <v>56</v>
      </c>
      <c r="C4213" s="2">
        <v>48100</v>
      </c>
      <c r="D4213" t="s">
        <v>21</v>
      </c>
      <c r="E4213" s="2">
        <v>32400</v>
      </c>
      <c r="F4213" s="2">
        <v>0</v>
      </c>
      <c r="G4213" t="s">
        <v>28</v>
      </c>
      <c r="H4213" t="s">
        <v>17</v>
      </c>
      <c r="I4213" t="s">
        <v>18</v>
      </c>
      <c r="J4213" s="3">
        <v>45519</v>
      </c>
      <c r="K4213" s="4">
        <f>ClientiBanca[[#This Row],[Prestito]]+ClientiBanca[[#This Row],[Mutuo]]</f>
        <v>32400</v>
      </c>
      <c r="L4213" t="str">
        <f>IF(ClientiBanca[[#This Row],[Reddito annuo]]&gt;=70000,"si","no")</f>
        <v>no</v>
      </c>
    </row>
    <row r="4214" spans="1:12">
      <c r="A4214">
        <v>104213</v>
      </c>
      <c r="B4214">
        <v>52</v>
      </c>
      <c r="C4214" s="2">
        <v>45400</v>
      </c>
      <c r="D4214" t="s">
        <v>21</v>
      </c>
      <c r="E4214" s="2">
        <v>56800</v>
      </c>
      <c r="F4214" s="2">
        <v>307000</v>
      </c>
      <c r="G4214" t="s">
        <v>13</v>
      </c>
      <c r="H4214" t="s">
        <v>14</v>
      </c>
      <c r="I4214" t="s">
        <v>18</v>
      </c>
      <c r="J4214" s="3">
        <v>46144</v>
      </c>
      <c r="K4214" s="4">
        <f>ClientiBanca[[#This Row],[Prestito]]+ClientiBanca[[#This Row],[Mutuo]]</f>
        <v>363800</v>
      </c>
      <c r="L4214" t="str">
        <f>IF(ClientiBanca[[#This Row],[Reddito annuo]]&gt;=70000,"si","no")</f>
        <v>no</v>
      </c>
    </row>
    <row r="4215" spans="1:12">
      <c r="A4215">
        <v>104214</v>
      </c>
      <c r="B4215">
        <v>53</v>
      </c>
      <c r="C4215" s="2">
        <v>57700</v>
      </c>
      <c r="D4215" t="s">
        <v>21</v>
      </c>
      <c r="E4215" s="2">
        <v>44200</v>
      </c>
      <c r="F4215" s="2">
        <v>0</v>
      </c>
      <c r="G4215" t="s">
        <v>23</v>
      </c>
      <c r="H4215" t="s">
        <v>20</v>
      </c>
      <c r="I4215" t="s">
        <v>18</v>
      </c>
      <c r="J4215" s="3">
        <v>45900</v>
      </c>
      <c r="K4215" s="4">
        <f>ClientiBanca[[#This Row],[Prestito]]+ClientiBanca[[#This Row],[Mutuo]]</f>
        <v>44200</v>
      </c>
      <c r="L4215" t="str">
        <f>IF(ClientiBanca[[#This Row],[Reddito annuo]]&gt;=70000,"si","no")</f>
        <v>no</v>
      </c>
    </row>
    <row r="4216" spans="1:12">
      <c r="A4216">
        <v>104215</v>
      </c>
      <c r="B4216">
        <v>22</v>
      </c>
      <c r="C4216" s="2">
        <v>70400</v>
      </c>
      <c r="D4216" t="s">
        <v>21</v>
      </c>
      <c r="E4216" s="2">
        <v>39000</v>
      </c>
      <c r="F4216" s="2">
        <v>0</v>
      </c>
      <c r="G4216" t="s">
        <v>19</v>
      </c>
      <c r="H4216" t="s">
        <v>14</v>
      </c>
      <c r="I4216" t="s">
        <v>18</v>
      </c>
      <c r="J4216" s="3">
        <v>45680</v>
      </c>
      <c r="K4216" s="4">
        <f>ClientiBanca[[#This Row],[Prestito]]+ClientiBanca[[#This Row],[Mutuo]]</f>
        <v>39000</v>
      </c>
      <c r="L4216" t="str">
        <f>IF(ClientiBanca[[#This Row],[Reddito annuo]]&gt;=70000,"si","no")</f>
        <v>si</v>
      </c>
    </row>
    <row r="4217" spans="1:12">
      <c r="A4217">
        <v>104216</v>
      </c>
      <c r="B4217">
        <v>40</v>
      </c>
      <c r="C4217" s="2">
        <v>63400</v>
      </c>
      <c r="D4217" t="s">
        <v>21</v>
      </c>
      <c r="E4217" s="2">
        <v>37600</v>
      </c>
      <c r="F4217" s="2">
        <v>0</v>
      </c>
      <c r="G4217" t="s">
        <v>26</v>
      </c>
      <c r="H4217" t="s">
        <v>17</v>
      </c>
      <c r="I4217" t="s">
        <v>18</v>
      </c>
      <c r="J4217" s="3">
        <v>45710</v>
      </c>
      <c r="K4217" s="4">
        <f>ClientiBanca[[#This Row],[Prestito]]+ClientiBanca[[#This Row],[Mutuo]]</f>
        <v>37600</v>
      </c>
      <c r="L4217" t="str">
        <f>IF(ClientiBanca[[#This Row],[Reddito annuo]]&gt;=70000,"si","no")</f>
        <v>no</v>
      </c>
    </row>
    <row r="4218" spans="1:12">
      <c r="A4218">
        <v>104217</v>
      </c>
      <c r="B4218">
        <v>28</v>
      </c>
      <c r="C4218" s="2">
        <v>92800</v>
      </c>
      <c r="D4218" t="s">
        <v>12</v>
      </c>
      <c r="E4218" s="2">
        <v>78900</v>
      </c>
      <c r="F4218" s="2">
        <v>156000</v>
      </c>
      <c r="G4218" t="s">
        <v>27</v>
      </c>
      <c r="H4218" t="s">
        <v>17</v>
      </c>
      <c r="I4218" t="s">
        <v>18</v>
      </c>
      <c r="J4218" s="3">
        <v>45636</v>
      </c>
      <c r="K4218" s="4">
        <f>ClientiBanca[[#This Row],[Prestito]]+ClientiBanca[[#This Row],[Mutuo]]</f>
        <v>234900</v>
      </c>
      <c r="L4218" t="str">
        <f>IF(ClientiBanca[[#This Row],[Reddito annuo]]&gt;=70000,"si","no")</f>
        <v>si</v>
      </c>
    </row>
    <row r="4219" spans="1:12">
      <c r="A4219">
        <v>104218</v>
      </c>
      <c r="B4219">
        <v>35</v>
      </c>
      <c r="C4219" s="2">
        <v>41300</v>
      </c>
      <c r="D4219" t="s">
        <v>22</v>
      </c>
      <c r="E4219" s="2">
        <v>47400</v>
      </c>
      <c r="F4219" s="2">
        <v>0</v>
      </c>
      <c r="G4219" t="s">
        <v>28</v>
      </c>
      <c r="H4219" t="s">
        <v>17</v>
      </c>
      <c r="I4219" t="s">
        <v>18</v>
      </c>
      <c r="J4219" s="3">
        <v>45891</v>
      </c>
      <c r="K4219" s="4">
        <f>ClientiBanca[[#This Row],[Prestito]]+ClientiBanca[[#This Row],[Mutuo]]</f>
        <v>47400</v>
      </c>
      <c r="L4219" t="str">
        <f>IF(ClientiBanca[[#This Row],[Reddito annuo]]&gt;=70000,"si","no")</f>
        <v>no</v>
      </c>
    </row>
    <row r="4220" spans="1:12">
      <c r="A4220">
        <v>104219</v>
      </c>
      <c r="B4220">
        <v>62</v>
      </c>
      <c r="C4220" s="2">
        <v>62800</v>
      </c>
      <c r="D4220" t="s">
        <v>12</v>
      </c>
      <c r="E4220" s="2">
        <v>0</v>
      </c>
      <c r="F4220" s="2">
        <v>146000</v>
      </c>
      <c r="G4220" t="s">
        <v>13</v>
      </c>
      <c r="H4220" t="s">
        <v>17</v>
      </c>
      <c r="I4220" t="s">
        <v>18</v>
      </c>
      <c r="J4220" s="3">
        <v>46230</v>
      </c>
      <c r="K4220" s="4">
        <f>ClientiBanca[[#This Row],[Prestito]]+ClientiBanca[[#This Row],[Mutuo]]</f>
        <v>146000</v>
      </c>
      <c r="L4220" t="str">
        <f>IF(ClientiBanca[[#This Row],[Reddito annuo]]&gt;=70000,"si","no")</f>
        <v>no</v>
      </c>
    </row>
    <row r="4221" spans="1:12">
      <c r="A4221">
        <v>104220</v>
      </c>
      <c r="B4221">
        <v>20</v>
      </c>
      <c r="C4221" s="2">
        <v>61600</v>
      </c>
      <c r="D4221" t="s">
        <v>12</v>
      </c>
      <c r="E4221" s="2">
        <v>0</v>
      </c>
      <c r="F4221" s="2">
        <v>0</v>
      </c>
      <c r="G4221" t="s">
        <v>28</v>
      </c>
      <c r="H4221" t="s">
        <v>17</v>
      </c>
      <c r="I4221" t="s">
        <v>18</v>
      </c>
      <c r="J4221" s="3">
        <v>46172</v>
      </c>
      <c r="K4221" s="4">
        <f>ClientiBanca[[#This Row],[Prestito]]+ClientiBanca[[#This Row],[Mutuo]]</f>
        <v>0</v>
      </c>
      <c r="L4221" t="str">
        <f>IF(ClientiBanca[[#This Row],[Reddito annuo]]&gt;=70000,"si","no")</f>
        <v>no</v>
      </c>
    </row>
    <row r="4222" spans="1:12">
      <c r="A4222">
        <v>104221</v>
      </c>
      <c r="B4222">
        <v>55</v>
      </c>
      <c r="C4222" s="2">
        <v>37800</v>
      </c>
      <c r="D4222" t="s">
        <v>12</v>
      </c>
      <c r="E4222" s="2">
        <v>18400</v>
      </c>
      <c r="F4222" s="2">
        <v>0</v>
      </c>
      <c r="G4222" t="s">
        <v>16</v>
      </c>
      <c r="H4222" t="s">
        <v>17</v>
      </c>
      <c r="I4222" t="s">
        <v>18</v>
      </c>
      <c r="J4222" s="3">
        <v>45772</v>
      </c>
      <c r="K4222" s="4">
        <f>ClientiBanca[[#This Row],[Prestito]]+ClientiBanca[[#This Row],[Mutuo]]</f>
        <v>18400</v>
      </c>
      <c r="L4222" t="str">
        <f>IF(ClientiBanca[[#This Row],[Reddito annuo]]&gt;=70000,"si","no")</f>
        <v>no</v>
      </c>
    </row>
    <row r="4223" spans="1:12">
      <c r="A4223">
        <v>104222</v>
      </c>
      <c r="B4223">
        <v>49</v>
      </c>
      <c r="C4223" s="2">
        <v>42300</v>
      </c>
      <c r="D4223" t="s">
        <v>12</v>
      </c>
      <c r="E4223" s="2">
        <v>20900</v>
      </c>
      <c r="F4223" s="2">
        <v>0</v>
      </c>
      <c r="G4223" t="s">
        <v>16</v>
      </c>
      <c r="H4223" t="s">
        <v>17</v>
      </c>
      <c r="I4223" t="s">
        <v>18</v>
      </c>
      <c r="J4223" s="3">
        <v>45965</v>
      </c>
      <c r="K4223" s="4">
        <f>ClientiBanca[[#This Row],[Prestito]]+ClientiBanca[[#This Row],[Mutuo]]</f>
        <v>20900</v>
      </c>
      <c r="L4223" t="str">
        <f>IF(ClientiBanca[[#This Row],[Reddito annuo]]&gt;=70000,"si","no")</f>
        <v>no</v>
      </c>
    </row>
    <row r="4224" spans="1:12">
      <c r="A4224">
        <v>104223</v>
      </c>
      <c r="B4224">
        <v>56</v>
      </c>
      <c r="C4224" s="2">
        <v>123500</v>
      </c>
      <c r="D4224" t="s">
        <v>12</v>
      </c>
      <c r="E4224" s="2">
        <v>25100</v>
      </c>
      <c r="F4224" s="2">
        <v>316000</v>
      </c>
      <c r="G4224" t="s">
        <v>27</v>
      </c>
      <c r="H4224" t="s">
        <v>17</v>
      </c>
      <c r="I4224" t="s">
        <v>18</v>
      </c>
      <c r="J4224" s="3">
        <v>45664</v>
      </c>
      <c r="K4224" s="4">
        <f>ClientiBanca[[#This Row],[Prestito]]+ClientiBanca[[#This Row],[Mutuo]]</f>
        <v>341100</v>
      </c>
      <c r="L4224" t="str">
        <f>IF(ClientiBanca[[#This Row],[Reddito annuo]]&gt;=70000,"si","no")</f>
        <v>si</v>
      </c>
    </row>
    <row r="4225" spans="1:12">
      <c r="A4225">
        <v>104224</v>
      </c>
      <c r="B4225">
        <v>62</v>
      </c>
      <c r="C4225" s="2">
        <v>29200</v>
      </c>
      <c r="D4225" t="s">
        <v>12</v>
      </c>
      <c r="E4225" s="2">
        <v>16900</v>
      </c>
      <c r="F4225" s="2">
        <v>0</v>
      </c>
      <c r="G4225" t="s">
        <v>27</v>
      </c>
      <c r="H4225" t="s">
        <v>14</v>
      </c>
      <c r="I4225" t="s">
        <v>15</v>
      </c>
      <c r="J4225" s="3">
        <v>45744</v>
      </c>
      <c r="K4225" s="4">
        <f>ClientiBanca[[#This Row],[Prestito]]+ClientiBanca[[#This Row],[Mutuo]]</f>
        <v>16900</v>
      </c>
      <c r="L4225" t="str">
        <f>IF(ClientiBanca[[#This Row],[Reddito annuo]]&gt;=70000,"si","no")</f>
        <v>no</v>
      </c>
    </row>
    <row r="4226" spans="1:12">
      <c r="A4226">
        <v>104225</v>
      </c>
      <c r="B4226">
        <v>59</v>
      </c>
      <c r="C4226" s="2">
        <v>43000</v>
      </c>
      <c r="D4226" t="s">
        <v>21</v>
      </c>
      <c r="E4226" s="2">
        <v>0</v>
      </c>
      <c r="F4226" s="2">
        <v>0</v>
      </c>
      <c r="G4226" t="s">
        <v>24</v>
      </c>
      <c r="H4226" t="s">
        <v>17</v>
      </c>
      <c r="I4226" t="s">
        <v>18</v>
      </c>
      <c r="J4226" s="3">
        <v>45454</v>
      </c>
      <c r="K4226" s="4">
        <f>ClientiBanca[[#This Row],[Prestito]]+ClientiBanca[[#This Row],[Mutuo]]</f>
        <v>0</v>
      </c>
      <c r="L4226" t="str">
        <f>IF(ClientiBanca[[#This Row],[Reddito annuo]]&gt;=70000,"si","no")</f>
        <v>no</v>
      </c>
    </row>
    <row r="4227" spans="1:12">
      <c r="A4227">
        <v>104226</v>
      </c>
      <c r="B4227">
        <v>42</v>
      </c>
      <c r="C4227" s="2">
        <v>46300</v>
      </c>
      <c r="D4227" t="s">
        <v>21</v>
      </c>
      <c r="E4227" s="2">
        <v>23600</v>
      </c>
      <c r="F4227" s="2">
        <v>178000</v>
      </c>
      <c r="G4227" t="s">
        <v>28</v>
      </c>
      <c r="H4227" t="s">
        <v>20</v>
      </c>
      <c r="I4227" t="s">
        <v>18</v>
      </c>
      <c r="J4227" s="3">
        <v>45619</v>
      </c>
      <c r="K4227" s="4">
        <f>ClientiBanca[[#This Row],[Prestito]]+ClientiBanca[[#This Row],[Mutuo]]</f>
        <v>201600</v>
      </c>
      <c r="L4227" t="str">
        <f>IF(ClientiBanca[[#This Row],[Reddito annuo]]&gt;=70000,"si","no")</f>
        <v>no</v>
      </c>
    </row>
    <row r="4228" spans="1:12">
      <c r="A4228">
        <v>104227</v>
      </c>
      <c r="B4228">
        <v>33</v>
      </c>
      <c r="C4228" s="2">
        <v>66000</v>
      </c>
      <c r="D4228" t="s">
        <v>22</v>
      </c>
      <c r="E4228" s="2">
        <v>0</v>
      </c>
      <c r="F4228" s="2">
        <v>0</v>
      </c>
      <c r="G4228" t="s">
        <v>28</v>
      </c>
      <c r="H4228" t="s">
        <v>20</v>
      </c>
      <c r="I4228" t="s">
        <v>18</v>
      </c>
      <c r="J4228" s="3">
        <v>46112</v>
      </c>
      <c r="K4228" s="4">
        <f>ClientiBanca[[#This Row],[Prestito]]+ClientiBanca[[#This Row],[Mutuo]]</f>
        <v>0</v>
      </c>
      <c r="L4228" t="str">
        <f>IF(ClientiBanca[[#This Row],[Reddito annuo]]&gt;=70000,"si","no")</f>
        <v>no</v>
      </c>
    </row>
    <row r="4229" spans="1:12">
      <c r="A4229">
        <v>104228</v>
      </c>
      <c r="B4229">
        <v>60</v>
      </c>
      <c r="C4229" s="2">
        <v>47900</v>
      </c>
      <c r="D4229" t="s">
        <v>21</v>
      </c>
      <c r="E4229" s="2">
        <v>0</v>
      </c>
      <c r="F4229" s="2">
        <v>0</v>
      </c>
      <c r="G4229" t="s">
        <v>28</v>
      </c>
      <c r="H4229" t="s">
        <v>17</v>
      </c>
      <c r="I4229" t="s">
        <v>18</v>
      </c>
      <c r="J4229" s="3">
        <v>45810</v>
      </c>
      <c r="K4229" s="4">
        <f>ClientiBanca[[#This Row],[Prestito]]+ClientiBanca[[#This Row],[Mutuo]]</f>
        <v>0</v>
      </c>
      <c r="L4229" t="str">
        <f>IF(ClientiBanca[[#This Row],[Reddito annuo]]&gt;=70000,"si","no")</f>
        <v>no</v>
      </c>
    </row>
    <row r="4230" spans="1:12">
      <c r="A4230">
        <v>104229</v>
      </c>
      <c r="B4230">
        <v>62</v>
      </c>
      <c r="C4230" s="2">
        <v>59900</v>
      </c>
      <c r="D4230" t="s">
        <v>21</v>
      </c>
      <c r="E4230" s="2">
        <v>24100</v>
      </c>
      <c r="F4230" s="2">
        <v>219000</v>
      </c>
      <c r="G4230" t="s">
        <v>27</v>
      </c>
      <c r="H4230" t="s">
        <v>17</v>
      </c>
      <c r="I4230" t="s">
        <v>18</v>
      </c>
      <c r="J4230" s="3">
        <v>45638</v>
      </c>
      <c r="K4230" s="4">
        <f>ClientiBanca[[#This Row],[Prestito]]+ClientiBanca[[#This Row],[Mutuo]]</f>
        <v>243100</v>
      </c>
      <c r="L4230" t="str">
        <f>IF(ClientiBanca[[#This Row],[Reddito annuo]]&gt;=70000,"si","no")</f>
        <v>no</v>
      </c>
    </row>
    <row r="4231" spans="1:12">
      <c r="A4231">
        <v>104230</v>
      </c>
      <c r="B4231">
        <v>59</v>
      </c>
      <c r="C4231" s="2">
        <v>69300</v>
      </c>
      <c r="D4231" t="s">
        <v>21</v>
      </c>
      <c r="E4231" s="2">
        <v>61300</v>
      </c>
      <c r="F4231" s="2">
        <v>0</v>
      </c>
      <c r="G4231" t="s">
        <v>27</v>
      </c>
      <c r="H4231" t="s">
        <v>14</v>
      </c>
      <c r="I4231" t="s">
        <v>18</v>
      </c>
      <c r="J4231" s="3">
        <v>45316</v>
      </c>
      <c r="K4231" s="4">
        <f>ClientiBanca[[#This Row],[Prestito]]+ClientiBanca[[#This Row],[Mutuo]]</f>
        <v>61300</v>
      </c>
      <c r="L4231" t="str">
        <f>IF(ClientiBanca[[#This Row],[Reddito annuo]]&gt;=70000,"si","no")</f>
        <v>no</v>
      </c>
    </row>
    <row r="4232" spans="1:12">
      <c r="A4232">
        <v>104231</v>
      </c>
      <c r="B4232">
        <v>42</v>
      </c>
      <c r="C4232" s="2">
        <v>32900</v>
      </c>
      <c r="D4232" t="s">
        <v>21</v>
      </c>
      <c r="E4232" s="2">
        <v>40000</v>
      </c>
      <c r="F4232" s="2">
        <v>0</v>
      </c>
      <c r="G4232" t="s">
        <v>13</v>
      </c>
      <c r="H4232" t="s">
        <v>14</v>
      </c>
      <c r="I4232" t="s">
        <v>18</v>
      </c>
      <c r="J4232" s="3">
        <v>45617</v>
      </c>
      <c r="K4232" s="4">
        <f>ClientiBanca[[#This Row],[Prestito]]+ClientiBanca[[#This Row],[Mutuo]]</f>
        <v>40000</v>
      </c>
      <c r="L4232" t="str">
        <f>IF(ClientiBanca[[#This Row],[Reddito annuo]]&gt;=70000,"si","no")</f>
        <v>no</v>
      </c>
    </row>
    <row r="4233" spans="1:12">
      <c r="A4233">
        <v>104232</v>
      </c>
      <c r="B4233">
        <v>44</v>
      </c>
      <c r="C4233" s="2">
        <v>63200</v>
      </c>
      <c r="D4233" t="s">
        <v>12</v>
      </c>
      <c r="E4233" s="2">
        <v>0</v>
      </c>
      <c r="F4233" s="2">
        <v>0</v>
      </c>
      <c r="G4233" t="s">
        <v>24</v>
      </c>
      <c r="H4233" t="s">
        <v>17</v>
      </c>
      <c r="I4233" t="s">
        <v>18</v>
      </c>
      <c r="J4233" s="3">
        <v>46259</v>
      </c>
      <c r="K4233" s="4">
        <f>ClientiBanca[[#This Row],[Prestito]]+ClientiBanca[[#This Row],[Mutuo]]</f>
        <v>0</v>
      </c>
      <c r="L4233" t="str">
        <f>IF(ClientiBanca[[#This Row],[Reddito annuo]]&gt;=70000,"si","no")</f>
        <v>no</v>
      </c>
    </row>
    <row r="4234" spans="1:12">
      <c r="A4234">
        <v>104233</v>
      </c>
      <c r="B4234">
        <v>53</v>
      </c>
      <c r="C4234" s="2">
        <v>105100</v>
      </c>
      <c r="D4234" t="s">
        <v>21</v>
      </c>
      <c r="E4234" s="2">
        <v>55700</v>
      </c>
      <c r="F4234" s="2">
        <v>0</v>
      </c>
      <c r="G4234" t="s">
        <v>13</v>
      </c>
      <c r="H4234" t="s">
        <v>20</v>
      </c>
      <c r="I4234" t="s">
        <v>18</v>
      </c>
      <c r="J4234" s="3">
        <v>45879</v>
      </c>
      <c r="K4234" s="4">
        <f>ClientiBanca[[#This Row],[Prestito]]+ClientiBanca[[#This Row],[Mutuo]]</f>
        <v>55700</v>
      </c>
      <c r="L4234" t="str">
        <f>IF(ClientiBanca[[#This Row],[Reddito annuo]]&gt;=70000,"si","no")</f>
        <v>si</v>
      </c>
    </row>
    <row r="4235" spans="1:12">
      <c r="A4235">
        <v>104234</v>
      </c>
      <c r="B4235">
        <v>30</v>
      </c>
      <c r="C4235" s="2">
        <v>47500</v>
      </c>
      <c r="D4235" t="s">
        <v>21</v>
      </c>
      <c r="E4235" s="2">
        <v>20700</v>
      </c>
      <c r="F4235" s="2">
        <v>0</v>
      </c>
      <c r="G4235" t="s">
        <v>16</v>
      </c>
      <c r="H4235" t="s">
        <v>17</v>
      </c>
      <c r="I4235" t="s">
        <v>18</v>
      </c>
      <c r="J4235" s="3">
        <v>46140</v>
      </c>
      <c r="K4235" s="4">
        <f>ClientiBanca[[#This Row],[Prestito]]+ClientiBanca[[#This Row],[Mutuo]]</f>
        <v>20700</v>
      </c>
      <c r="L4235" t="str">
        <f>IF(ClientiBanca[[#This Row],[Reddito annuo]]&gt;=70000,"si","no")</f>
        <v>no</v>
      </c>
    </row>
    <row r="4236" spans="1:12">
      <c r="A4236">
        <v>104235</v>
      </c>
      <c r="B4236">
        <v>53</v>
      </c>
      <c r="C4236" s="2">
        <v>51300</v>
      </c>
      <c r="D4236" t="s">
        <v>21</v>
      </c>
      <c r="E4236" s="2">
        <v>21600</v>
      </c>
      <c r="F4236" s="2">
        <v>0</v>
      </c>
      <c r="G4236" t="s">
        <v>23</v>
      </c>
      <c r="H4236" t="s">
        <v>25</v>
      </c>
      <c r="I4236" t="s">
        <v>18</v>
      </c>
      <c r="J4236" s="3">
        <v>46247</v>
      </c>
      <c r="K4236" s="4">
        <f>ClientiBanca[[#This Row],[Prestito]]+ClientiBanca[[#This Row],[Mutuo]]</f>
        <v>21600</v>
      </c>
      <c r="L4236" t="str">
        <f>IF(ClientiBanca[[#This Row],[Reddito annuo]]&gt;=70000,"si","no")</f>
        <v>no</v>
      </c>
    </row>
    <row r="4237" spans="1:12">
      <c r="A4237">
        <v>104236</v>
      </c>
      <c r="B4237">
        <v>68</v>
      </c>
      <c r="C4237" s="2">
        <v>60900</v>
      </c>
      <c r="D4237" t="s">
        <v>21</v>
      </c>
      <c r="E4237" s="2">
        <v>18800</v>
      </c>
      <c r="F4237" s="2">
        <v>0</v>
      </c>
      <c r="G4237" t="s">
        <v>19</v>
      </c>
      <c r="H4237" t="s">
        <v>17</v>
      </c>
      <c r="I4237" t="s">
        <v>15</v>
      </c>
      <c r="J4237" s="3">
        <v>45700</v>
      </c>
      <c r="K4237" s="4">
        <f>ClientiBanca[[#This Row],[Prestito]]+ClientiBanca[[#This Row],[Mutuo]]</f>
        <v>18800</v>
      </c>
      <c r="L4237" t="str">
        <f>IF(ClientiBanca[[#This Row],[Reddito annuo]]&gt;=70000,"si","no")</f>
        <v>no</v>
      </c>
    </row>
    <row r="4238" spans="1:12">
      <c r="A4238">
        <v>104237</v>
      </c>
      <c r="B4238">
        <v>50</v>
      </c>
      <c r="C4238" s="2">
        <v>58500</v>
      </c>
      <c r="D4238" t="s">
        <v>22</v>
      </c>
      <c r="E4238" s="2">
        <v>26100</v>
      </c>
      <c r="F4238" s="2">
        <v>0</v>
      </c>
      <c r="G4238" t="s">
        <v>19</v>
      </c>
      <c r="H4238" t="s">
        <v>20</v>
      </c>
      <c r="I4238" t="s">
        <v>18</v>
      </c>
      <c r="J4238" s="3">
        <v>45618</v>
      </c>
      <c r="K4238" s="4">
        <f>ClientiBanca[[#This Row],[Prestito]]+ClientiBanca[[#This Row],[Mutuo]]</f>
        <v>26100</v>
      </c>
      <c r="L4238" t="str">
        <f>IF(ClientiBanca[[#This Row],[Reddito annuo]]&gt;=70000,"si","no")</f>
        <v>no</v>
      </c>
    </row>
    <row r="4239" spans="1:12">
      <c r="A4239">
        <v>104238</v>
      </c>
      <c r="B4239">
        <v>67</v>
      </c>
      <c r="C4239" s="2">
        <v>81100</v>
      </c>
      <c r="D4239" t="s">
        <v>12</v>
      </c>
      <c r="E4239" s="2">
        <v>64900</v>
      </c>
      <c r="F4239" s="2">
        <v>375000</v>
      </c>
      <c r="G4239" t="s">
        <v>26</v>
      </c>
      <c r="H4239" t="s">
        <v>20</v>
      </c>
      <c r="I4239" t="s">
        <v>18</v>
      </c>
      <c r="J4239" s="3">
        <v>46136</v>
      </c>
      <c r="K4239" s="4">
        <f>ClientiBanca[[#This Row],[Prestito]]+ClientiBanca[[#This Row],[Mutuo]]</f>
        <v>439900</v>
      </c>
      <c r="L4239" t="str">
        <f>IF(ClientiBanca[[#This Row],[Reddito annuo]]&gt;=70000,"si","no")</f>
        <v>si</v>
      </c>
    </row>
    <row r="4240" spans="1:12">
      <c r="A4240">
        <v>104239</v>
      </c>
      <c r="B4240">
        <v>71</v>
      </c>
      <c r="C4240" s="2">
        <v>80200</v>
      </c>
      <c r="D4240" t="s">
        <v>12</v>
      </c>
      <c r="E4240" s="2">
        <v>0</v>
      </c>
      <c r="F4240" s="2">
        <v>0</v>
      </c>
      <c r="G4240" t="s">
        <v>27</v>
      </c>
      <c r="H4240" t="s">
        <v>17</v>
      </c>
      <c r="I4240" t="s">
        <v>18</v>
      </c>
      <c r="J4240" s="3">
        <v>46225</v>
      </c>
      <c r="K4240" s="4">
        <f>ClientiBanca[[#This Row],[Prestito]]+ClientiBanca[[#This Row],[Mutuo]]</f>
        <v>0</v>
      </c>
      <c r="L4240" t="str">
        <f>IF(ClientiBanca[[#This Row],[Reddito annuo]]&gt;=70000,"si","no")</f>
        <v>si</v>
      </c>
    </row>
    <row r="4241" spans="1:12">
      <c r="A4241">
        <v>104240</v>
      </c>
      <c r="B4241">
        <v>40</v>
      </c>
      <c r="C4241" s="2">
        <v>86300</v>
      </c>
      <c r="D4241" t="s">
        <v>12</v>
      </c>
      <c r="E4241" s="2">
        <v>25500</v>
      </c>
      <c r="F4241" s="2">
        <v>0</v>
      </c>
      <c r="G4241" t="s">
        <v>19</v>
      </c>
      <c r="H4241" t="s">
        <v>17</v>
      </c>
      <c r="I4241" t="s">
        <v>18</v>
      </c>
      <c r="J4241" s="3">
        <v>45339</v>
      </c>
      <c r="K4241" s="4">
        <f>ClientiBanca[[#This Row],[Prestito]]+ClientiBanca[[#This Row],[Mutuo]]</f>
        <v>25500</v>
      </c>
      <c r="L4241" t="str">
        <f>IF(ClientiBanca[[#This Row],[Reddito annuo]]&gt;=70000,"si","no")</f>
        <v>si</v>
      </c>
    </row>
    <row r="4242" spans="1:12">
      <c r="A4242">
        <v>104241</v>
      </c>
      <c r="B4242">
        <v>53</v>
      </c>
      <c r="C4242" s="2">
        <v>25600</v>
      </c>
      <c r="D4242" t="s">
        <v>21</v>
      </c>
      <c r="E4242" s="2">
        <v>32000</v>
      </c>
      <c r="F4242" s="2">
        <v>108000</v>
      </c>
      <c r="G4242" t="s">
        <v>28</v>
      </c>
      <c r="H4242" t="s">
        <v>14</v>
      </c>
      <c r="I4242" t="s">
        <v>18</v>
      </c>
      <c r="J4242" s="3">
        <v>45602</v>
      </c>
      <c r="K4242" s="4">
        <f>ClientiBanca[[#This Row],[Prestito]]+ClientiBanca[[#This Row],[Mutuo]]</f>
        <v>140000</v>
      </c>
      <c r="L4242" t="str">
        <f>IF(ClientiBanca[[#This Row],[Reddito annuo]]&gt;=70000,"si","no")</f>
        <v>no</v>
      </c>
    </row>
    <row r="4243" spans="1:12">
      <c r="A4243">
        <v>104242</v>
      </c>
      <c r="B4243">
        <v>57</v>
      </c>
      <c r="C4243" s="2">
        <v>43700</v>
      </c>
      <c r="D4243" t="s">
        <v>21</v>
      </c>
      <c r="E4243" s="2">
        <v>44400</v>
      </c>
      <c r="F4243" s="2">
        <v>0</v>
      </c>
      <c r="G4243" t="s">
        <v>13</v>
      </c>
      <c r="H4243" t="s">
        <v>20</v>
      </c>
      <c r="I4243" t="s">
        <v>18</v>
      </c>
      <c r="J4243" s="3">
        <v>45936</v>
      </c>
      <c r="K4243" s="4">
        <f>ClientiBanca[[#This Row],[Prestito]]+ClientiBanca[[#This Row],[Mutuo]]</f>
        <v>44400</v>
      </c>
      <c r="L4243" t="str">
        <f>IF(ClientiBanca[[#This Row],[Reddito annuo]]&gt;=70000,"si","no")</f>
        <v>no</v>
      </c>
    </row>
    <row r="4244" spans="1:12">
      <c r="A4244">
        <v>104243</v>
      </c>
      <c r="B4244">
        <v>44</v>
      </c>
      <c r="C4244" s="2">
        <v>112600</v>
      </c>
      <c r="D4244" t="s">
        <v>21</v>
      </c>
      <c r="E4244" s="2">
        <v>6800</v>
      </c>
      <c r="F4244" s="2">
        <v>246000</v>
      </c>
      <c r="G4244" t="s">
        <v>19</v>
      </c>
      <c r="H4244" t="s">
        <v>20</v>
      </c>
      <c r="I4244" t="s">
        <v>18</v>
      </c>
      <c r="J4244" s="3">
        <v>46141</v>
      </c>
      <c r="K4244" s="4">
        <f>ClientiBanca[[#This Row],[Prestito]]+ClientiBanca[[#This Row],[Mutuo]]</f>
        <v>252800</v>
      </c>
      <c r="L4244" t="str">
        <f>IF(ClientiBanca[[#This Row],[Reddito annuo]]&gt;=70000,"si","no")</f>
        <v>si</v>
      </c>
    </row>
    <row r="4245" spans="1:12">
      <c r="A4245">
        <v>104244</v>
      </c>
      <c r="B4245">
        <v>39</v>
      </c>
      <c r="C4245" s="2">
        <v>49100</v>
      </c>
      <c r="D4245" t="s">
        <v>21</v>
      </c>
      <c r="E4245" s="2">
        <v>0</v>
      </c>
      <c r="F4245" s="2">
        <v>0</v>
      </c>
      <c r="G4245" t="s">
        <v>24</v>
      </c>
      <c r="H4245" t="s">
        <v>20</v>
      </c>
      <c r="I4245" t="s">
        <v>18</v>
      </c>
      <c r="J4245" s="3">
        <v>45781</v>
      </c>
      <c r="K4245" s="4">
        <f>ClientiBanca[[#This Row],[Prestito]]+ClientiBanca[[#This Row],[Mutuo]]</f>
        <v>0</v>
      </c>
      <c r="L4245" t="str">
        <f>IF(ClientiBanca[[#This Row],[Reddito annuo]]&gt;=70000,"si","no")</f>
        <v>no</v>
      </c>
    </row>
    <row r="4246" spans="1:12">
      <c r="A4246">
        <v>104245</v>
      </c>
      <c r="B4246">
        <v>21</v>
      </c>
      <c r="C4246" s="2">
        <v>53500</v>
      </c>
      <c r="D4246" t="s">
        <v>22</v>
      </c>
      <c r="E4246" s="2">
        <v>9200</v>
      </c>
      <c r="F4246" s="2">
        <v>0</v>
      </c>
      <c r="G4246" t="s">
        <v>26</v>
      </c>
      <c r="H4246" t="s">
        <v>17</v>
      </c>
      <c r="I4246" t="s">
        <v>18</v>
      </c>
      <c r="J4246" s="3">
        <v>45539</v>
      </c>
      <c r="K4246" s="4">
        <f>ClientiBanca[[#This Row],[Prestito]]+ClientiBanca[[#This Row],[Mutuo]]</f>
        <v>9200</v>
      </c>
      <c r="L4246" t="str">
        <f>IF(ClientiBanca[[#This Row],[Reddito annuo]]&gt;=70000,"si","no")</f>
        <v>no</v>
      </c>
    </row>
    <row r="4247" spans="1:12">
      <c r="A4247">
        <v>104246</v>
      </c>
      <c r="B4247">
        <v>41</v>
      </c>
      <c r="C4247" s="2">
        <v>55500</v>
      </c>
      <c r="D4247" t="s">
        <v>21</v>
      </c>
      <c r="E4247" s="2">
        <v>64300</v>
      </c>
      <c r="F4247" s="2">
        <v>0</v>
      </c>
      <c r="G4247" t="s">
        <v>27</v>
      </c>
      <c r="H4247" t="s">
        <v>14</v>
      </c>
      <c r="I4247" t="s">
        <v>18</v>
      </c>
      <c r="J4247" s="3">
        <v>45963</v>
      </c>
      <c r="K4247" s="4">
        <f>ClientiBanca[[#This Row],[Prestito]]+ClientiBanca[[#This Row],[Mutuo]]</f>
        <v>64300</v>
      </c>
      <c r="L4247" t="str">
        <f>IF(ClientiBanca[[#This Row],[Reddito annuo]]&gt;=70000,"si","no")</f>
        <v>no</v>
      </c>
    </row>
    <row r="4248" spans="1:12">
      <c r="A4248">
        <v>104247</v>
      </c>
      <c r="B4248">
        <v>45</v>
      </c>
      <c r="C4248" s="2">
        <v>41800</v>
      </c>
      <c r="D4248" t="s">
        <v>21</v>
      </c>
      <c r="E4248" s="2">
        <v>16000</v>
      </c>
      <c r="F4248" s="2">
        <v>181000</v>
      </c>
      <c r="G4248" t="s">
        <v>13</v>
      </c>
      <c r="H4248" t="s">
        <v>17</v>
      </c>
      <c r="I4248" t="s">
        <v>18</v>
      </c>
      <c r="J4248" s="3">
        <v>45518</v>
      </c>
      <c r="K4248" s="4">
        <f>ClientiBanca[[#This Row],[Prestito]]+ClientiBanca[[#This Row],[Mutuo]]</f>
        <v>197000</v>
      </c>
      <c r="L4248" t="str">
        <f>IF(ClientiBanca[[#This Row],[Reddito annuo]]&gt;=70000,"si","no")</f>
        <v>no</v>
      </c>
    </row>
    <row r="4249" spans="1:12">
      <c r="A4249">
        <v>104248</v>
      </c>
      <c r="B4249">
        <v>35</v>
      </c>
      <c r="C4249" s="2">
        <v>49900</v>
      </c>
      <c r="D4249" t="s">
        <v>12</v>
      </c>
      <c r="E4249" s="2">
        <v>0</v>
      </c>
      <c r="F4249" s="2">
        <v>0</v>
      </c>
      <c r="G4249" t="s">
        <v>24</v>
      </c>
      <c r="H4249" t="s">
        <v>20</v>
      </c>
      <c r="I4249" t="s">
        <v>18</v>
      </c>
      <c r="J4249" s="3">
        <v>45954</v>
      </c>
      <c r="K4249" s="4">
        <f>ClientiBanca[[#This Row],[Prestito]]+ClientiBanca[[#This Row],[Mutuo]]</f>
        <v>0</v>
      </c>
      <c r="L4249" t="str">
        <f>IF(ClientiBanca[[#This Row],[Reddito annuo]]&gt;=70000,"si","no")</f>
        <v>no</v>
      </c>
    </row>
    <row r="4250" spans="1:12">
      <c r="A4250">
        <v>104249</v>
      </c>
      <c r="B4250">
        <v>60</v>
      </c>
      <c r="C4250" s="2">
        <v>94500</v>
      </c>
      <c r="D4250" t="s">
        <v>12</v>
      </c>
      <c r="E4250" s="2">
        <v>0</v>
      </c>
      <c r="F4250" s="2">
        <v>0</v>
      </c>
      <c r="G4250" t="s">
        <v>23</v>
      </c>
      <c r="H4250" t="s">
        <v>17</v>
      </c>
      <c r="I4250" t="s">
        <v>18</v>
      </c>
      <c r="J4250" s="3">
        <v>45328</v>
      </c>
      <c r="K4250" s="4">
        <f>ClientiBanca[[#This Row],[Prestito]]+ClientiBanca[[#This Row],[Mutuo]]</f>
        <v>0</v>
      </c>
      <c r="L4250" t="str">
        <f>IF(ClientiBanca[[#This Row],[Reddito annuo]]&gt;=70000,"si","no")</f>
        <v>si</v>
      </c>
    </row>
    <row r="4251" spans="1:12">
      <c r="A4251">
        <v>104250</v>
      </c>
      <c r="B4251">
        <v>69</v>
      </c>
      <c r="C4251" s="2">
        <v>28500</v>
      </c>
      <c r="D4251" t="s">
        <v>21</v>
      </c>
      <c r="E4251" s="2">
        <v>35600</v>
      </c>
      <c r="F4251" s="2">
        <v>0</v>
      </c>
      <c r="G4251" t="s">
        <v>27</v>
      </c>
      <c r="H4251" t="s">
        <v>17</v>
      </c>
      <c r="I4251" t="s">
        <v>18</v>
      </c>
      <c r="J4251" s="3">
        <v>46215</v>
      </c>
      <c r="K4251" s="4">
        <f>ClientiBanca[[#This Row],[Prestito]]+ClientiBanca[[#This Row],[Mutuo]]</f>
        <v>35600</v>
      </c>
      <c r="L4251" t="str">
        <f>IF(ClientiBanca[[#This Row],[Reddito annuo]]&gt;=70000,"si","no")</f>
        <v>no</v>
      </c>
    </row>
    <row r="4252" spans="1:12">
      <c r="A4252">
        <v>104251</v>
      </c>
      <c r="B4252">
        <v>66</v>
      </c>
      <c r="C4252" s="2">
        <v>63400</v>
      </c>
      <c r="D4252" t="s">
        <v>12</v>
      </c>
      <c r="E4252" s="2">
        <v>0</v>
      </c>
      <c r="F4252" s="2">
        <v>0</v>
      </c>
      <c r="G4252" t="s">
        <v>24</v>
      </c>
      <c r="H4252" t="s">
        <v>14</v>
      </c>
      <c r="I4252" t="s">
        <v>18</v>
      </c>
      <c r="J4252" s="3">
        <v>45398</v>
      </c>
      <c r="K4252" s="4">
        <f>ClientiBanca[[#This Row],[Prestito]]+ClientiBanca[[#This Row],[Mutuo]]</f>
        <v>0</v>
      </c>
      <c r="L4252" t="str">
        <f>IF(ClientiBanca[[#This Row],[Reddito annuo]]&gt;=70000,"si","no")</f>
        <v>no</v>
      </c>
    </row>
    <row r="4253" spans="1:12">
      <c r="A4253">
        <v>104252</v>
      </c>
      <c r="B4253">
        <v>39</v>
      </c>
      <c r="C4253" s="2">
        <v>23200</v>
      </c>
      <c r="D4253" t="s">
        <v>12</v>
      </c>
      <c r="E4253" s="2">
        <v>29000</v>
      </c>
      <c r="F4253" s="2">
        <v>0</v>
      </c>
      <c r="G4253" t="s">
        <v>28</v>
      </c>
      <c r="H4253" t="s">
        <v>17</v>
      </c>
      <c r="I4253" t="s">
        <v>18</v>
      </c>
      <c r="J4253" s="3">
        <v>45306</v>
      </c>
      <c r="K4253" s="4">
        <f>ClientiBanca[[#This Row],[Prestito]]+ClientiBanca[[#This Row],[Mutuo]]</f>
        <v>29000</v>
      </c>
      <c r="L4253" t="str">
        <f>IF(ClientiBanca[[#This Row],[Reddito annuo]]&gt;=70000,"si","no")</f>
        <v>no</v>
      </c>
    </row>
    <row r="4254" spans="1:12">
      <c r="A4254">
        <v>104253</v>
      </c>
      <c r="B4254">
        <v>57</v>
      </c>
      <c r="C4254" s="2">
        <v>59900</v>
      </c>
      <c r="D4254" t="s">
        <v>21</v>
      </c>
      <c r="E4254" s="2">
        <v>28700</v>
      </c>
      <c r="F4254" s="2">
        <v>0</v>
      </c>
      <c r="G4254" t="s">
        <v>13</v>
      </c>
      <c r="H4254" t="s">
        <v>20</v>
      </c>
      <c r="I4254" t="s">
        <v>15</v>
      </c>
      <c r="J4254" s="3">
        <v>46170</v>
      </c>
      <c r="K4254" s="4">
        <f>ClientiBanca[[#This Row],[Prestito]]+ClientiBanca[[#This Row],[Mutuo]]</f>
        <v>28700</v>
      </c>
      <c r="L4254" t="str">
        <f>IF(ClientiBanca[[#This Row],[Reddito annuo]]&gt;=70000,"si","no")</f>
        <v>no</v>
      </c>
    </row>
    <row r="4255" spans="1:12">
      <c r="A4255">
        <v>104254</v>
      </c>
      <c r="B4255">
        <v>60</v>
      </c>
      <c r="C4255" s="2">
        <v>63100</v>
      </c>
      <c r="D4255" t="s">
        <v>21</v>
      </c>
      <c r="E4255" s="2">
        <v>17900</v>
      </c>
      <c r="F4255" s="2">
        <v>107000</v>
      </c>
      <c r="G4255" t="s">
        <v>16</v>
      </c>
      <c r="H4255" t="s">
        <v>20</v>
      </c>
      <c r="I4255" t="s">
        <v>18</v>
      </c>
      <c r="J4255" s="3">
        <v>45710</v>
      </c>
      <c r="K4255" s="4">
        <f>ClientiBanca[[#This Row],[Prestito]]+ClientiBanca[[#This Row],[Mutuo]]</f>
        <v>124900</v>
      </c>
      <c r="L4255" t="str">
        <f>IF(ClientiBanca[[#This Row],[Reddito annuo]]&gt;=70000,"si","no")</f>
        <v>no</v>
      </c>
    </row>
    <row r="4256" spans="1:12">
      <c r="A4256">
        <v>104255</v>
      </c>
      <c r="B4256">
        <v>44</v>
      </c>
      <c r="C4256" s="2">
        <v>123200</v>
      </c>
      <c r="D4256" t="s">
        <v>21</v>
      </c>
      <c r="E4256" s="2">
        <v>16800</v>
      </c>
      <c r="F4256" s="2">
        <v>0</v>
      </c>
      <c r="G4256" t="s">
        <v>16</v>
      </c>
      <c r="H4256" t="s">
        <v>20</v>
      </c>
      <c r="I4256" t="s">
        <v>18</v>
      </c>
      <c r="J4256" s="3">
        <v>45899</v>
      </c>
      <c r="K4256" s="4">
        <f>ClientiBanca[[#This Row],[Prestito]]+ClientiBanca[[#This Row],[Mutuo]]</f>
        <v>16800</v>
      </c>
      <c r="L4256" t="str">
        <f>IF(ClientiBanca[[#This Row],[Reddito annuo]]&gt;=70000,"si","no")</f>
        <v>si</v>
      </c>
    </row>
    <row r="4257" spans="1:12">
      <c r="A4257">
        <v>104256</v>
      </c>
      <c r="B4257">
        <v>52</v>
      </c>
      <c r="C4257" s="2">
        <v>56500</v>
      </c>
      <c r="D4257" t="s">
        <v>21</v>
      </c>
      <c r="E4257" s="2">
        <v>0</v>
      </c>
      <c r="F4257" s="2">
        <v>0</v>
      </c>
      <c r="G4257" t="s">
        <v>19</v>
      </c>
      <c r="H4257" t="s">
        <v>14</v>
      </c>
      <c r="I4257" t="s">
        <v>18</v>
      </c>
      <c r="J4257" s="3">
        <v>46102</v>
      </c>
      <c r="K4257" s="4">
        <f>ClientiBanca[[#This Row],[Prestito]]+ClientiBanca[[#This Row],[Mutuo]]</f>
        <v>0</v>
      </c>
      <c r="L4257" t="str">
        <f>IF(ClientiBanca[[#This Row],[Reddito annuo]]&gt;=70000,"si","no")</f>
        <v>no</v>
      </c>
    </row>
    <row r="4258" spans="1:12">
      <c r="A4258">
        <v>104257</v>
      </c>
      <c r="B4258">
        <v>67</v>
      </c>
      <c r="C4258" s="2">
        <v>70300</v>
      </c>
      <c r="D4258" t="s">
        <v>22</v>
      </c>
      <c r="E4258" s="2">
        <v>26500</v>
      </c>
      <c r="F4258" s="2">
        <v>0</v>
      </c>
      <c r="G4258" t="s">
        <v>28</v>
      </c>
      <c r="H4258" t="s">
        <v>20</v>
      </c>
      <c r="I4258" t="s">
        <v>18</v>
      </c>
      <c r="J4258" s="3">
        <v>45959</v>
      </c>
      <c r="K4258" s="4">
        <f>ClientiBanca[[#This Row],[Prestito]]+ClientiBanca[[#This Row],[Mutuo]]</f>
        <v>26500</v>
      </c>
      <c r="L4258" t="str">
        <f>IF(ClientiBanca[[#This Row],[Reddito annuo]]&gt;=70000,"si","no")</f>
        <v>si</v>
      </c>
    </row>
    <row r="4259" spans="1:12">
      <c r="A4259">
        <v>104258</v>
      </c>
      <c r="B4259">
        <v>34</v>
      </c>
      <c r="C4259" s="2">
        <v>33500</v>
      </c>
      <c r="D4259" t="s">
        <v>21</v>
      </c>
      <c r="E4259" s="2">
        <v>41900</v>
      </c>
      <c r="F4259" s="2">
        <v>165000</v>
      </c>
      <c r="G4259" t="s">
        <v>16</v>
      </c>
      <c r="H4259" t="s">
        <v>25</v>
      </c>
      <c r="I4259" t="s">
        <v>18</v>
      </c>
      <c r="J4259" s="3">
        <v>45563</v>
      </c>
      <c r="K4259" s="4">
        <f>ClientiBanca[[#This Row],[Prestito]]+ClientiBanca[[#This Row],[Mutuo]]</f>
        <v>206900</v>
      </c>
      <c r="L4259" t="str">
        <f>IF(ClientiBanca[[#This Row],[Reddito annuo]]&gt;=70000,"si","no")</f>
        <v>no</v>
      </c>
    </row>
    <row r="4260" spans="1:12">
      <c r="A4260">
        <v>104259</v>
      </c>
      <c r="B4260">
        <v>73</v>
      </c>
      <c r="C4260" s="2">
        <v>99900</v>
      </c>
      <c r="D4260" t="s">
        <v>21</v>
      </c>
      <c r="E4260" s="2">
        <v>29200</v>
      </c>
      <c r="F4260" s="2">
        <v>162000</v>
      </c>
      <c r="G4260" t="s">
        <v>13</v>
      </c>
      <c r="H4260" t="s">
        <v>20</v>
      </c>
      <c r="I4260" t="s">
        <v>18</v>
      </c>
      <c r="J4260" s="3">
        <v>45582</v>
      </c>
      <c r="K4260" s="4">
        <f>ClientiBanca[[#This Row],[Prestito]]+ClientiBanca[[#This Row],[Mutuo]]</f>
        <v>191200</v>
      </c>
      <c r="L4260" t="str">
        <f>IF(ClientiBanca[[#This Row],[Reddito annuo]]&gt;=70000,"si","no")</f>
        <v>si</v>
      </c>
    </row>
    <row r="4261" spans="1:12">
      <c r="A4261">
        <v>104260</v>
      </c>
      <c r="B4261">
        <v>42</v>
      </c>
      <c r="C4261" s="2">
        <v>74000</v>
      </c>
      <c r="D4261" t="s">
        <v>12</v>
      </c>
      <c r="E4261" s="2">
        <v>39600</v>
      </c>
      <c r="F4261" s="2">
        <v>0</v>
      </c>
      <c r="G4261" t="s">
        <v>26</v>
      </c>
      <c r="H4261" t="s">
        <v>14</v>
      </c>
      <c r="I4261" t="s">
        <v>18</v>
      </c>
      <c r="J4261" s="3">
        <v>45380</v>
      </c>
      <c r="K4261" s="4">
        <f>ClientiBanca[[#This Row],[Prestito]]+ClientiBanca[[#This Row],[Mutuo]]</f>
        <v>39600</v>
      </c>
      <c r="L4261" t="str">
        <f>IF(ClientiBanca[[#This Row],[Reddito annuo]]&gt;=70000,"si","no")</f>
        <v>si</v>
      </c>
    </row>
    <row r="4262" spans="1:12">
      <c r="A4262">
        <v>104261</v>
      </c>
      <c r="B4262">
        <v>62</v>
      </c>
      <c r="C4262" s="2">
        <v>73200</v>
      </c>
      <c r="D4262" t="s">
        <v>12</v>
      </c>
      <c r="E4262" s="2">
        <v>0</v>
      </c>
      <c r="F4262" s="2">
        <v>0</v>
      </c>
      <c r="G4262" t="s">
        <v>28</v>
      </c>
      <c r="H4262" t="s">
        <v>17</v>
      </c>
      <c r="I4262" t="s">
        <v>18</v>
      </c>
      <c r="J4262" s="3">
        <v>45552</v>
      </c>
      <c r="K4262" s="4">
        <f>ClientiBanca[[#This Row],[Prestito]]+ClientiBanca[[#This Row],[Mutuo]]</f>
        <v>0</v>
      </c>
      <c r="L4262" t="str">
        <f>IF(ClientiBanca[[#This Row],[Reddito annuo]]&gt;=70000,"si","no")</f>
        <v>si</v>
      </c>
    </row>
    <row r="4263" spans="1:12">
      <c r="A4263">
        <v>104262</v>
      </c>
      <c r="B4263">
        <v>58</v>
      </c>
      <c r="C4263" s="2">
        <v>60200</v>
      </c>
      <c r="D4263" t="s">
        <v>22</v>
      </c>
      <c r="E4263" s="2">
        <v>39800</v>
      </c>
      <c r="F4263" s="2">
        <v>0</v>
      </c>
      <c r="G4263" t="s">
        <v>23</v>
      </c>
      <c r="H4263" t="s">
        <v>17</v>
      </c>
      <c r="I4263" t="s">
        <v>18</v>
      </c>
      <c r="J4263" s="3">
        <v>46245</v>
      </c>
      <c r="K4263" s="4">
        <f>ClientiBanca[[#This Row],[Prestito]]+ClientiBanca[[#This Row],[Mutuo]]</f>
        <v>39800</v>
      </c>
      <c r="L4263" t="str">
        <f>IF(ClientiBanca[[#This Row],[Reddito annuo]]&gt;=70000,"si","no")</f>
        <v>no</v>
      </c>
    </row>
    <row r="4264" spans="1:12">
      <c r="A4264">
        <v>104263</v>
      </c>
      <c r="B4264">
        <v>40</v>
      </c>
      <c r="C4264" s="2">
        <v>79000</v>
      </c>
      <c r="D4264" t="s">
        <v>21</v>
      </c>
      <c r="E4264" s="2">
        <v>32300</v>
      </c>
      <c r="F4264" s="2">
        <v>0</v>
      </c>
      <c r="G4264" t="s">
        <v>28</v>
      </c>
      <c r="H4264" t="s">
        <v>20</v>
      </c>
      <c r="I4264" t="s">
        <v>18</v>
      </c>
      <c r="J4264" s="3">
        <v>45610</v>
      </c>
      <c r="K4264" s="4">
        <f>ClientiBanca[[#This Row],[Prestito]]+ClientiBanca[[#This Row],[Mutuo]]</f>
        <v>32300</v>
      </c>
      <c r="L4264" t="str">
        <f>IF(ClientiBanca[[#This Row],[Reddito annuo]]&gt;=70000,"si","no")</f>
        <v>si</v>
      </c>
    </row>
    <row r="4265" spans="1:12">
      <c r="A4265">
        <v>104264</v>
      </c>
      <c r="B4265">
        <v>47</v>
      </c>
      <c r="C4265" s="2">
        <v>44700</v>
      </c>
      <c r="D4265" t="s">
        <v>12</v>
      </c>
      <c r="E4265" s="2">
        <v>54100</v>
      </c>
      <c r="F4265" s="2">
        <v>0</v>
      </c>
      <c r="G4265" t="s">
        <v>13</v>
      </c>
      <c r="H4265" t="s">
        <v>17</v>
      </c>
      <c r="I4265" t="s">
        <v>18</v>
      </c>
      <c r="J4265" s="3">
        <v>45450</v>
      </c>
      <c r="K4265" s="4">
        <f>ClientiBanca[[#This Row],[Prestito]]+ClientiBanca[[#This Row],[Mutuo]]</f>
        <v>54100</v>
      </c>
      <c r="L4265" t="str">
        <f>IF(ClientiBanca[[#This Row],[Reddito annuo]]&gt;=70000,"si","no")</f>
        <v>no</v>
      </c>
    </row>
    <row r="4266" spans="1:12">
      <c r="A4266">
        <v>104265</v>
      </c>
      <c r="B4266">
        <v>40</v>
      </c>
      <c r="C4266" s="2">
        <v>50200</v>
      </c>
      <c r="D4266" t="s">
        <v>21</v>
      </c>
      <c r="E4266" s="2">
        <v>16200</v>
      </c>
      <c r="F4266" s="2">
        <v>0</v>
      </c>
      <c r="G4266" t="s">
        <v>24</v>
      </c>
      <c r="H4266" t="s">
        <v>14</v>
      </c>
      <c r="I4266" t="s">
        <v>18</v>
      </c>
      <c r="J4266" s="3">
        <v>45553</v>
      </c>
      <c r="K4266" s="4">
        <f>ClientiBanca[[#This Row],[Prestito]]+ClientiBanca[[#This Row],[Mutuo]]</f>
        <v>16200</v>
      </c>
      <c r="L4266" t="str">
        <f>IF(ClientiBanca[[#This Row],[Reddito annuo]]&gt;=70000,"si","no")</f>
        <v>no</v>
      </c>
    </row>
    <row r="4267" spans="1:12">
      <c r="A4267">
        <v>104266</v>
      </c>
      <c r="B4267">
        <v>27</v>
      </c>
      <c r="C4267" s="2">
        <v>93300</v>
      </c>
      <c r="D4267" t="s">
        <v>21</v>
      </c>
      <c r="E4267" s="2">
        <v>5500</v>
      </c>
      <c r="F4267" s="2">
        <v>0</v>
      </c>
      <c r="G4267" t="s">
        <v>26</v>
      </c>
      <c r="H4267" t="s">
        <v>14</v>
      </c>
      <c r="I4267" t="s">
        <v>18</v>
      </c>
      <c r="J4267" s="3">
        <v>45935</v>
      </c>
      <c r="K4267" s="4">
        <f>ClientiBanca[[#This Row],[Prestito]]+ClientiBanca[[#This Row],[Mutuo]]</f>
        <v>5500</v>
      </c>
      <c r="L4267" t="str">
        <f>IF(ClientiBanca[[#This Row],[Reddito annuo]]&gt;=70000,"si","no")</f>
        <v>si</v>
      </c>
    </row>
    <row r="4268" spans="1:12">
      <c r="A4268">
        <v>104267</v>
      </c>
      <c r="B4268">
        <v>43</v>
      </c>
      <c r="C4268" s="2">
        <v>82700</v>
      </c>
      <c r="D4268" t="s">
        <v>22</v>
      </c>
      <c r="E4268" s="2">
        <v>26700</v>
      </c>
      <c r="F4268" s="2">
        <v>0</v>
      </c>
      <c r="G4268" t="s">
        <v>27</v>
      </c>
      <c r="H4268" t="s">
        <v>17</v>
      </c>
      <c r="I4268" t="s">
        <v>18</v>
      </c>
      <c r="J4268" s="3">
        <v>46189</v>
      </c>
      <c r="K4268" s="4">
        <f>ClientiBanca[[#This Row],[Prestito]]+ClientiBanca[[#This Row],[Mutuo]]</f>
        <v>26700</v>
      </c>
      <c r="L4268" t="str">
        <f>IF(ClientiBanca[[#This Row],[Reddito annuo]]&gt;=70000,"si","no")</f>
        <v>si</v>
      </c>
    </row>
    <row r="4269" spans="1:12">
      <c r="A4269">
        <v>104268</v>
      </c>
      <c r="B4269">
        <v>53</v>
      </c>
      <c r="C4269" s="2">
        <v>102400</v>
      </c>
      <c r="D4269" t="s">
        <v>12</v>
      </c>
      <c r="E4269" s="2">
        <v>32100</v>
      </c>
      <c r="F4269" s="2">
        <v>146000</v>
      </c>
      <c r="G4269" t="s">
        <v>26</v>
      </c>
      <c r="H4269" t="s">
        <v>20</v>
      </c>
      <c r="I4269" t="s">
        <v>18</v>
      </c>
      <c r="J4269" s="3">
        <v>45964</v>
      </c>
      <c r="K4269" s="4">
        <f>ClientiBanca[[#This Row],[Prestito]]+ClientiBanca[[#This Row],[Mutuo]]</f>
        <v>178100</v>
      </c>
      <c r="L4269" t="str">
        <f>IF(ClientiBanca[[#This Row],[Reddito annuo]]&gt;=70000,"si","no")</f>
        <v>si</v>
      </c>
    </row>
    <row r="4270" spans="1:12">
      <c r="A4270">
        <v>104269</v>
      </c>
      <c r="B4270">
        <v>59</v>
      </c>
      <c r="C4270" s="2">
        <v>41900</v>
      </c>
      <c r="D4270" t="s">
        <v>12</v>
      </c>
      <c r="E4270" s="2">
        <v>52400</v>
      </c>
      <c r="F4270" s="2">
        <v>0</v>
      </c>
      <c r="G4270" t="s">
        <v>28</v>
      </c>
      <c r="H4270" t="s">
        <v>17</v>
      </c>
      <c r="I4270" t="s">
        <v>18</v>
      </c>
      <c r="J4270" s="3">
        <v>45450</v>
      </c>
      <c r="K4270" s="4">
        <f>ClientiBanca[[#This Row],[Prestito]]+ClientiBanca[[#This Row],[Mutuo]]</f>
        <v>52400</v>
      </c>
      <c r="L4270" t="str">
        <f>IF(ClientiBanca[[#This Row],[Reddito annuo]]&gt;=70000,"si","no")</f>
        <v>no</v>
      </c>
    </row>
    <row r="4271" spans="1:12">
      <c r="A4271">
        <v>104270</v>
      </c>
      <c r="B4271">
        <v>46</v>
      </c>
      <c r="C4271" s="2">
        <v>36400</v>
      </c>
      <c r="D4271" t="s">
        <v>21</v>
      </c>
      <c r="E4271" s="2">
        <v>0</v>
      </c>
      <c r="F4271" s="2">
        <v>0</v>
      </c>
      <c r="G4271" t="s">
        <v>16</v>
      </c>
      <c r="H4271" t="s">
        <v>25</v>
      </c>
      <c r="I4271" t="s">
        <v>18</v>
      </c>
      <c r="J4271" s="3">
        <v>45635</v>
      </c>
      <c r="K4271" s="4">
        <f>ClientiBanca[[#This Row],[Prestito]]+ClientiBanca[[#This Row],[Mutuo]]</f>
        <v>0</v>
      </c>
      <c r="L4271" t="str">
        <f>IF(ClientiBanca[[#This Row],[Reddito annuo]]&gt;=70000,"si","no")</f>
        <v>no</v>
      </c>
    </row>
    <row r="4272" spans="1:12">
      <c r="A4272">
        <v>104271</v>
      </c>
      <c r="B4272">
        <v>52</v>
      </c>
      <c r="C4272" s="2">
        <v>84900</v>
      </c>
      <c r="D4272" t="s">
        <v>22</v>
      </c>
      <c r="E4272" s="2">
        <v>58600</v>
      </c>
      <c r="F4272" s="2">
        <v>0</v>
      </c>
      <c r="G4272" t="s">
        <v>28</v>
      </c>
      <c r="H4272" t="s">
        <v>17</v>
      </c>
      <c r="I4272" t="s">
        <v>18</v>
      </c>
      <c r="J4272" s="3">
        <v>45593</v>
      </c>
      <c r="K4272" s="4">
        <f>ClientiBanca[[#This Row],[Prestito]]+ClientiBanca[[#This Row],[Mutuo]]</f>
        <v>58600</v>
      </c>
      <c r="L4272" t="str">
        <f>IF(ClientiBanca[[#This Row],[Reddito annuo]]&gt;=70000,"si","no")</f>
        <v>si</v>
      </c>
    </row>
    <row r="4273" spans="1:12">
      <c r="A4273">
        <v>104272</v>
      </c>
      <c r="B4273">
        <v>57</v>
      </c>
      <c r="C4273" s="2">
        <v>74400</v>
      </c>
      <c r="D4273" t="s">
        <v>22</v>
      </c>
      <c r="E4273" s="2">
        <v>40100</v>
      </c>
      <c r="F4273" s="2">
        <v>114000</v>
      </c>
      <c r="G4273" t="s">
        <v>16</v>
      </c>
      <c r="H4273" t="s">
        <v>17</v>
      </c>
      <c r="I4273" t="s">
        <v>18</v>
      </c>
      <c r="J4273" s="3">
        <v>45798</v>
      </c>
      <c r="K4273" s="4">
        <f>ClientiBanca[[#This Row],[Prestito]]+ClientiBanca[[#This Row],[Mutuo]]</f>
        <v>154100</v>
      </c>
      <c r="L4273" t="str">
        <f>IF(ClientiBanca[[#This Row],[Reddito annuo]]&gt;=70000,"si","no")</f>
        <v>si</v>
      </c>
    </row>
    <row r="4274" spans="1:12">
      <c r="A4274">
        <v>104273</v>
      </c>
      <c r="B4274">
        <v>30</v>
      </c>
      <c r="C4274" s="2">
        <v>119200</v>
      </c>
      <c r="D4274" t="s">
        <v>22</v>
      </c>
      <c r="E4274" s="2">
        <v>0</v>
      </c>
      <c r="F4274" s="2">
        <v>0</v>
      </c>
      <c r="G4274" t="s">
        <v>26</v>
      </c>
      <c r="H4274" t="s">
        <v>17</v>
      </c>
      <c r="I4274" t="s">
        <v>18</v>
      </c>
      <c r="J4274" s="3">
        <v>45910</v>
      </c>
      <c r="K4274" s="4">
        <f>ClientiBanca[[#This Row],[Prestito]]+ClientiBanca[[#This Row],[Mutuo]]</f>
        <v>0</v>
      </c>
      <c r="L4274" t="str">
        <f>IF(ClientiBanca[[#This Row],[Reddito annuo]]&gt;=70000,"si","no")</f>
        <v>si</v>
      </c>
    </row>
    <row r="4275" spans="1:12">
      <c r="A4275">
        <v>104274</v>
      </c>
      <c r="B4275">
        <v>20</v>
      </c>
      <c r="C4275" s="2">
        <v>100200</v>
      </c>
      <c r="D4275" t="s">
        <v>21</v>
      </c>
      <c r="E4275" s="2">
        <v>29500</v>
      </c>
      <c r="F4275" s="2">
        <v>0</v>
      </c>
      <c r="G4275" t="s">
        <v>23</v>
      </c>
      <c r="H4275" t="s">
        <v>17</v>
      </c>
      <c r="I4275" t="s">
        <v>15</v>
      </c>
      <c r="J4275" s="3">
        <v>45369</v>
      </c>
      <c r="K4275" s="4">
        <f>ClientiBanca[[#This Row],[Prestito]]+ClientiBanca[[#This Row],[Mutuo]]</f>
        <v>29500</v>
      </c>
      <c r="L4275" t="str">
        <f>IF(ClientiBanca[[#This Row],[Reddito annuo]]&gt;=70000,"si","no")</f>
        <v>si</v>
      </c>
    </row>
    <row r="4276" spans="1:12">
      <c r="A4276">
        <v>104275</v>
      </c>
      <c r="B4276">
        <v>45</v>
      </c>
      <c r="C4276" s="2">
        <v>36200</v>
      </c>
      <c r="D4276" t="s">
        <v>12</v>
      </c>
      <c r="E4276" s="2">
        <v>0</v>
      </c>
      <c r="F4276" s="2">
        <v>0</v>
      </c>
      <c r="G4276" t="s">
        <v>28</v>
      </c>
      <c r="H4276" t="s">
        <v>17</v>
      </c>
      <c r="I4276" t="s">
        <v>18</v>
      </c>
      <c r="J4276" s="3">
        <v>45307</v>
      </c>
      <c r="K4276" s="4">
        <f>ClientiBanca[[#This Row],[Prestito]]+ClientiBanca[[#This Row],[Mutuo]]</f>
        <v>0</v>
      </c>
      <c r="L4276" t="str">
        <f>IF(ClientiBanca[[#This Row],[Reddito annuo]]&gt;=70000,"si","no")</f>
        <v>no</v>
      </c>
    </row>
    <row r="4277" spans="1:12">
      <c r="A4277">
        <v>104276</v>
      </c>
      <c r="B4277">
        <v>41</v>
      </c>
      <c r="C4277" s="2">
        <v>43600</v>
      </c>
      <c r="D4277" t="s">
        <v>21</v>
      </c>
      <c r="E4277" s="2">
        <v>45000</v>
      </c>
      <c r="F4277" s="2">
        <v>0</v>
      </c>
      <c r="G4277" t="s">
        <v>23</v>
      </c>
      <c r="H4277" t="s">
        <v>20</v>
      </c>
      <c r="I4277" t="s">
        <v>18</v>
      </c>
      <c r="J4277" s="3">
        <v>45972</v>
      </c>
      <c r="K4277" s="4">
        <f>ClientiBanca[[#This Row],[Prestito]]+ClientiBanca[[#This Row],[Mutuo]]</f>
        <v>45000</v>
      </c>
      <c r="L4277" t="str">
        <f>IF(ClientiBanca[[#This Row],[Reddito annuo]]&gt;=70000,"si","no")</f>
        <v>no</v>
      </c>
    </row>
    <row r="4278" spans="1:12">
      <c r="A4278">
        <v>104277</v>
      </c>
      <c r="B4278">
        <v>66</v>
      </c>
      <c r="C4278" s="2">
        <v>34100</v>
      </c>
      <c r="D4278" t="s">
        <v>21</v>
      </c>
      <c r="E4278" s="2">
        <v>22400</v>
      </c>
      <c r="F4278" s="2">
        <v>0</v>
      </c>
      <c r="G4278" t="s">
        <v>24</v>
      </c>
      <c r="H4278" t="s">
        <v>17</v>
      </c>
      <c r="I4278" t="s">
        <v>18</v>
      </c>
      <c r="J4278" s="3">
        <v>45351</v>
      </c>
      <c r="K4278" s="4">
        <f>ClientiBanca[[#This Row],[Prestito]]+ClientiBanca[[#This Row],[Mutuo]]</f>
        <v>22400</v>
      </c>
      <c r="L4278" t="str">
        <f>IF(ClientiBanca[[#This Row],[Reddito annuo]]&gt;=70000,"si","no")</f>
        <v>no</v>
      </c>
    </row>
    <row r="4279" spans="1:12">
      <c r="A4279">
        <v>104278</v>
      </c>
      <c r="B4279">
        <v>75</v>
      </c>
      <c r="C4279" s="2">
        <v>35900</v>
      </c>
      <c r="D4279" t="s">
        <v>12</v>
      </c>
      <c r="E4279" s="2">
        <v>44900</v>
      </c>
      <c r="F4279" s="2">
        <v>0</v>
      </c>
      <c r="G4279" t="s">
        <v>19</v>
      </c>
      <c r="H4279" t="s">
        <v>25</v>
      </c>
      <c r="I4279" t="s">
        <v>15</v>
      </c>
      <c r="J4279" s="3">
        <v>45654</v>
      </c>
      <c r="K4279" s="4">
        <f>ClientiBanca[[#This Row],[Prestito]]+ClientiBanca[[#This Row],[Mutuo]]</f>
        <v>44900</v>
      </c>
      <c r="L4279" t="str">
        <f>IF(ClientiBanca[[#This Row],[Reddito annuo]]&gt;=70000,"si","no")</f>
        <v>no</v>
      </c>
    </row>
    <row r="4280" spans="1:12">
      <c r="A4280">
        <v>104279</v>
      </c>
      <c r="B4280">
        <v>37</v>
      </c>
      <c r="C4280" s="2">
        <v>82900</v>
      </c>
      <c r="D4280" t="s">
        <v>12</v>
      </c>
      <c r="E4280" s="2">
        <v>32800</v>
      </c>
      <c r="F4280" s="2">
        <v>0</v>
      </c>
      <c r="G4280" t="s">
        <v>19</v>
      </c>
      <c r="H4280" t="s">
        <v>20</v>
      </c>
      <c r="I4280" t="s">
        <v>18</v>
      </c>
      <c r="J4280" s="3">
        <v>45380</v>
      </c>
      <c r="K4280" s="4">
        <f>ClientiBanca[[#This Row],[Prestito]]+ClientiBanca[[#This Row],[Mutuo]]</f>
        <v>32800</v>
      </c>
      <c r="L4280" t="str">
        <f>IF(ClientiBanca[[#This Row],[Reddito annuo]]&gt;=70000,"si","no")</f>
        <v>si</v>
      </c>
    </row>
    <row r="4281" spans="1:12">
      <c r="A4281">
        <v>104280</v>
      </c>
      <c r="B4281">
        <v>75</v>
      </c>
      <c r="C4281" s="2">
        <v>48000</v>
      </c>
      <c r="D4281" t="s">
        <v>12</v>
      </c>
      <c r="E4281" s="2">
        <v>27200</v>
      </c>
      <c r="F4281" s="2">
        <v>0</v>
      </c>
      <c r="G4281" t="s">
        <v>16</v>
      </c>
      <c r="H4281" t="s">
        <v>14</v>
      </c>
      <c r="I4281" t="s">
        <v>18</v>
      </c>
      <c r="J4281" s="3">
        <v>45681</v>
      </c>
      <c r="K4281" s="4">
        <f>ClientiBanca[[#This Row],[Prestito]]+ClientiBanca[[#This Row],[Mutuo]]</f>
        <v>27200</v>
      </c>
      <c r="L4281" t="str">
        <f>IF(ClientiBanca[[#This Row],[Reddito annuo]]&gt;=70000,"si","no")</f>
        <v>no</v>
      </c>
    </row>
    <row r="4282" spans="1:12">
      <c r="A4282">
        <v>104281</v>
      </c>
      <c r="B4282">
        <v>42</v>
      </c>
      <c r="C4282" s="2">
        <v>30700</v>
      </c>
      <c r="D4282" t="s">
        <v>21</v>
      </c>
      <c r="E4282" s="2">
        <v>0</v>
      </c>
      <c r="F4282" s="2">
        <v>0</v>
      </c>
      <c r="G4282" t="s">
        <v>24</v>
      </c>
      <c r="H4282" t="s">
        <v>14</v>
      </c>
      <c r="I4282" t="s">
        <v>18</v>
      </c>
      <c r="J4282" s="3">
        <v>45610</v>
      </c>
      <c r="K4282" s="4">
        <f>ClientiBanca[[#This Row],[Prestito]]+ClientiBanca[[#This Row],[Mutuo]]</f>
        <v>0</v>
      </c>
      <c r="L4282" t="str">
        <f>IF(ClientiBanca[[#This Row],[Reddito annuo]]&gt;=70000,"si","no")</f>
        <v>no</v>
      </c>
    </row>
    <row r="4283" spans="1:12">
      <c r="A4283">
        <v>104282</v>
      </c>
      <c r="B4283">
        <v>75</v>
      </c>
      <c r="C4283" s="2">
        <v>108200</v>
      </c>
      <c r="D4283" t="s">
        <v>12</v>
      </c>
      <c r="E4283" s="2">
        <v>16300</v>
      </c>
      <c r="F4283" s="2">
        <v>0</v>
      </c>
      <c r="G4283" t="s">
        <v>19</v>
      </c>
      <c r="H4283" t="s">
        <v>20</v>
      </c>
      <c r="I4283" t="s">
        <v>18</v>
      </c>
      <c r="J4283" s="3">
        <v>46005</v>
      </c>
      <c r="K4283" s="4">
        <f>ClientiBanca[[#This Row],[Prestito]]+ClientiBanca[[#This Row],[Mutuo]]</f>
        <v>16300</v>
      </c>
      <c r="L4283" t="str">
        <f>IF(ClientiBanca[[#This Row],[Reddito annuo]]&gt;=70000,"si","no")</f>
        <v>si</v>
      </c>
    </row>
    <row r="4284" spans="1:12">
      <c r="A4284">
        <v>104283</v>
      </c>
      <c r="B4284">
        <v>29</v>
      </c>
      <c r="C4284" s="2">
        <v>94000</v>
      </c>
      <c r="D4284" t="s">
        <v>22</v>
      </c>
      <c r="E4284" s="2">
        <v>0</v>
      </c>
      <c r="F4284" s="2">
        <v>283000</v>
      </c>
      <c r="G4284" t="s">
        <v>23</v>
      </c>
      <c r="H4284" t="s">
        <v>20</v>
      </c>
      <c r="I4284" t="s">
        <v>18</v>
      </c>
      <c r="J4284" s="3">
        <v>45717</v>
      </c>
      <c r="K4284" s="4">
        <f>ClientiBanca[[#This Row],[Prestito]]+ClientiBanca[[#This Row],[Mutuo]]</f>
        <v>283000</v>
      </c>
      <c r="L4284" t="str">
        <f>IF(ClientiBanca[[#This Row],[Reddito annuo]]&gt;=70000,"si","no")</f>
        <v>si</v>
      </c>
    </row>
    <row r="4285" spans="1:12">
      <c r="A4285">
        <v>104284</v>
      </c>
      <c r="B4285">
        <v>28</v>
      </c>
      <c r="C4285" s="2">
        <v>31200</v>
      </c>
      <c r="D4285" t="s">
        <v>12</v>
      </c>
      <c r="E4285" s="2">
        <v>24500</v>
      </c>
      <c r="F4285" s="2">
        <v>0</v>
      </c>
      <c r="G4285" t="s">
        <v>28</v>
      </c>
      <c r="H4285" t="s">
        <v>25</v>
      </c>
      <c r="I4285" t="s">
        <v>15</v>
      </c>
      <c r="J4285" s="3">
        <v>45431</v>
      </c>
      <c r="K4285" s="4">
        <f>ClientiBanca[[#This Row],[Prestito]]+ClientiBanca[[#This Row],[Mutuo]]</f>
        <v>24500</v>
      </c>
      <c r="L4285" t="str">
        <f>IF(ClientiBanca[[#This Row],[Reddito annuo]]&gt;=70000,"si","no")</f>
        <v>no</v>
      </c>
    </row>
    <row r="4286" spans="1:12">
      <c r="A4286">
        <v>104285</v>
      </c>
      <c r="B4286">
        <v>65</v>
      </c>
      <c r="C4286" s="2">
        <v>68400</v>
      </c>
      <c r="D4286" t="s">
        <v>12</v>
      </c>
      <c r="E4286" s="2">
        <v>85500</v>
      </c>
      <c r="F4286" s="2">
        <v>0</v>
      </c>
      <c r="G4286" t="s">
        <v>19</v>
      </c>
      <c r="H4286" t="s">
        <v>20</v>
      </c>
      <c r="I4286" t="s">
        <v>18</v>
      </c>
      <c r="J4286" s="3">
        <v>45835</v>
      </c>
      <c r="K4286" s="4">
        <f>ClientiBanca[[#This Row],[Prestito]]+ClientiBanca[[#This Row],[Mutuo]]</f>
        <v>85500</v>
      </c>
      <c r="L4286" t="str">
        <f>IF(ClientiBanca[[#This Row],[Reddito annuo]]&gt;=70000,"si","no")</f>
        <v>no</v>
      </c>
    </row>
    <row r="4287" spans="1:12">
      <c r="A4287">
        <v>104286</v>
      </c>
      <c r="B4287">
        <v>45</v>
      </c>
      <c r="C4287" s="2">
        <v>54300</v>
      </c>
      <c r="D4287" t="s">
        <v>21</v>
      </c>
      <c r="E4287" s="2">
        <v>0</v>
      </c>
      <c r="F4287" s="2">
        <v>219000</v>
      </c>
      <c r="G4287" t="s">
        <v>16</v>
      </c>
      <c r="H4287" t="s">
        <v>17</v>
      </c>
      <c r="I4287" t="s">
        <v>18</v>
      </c>
      <c r="J4287" s="3">
        <v>46120</v>
      </c>
      <c r="K4287" s="4">
        <f>ClientiBanca[[#This Row],[Prestito]]+ClientiBanca[[#This Row],[Mutuo]]</f>
        <v>219000</v>
      </c>
      <c r="L4287" t="str">
        <f>IF(ClientiBanca[[#This Row],[Reddito annuo]]&gt;=70000,"si","no")</f>
        <v>no</v>
      </c>
    </row>
    <row r="4288" spans="1:12">
      <c r="A4288">
        <v>104287</v>
      </c>
      <c r="B4288">
        <v>63</v>
      </c>
      <c r="C4288" s="2">
        <v>104300</v>
      </c>
      <c r="D4288" t="s">
        <v>21</v>
      </c>
      <c r="E4288" s="2">
        <v>72900</v>
      </c>
      <c r="F4288" s="2">
        <v>0</v>
      </c>
      <c r="G4288" t="s">
        <v>23</v>
      </c>
      <c r="H4288" t="s">
        <v>20</v>
      </c>
      <c r="I4288" t="s">
        <v>18</v>
      </c>
      <c r="J4288" s="3">
        <v>45756</v>
      </c>
      <c r="K4288" s="4">
        <f>ClientiBanca[[#This Row],[Prestito]]+ClientiBanca[[#This Row],[Mutuo]]</f>
        <v>72900</v>
      </c>
      <c r="L4288" t="str">
        <f>IF(ClientiBanca[[#This Row],[Reddito annuo]]&gt;=70000,"si","no")</f>
        <v>si</v>
      </c>
    </row>
    <row r="4289" spans="1:12">
      <c r="A4289">
        <v>104288</v>
      </c>
      <c r="B4289">
        <v>25</v>
      </c>
      <c r="C4289" s="2">
        <v>102500</v>
      </c>
      <c r="D4289" t="s">
        <v>12</v>
      </c>
      <c r="E4289" s="2">
        <v>18600</v>
      </c>
      <c r="F4289" s="2">
        <v>322000</v>
      </c>
      <c r="G4289" t="s">
        <v>24</v>
      </c>
      <c r="H4289" t="s">
        <v>20</v>
      </c>
      <c r="I4289" t="s">
        <v>18</v>
      </c>
      <c r="J4289" s="3">
        <v>46157</v>
      </c>
      <c r="K4289" s="4">
        <f>ClientiBanca[[#This Row],[Prestito]]+ClientiBanca[[#This Row],[Mutuo]]</f>
        <v>340600</v>
      </c>
      <c r="L4289" t="str">
        <f>IF(ClientiBanca[[#This Row],[Reddito annuo]]&gt;=70000,"si","no")</f>
        <v>si</v>
      </c>
    </row>
    <row r="4290" spans="1:12">
      <c r="A4290">
        <v>104289</v>
      </c>
      <c r="B4290">
        <v>70</v>
      </c>
      <c r="C4290" s="2">
        <v>79300</v>
      </c>
      <c r="D4290" t="s">
        <v>21</v>
      </c>
      <c r="E4290" s="2">
        <v>9500</v>
      </c>
      <c r="F4290" s="2">
        <v>144000</v>
      </c>
      <c r="G4290" t="s">
        <v>26</v>
      </c>
      <c r="H4290" t="s">
        <v>20</v>
      </c>
      <c r="I4290" t="s">
        <v>18</v>
      </c>
      <c r="J4290" s="3">
        <v>45626</v>
      </c>
      <c r="K4290" s="4">
        <f>ClientiBanca[[#This Row],[Prestito]]+ClientiBanca[[#This Row],[Mutuo]]</f>
        <v>153500</v>
      </c>
      <c r="L4290" t="str">
        <f>IF(ClientiBanca[[#This Row],[Reddito annuo]]&gt;=70000,"si","no")</f>
        <v>si</v>
      </c>
    </row>
    <row r="4291" spans="1:12">
      <c r="A4291">
        <v>104290</v>
      </c>
      <c r="B4291">
        <v>61</v>
      </c>
      <c r="C4291" s="2">
        <v>56300</v>
      </c>
      <c r="D4291" t="s">
        <v>12</v>
      </c>
      <c r="E4291" s="2">
        <v>35400</v>
      </c>
      <c r="F4291" s="2">
        <v>156000</v>
      </c>
      <c r="G4291" t="s">
        <v>28</v>
      </c>
      <c r="H4291" t="s">
        <v>20</v>
      </c>
      <c r="I4291" t="s">
        <v>18</v>
      </c>
      <c r="J4291" s="3">
        <v>45630</v>
      </c>
      <c r="K4291" s="4">
        <f>ClientiBanca[[#This Row],[Prestito]]+ClientiBanca[[#This Row],[Mutuo]]</f>
        <v>191400</v>
      </c>
      <c r="L4291" t="str">
        <f>IF(ClientiBanca[[#This Row],[Reddito annuo]]&gt;=70000,"si","no")</f>
        <v>no</v>
      </c>
    </row>
    <row r="4292" spans="1:12">
      <c r="A4292">
        <v>104291</v>
      </c>
      <c r="B4292">
        <v>31</v>
      </c>
      <c r="C4292" s="2">
        <v>38300</v>
      </c>
      <c r="D4292" t="s">
        <v>12</v>
      </c>
      <c r="E4292" s="2">
        <v>15800</v>
      </c>
      <c r="F4292" s="2">
        <v>0</v>
      </c>
      <c r="G4292" t="s">
        <v>24</v>
      </c>
      <c r="H4292" t="s">
        <v>25</v>
      </c>
      <c r="I4292" t="s">
        <v>18</v>
      </c>
      <c r="J4292" s="3">
        <v>45330</v>
      </c>
      <c r="K4292" s="4">
        <f>ClientiBanca[[#This Row],[Prestito]]+ClientiBanca[[#This Row],[Mutuo]]</f>
        <v>15800</v>
      </c>
      <c r="L4292" t="str">
        <f>IF(ClientiBanca[[#This Row],[Reddito annuo]]&gt;=70000,"si","no")</f>
        <v>no</v>
      </c>
    </row>
    <row r="4293" spans="1:12">
      <c r="A4293">
        <v>104292</v>
      </c>
      <c r="B4293">
        <v>27</v>
      </c>
      <c r="C4293" s="2">
        <v>46700</v>
      </c>
      <c r="D4293" t="s">
        <v>12</v>
      </c>
      <c r="E4293" s="2">
        <v>36600</v>
      </c>
      <c r="F4293" s="2">
        <v>0</v>
      </c>
      <c r="G4293" t="s">
        <v>26</v>
      </c>
      <c r="H4293" t="s">
        <v>17</v>
      </c>
      <c r="I4293" t="s">
        <v>18</v>
      </c>
      <c r="J4293" s="3">
        <v>45590</v>
      </c>
      <c r="K4293" s="4">
        <f>ClientiBanca[[#This Row],[Prestito]]+ClientiBanca[[#This Row],[Mutuo]]</f>
        <v>36600</v>
      </c>
      <c r="L4293" t="str">
        <f>IF(ClientiBanca[[#This Row],[Reddito annuo]]&gt;=70000,"si","no")</f>
        <v>no</v>
      </c>
    </row>
    <row r="4294" spans="1:12">
      <c r="A4294">
        <v>104293</v>
      </c>
      <c r="B4294">
        <v>35</v>
      </c>
      <c r="C4294" s="2">
        <v>70500</v>
      </c>
      <c r="D4294" t="s">
        <v>12</v>
      </c>
      <c r="E4294" s="2">
        <v>23900</v>
      </c>
      <c r="F4294" s="2">
        <v>0</v>
      </c>
      <c r="G4294" t="s">
        <v>28</v>
      </c>
      <c r="H4294" t="s">
        <v>17</v>
      </c>
      <c r="I4294" t="s">
        <v>18</v>
      </c>
      <c r="J4294" s="3">
        <v>46125</v>
      </c>
      <c r="K4294" s="4">
        <f>ClientiBanca[[#This Row],[Prestito]]+ClientiBanca[[#This Row],[Mutuo]]</f>
        <v>23900</v>
      </c>
      <c r="L4294" t="str">
        <f>IF(ClientiBanca[[#This Row],[Reddito annuo]]&gt;=70000,"si","no")</f>
        <v>si</v>
      </c>
    </row>
    <row r="4295" spans="1:12">
      <c r="A4295">
        <v>104294</v>
      </c>
      <c r="B4295">
        <v>60</v>
      </c>
      <c r="C4295" s="2">
        <v>89200</v>
      </c>
      <c r="D4295" t="s">
        <v>12</v>
      </c>
      <c r="E4295" s="2">
        <v>0</v>
      </c>
      <c r="F4295" s="2">
        <v>0</v>
      </c>
      <c r="G4295" t="s">
        <v>16</v>
      </c>
      <c r="H4295" t="s">
        <v>20</v>
      </c>
      <c r="I4295" t="s">
        <v>18</v>
      </c>
      <c r="J4295" s="3">
        <v>45712</v>
      </c>
      <c r="K4295" s="4">
        <f>ClientiBanca[[#This Row],[Prestito]]+ClientiBanca[[#This Row],[Mutuo]]</f>
        <v>0</v>
      </c>
      <c r="L4295" t="str">
        <f>IF(ClientiBanca[[#This Row],[Reddito annuo]]&gt;=70000,"si","no")</f>
        <v>si</v>
      </c>
    </row>
    <row r="4296" spans="1:12">
      <c r="A4296">
        <v>104295</v>
      </c>
      <c r="B4296">
        <v>58</v>
      </c>
      <c r="C4296" s="2">
        <v>89800</v>
      </c>
      <c r="D4296" t="s">
        <v>21</v>
      </c>
      <c r="E4296" s="2">
        <v>0</v>
      </c>
      <c r="F4296" s="2">
        <v>0</v>
      </c>
      <c r="G4296" t="s">
        <v>19</v>
      </c>
      <c r="H4296" t="s">
        <v>17</v>
      </c>
      <c r="I4296" t="s">
        <v>18</v>
      </c>
      <c r="J4296" s="3">
        <v>45578</v>
      </c>
      <c r="K4296" s="4">
        <f>ClientiBanca[[#This Row],[Prestito]]+ClientiBanca[[#This Row],[Mutuo]]</f>
        <v>0</v>
      </c>
      <c r="L4296" t="str">
        <f>IF(ClientiBanca[[#This Row],[Reddito annuo]]&gt;=70000,"si","no")</f>
        <v>si</v>
      </c>
    </row>
    <row r="4297" spans="1:12">
      <c r="A4297">
        <v>104296</v>
      </c>
      <c r="B4297">
        <v>73</v>
      </c>
      <c r="C4297" s="2">
        <v>101600</v>
      </c>
      <c r="D4297" t="s">
        <v>12</v>
      </c>
      <c r="E4297" s="2">
        <v>26400</v>
      </c>
      <c r="F4297" s="2">
        <v>268000</v>
      </c>
      <c r="G4297" t="s">
        <v>28</v>
      </c>
      <c r="H4297" t="s">
        <v>25</v>
      </c>
      <c r="I4297" t="s">
        <v>18</v>
      </c>
      <c r="J4297" s="3">
        <v>45347</v>
      </c>
      <c r="K4297" s="4">
        <f>ClientiBanca[[#This Row],[Prestito]]+ClientiBanca[[#This Row],[Mutuo]]</f>
        <v>294400</v>
      </c>
      <c r="L4297" t="str">
        <f>IF(ClientiBanca[[#This Row],[Reddito annuo]]&gt;=70000,"si","no")</f>
        <v>si</v>
      </c>
    </row>
    <row r="4298" spans="1:12">
      <c r="A4298">
        <v>104297</v>
      </c>
      <c r="B4298">
        <v>66</v>
      </c>
      <c r="C4298" s="2">
        <v>40500</v>
      </c>
      <c r="D4298" t="s">
        <v>21</v>
      </c>
      <c r="E4298" s="2">
        <v>41600</v>
      </c>
      <c r="F4298" s="2">
        <v>155000</v>
      </c>
      <c r="G4298" t="s">
        <v>19</v>
      </c>
      <c r="H4298" t="s">
        <v>25</v>
      </c>
      <c r="I4298" t="s">
        <v>18</v>
      </c>
      <c r="J4298" s="3">
        <v>45294</v>
      </c>
      <c r="K4298" s="4">
        <f>ClientiBanca[[#This Row],[Prestito]]+ClientiBanca[[#This Row],[Mutuo]]</f>
        <v>196600</v>
      </c>
      <c r="L4298" t="str">
        <f>IF(ClientiBanca[[#This Row],[Reddito annuo]]&gt;=70000,"si","no")</f>
        <v>no</v>
      </c>
    </row>
    <row r="4299" spans="1:12">
      <c r="A4299">
        <v>104298</v>
      </c>
      <c r="B4299">
        <v>38</v>
      </c>
      <c r="C4299" s="2">
        <v>40800</v>
      </c>
      <c r="D4299" t="s">
        <v>21</v>
      </c>
      <c r="E4299" s="2">
        <v>0</v>
      </c>
      <c r="F4299" s="2">
        <v>0</v>
      </c>
      <c r="G4299" t="s">
        <v>16</v>
      </c>
      <c r="H4299" t="s">
        <v>14</v>
      </c>
      <c r="I4299" t="s">
        <v>18</v>
      </c>
      <c r="J4299" s="3">
        <v>45562</v>
      </c>
      <c r="K4299" s="4">
        <f>ClientiBanca[[#This Row],[Prestito]]+ClientiBanca[[#This Row],[Mutuo]]</f>
        <v>0</v>
      </c>
      <c r="L4299" t="str">
        <f>IF(ClientiBanca[[#This Row],[Reddito annuo]]&gt;=70000,"si","no")</f>
        <v>no</v>
      </c>
    </row>
    <row r="4300" spans="1:12">
      <c r="A4300">
        <v>104299</v>
      </c>
      <c r="B4300">
        <v>21</v>
      </c>
      <c r="C4300" s="2">
        <v>35600</v>
      </c>
      <c r="D4300" t="s">
        <v>21</v>
      </c>
      <c r="E4300" s="2">
        <v>13300</v>
      </c>
      <c r="F4300" s="2">
        <v>0</v>
      </c>
      <c r="G4300" t="s">
        <v>23</v>
      </c>
      <c r="H4300" t="s">
        <v>25</v>
      </c>
      <c r="I4300" t="s">
        <v>18</v>
      </c>
      <c r="J4300" s="3">
        <v>45626</v>
      </c>
      <c r="K4300" s="4">
        <f>ClientiBanca[[#This Row],[Prestito]]+ClientiBanca[[#This Row],[Mutuo]]</f>
        <v>13300</v>
      </c>
      <c r="L4300" t="str">
        <f>IF(ClientiBanca[[#This Row],[Reddito annuo]]&gt;=70000,"si","no")</f>
        <v>no</v>
      </c>
    </row>
    <row r="4301" spans="1:12">
      <c r="A4301">
        <v>104300</v>
      </c>
      <c r="B4301">
        <v>31</v>
      </c>
      <c r="C4301" s="2">
        <v>22400</v>
      </c>
      <c r="D4301" t="s">
        <v>22</v>
      </c>
      <c r="E4301" s="2">
        <v>17700</v>
      </c>
      <c r="F4301" s="2">
        <v>0</v>
      </c>
      <c r="G4301" t="s">
        <v>27</v>
      </c>
      <c r="H4301" t="s">
        <v>14</v>
      </c>
      <c r="I4301" t="s">
        <v>18</v>
      </c>
      <c r="J4301" s="3">
        <v>45689</v>
      </c>
      <c r="K4301" s="4">
        <f>ClientiBanca[[#This Row],[Prestito]]+ClientiBanca[[#This Row],[Mutuo]]</f>
        <v>17700</v>
      </c>
      <c r="L4301" t="str">
        <f>IF(ClientiBanca[[#This Row],[Reddito annuo]]&gt;=70000,"si","no")</f>
        <v>no</v>
      </c>
    </row>
    <row r="4302" spans="1:12">
      <c r="A4302">
        <v>104301</v>
      </c>
      <c r="B4302">
        <v>67</v>
      </c>
      <c r="C4302" s="2">
        <v>45500</v>
      </c>
      <c r="D4302" t="s">
        <v>12</v>
      </c>
      <c r="E4302" s="2">
        <v>56900</v>
      </c>
      <c r="F4302" s="2">
        <v>0</v>
      </c>
      <c r="G4302" t="s">
        <v>16</v>
      </c>
      <c r="H4302" t="s">
        <v>20</v>
      </c>
      <c r="I4302" t="s">
        <v>18</v>
      </c>
      <c r="J4302" s="3">
        <v>45854</v>
      </c>
      <c r="K4302" s="4">
        <f>ClientiBanca[[#This Row],[Prestito]]+ClientiBanca[[#This Row],[Mutuo]]</f>
        <v>56900</v>
      </c>
      <c r="L4302" t="str">
        <f>IF(ClientiBanca[[#This Row],[Reddito annuo]]&gt;=70000,"si","no")</f>
        <v>no</v>
      </c>
    </row>
    <row r="4303" spans="1:12">
      <c r="A4303">
        <v>104302</v>
      </c>
      <c r="B4303">
        <v>29</v>
      </c>
      <c r="C4303" s="2">
        <v>40600</v>
      </c>
      <c r="D4303" t="s">
        <v>21</v>
      </c>
      <c r="E4303" s="2">
        <v>45800</v>
      </c>
      <c r="F4303" s="2">
        <v>284000</v>
      </c>
      <c r="G4303" t="s">
        <v>26</v>
      </c>
      <c r="H4303" t="s">
        <v>17</v>
      </c>
      <c r="I4303" t="s">
        <v>18</v>
      </c>
      <c r="J4303" s="3">
        <v>45548</v>
      </c>
      <c r="K4303" s="4">
        <f>ClientiBanca[[#This Row],[Prestito]]+ClientiBanca[[#This Row],[Mutuo]]</f>
        <v>329800</v>
      </c>
      <c r="L4303" t="str">
        <f>IF(ClientiBanca[[#This Row],[Reddito annuo]]&gt;=70000,"si","no")</f>
        <v>no</v>
      </c>
    </row>
    <row r="4304" spans="1:12">
      <c r="A4304">
        <v>104303</v>
      </c>
      <c r="B4304">
        <v>22</v>
      </c>
      <c r="C4304" s="2">
        <v>49000</v>
      </c>
      <c r="D4304" t="s">
        <v>21</v>
      </c>
      <c r="E4304" s="2">
        <v>38000</v>
      </c>
      <c r="F4304" s="2">
        <v>114000</v>
      </c>
      <c r="G4304" t="s">
        <v>27</v>
      </c>
      <c r="H4304" t="s">
        <v>20</v>
      </c>
      <c r="I4304" t="s">
        <v>18</v>
      </c>
      <c r="J4304" s="3">
        <v>46125</v>
      </c>
      <c r="K4304" s="4">
        <f>ClientiBanca[[#This Row],[Prestito]]+ClientiBanca[[#This Row],[Mutuo]]</f>
        <v>152000</v>
      </c>
      <c r="L4304" t="str">
        <f>IF(ClientiBanca[[#This Row],[Reddito annuo]]&gt;=70000,"si","no")</f>
        <v>no</v>
      </c>
    </row>
    <row r="4305" spans="1:12">
      <c r="A4305">
        <v>104304</v>
      </c>
      <c r="B4305">
        <v>41</v>
      </c>
      <c r="C4305" s="2">
        <v>53900</v>
      </c>
      <c r="D4305" t="s">
        <v>21</v>
      </c>
      <c r="E4305" s="2">
        <v>0</v>
      </c>
      <c r="F4305" s="2">
        <v>0</v>
      </c>
      <c r="G4305" t="s">
        <v>24</v>
      </c>
      <c r="H4305" t="s">
        <v>14</v>
      </c>
      <c r="I4305" t="s">
        <v>18</v>
      </c>
      <c r="J4305" s="3">
        <v>45523</v>
      </c>
      <c r="K4305" s="4">
        <f>ClientiBanca[[#This Row],[Prestito]]+ClientiBanca[[#This Row],[Mutuo]]</f>
        <v>0</v>
      </c>
      <c r="L4305" t="str">
        <f>IF(ClientiBanca[[#This Row],[Reddito annuo]]&gt;=70000,"si","no")</f>
        <v>no</v>
      </c>
    </row>
    <row r="4306" spans="1:12">
      <c r="A4306">
        <v>104305</v>
      </c>
      <c r="B4306">
        <v>43</v>
      </c>
      <c r="C4306" s="2">
        <v>67100</v>
      </c>
      <c r="D4306" t="s">
        <v>21</v>
      </c>
      <c r="E4306" s="2">
        <v>0</v>
      </c>
      <c r="F4306" s="2">
        <v>145000</v>
      </c>
      <c r="G4306" t="s">
        <v>13</v>
      </c>
      <c r="H4306" t="s">
        <v>20</v>
      </c>
      <c r="I4306" t="s">
        <v>18</v>
      </c>
      <c r="J4306" s="3">
        <v>46259</v>
      </c>
      <c r="K4306" s="4">
        <f>ClientiBanca[[#This Row],[Prestito]]+ClientiBanca[[#This Row],[Mutuo]]</f>
        <v>145000</v>
      </c>
      <c r="L4306" t="str">
        <f>IF(ClientiBanca[[#This Row],[Reddito annuo]]&gt;=70000,"si","no")</f>
        <v>no</v>
      </c>
    </row>
    <row r="4307" spans="1:12">
      <c r="A4307">
        <v>104306</v>
      </c>
      <c r="B4307">
        <v>21</v>
      </c>
      <c r="C4307" s="2">
        <v>38100</v>
      </c>
      <c r="D4307" t="s">
        <v>21</v>
      </c>
      <c r="E4307" s="2">
        <v>0</v>
      </c>
      <c r="F4307" s="2">
        <v>0</v>
      </c>
      <c r="G4307" t="s">
        <v>16</v>
      </c>
      <c r="H4307" t="s">
        <v>17</v>
      </c>
      <c r="I4307" t="s">
        <v>18</v>
      </c>
      <c r="J4307" s="3">
        <v>45392</v>
      </c>
      <c r="K4307" s="4">
        <f>ClientiBanca[[#This Row],[Prestito]]+ClientiBanca[[#This Row],[Mutuo]]</f>
        <v>0</v>
      </c>
      <c r="L4307" t="str">
        <f>IF(ClientiBanca[[#This Row],[Reddito annuo]]&gt;=70000,"si","no")</f>
        <v>no</v>
      </c>
    </row>
    <row r="4308" spans="1:12">
      <c r="A4308">
        <v>104307</v>
      </c>
      <c r="B4308">
        <v>23</v>
      </c>
      <c r="C4308" s="2">
        <v>52900</v>
      </c>
      <c r="D4308" t="s">
        <v>21</v>
      </c>
      <c r="E4308" s="2">
        <v>17400</v>
      </c>
      <c r="F4308" s="2">
        <v>0</v>
      </c>
      <c r="G4308" t="s">
        <v>23</v>
      </c>
      <c r="H4308" t="s">
        <v>17</v>
      </c>
      <c r="I4308" t="s">
        <v>18</v>
      </c>
      <c r="J4308" s="3">
        <v>45746</v>
      </c>
      <c r="K4308" s="4">
        <f>ClientiBanca[[#This Row],[Prestito]]+ClientiBanca[[#This Row],[Mutuo]]</f>
        <v>17400</v>
      </c>
      <c r="L4308" t="str">
        <f>IF(ClientiBanca[[#This Row],[Reddito annuo]]&gt;=70000,"si","no")</f>
        <v>no</v>
      </c>
    </row>
    <row r="4309" spans="1:12">
      <c r="A4309">
        <v>104308</v>
      </c>
      <c r="B4309">
        <v>38</v>
      </c>
      <c r="C4309" s="2">
        <v>32800</v>
      </c>
      <c r="D4309" t="s">
        <v>21</v>
      </c>
      <c r="E4309" s="2">
        <v>32100</v>
      </c>
      <c r="F4309" s="2">
        <v>0</v>
      </c>
      <c r="G4309" t="s">
        <v>23</v>
      </c>
      <c r="H4309" t="s">
        <v>17</v>
      </c>
      <c r="I4309" t="s">
        <v>18</v>
      </c>
      <c r="J4309" s="3">
        <v>46176</v>
      </c>
      <c r="K4309" s="4">
        <f>ClientiBanca[[#This Row],[Prestito]]+ClientiBanca[[#This Row],[Mutuo]]</f>
        <v>32100</v>
      </c>
      <c r="L4309" t="str">
        <f>IF(ClientiBanca[[#This Row],[Reddito annuo]]&gt;=70000,"si","no")</f>
        <v>no</v>
      </c>
    </row>
    <row r="4310" spans="1:12">
      <c r="A4310">
        <v>104309</v>
      </c>
      <c r="B4310">
        <v>63</v>
      </c>
      <c r="C4310" s="2">
        <v>69100</v>
      </c>
      <c r="D4310" t="s">
        <v>12</v>
      </c>
      <c r="E4310" s="2">
        <v>0</v>
      </c>
      <c r="F4310" s="2">
        <v>0</v>
      </c>
      <c r="G4310" t="s">
        <v>19</v>
      </c>
      <c r="H4310" t="s">
        <v>20</v>
      </c>
      <c r="I4310" t="s">
        <v>18</v>
      </c>
      <c r="J4310" s="3">
        <v>45416</v>
      </c>
      <c r="K4310" s="4">
        <f>ClientiBanca[[#This Row],[Prestito]]+ClientiBanca[[#This Row],[Mutuo]]</f>
        <v>0</v>
      </c>
      <c r="L4310" t="str">
        <f>IF(ClientiBanca[[#This Row],[Reddito annuo]]&gt;=70000,"si","no")</f>
        <v>no</v>
      </c>
    </row>
    <row r="4311" spans="1:12">
      <c r="A4311">
        <v>104310</v>
      </c>
      <c r="B4311">
        <v>40</v>
      </c>
      <c r="C4311" s="2">
        <v>61700</v>
      </c>
      <c r="D4311" t="s">
        <v>22</v>
      </c>
      <c r="E4311" s="2">
        <v>46600</v>
      </c>
      <c r="F4311" s="2">
        <v>0</v>
      </c>
      <c r="G4311" t="s">
        <v>13</v>
      </c>
      <c r="H4311" t="s">
        <v>17</v>
      </c>
      <c r="I4311" t="s">
        <v>18</v>
      </c>
      <c r="J4311" s="3">
        <v>46174</v>
      </c>
      <c r="K4311" s="4">
        <f>ClientiBanca[[#This Row],[Prestito]]+ClientiBanca[[#This Row],[Mutuo]]</f>
        <v>46600</v>
      </c>
      <c r="L4311" t="str">
        <f>IF(ClientiBanca[[#This Row],[Reddito annuo]]&gt;=70000,"si","no")</f>
        <v>no</v>
      </c>
    </row>
    <row r="4312" spans="1:12">
      <c r="A4312">
        <v>104311</v>
      </c>
      <c r="B4312">
        <v>35</v>
      </c>
      <c r="C4312" s="2">
        <v>34300</v>
      </c>
      <c r="D4312" t="s">
        <v>22</v>
      </c>
      <c r="E4312" s="2">
        <v>42900</v>
      </c>
      <c r="F4312" s="2">
        <v>161000</v>
      </c>
      <c r="G4312" t="s">
        <v>26</v>
      </c>
      <c r="H4312" t="s">
        <v>20</v>
      </c>
      <c r="I4312" t="s">
        <v>18</v>
      </c>
      <c r="J4312" s="3">
        <v>46117</v>
      </c>
      <c r="K4312" s="4">
        <f>ClientiBanca[[#This Row],[Prestito]]+ClientiBanca[[#This Row],[Mutuo]]</f>
        <v>203900</v>
      </c>
      <c r="L4312" t="str">
        <f>IF(ClientiBanca[[#This Row],[Reddito annuo]]&gt;=70000,"si","no")</f>
        <v>no</v>
      </c>
    </row>
    <row r="4313" spans="1:12">
      <c r="A4313">
        <v>104312</v>
      </c>
      <c r="B4313">
        <v>52</v>
      </c>
      <c r="C4313" s="2">
        <v>47600</v>
      </c>
      <c r="D4313" t="s">
        <v>21</v>
      </c>
      <c r="E4313" s="2">
        <v>29200</v>
      </c>
      <c r="F4313" s="2">
        <v>333000</v>
      </c>
      <c r="G4313" t="s">
        <v>23</v>
      </c>
      <c r="H4313" t="s">
        <v>17</v>
      </c>
      <c r="I4313" t="s">
        <v>18</v>
      </c>
      <c r="J4313" s="3">
        <v>45773</v>
      </c>
      <c r="K4313" s="4">
        <f>ClientiBanca[[#This Row],[Prestito]]+ClientiBanca[[#This Row],[Mutuo]]</f>
        <v>362200</v>
      </c>
      <c r="L4313" t="str">
        <f>IF(ClientiBanca[[#This Row],[Reddito annuo]]&gt;=70000,"si","no")</f>
        <v>no</v>
      </c>
    </row>
    <row r="4314" spans="1:12">
      <c r="A4314">
        <v>104313</v>
      </c>
      <c r="B4314">
        <v>73</v>
      </c>
      <c r="C4314" s="2">
        <v>96300</v>
      </c>
      <c r="D4314" t="s">
        <v>21</v>
      </c>
      <c r="E4314" s="2">
        <v>67800</v>
      </c>
      <c r="F4314" s="2">
        <v>0</v>
      </c>
      <c r="G4314" t="s">
        <v>16</v>
      </c>
      <c r="H4314" t="s">
        <v>17</v>
      </c>
      <c r="I4314" t="s">
        <v>18</v>
      </c>
      <c r="J4314" s="3">
        <v>46258</v>
      </c>
      <c r="K4314" s="4">
        <f>ClientiBanca[[#This Row],[Prestito]]+ClientiBanca[[#This Row],[Mutuo]]</f>
        <v>67800</v>
      </c>
      <c r="L4314" t="str">
        <f>IF(ClientiBanca[[#This Row],[Reddito annuo]]&gt;=70000,"si","no")</f>
        <v>si</v>
      </c>
    </row>
    <row r="4315" spans="1:12">
      <c r="A4315">
        <v>104314</v>
      </c>
      <c r="B4315">
        <v>40</v>
      </c>
      <c r="C4315" s="2">
        <v>71700</v>
      </c>
      <c r="D4315" t="s">
        <v>12</v>
      </c>
      <c r="E4315" s="2">
        <v>55700</v>
      </c>
      <c r="F4315" s="2">
        <v>77000</v>
      </c>
      <c r="G4315" t="s">
        <v>13</v>
      </c>
      <c r="H4315" t="s">
        <v>17</v>
      </c>
      <c r="I4315" t="s">
        <v>18</v>
      </c>
      <c r="J4315" s="3">
        <v>46247</v>
      </c>
      <c r="K4315" s="4">
        <f>ClientiBanca[[#This Row],[Prestito]]+ClientiBanca[[#This Row],[Mutuo]]</f>
        <v>132700</v>
      </c>
      <c r="L4315" t="str">
        <f>IF(ClientiBanca[[#This Row],[Reddito annuo]]&gt;=70000,"si","no")</f>
        <v>si</v>
      </c>
    </row>
    <row r="4316" spans="1:12">
      <c r="A4316">
        <v>104315</v>
      </c>
      <c r="B4316">
        <v>51</v>
      </c>
      <c r="C4316" s="2">
        <v>53300</v>
      </c>
      <c r="D4316" t="s">
        <v>22</v>
      </c>
      <c r="E4316" s="2">
        <v>27700</v>
      </c>
      <c r="F4316" s="2">
        <v>315000</v>
      </c>
      <c r="G4316" t="s">
        <v>13</v>
      </c>
      <c r="H4316" t="s">
        <v>20</v>
      </c>
      <c r="I4316" t="s">
        <v>18</v>
      </c>
      <c r="J4316" s="3">
        <v>45510</v>
      </c>
      <c r="K4316" s="4">
        <f>ClientiBanca[[#This Row],[Prestito]]+ClientiBanca[[#This Row],[Mutuo]]</f>
        <v>342700</v>
      </c>
      <c r="L4316" t="str">
        <f>IF(ClientiBanca[[#This Row],[Reddito annuo]]&gt;=70000,"si","no")</f>
        <v>no</v>
      </c>
    </row>
    <row r="4317" spans="1:12">
      <c r="A4317">
        <v>104316</v>
      </c>
      <c r="B4317">
        <v>54</v>
      </c>
      <c r="C4317" s="2">
        <v>42400</v>
      </c>
      <c r="D4317" t="s">
        <v>21</v>
      </c>
      <c r="E4317" s="2">
        <v>0</v>
      </c>
      <c r="F4317" s="2">
        <v>0</v>
      </c>
      <c r="G4317" t="s">
        <v>13</v>
      </c>
      <c r="H4317" t="s">
        <v>17</v>
      </c>
      <c r="I4317" t="s">
        <v>18</v>
      </c>
      <c r="J4317" s="3">
        <v>45322</v>
      </c>
      <c r="K4317" s="4">
        <f>ClientiBanca[[#This Row],[Prestito]]+ClientiBanca[[#This Row],[Mutuo]]</f>
        <v>0</v>
      </c>
      <c r="L4317" t="str">
        <f>IF(ClientiBanca[[#This Row],[Reddito annuo]]&gt;=70000,"si","no")</f>
        <v>no</v>
      </c>
    </row>
    <row r="4318" spans="1:12">
      <c r="A4318">
        <v>104317</v>
      </c>
      <c r="B4318">
        <v>35</v>
      </c>
      <c r="C4318" s="2">
        <v>111400</v>
      </c>
      <c r="D4318" t="s">
        <v>21</v>
      </c>
      <c r="E4318" s="2">
        <v>73100</v>
      </c>
      <c r="F4318" s="2">
        <v>0</v>
      </c>
      <c r="G4318" t="s">
        <v>27</v>
      </c>
      <c r="H4318" t="s">
        <v>20</v>
      </c>
      <c r="I4318" t="s">
        <v>18</v>
      </c>
      <c r="J4318" s="3">
        <v>45973</v>
      </c>
      <c r="K4318" s="4">
        <f>ClientiBanca[[#This Row],[Prestito]]+ClientiBanca[[#This Row],[Mutuo]]</f>
        <v>73100</v>
      </c>
      <c r="L4318" t="str">
        <f>IF(ClientiBanca[[#This Row],[Reddito annuo]]&gt;=70000,"si","no")</f>
        <v>si</v>
      </c>
    </row>
    <row r="4319" spans="1:12">
      <c r="A4319">
        <v>104318</v>
      </c>
      <c r="B4319">
        <v>69</v>
      </c>
      <c r="C4319" s="2">
        <v>91800</v>
      </c>
      <c r="D4319" t="s">
        <v>22</v>
      </c>
      <c r="E4319" s="2">
        <v>0</v>
      </c>
      <c r="F4319" s="2">
        <v>0</v>
      </c>
      <c r="G4319" t="s">
        <v>24</v>
      </c>
      <c r="H4319" t="s">
        <v>17</v>
      </c>
      <c r="I4319" t="s">
        <v>18</v>
      </c>
      <c r="J4319" s="3">
        <v>46032</v>
      </c>
      <c r="K4319" s="4">
        <f>ClientiBanca[[#This Row],[Prestito]]+ClientiBanca[[#This Row],[Mutuo]]</f>
        <v>0</v>
      </c>
      <c r="L4319" t="str">
        <f>IF(ClientiBanca[[#This Row],[Reddito annuo]]&gt;=70000,"si","no")</f>
        <v>si</v>
      </c>
    </row>
    <row r="4320" spans="1:12">
      <c r="A4320">
        <v>104319</v>
      </c>
      <c r="B4320">
        <v>23</v>
      </c>
      <c r="C4320" s="2">
        <v>76500</v>
      </c>
      <c r="D4320" t="s">
        <v>22</v>
      </c>
      <c r="E4320" s="2">
        <v>73900</v>
      </c>
      <c r="F4320" s="2">
        <v>0</v>
      </c>
      <c r="G4320" t="s">
        <v>13</v>
      </c>
      <c r="H4320" t="s">
        <v>20</v>
      </c>
      <c r="I4320" t="s">
        <v>18</v>
      </c>
      <c r="J4320" s="3">
        <v>45502</v>
      </c>
      <c r="K4320" s="4">
        <f>ClientiBanca[[#This Row],[Prestito]]+ClientiBanca[[#This Row],[Mutuo]]</f>
        <v>73900</v>
      </c>
      <c r="L4320" t="str">
        <f>IF(ClientiBanca[[#This Row],[Reddito annuo]]&gt;=70000,"si","no")</f>
        <v>si</v>
      </c>
    </row>
    <row r="4321" spans="1:12">
      <c r="A4321">
        <v>104320</v>
      </c>
      <c r="B4321">
        <v>37</v>
      </c>
      <c r="C4321" s="2">
        <v>81600</v>
      </c>
      <c r="D4321" t="s">
        <v>21</v>
      </c>
      <c r="E4321" s="2">
        <v>0</v>
      </c>
      <c r="F4321" s="2">
        <v>0</v>
      </c>
      <c r="G4321" t="s">
        <v>13</v>
      </c>
      <c r="H4321" t="s">
        <v>14</v>
      </c>
      <c r="I4321" t="s">
        <v>18</v>
      </c>
      <c r="J4321" s="3">
        <v>45551</v>
      </c>
      <c r="K4321" s="4">
        <f>ClientiBanca[[#This Row],[Prestito]]+ClientiBanca[[#This Row],[Mutuo]]</f>
        <v>0</v>
      </c>
      <c r="L4321" t="str">
        <f>IF(ClientiBanca[[#This Row],[Reddito annuo]]&gt;=70000,"si","no")</f>
        <v>si</v>
      </c>
    </row>
    <row r="4322" spans="1:12">
      <c r="A4322">
        <v>104321</v>
      </c>
      <c r="B4322">
        <v>50</v>
      </c>
      <c r="C4322" s="2">
        <v>48000</v>
      </c>
      <c r="D4322" t="s">
        <v>21</v>
      </c>
      <c r="E4322" s="2">
        <v>30200</v>
      </c>
      <c r="F4322" s="2">
        <v>271000</v>
      </c>
      <c r="G4322" t="s">
        <v>24</v>
      </c>
      <c r="H4322" t="s">
        <v>20</v>
      </c>
      <c r="I4322" t="s">
        <v>18</v>
      </c>
      <c r="J4322" s="3">
        <v>45355</v>
      </c>
      <c r="K4322" s="4">
        <f>ClientiBanca[[#This Row],[Prestito]]+ClientiBanca[[#This Row],[Mutuo]]</f>
        <v>301200</v>
      </c>
      <c r="L4322" t="str">
        <f>IF(ClientiBanca[[#This Row],[Reddito annuo]]&gt;=70000,"si","no")</f>
        <v>no</v>
      </c>
    </row>
    <row r="4323" spans="1:12">
      <c r="A4323">
        <v>104322</v>
      </c>
      <c r="B4323">
        <v>61</v>
      </c>
      <c r="C4323" s="2">
        <v>54700</v>
      </c>
      <c r="D4323" t="s">
        <v>22</v>
      </c>
      <c r="E4323" s="2">
        <v>49600</v>
      </c>
      <c r="F4323" s="2">
        <v>0</v>
      </c>
      <c r="G4323" t="s">
        <v>16</v>
      </c>
      <c r="H4323" t="s">
        <v>14</v>
      </c>
      <c r="I4323" t="s">
        <v>18</v>
      </c>
      <c r="J4323" s="3">
        <v>45348</v>
      </c>
      <c r="K4323" s="4">
        <f>ClientiBanca[[#This Row],[Prestito]]+ClientiBanca[[#This Row],[Mutuo]]</f>
        <v>49600</v>
      </c>
      <c r="L4323" t="str">
        <f>IF(ClientiBanca[[#This Row],[Reddito annuo]]&gt;=70000,"si","no")</f>
        <v>no</v>
      </c>
    </row>
    <row r="4324" spans="1:12">
      <c r="A4324">
        <v>104323</v>
      </c>
      <c r="B4324">
        <v>34</v>
      </c>
      <c r="C4324" s="2">
        <v>61100</v>
      </c>
      <c r="D4324" t="s">
        <v>22</v>
      </c>
      <c r="E4324" s="2">
        <v>25700</v>
      </c>
      <c r="F4324" s="2">
        <v>0</v>
      </c>
      <c r="G4324" t="s">
        <v>19</v>
      </c>
      <c r="H4324" t="s">
        <v>17</v>
      </c>
      <c r="I4324" t="s">
        <v>18</v>
      </c>
      <c r="J4324" s="3">
        <v>46233</v>
      </c>
      <c r="K4324" s="4">
        <f>ClientiBanca[[#This Row],[Prestito]]+ClientiBanca[[#This Row],[Mutuo]]</f>
        <v>25700</v>
      </c>
      <c r="L4324" t="str">
        <f>IF(ClientiBanca[[#This Row],[Reddito annuo]]&gt;=70000,"si","no")</f>
        <v>no</v>
      </c>
    </row>
    <row r="4325" spans="1:12">
      <c r="A4325">
        <v>104324</v>
      </c>
      <c r="B4325">
        <v>64</v>
      </c>
      <c r="C4325" s="2">
        <v>54600</v>
      </c>
      <c r="D4325" t="s">
        <v>21</v>
      </c>
      <c r="E4325" s="2">
        <v>50500</v>
      </c>
      <c r="F4325" s="2">
        <v>0</v>
      </c>
      <c r="G4325" t="s">
        <v>26</v>
      </c>
      <c r="H4325" t="s">
        <v>17</v>
      </c>
      <c r="I4325" t="s">
        <v>18</v>
      </c>
      <c r="J4325" s="3">
        <v>45531</v>
      </c>
      <c r="K4325" s="4">
        <f>ClientiBanca[[#This Row],[Prestito]]+ClientiBanca[[#This Row],[Mutuo]]</f>
        <v>50500</v>
      </c>
      <c r="L4325" t="str">
        <f>IF(ClientiBanca[[#This Row],[Reddito annuo]]&gt;=70000,"si","no")</f>
        <v>no</v>
      </c>
    </row>
    <row r="4326" spans="1:12">
      <c r="A4326">
        <v>104325</v>
      </c>
      <c r="B4326">
        <v>26</v>
      </c>
      <c r="C4326" s="2">
        <v>107100</v>
      </c>
      <c r="D4326" t="s">
        <v>12</v>
      </c>
      <c r="E4326" s="2">
        <v>53700</v>
      </c>
      <c r="F4326" s="2">
        <v>97000</v>
      </c>
      <c r="G4326" t="s">
        <v>19</v>
      </c>
      <c r="H4326" t="s">
        <v>17</v>
      </c>
      <c r="I4326" t="s">
        <v>18</v>
      </c>
      <c r="J4326" s="3">
        <v>45390</v>
      </c>
      <c r="K4326" s="4">
        <f>ClientiBanca[[#This Row],[Prestito]]+ClientiBanca[[#This Row],[Mutuo]]</f>
        <v>150700</v>
      </c>
      <c r="L4326" t="str">
        <f>IF(ClientiBanca[[#This Row],[Reddito annuo]]&gt;=70000,"si","no")</f>
        <v>si</v>
      </c>
    </row>
    <row r="4327" spans="1:12">
      <c r="A4327">
        <v>104326</v>
      </c>
      <c r="B4327">
        <v>64</v>
      </c>
      <c r="C4327" s="2">
        <v>95800</v>
      </c>
      <c r="D4327" t="s">
        <v>21</v>
      </c>
      <c r="E4327" s="2">
        <v>0</v>
      </c>
      <c r="F4327" s="2">
        <v>0</v>
      </c>
      <c r="G4327" t="s">
        <v>23</v>
      </c>
      <c r="H4327" t="s">
        <v>17</v>
      </c>
      <c r="I4327" t="s">
        <v>18</v>
      </c>
      <c r="J4327" s="3">
        <v>45589</v>
      </c>
      <c r="K4327" s="4">
        <f>ClientiBanca[[#This Row],[Prestito]]+ClientiBanca[[#This Row],[Mutuo]]</f>
        <v>0</v>
      </c>
      <c r="L4327" t="str">
        <f>IF(ClientiBanca[[#This Row],[Reddito annuo]]&gt;=70000,"si","no")</f>
        <v>si</v>
      </c>
    </row>
    <row r="4328" spans="1:12">
      <c r="A4328">
        <v>104327</v>
      </c>
      <c r="B4328">
        <v>61</v>
      </c>
      <c r="C4328" s="2">
        <v>54700</v>
      </c>
      <c r="D4328" t="s">
        <v>22</v>
      </c>
      <c r="E4328" s="2">
        <v>14200</v>
      </c>
      <c r="F4328" s="2">
        <v>0</v>
      </c>
      <c r="G4328" t="s">
        <v>28</v>
      </c>
      <c r="H4328" t="s">
        <v>17</v>
      </c>
      <c r="I4328" t="s">
        <v>18</v>
      </c>
      <c r="J4328" s="3">
        <v>45338</v>
      </c>
      <c r="K4328" s="4">
        <f>ClientiBanca[[#This Row],[Prestito]]+ClientiBanca[[#This Row],[Mutuo]]</f>
        <v>14200</v>
      </c>
      <c r="L4328" t="str">
        <f>IF(ClientiBanca[[#This Row],[Reddito annuo]]&gt;=70000,"si","no")</f>
        <v>no</v>
      </c>
    </row>
    <row r="4329" spans="1:12">
      <c r="A4329">
        <v>104328</v>
      </c>
      <c r="B4329">
        <v>60</v>
      </c>
      <c r="C4329" s="2">
        <v>58700</v>
      </c>
      <c r="D4329" t="s">
        <v>21</v>
      </c>
      <c r="E4329" s="2">
        <v>0</v>
      </c>
      <c r="F4329" s="2">
        <v>0</v>
      </c>
      <c r="G4329" t="s">
        <v>28</v>
      </c>
      <c r="H4329" t="s">
        <v>14</v>
      </c>
      <c r="I4329" t="s">
        <v>18</v>
      </c>
      <c r="J4329" s="3">
        <v>45346</v>
      </c>
      <c r="K4329" s="4">
        <f>ClientiBanca[[#This Row],[Prestito]]+ClientiBanca[[#This Row],[Mutuo]]</f>
        <v>0</v>
      </c>
      <c r="L4329" t="str">
        <f>IF(ClientiBanca[[#This Row],[Reddito annuo]]&gt;=70000,"si","no")</f>
        <v>no</v>
      </c>
    </row>
    <row r="4330" spans="1:12">
      <c r="A4330">
        <v>104329</v>
      </c>
      <c r="B4330">
        <v>27</v>
      </c>
      <c r="C4330" s="2">
        <v>64000</v>
      </c>
      <c r="D4330" t="s">
        <v>12</v>
      </c>
      <c r="E4330" s="2">
        <v>6400</v>
      </c>
      <c r="F4330" s="2">
        <v>249000</v>
      </c>
      <c r="G4330" t="s">
        <v>26</v>
      </c>
      <c r="H4330" t="s">
        <v>17</v>
      </c>
      <c r="I4330" t="s">
        <v>18</v>
      </c>
      <c r="J4330" s="3">
        <v>46149</v>
      </c>
      <c r="K4330" s="4">
        <f>ClientiBanca[[#This Row],[Prestito]]+ClientiBanca[[#This Row],[Mutuo]]</f>
        <v>255400</v>
      </c>
      <c r="L4330" t="str">
        <f>IF(ClientiBanca[[#This Row],[Reddito annuo]]&gt;=70000,"si","no")</f>
        <v>no</v>
      </c>
    </row>
    <row r="4331" spans="1:12">
      <c r="A4331">
        <v>104330</v>
      </c>
      <c r="B4331">
        <v>51</v>
      </c>
      <c r="C4331" s="2">
        <v>43500</v>
      </c>
      <c r="D4331" t="s">
        <v>21</v>
      </c>
      <c r="E4331" s="2">
        <v>54400</v>
      </c>
      <c r="F4331" s="2">
        <v>0</v>
      </c>
      <c r="G4331" t="s">
        <v>28</v>
      </c>
      <c r="H4331" t="s">
        <v>17</v>
      </c>
      <c r="I4331" t="s">
        <v>18</v>
      </c>
      <c r="J4331" s="3">
        <v>45781</v>
      </c>
      <c r="K4331" s="4">
        <f>ClientiBanca[[#This Row],[Prestito]]+ClientiBanca[[#This Row],[Mutuo]]</f>
        <v>54400</v>
      </c>
      <c r="L4331" t="str">
        <f>IF(ClientiBanca[[#This Row],[Reddito annuo]]&gt;=70000,"si","no")</f>
        <v>no</v>
      </c>
    </row>
    <row r="4332" spans="1:12">
      <c r="A4332">
        <v>104331</v>
      </c>
      <c r="B4332">
        <v>22</v>
      </c>
      <c r="C4332" s="2">
        <v>33900</v>
      </c>
      <c r="D4332" t="s">
        <v>21</v>
      </c>
      <c r="E4332" s="2">
        <v>0</v>
      </c>
      <c r="F4332" s="2">
        <v>0</v>
      </c>
      <c r="G4332" t="s">
        <v>19</v>
      </c>
      <c r="H4332" t="s">
        <v>14</v>
      </c>
      <c r="I4332" t="s">
        <v>18</v>
      </c>
      <c r="J4332" s="3">
        <v>45370</v>
      </c>
      <c r="K4332" s="4">
        <f>ClientiBanca[[#This Row],[Prestito]]+ClientiBanca[[#This Row],[Mutuo]]</f>
        <v>0</v>
      </c>
      <c r="L4332" t="str">
        <f>IF(ClientiBanca[[#This Row],[Reddito annuo]]&gt;=70000,"si","no")</f>
        <v>no</v>
      </c>
    </row>
    <row r="4333" spans="1:12">
      <c r="A4333">
        <v>104332</v>
      </c>
      <c r="B4333">
        <v>62</v>
      </c>
      <c r="C4333" s="2">
        <v>86600</v>
      </c>
      <c r="D4333" t="s">
        <v>12</v>
      </c>
      <c r="E4333" s="2">
        <v>0</v>
      </c>
      <c r="F4333" s="2">
        <v>0</v>
      </c>
      <c r="G4333" t="s">
        <v>26</v>
      </c>
      <c r="H4333" t="s">
        <v>25</v>
      </c>
      <c r="I4333" t="s">
        <v>18</v>
      </c>
      <c r="J4333" s="3">
        <v>46106</v>
      </c>
      <c r="K4333" s="4">
        <f>ClientiBanca[[#This Row],[Prestito]]+ClientiBanca[[#This Row],[Mutuo]]</f>
        <v>0</v>
      </c>
      <c r="L4333" t="str">
        <f>IF(ClientiBanca[[#This Row],[Reddito annuo]]&gt;=70000,"si","no")</f>
        <v>si</v>
      </c>
    </row>
    <row r="4334" spans="1:12">
      <c r="A4334">
        <v>104333</v>
      </c>
      <c r="B4334">
        <v>56</v>
      </c>
      <c r="C4334" s="2">
        <v>42000</v>
      </c>
      <c r="D4334" t="s">
        <v>21</v>
      </c>
      <c r="E4334" s="2">
        <v>0</v>
      </c>
      <c r="F4334" s="2">
        <v>174000</v>
      </c>
      <c r="G4334" t="s">
        <v>16</v>
      </c>
      <c r="H4334" t="s">
        <v>14</v>
      </c>
      <c r="I4334" t="s">
        <v>18</v>
      </c>
      <c r="J4334" s="3">
        <v>46005</v>
      </c>
      <c r="K4334" s="4">
        <f>ClientiBanca[[#This Row],[Prestito]]+ClientiBanca[[#This Row],[Mutuo]]</f>
        <v>174000</v>
      </c>
      <c r="L4334" t="str">
        <f>IF(ClientiBanca[[#This Row],[Reddito annuo]]&gt;=70000,"si","no")</f>
        <v>no</v>
      </c>
    </row>
    <row r="4335" spans="1:12">
      <c r="A4335">
        <v>104334</v>
      </c>
      <c r="B4335">
        <v>48</v>
      </c>
      <c r="C4335" s="2">
        <v>45100</v>
      </c>
      <c r="D4335" t="s">
        <v>21</v>
      </c>
      <c r="E4335" s="2">
        <v>17400</v>
      </c>
      <c r="F4335" s="2">
        <v>262000</v>
      </c>
      <c r="G4335" t="s">
        <v>19</v>
      </c>
      <c r="H4335" t="s">
        <v>20</v>
      </c>
      <c r="I4335" t="s">
        <v>18</v>
      </c>
      <c r="J4335" s="3">
        <v>46235</v>
      </c>
      <c r="K4335" s="4">
        <f>ClientiBanca[[#This Row],[Prestito]]+ClientiBanca[[#This Row],[Mutuo]]</f>
        <v>279400</v>
      </c>
      <c r="L4335" t="str">
        <f>IF(ClientiBanca[[#This Row],[Reddito annuo]]&gt;=70000,"si","no")</f>
        <v>no</v>
      </c>
    </row>
    <row r="4336" spans="1:12">
      <c r="A4336">
        <v>104335</v>
      </c>
      <c r="B4336">
        <v>56</v>
      </c>
      <c r="C4336" s="2">
        <v>38300</v>
      </c>
      <c r="D4336" t="s">
        <v>21</v>
      </c>
      <c r="E4336" s="2">
        <v>47900</v>
      </c>
      <c r="F4336" s="2">
        <v>0</v>
      </c>
      <c r="G4336" t="s">
        <v>27</v>
      </c>
      <c r="H4336" t="s">
        <v>17</v>
      </c>
      <c r="I4336" t="s">
        <v>18</v>
      </c>
      <c r="J4336" s="3">
        <v>46191</v>
      </c>
      <c r="K4336" s="4">
        <f>ClientiBanca[[#This Row],[Prestito]]+ClientiBanca[[#This Row],[Mutuo]]</f>
        <v>47900</v>
      </c>
      <c r="L4336" t="str">
        <f>IF(ClientiBanca[[#This Row],[Reddito annuo]]&gt;=70000,"si","no")</f>
        <v>no</v>
      </c>
    </row>
    <row r="4337" spans="1:12">
      <c r="A4337">
        <v>104336</v>
      </c>
      <c r="B4337">
        <v>58</v>
      </c>
      <c r="C4337" s="2">
        <v>67700</v>
      </c>
      <c r="D4337" t="s">
        <v>22</v>
      </c>
      <c r="E4337" s="2">
        <v>29700</v>
      </c>
      <c r="F4337" s="2">
        <v>0</v>
      </c>
      <c r="G4337" t="s">
        <v>13</v>
      </c>
      <c r="H4337" t="s">
        <v>17</v>
      </c>
      <c r="I4337" t="s">
        <v>18</v>
      </c>
      <c r="J4337" s="3">
        <v>45328</v>
      </c>
      <c r="K4337" s="4">
        <f>ClientiBanca[[#This Row],[Prestito]]+ClientiBanca[[#This Row],[Mutuo]]</f>
        <v>29700</v>
      </c>
      <c r="L4337" t="str">
        <f>IF(ClientiBanca[[#This Row],[Reddito annuo]]&gt;=70000,"si","no")</f>
        <v>no</v>
      </c>
    </row>
    <row r="4338" spans="1:12">
      <c r="A4338">
        <v>104337</v>
      </c>
      <c r="B4338">
        <v>71</v>
      </c>
      <c r="C4338" s="2">
        <v>74700</v>
      </c>
      <c r="D4338" t="s">
        <v>12</v>
      </c>
      <c r="E4338" s="2">
        <v>0</v>
      </c>
      <c r="F4338" s="2">
        <v>0</v>
      </c>
      <c r="G4338" t="s">
        <v>16</v>
      </c>
      <c r="H4338" t="s">
        <v>20</v>
      </c>
      <c r="I4338" t="s">
        <v>18</v>
      </c>
      <c r="J4338" s="3">
        <v>45791</v>
      </c>
      <c r="K4338" s="4">
        <f>ClientiBanca[[#This Row],[Prestito]]+ClientiBanca[[#This Row],[Mutuo]]</f>
        <v>0</v>
      </c>
      <c r="L4338" t="str">
        <f>IF(ClientiBanca[[#This Row],[Reddito annuo]]&gt;=70000,"si","no")</f>
        <v>si</v>
      </c>
    </row>
    <row r="4339" spans="1:12">
      <c r="A4339">
        <v>104338</v>
      </c>
      <c r="B4339">
        <v>52</v>
      </c>
      <c r="C4339" s="2">
        <v>70900</v>
      </c>
      <c r="D4339" t="s">
        <v>22</v>
      </c>
      <c r="E4339" s="2">
        <v>77900</v>
      </c>
      <c r="F4339" s="2">
        <v>0</v>
      </c>
      <c r="G4339" t="s">
        <v>27</v>
      </c>
      <c r="H4339" t="s">
        <v>17</v>
      </c>
      <c r="I4339" t="s">
        <v>18</v>
      </c>
      <c r="J4339" s="3">
        <v>45383</v>
      </c>
      <c r="K4339" s="4">
        <f>ClientiBanca[[#This Row],[Prestito]]+ClientiBanca[[#This Row],[Mutuo]]</f>
        <v>77900</v>
      </c>
      <c r="L4339" t="str">
        <f>IF(ClientiBanca[[#This Row],[Reddito annuo]]&gt;=70000,"si","no")</f>
        <v>si</v>
      </c>
    </row>
    <row r="4340" spans="1:12">
      <c r="A4340">
        <v>104339</v>
      </c>
      <c r="B4340">
        <v>68</v>
      </c>
      <c r="C4340" s="2">
        <v>36200</v>
      </c>
      <c r="D4340" t="s">
        <v>22</v>
      </c>
      <c r="E4340" s="2">
        <v>0</v>
      </c>
      <c r="F4340" s="2">
        <v>0</v>
      </c>
      <c r="G4340" t="s">
        <v>19</v>
      </c>
      <c r="H4340" t="s">
        <v>14</v>
      </c>
      <c r="I4340" t="s">
        <v>18</v>
      </c>
      <c r="J4340" s="3">
        <v>46191</v>
      </c>
      <c r="K4340" s="4">
        <f>ClientiBanca[[#This Row],[Prestito]]+ClientiBanca[[#This Row],[Mutuo]]</f>
        <v>0</v>
      </c>
      <c r="L4340" t="str">
        <f>IF(ClientiBanca[[#This Row],[Reddito annuo]]&gt;=70000,"si","no")</f>
        <v>no</v>
      </c>
    </row>
    <row r="4341" spans="1:12">
      <c r="A4341">
        <v>104340</v>
      </c>
      <c r="B4341">
        <v>55</v>
      </c>
      <c r="C4341" s="2">
        <v>38000</v>
      </c>
      <c r="D4341" t="s">
        <v>22</v>
      </c>
      <c r="E4341" s="2">
        <v>20700</v>
      </c>
      <c r="F4341" s="2">
        <v>174000</v>
      </c>
      <c r="G4341" t="s">
        <v>28</v>
      </c>
      <c r="H4341" t="s">
        <v>17</v>
      </c>
      <c r="I4341" t="s">
        <v>18</v>
      </c>
      <c r="J4341" s="3">
        <v>46136</v>
      </c>
      <c r="K4341" s="4">
        <f>ClientiBanca[[#This Row],[Prestito]]+ClientiBanca[[#This Row],[Mutuo]]</f>
        <v>194700</v>
      </c>
      <c r="L4341" t="str">
        <f>IF(ClientiBanca[[#This Row],[Reddito annuo]]&gt;=70000,"si","no")</f>
        <v>no</v>
      </c>
    </row>
    <row r="4342" spans="1:12">
      <c r="A4342">
        <v>104341</v>
      </c>
      <c r="B4342">
        <v>64</v>
      </c>
      <c r="C4342" s="2">
        <v>76400</v>
      </c>
      <c r="D4342" t="s">
        <v>21</v>
      </c>
      <c r="E4342" s="2">
        <v>0</v>
      </c>
      <c r="F4342" s="2">
        <v>0</v>
      </c>
      <c r="G4342" t="s">
        <v>16</v>
      </c>
      <c r="H4342" t="s">
        <v>20</v>
      </c>
      <c r="I4342" t="s">
        <v>18</v>
      </c>
      <c r="J4342" s="3">
        <v>45471</v>
      </c>
      <c r="K4342" s="4">
        <f>ClientiBanca[[#This Row],[Prestito]]+ClientiBanca[[#This Row],[Mutuo]]</f>
        <v>0</v>
      </c>
      <c r="L4342" t="str">
        <f>IF(ClientiBanca[[#This Row],[Reddito annuo]]&gt;=70000,"si","no")</f>
        <v>si</v>
      </c>
    </row>
    <row r="4343" spans="1:12">
      <c r="A4343">
        <v>104342</v>
      </c>
      <c r="B4343">
        <v>64</v>
      </c>
      <c r="C4343" s="2">
        <v>57100</v>
      </c>
      <c r="D4343" t="s">
        <v>21</v>
      </c>
      <c r="E4343" s="2">
        <v>0</v>
      </c>
      <c r="F4343" s="2">
        <v>165000</v>
      </c>
      <c r="G4343" t="s">
        <v>24</v>
      </c>
      <c r="H4343" t="s">
        <v>17</v>
      </c>
      <c r="I4343" t="s">
        <v>18</v>
      </c>
      <c r="J4343" s="3">
        <v>46017</v>
      </c>
      <c r="K4343" s="4">
        <f>ClientiBanca[[#This Row],[Prestito]]+ClientiBanca[[#This Row],[Mutuo]]</f>
        <v>165000</v>
      </c>
      <c r="L4343" t="str">
        <f>IF(ClientiBanca[[#This Row],[Reddito annuo]]&gt;=70000,"si","no")</f>
        <v>no</v>
      </c>
    </row>
    <row r="4344" spans="1:12">
      <c r="A4344">
        <v>104343</v>
      </c>
      <c r="B4344">
        <v>51</v>
      </c>
      <c r="C4344" s="2">
        <v>40500</v>
      </c>
      <c r="D4344" t="s">
        <v>21</v>
      </c>
      <c r="E4344" s="2">
        <v>20300</v>
      </c>
      <c r="F4344" s="2">
        <v>0</v>
      </c>
      <c r="G4344" t="s">
        <v>26</v>
      </c>
      <c r="H4344" t="s">
        <v>17</v>
      </c>
      <c r="I4344" t="s">
        <v>18</v>
      </c>
      <c r="J4344" s="3">
        <v>45984</v>
      </c>
      <c r="K4344" s="4">
        <f>ClientiBanca[[#This Row],[Prestito]]+ClientiBanca[[#This Row],[Mutuo]]</f>
        <v>20300</v>
      </c>
      <c r="L4344" t="str">
        <f>IF(ClientiBanca[[#This Row],[Reddito annuo]]&gt;=70000,"si","no")</f>
        <v>no</v>
      </c>
    </row>
    <row r="4345" spans="1:12">
      <c r="A4345">
        <v>104344</v>
      </c>
      <c r="B4345">
        <v>39</v>
      </c>
      <c r="C4345" s="2">
        <v>77700</v>
      </c>
      <c r="D4345" t="s">
        <v>21</v>
      </c>
      <c r="E4345" s="2">
        <v>9000</v>
      </c>
      <c r="F4345" s="2">
        <v>0</v>
      </c>
      <c r="G4345" t="s">
        <v>28</v>
      </c>
      <c r="H4345" t="s">
        <v>20</v>
      </c>
      <c r="I4345" t="s">
        <v>18</v>
      </c>
      <c r="J4345" s="3">
        <v>45812</v>
      </c>
      <c r="K4345" s="4">
        <f>ClientiBanca[[#This Row],[Prestito]]+ClientiBanca[[#This Row],[Mutuo]]</f>
        <v>9000</v>
      </c>
      <c r="L4345" t="str">
        <f>IF(ClientiBanca[[#This Row],[Reddito annuo]]&gt;=70000,"si","no")</f>
        <v>si</v>
      </c>
    </row>
    <row r="4346" spans="1:12">
      <c r="A4346">
        <v>104345</v>
      </c>
      <c r="B4346">
        <v>49</v>
      </c>
      <c r="C4346" s="2">
        <v>31300</v>
      </c>
      <c r="D4346" t="s">
        <v>12</v>
      </c>
      <c r="E4346" s="2">
        <v>25500</v>
      </c>
      <c r="F4346" s="2">
        <v>0</v>
      </c>
      <c r="G4346" t="s">
        <v>19</v>
      </c>
      <c r="H4346" t="s">
        <v>25</v>
      </c>
      <c r="I4346" t="s">
        <v>15</v>
      </c>
      <c r="J4346" s="3">
        <v>46159</v>
      </c>
      <c r="K4346" s="4">
        <f>ClientiBanca[[#This Row],[Prestito]]+ClientiBanca[[#This Row],[Mutuo]]</f>
        <v>25500</v>
      </c>
      <c r="L4346" t="str">
        <f>IF(ClientiBanca[[#This Row],[Reddito annuo]]&gt;=70000,"si","no")</f>
        <v>no</v>
      </c>
    </row>
    <row r="4347" spans="1:12">
      <c r="A4347">
        <v>104346</v>
      </c>
      <c r="B4347">
        <v>70</v>
      </c>
      <c r="C4347" s="2">
        <v>48700</v>
      </c>
      <c r="D4347" t="s">
        <v>22</v>
      </c>
      <c r="E4347" s="2">
        <v>0</v>
      </c>
      <c r="F4347" s="2">
        <v>0</v>
      </c>
      <c r="G4347" t="s">
        <v>27</v>
      </c>
      <c r="H4347" t="s">
        <v>14</v>
      </c>
      <c r="I4347" t="s">
        <v>18</v>
      </c>
      <c r="J4347" s="3">
        <v>45880</v>
      </c>
      <c r="K4347" s="4">
        <f>ClientiBanca[[#This Row],[Prestito]]+ClientiBanca[[#This Row],[Mutuo]]</f>
        <v>0</v>
      </c>
      <c r="L4347" t="str">
        <f>IF(ClientiBanca[[#This Row],[Reddito annuo]]&gt;=70000,"si","no")</f>
        <v>no</v>
      </c>
    </row>
    <row r="4348" spans="1:12">
      <c r="A4348">
        <v>104347</v>
      </c>
      <c r="B4348">
        <v>43</v>
      </c>
      <c r="C4348" s="2">
        <v>50500</v>
      </c>
      <c r="D4348" t="s">
        <v>22</v>
      </c>
      <c r="E4348" s="2">
        <v>33200</v>
      </c>
      <c r="F4348" s="2">
        <v>0</v>
      </c>
      <c r="G4348" t="s">
        <v>23</v>
      </c>
      <c r="H4348" t="s">
        <v>17</v>
      </c>
      <c r="I4348" t="s">
        <v>18</v>
      </c>
      <c r="J4348" s="3">
        <v>45478</v>
      </c>
      <c r="K4348" s="4">
        <f>ClientiBanca[[#This Row],[Prestito]]+ClientiBanca[[#This Row],[Mutuo]]</f>
        <v>33200</v>
      </c>
      <c r="L4348" t="str">
        <f>IF(ClientiBanca[[#This Row],[Reddito annuo]]&gt;=70000,"si","no")</f>
        <v>no</v>
      </c>
    </row>
    <row r="4349" spans="1:12">
      <c r="A4349">
        <v>104348</v>
      </c>
      <c r="B4349">
        <v>51</v>
      </c>
      <c r="C4349" s="2">
        <v>41800</v>
      </c>
      <c r="D4349" t="s">
        <v>12</v>
      </c>
      <c r="E4349" s="2">
        <v>19800</v>
      </c>
      <c r="F4349" s="2">
        <v>0</v>
      </c>
      <c r="G4349" t="s">
        <v>13</v>
      </c>
      <c r="H4349" t="s">
        <v>17</v>
      </c>
      <c r="I4349" t="s">
        <v>18</v>
      </c>
      <c r="J4349" s="3">
        <v>46218</v>
      </c>
      <c r="K4349" s="4">
        <f>ClientiBanca[[#This Row],[Prestito]]+ClientiBanca[[#This Row],[Mutuo]]</f>
        <v>19800</v>
      </c>
      <c r="L4349" t="str">
        <f>IF(ClientiBanca[[#This Row],[Reddito annuo]]&gt;=70000,"si","no")</f>
        <v>no</v>
      </c>
    </row>
    <row r="4350" spans="1:12">
      <c r="A4350">
        <v>104349</v>
      </c>
      <c r="B4350">
        <v>24</v>
      </c>
      <c r="C4350" s="2">
        <v>36500</v>
      </c>
      <c r="D4350" t="s">
        <v>21</v>
      </c>
      <c r="E4350" s="2">
        <v>14100</v>
      </c>
      <c r="F4350" s="2">
        <v>0</v>
      </c>
      <c r="G4350" t="s">
        <v>13</v>
      </c>
      <c r="H4350" t="s">
        <v>17</v>
      </c>
      <c r="I4350" t="s">
        <v>18</v>
      </c>
      <c r="J4350" s="3">
        <v>45401</v>
      </c>
      <c r="K4350" s="4">
        <f>ClientiBanca[[#This Row],[Prestito]]+ClientiBanca[[#This Row],[Mutuo]]</f>
        <v>14100</v>
      </c>
      <c r="L4350" t="str">
        <f>IF(ClientiBanca[[#This Row],[Reddito annuo]]&gt;=70000,"si","no")</f>
        <v>no</v>
      </c>
    </row>
    <row r="4351" spans="1:12">
      <c r="A4351">
        <v>104350</v>
      </c>
      <c r="B4351">
        <v>21</v>
      </c>
      <c r="C4351" s="2">
        <v>58100</v>
      </c>
      <c r="D4351" t="s">
        <v>21</v>
      </c>
      <c r="E4351" s="2">
        <v>0</v>
      </c>
      <c r="F4351" s="2">
        <v>0</v>
      </c>
      <c r="G4351" t="s">
        <v>24</v>
      </c>
      <c r="H4351" t="s">
        <v>14</v>
      </c>
      <c r="I4351" t="s">
        <v>18</v>
      </c>
      <c r="J4351" s="3">
        <v>45706</v>
      </c>
      <c r="K4351" s="4">
        <f>ClientiBanca[[#This Row],[Prestito]]+ClientiBanca[[#This Row],[Mutuo]]</f>
        <v>0</v>
      </c>
      <c r="L4351" t="str">
        <f>IF(ClientiBanca[[#This Row],[Reddito annuo]]&gt;=70000,"si","no")</f>
        <v>no</v>
      </c>
    </row>
    <row r="4352" spans="1:12">
      <c r="A4352">
        <v>104351</v>
      </c>
      <c r="B4352">
        <v>56</v>
      </c>
      <c r="C4352" s="2">
        <v>45700</v>
      </c>
      <c r="D4352" t="s">
        <v>12</v>
      </c>
      <c r="E4352" s="2">
        <v>0</v>
      </c>
      <c r="F4352" s="2">
        <v>0</v>
      </c>
      <c r="G4352" t="s">
        <v>13</v>
      </c>
      <c r="H4352" t="s">
        <v>20</v>
      </c>
      <c r="I4352" t="s">
        <v>18</v>
      </c>
      <c r="J4352" s="3">
        <v>45434</v>
      </c>
      <c r="K4352" s="4">
        <f>ClientiBanca[[#This Row],[Prestito]]+ClientiBanca[[#This Row],[Mutuo]]</f>
        <v>0</v>
      </c>
      <c r="L4352" t="str">
        <f>IF(ClientiBanca[[#This Row],[Reddito annuo]]&gt;=70000,"si","no")</f>
        <v>no</v>
      </c>
    </row>
    <row r="4353" spans="1:12">
      <c r="A4353">
        <v>104352</v>
      </c>
      <c r="B4353">
        <v>72</v>
      </c>
      <c r="C4353" s="2">
        <v>78300</v>
      </c>
      <c r="D4353" t="s">
        <v>21</v>
      </c>
      <c r="E4353" s="2">
        <v>0</v>
      </c>
      <c r="F4353" s="2">
        <v>0</v>
      </c>
      <c r="G4353" t="s">
        <v>28</v>
      </c>
      <c r="H4353" t="s">
        <v>17</v>
      </c>
      <c r="I4353" t="s">
        <v>18</v>
      </c>
      <c r="J4353" s="3">
        <v>45828</v>
      </c>
      <c r="K4353" s="4">
        <f>ClientiBanca[[#This Row],[Prestito]]+ClientiBanca[[#This Row],[Mutuo]]</f>
        <v>0</v>
      </c>
      <c r="L4353" t="str">
        <f>IF(ClientiBanca[[#This Row],[Reddito annuo]]&gt;=70000,"si","no")</f>
        <v>si</v>
      </c>
    </row>
    <row r="4354" spans="1:12">
      <c r="A4354">
        <v>104353</v>
      </c>
      <c r="B4354">
        <v>68</v>
      </c>
      <c r="C4354" s="2">
        <v>48200</v>
      </c>
      <c r="D4354" t="s">
        <v>12</v>
      </c>
      <c r="E4354" s="2">
        <v>0</v>
      </c>
      <c r="F4354" s="2">
        <v>276000</v>
      </c>
      <c r="G4354" t="s">
        <v>26</v>
      </c>
      <c r="H4354" t="s">
        <v>20</v>
      </c>
      <c r="I4354" t="s">
        <v>18</v>
      </c>
      <c r="J4354" s="3">
        <v>46142</v>
      </c>
      <c r="K4354" s="4">
        <f>ClientiBanca[[#This Row],[Prestito]]+ClientiBanca[[#This Row],[Mutuo]]</f>
        <v>276000</v>
      </c>
      <c r="L4354" t="str">
        <f>IF(ClientiBanca[[#This Row],[Reddito annuo]]&gt;=70000,"si","no")</f>
        <v>no</v>
      </c>
    </row>
    <row r="4355" spans="1:12">
      <c r="A4355">
        <v>104354</v>
      </c>
      <c r="B4355">
        <v>73</v>
      </c>
      <c r="C4355" s="2">
        <v>34800</v>
      </c>
      <c r="D4355" t="s">
        <v>21</v>
      </c>
      <c r="E4355" s="2">
        <v>0</v>
      </c>
      <c r="F4355" s="2">
        <v>0</v>
      </c>
      <c r="G4355" t="s">
        <v>28</v>
      </c>
      <c r="H4355" t="s">
        <v>25</v>
      </c>
      <c r="I4355" t="s">
        <v>18</v>
      </c>
      <c r="J4355" s="3">
        <v>45502</v>
      </c>
      <c r="K4355" s="4">
        <f>ClientiBanca[[#This Row],[Prestito]]+ClientiBanca[[#This Row],[Mutuo]]</f>
        <v>0</v>
      </c>
      <c r="L4355" t="str">
        <f>IF(ClientiBanca[[#This Row],[Reddito annuo]]&gt;=70000,"si","no")</f>
        <v>no</v>
      </c>
    </row>
    <row r="4356" spans="1:12">
      <c r="A4356">
        <v>104355</v>
      </c>
      <c r="B4356">
        <v>50</v>
      </c>
      <c r="C4356" s="2">
        <v>68600</v>
      </c>
      <c r="D4356" t="s">
        <v>21</v>
      </c>
      <c r="E4356" s="2">
        <v>0</v>
      </c>
      <c r="F4356" s="2">
        <v>291000</v>
      </c>
      <c r="G4356" t="s">
        <v>24</v>
      </c>
      <c r="H4356" t="s">
        <v>20</v>
      </c>
      <c r="I4356" t="s">
        <v>18</v>
      </c>
      <c r="J4356" s="3">
        <v>45957</v>
      </c>
      <c r="K4356" s="4">
        <f>ClientiBanca[[#This Row],[Prestito]]+ClientiBanca[[#This Row],[Mutuo]]</f>
        <v>291000</v>
      </c>
      <c r="L4356" t="str">
        <f>IF(ClientiBanca[[#This Row],[Reddito annuo]]&gt;=70000,"si","no")</f>
        <v>no</v>
      </c>
    </row>
    <row r="4357" spans="1:12">
      <c r="A4357">
        <v>104356</v>
      </c>
      <c r="B4357">
        <v>23</v>
      </c>
      <c r="C4357" s="2">
        <v>60900</v>
      </c>
      <c r="D4357" t="s">
        <v>12</v>
      </c>
      <c r="E4357" s="2">
        <v>0</v>
      </c>
      <c r="F4357" s="2">
        <v>112000</v>
      </c>
      <c r="G4357" t="s">
        <v>13</v>
      </c>
      <c r="H4357" t="s">
        <v>17</v>
      </c>
      <c r="I4357" t="s">
        <v>18</v>
      </c>
      <c r="J4357" s="3">
        <v>45368</v>
      </c>
      <c r="K4357" s="4">
        <f>ClientiBanca[[#This Row],[Prestito]]+ClientiBanca[[#This Row],[Mutuo]]</f>
        <v>112000</v>
      </c>
      <c r="L4357" t="str">
        <f>IF(ClientiBanca[[#This Row],[Reddito annuo]]&gt;=70000,"si","no")</f>
        <v>no</v>
      </c>
    </row>
    <row r="4358" spans="1:12">
      <c r="A4358">
        <v>104357</v>
      </c>
      <c r="B4358">
        <v>48</v>
      </c>
      <c r="C4358" s="2">
        <v>90600</v>
      </c>
      <c r="D4358" t="s">
        <v>21</v>
      </c>
      <c r="E4358" s="2">
        <v>36300</v>
      </c>
      <c r="F4358" s="2">
        <v>0</v>
      </c>
      <c r="G4358" t="s">
        <v>23</v>
      </c>
      <c r="H4358" t="s">
        <v>17</v>
      </c>
      <c r="I4358" t="s">
        <v>18</v>
      </c>
      <c r="J4358" s="3">
        <v>45945</v>
      </c>
      <c r="K4358" s="4">
        <f>ClientiBanca[[#This Row],[Prestito]]+ClientiBanca[[#This Row],[Mutuo]]</f>
        <v>36300</v>
      </c>
      <c r="L4358" t="str">
        <f>IF(ClientiBanca[[#This Row],[Reddito annuo]]&gt;=70000,"si","no")</f>
        <v>si</v>
      </c>
    </row>
    <row r="4359" spans="1:12">
      <c r="A4359">
        <v>104358</v>
      </c>
      <c r="B4359">
        <v>37</v>
      </c>
      <c r="C4359" s="2">
        <v>117700</v>
      </c>
      <c r="D4359" t="s">
        <v>21</v>
      </c>
      <c r="E4359" s="2">
        <v>0</v>
      </c>
      <c r="F4359" s="2">
        <v>130000</v>
      </c>
      <c r="G4359" t="s">
        <v>23</v>
      </c>
      <c r="H4359" t="s">
        <v>17</v>
      </c>
      <c r="I4359" t="s">
        <v>18</v>
      </c>
      <c r="J4359" s="3">
        <v>45748</v>
      </c>
      <c r="K4359" s="4">
        <f>ClientiBanca[[#This Row],[Prestito]]+ClientiBanca[[#This Row],[Mutuo]]</f>
        <v>130000</v>
      </c>
      <c r="L4359" t="str">
        <f>IF(ClientiBanca[[#This Row],[Reddito annuo]]&gt;=70000,"si","no")</f>
        <v>si</v>
      </c>
    </row>
    <row r="4360" spans="1:12">
      <c r="A4360">
        <v>104359</v>
      </c>
      <c r="B4360">
        <v>23</v>
      </c>
      <c r="C4360" s="2">
        <v>73100</v>
      </c>
      <c r="D4360" t="s">
        <v>12</v>
      </c>
      <c r="E4360" s="2">
        <v>23700</v>
      </c>
      <c r="F4360" s="2">
        <v>0</v>
      </c>
      <c r="G4360" t="s">
        <v>26</v>
      </c>
      <c r="H4360" t="s">
        <v>20</v>
      </c>
      <c r="I4360" t="s">
        <v>18</v>
      </c>
      <c r="J4360" s="3">
        <v>46195</v>
      </c>
      <c r="K4360" s="4">
        <f>ClientiBanca[[#This Row],[Prestito]]+ClientiBanca[[#This Row],[Mutuo]]</f>
        <v>23700</v>
      </c>
      <c r="L4360" t="str">
        <f>IF(ClientiBanca[[#This Row],[Reddito annuo]]&gt;=70000,"si","no")</f>
        <v>si</v>
      </c>
    </row>
    <row r="4361" spans="1:12">
      <c r="A4361">
        <v>104360</v>
      </c>
      <c r="B4361">
        <v>20</v>
      </c>
      <c r="C4361" s="2">
        <v>24500</v>
      </c>
      <c r="D4361" t="s">
        <v>22</v>
      </c>
      <c r="E4361" s="2">
        <v>0</v>
      </c>
      <c r="F4361" s="2">
        <v>0</v>
      </c>
      <c r="G4361" t="s">
        <v>24</v>
      </c>
      <c r="H4361" t="s">
        <v>14</v>
      </c>
      <c r="I4361" t="s">
        <v>18</v>
      </c>
      <c r="J4361" s="3">
        <v>46231</v>
      </c>
      <c r="K4361" s="4">
        <f>ClientiBanca[[#This Row],[Prestito]]+ClientiBanca[[#This Row],[Mutuo]]</f>
        <v>0</v>
      </c>
      <c r="L4361" t="str">
        <f>IF(ClientiBanca[[#This Row],[Reddito annuo]]&gt;=70000,"si","no")</f>
        <v>no</v>
      </c>
    </row>
    <row r="4362" spans="1:12">
      <c r="A4362">
        <v>104361</v>
      </c>
      <c r="B4362">
        <v>36</v>
      </c>
      <c r="C4362" s="2">
        <v>63500</v>
      </c>
      <c r="D4362" t="s">
        <v>21</v>
      </c>
      <c r="E4362" s="2">
        <v>34300</v>
      </c>
      <c r="F4362" s="2">
        <v>0</v>
      </c>
      <c r="G4362" t="s">
        <v>24</v>
      </c>
      <c r="H4362" t="s">
        <v>17</v>
      </c>
      <c r="I4362" t="s">
        <v>18</v>
      </c>
      <c r="J4362" s="3">
        <v>45821</v>
      </c>
      <c r="K4362" s="4">
        <f>ClientiBanca[[#This Row],[Prestito]]+ClientiBanca[[#This Row],[Mutuo]]</f>
        <v>34300</v>
      </c>
      <c r="L4362" t="str">
        <f>IF(ClientiBanca[[#This Row],[Reddito annuo]]&gt;=70000,"si","no")</f>
        <v>no</v>
      </c>
    </row>
    <row r="4363" spans="1:12">
      <c r="A4363">
        <v>104362</v>
      </c>
      <c r="B4363">
        <v>40</v>
      </c>
      <c r="C4363" s="2">
        <v>30500</v>
      </c>
      <c r="D4363" t="s">
        <v>22</v>
      </c>
      <c r="E4363" s="2">
        <v>0</v>
      </c>
      <c r="F4363" s="2">
        <v>0</v>
      </c>
      <c r="G4363" t="s">
        <v>28</v>
      </c>
      <c r="H4363" t="s">
        <v>17</v>
      </c>
      <c r="I4363" t="s">
        <v>18</v>
      </c>
      <c r="J4363" s="3">
        <v>45858</v>
      </c>
      <c r="K4363" s="4">
        <f>ClientiBanca[[#This Row],[Prestito]]+ClientiBanca[[#This Row],[Mutuo]]</f>
        <v>0</v>
      </c>
      <c r="L4363" t="str">
        <f>IF(ClientiBanca[[#This Row],[Reddito annuo]]&gt;=70000,"si","no")</f>
        <v>no</v>
      </c>
    </row>
    <row r="4364" spans="1:12">
      <c r="A4364">
        <v>104363</v>
      </c>
      <c r="B4364">
        <v>68</v>
      </c>
      <c r="C4364" s="2">
        <v>39100</v>
      </c>
      <c r="D4364" t="s">
        <v>21</v>
      </c>
      <c r="E4364" s="2">
        <v>26000</v>
      </c>
      <c r="F4364" s="2">
        <v>0</v>
      </c>
      <c r="G4364" t="s">
        <v>19</v>
      </c>
      <c r="H4364" t="s">
        <v>17</v>
      </c>
      <c r="I4364" t="s">
        <v>18</v>
      </c>
      <c r="J4364" s="3">
        <v>45620</v>
      </c>
      <c r="K4364" s="4">
        <f>ClientiBanca[[#This Row],[Prestito]]+ClientiBanca[[#This Row],[Mutuo]]</f>
        <v>26000</v>
      </c>
      <c r="L4364" t="str">
        <f>IF(ClientiBanca[[#This Row],[Reddito annuo]]&gt;=70000,"si","no")</f>
        <v>no</v>
      </c>
    </row>
    <row r="4365" spans="1:12">
      <c r="A4365">
        <v>104364</v>
      </c>
      <c r="B4365">
        <v>74</v>
      </c>
      <c r="C4365" s="2">
        <v>86400</v>
      </c>
      <c r="D4365" t="s">
        <v>21</v>
      </c>
      <c r="E4365" s="2">
        <v>0</v>
      </c>
      <c r="F4365" s="2">
        <v>0</v>
      </c>
      <c r="G4365" t="s">
        <v>27</v>
      </c>
      <c r="H4365" t="s">
        <v>20</v>
      </c>
      <c r="I4365" t="s">
        <v>18</v>
      </c>
      <c r="J4365" s="3">
        <v>45718</v>
      </c>
      <c r="K4365" s="4">
        <f>ClientiBanca[[#This Row],[Prestito]]+ClientiBanca[[#This Row],[Mutuo]]</f>
        <v>0</v>
      </c>
      <c r="L4365" t="str">
        <f>IF(ClientiBanca[[#This Row],[Reddito annuo]]&gt;=70000,"si","no")</f>
        <v>si</v>
      </c>
    </row>
    <row r="4366" spans="1:12">
      <c r="A4366">
        <v>104365</v>
      </c>
      <c r="B4366">
        <v>63</v>
      </c>
      <c r="C4366" s="2">
        <v>97300</v>
      </c>
      <c r="D4366" t="s">
        <v>21</v>
      </c>
      <c r="E4366" s="2">
        <v>0</v>
      </c>
      <c r="F4366" s="2">
        <v>0</v>
      </c>
      <c r="G4366" t="s">
        <v>23</v>
      </c>
      <c r="H4366" t="s">
        <v>17</v>
      </c>
      <c r="I4366" t="s">
        <v>18</v>
      </c>
      <c r="J4366" s="3">
        <v>45530</v>
      </c>
      <c r="K4366" s="4">
        <f>ClientiBanca[[#This Row],[Prestito]]+ClientiBanca[[#This Row],[Mutuo]]</f>
        <v>0</v>
      </c>
      <c r="L4366" t="str">
        <f>IF(ClientiBanca[[#This Row],[Reddito annuo]]&gt;=70000,"si","no")</f>
        <v>si</v>
      </c>
    </row>
    <row r="4367" spans="1:12">
      <c r="A4367">
        <v>104366</v>
      </c>
      <c r="B4367">
        <v>25</v>
      </c>
      <c r="C4367" s="2">
        <v>34400</v>
      </c>
      <c r="D4367" t="s">
        <v>12</v>
      </c>
      <c r="E4367" s="2">
        <v>29900</v>
      </c>
      <c r="F4367" s="2">
        <v>124000</v>
      </c>
      <c r="G4367" t="s">
        <v>19</v>
      </c>
      <c r="H4367" t="s">
        <v>17</v>
      </c>
      <c r="I4367" t="s">
        <v>18</v>
      </c>
      <c r="J4367" s="3">
        <v>45901</v>
      </c>
      <c r="K4367" s="4">
        <f>ClientiBanca[[#This Row],[Prestito]]+ClientiBanca[[#This Row],[Mutuo]]</f>
        <v>153900</v>
      </c>
      <c r="L4367" t="str">
        <f>IF(ClientiBanca[[#This Row],[Reddito annuo]]&gt;=70000,"si","no")</f>
        <v>no</v>
      </c>
    </row>
    <row r="4368" spans="1:12">
      <c r="A4368">
        <v>104367</v>
      </c>
      <c r="B4368">
        <v>35</v>
      </c>
      <c r="C4368" s="2">
        <v>59100</v>
      </c>
      <c r="D4368" t="s">
        <v>12</v>
      </c>
      <c r="E4368" s="2">
        <v>0</v>
      </c>
      <c r="F4368" s="2">
        <v>108000</v>
      </c>
      <c r="G4368" t="s">
        <v>28</v>
      </c>
      <c r="H4368" t="s">
        <v>17</v>
      </c>
      <c r="I4368" t="s">
        <v>18</v>
      </c>
      <c r="J4368" s="3">
        <v>45371</v>
      </c>
      <c r="K4368" s="4">
        <f>ClientiBanca[[#This Row],[Prestito]]+ClientiBanca[[#This Row],[Mutuo]]</f>
        <v>108000</v>
      </c>
      <c r="L4368" t="str">
        <f>IF(ClientiBanca[[#This Row],[Reddito annuo]]&gt;=70000,"si","no")</f>
        <v>no</v>
      </c>
    </row>
    <row r="4369" spans="1:12">
      <c r="A4369">
        <v>104368</v>
      </c>
      <c r="B4369">
        <v>49</v>
      </c>
      <c r="C4369" s="2">
        <v>22800</v>
      </c>
      <c r="D4369" t="s">
        <v>22</v>
      </c>
      <c r="E4369" s="2">
        <v>28500</v>
      </c>
      <c r="F4369" s="2">
        <v>0</v>
      </c>
      <c r="G4369" t="s">
        <v>16</v>
      </c>
      <c r="H4369" t="s">
        <v>20</v>
      </c>
      <c r="I4369" t="s">
        <v>18</v>
      </c>
      <c r="J4369" s="3">
        <v>45432</v>
      </c>
      <c r="K4369" s="4">
        <f>ClientiBanca[[#This Row],[Prestito]]+ClientiBanca[[#This Row],[Mutuo]]</f>
        <v>28500</v>
      </c>
      <c r="L4369" t="str">
        <f>IF(ClientiBanca[[#This Row],[Reddito annuo]]&gt;=70000,"si","no")</f>
        <v>no</v>
      </c>
    </row>
    <row r="4370" spans="1:12">
      <c r="A4370">
        <v>104369</v>
      </c>
      <c r="B4370">
        <v>23</v>
      </c>
      <c r="C4370" s="2">
        <v>98000</v>
      </c>
      <c r="D4370" t="s">
        <v>21</v>
      </c>
      <c r="E4370" s="2">
        <v>0</v>
      </c>
      <c r="F4370" s="2">
        <v>0</v>
      </c>
      <c r="G4370" t="s">
        <v>27</v>
      </c>
      <c r="H4370" t="s">
        <v>20</v>
      </c>
      <c r="I4370" t="s">
        <v>18</v>
      </c>
      <c r="J4370" s="3">
        <v>46117</v>
      </c>
      <c r="K4370" s="4">
        <f>ClientiBanca[[#This Row],[Prestito]]+ClientiBanca[[#This Row],[Mutuo]]</f>
        <v>0</v>
      </c>
      <c r="L4370" t="str">
        <f>IF(ClientiBanca[[#This Row],[Reddito annuo]]&gt;=70000,"si","no")</f>
        <v>si</v>
      </c>
    </row>
    <row r="4371" spans="1:12">
      <c r="A4371">
        <v>104370</v>
      </c>
      <c r="B4371">
        <v>26</v>
      </c>
      <c r="C4371" s="2">
        <v>52500</v>
      </c>
      <c r="D4371" t="s">
        <v>22</v>
      </c>
      <c r="E4371" s="2">
        <v>45900</v>
      </c>
      <c r="F4371" s="2">
        <v>194000</v>
      </c>
      <c r="G4371" t="s">
        <v>26</v>
      </c>
      <c r="H4371" t="s">
        <v>14</v>
      </c>
      <c r="I4371" t="s">
        <v>18</v>
      </c>
      <c r="J4371" s="3">
        <v>45660</v>
      </c>
      <c r="K4371" s="4">
        <f>ClientiBanca[[#This Row],[Prestito]]+ClientiBanca[[#This Row],[Mutuo]]</f>
        <v>239900</v>
      </c>
      <c r="L4371" t="str">
        <f>IF(ClientiBanca[[#This Row],[Reddito annuo]]&gt;=70000,"si","no")</f>
        <v>no</v>
      </c>
    </row>
    <row r="4372" spans="1:12">
      <c r="A4372">
        <v>104371</v>
      </c>
      <c r="B4372">
        <v>70</v>
      </c>
      <c r="C4372" s="2">
        <v>102100</v>
      </c>
      <c r="D4372" t="s">
        <v>21</v>
      </c>
      <c r="E4372" s="2">
        <v>24800</v>
      </c>
      <c r="F4372" s="2">
        <v>245000</v>
      </c>
      <c r="G4372" t="s">
        <v>27</v>
      </c>
      <c r="H4372" t="s">
        <v>20</v>
      </c>
      <c r="I4372" t="s">
        <v>18</v>
      </c>
      <c r="J4372" s="3">
        <v>45685</v>
      </c>
      <c r="K4372" s="4">
        <f>ClientiBanca[[#This Row],[Prestito]]+ClientiBanca[[#This Row],[Mutuo]]</f>
        <v>269800</v>
      </c>
      <c r="L4372" t="str">
        <f>IF(ClientiBanca[[#This Row],[Reddito annuo]]&gt;=70000,"si","no")</f>
        <v>si</v>
      </c>
    </row>
    <row r="4373" spans="1:12">
      <c r="A4373">
        <v>104372</v>
      </c>
      <c r="B4373">
        <v>71</v>
      </c>
      <c r="C4373" s="2">
        <v>101100</v>
      </c>
      <c r="D4373" t="s">
        <v>21</v>
      </c>
      <c r="E4373" s="2">
        <v>15500</v>
      </c>
      <c r="F4373" s="2">
        <v>0</v>
      </c>
      <c r="G4373" t="s">
        <v>24</v>
      </c>
      <c r="H4373" t="s">
        <v>14</v>
      </c>
      <c r="I4373" t="s">
        <v>18</v>
      </c>
      <c r="J4373" s="3">
        <v>45327</v>
      </c>
      <c r="K4373" s="4">
        <f>ClientiBanca[[#This Row],[Prestito]]+ClientiBanca[[#This Row],[Mutuo]]</f>
        <v>15500</v>
      </c>
      <c r="L4373" t="str">
        <f>IF(ClientiBanca[[#This Row],[Reddito annuo]]&gt;=70000,"si","no")</f>
        <v>si</v>
      </c>
    </row>
    <row r="4374" spans="1:12">
      <c r="A4374">
        <v>104373</v>
      </c>
      <c r="B4374">
        <v>59</v>
      </c>
      <c r="C4374" s="2">
        <v>49700</v>
      </c>
      <c r="D4374" t="s">
        <v>12</v>
      </c>
      <c r="E4374" s="2">
        <v>40000</v>
      </c>
      <c r="F4374" s="2">
        <v>0</v>
      </c>
      <c r="G4374" t="s">
        <v>19</v>
      </c>
      <c r="H4374" t="s">
        <v>17</v>
      </c>
      <c r="I4374" t="s">
        <v>18</v>
      </c>
      <c r="J4374" s="3">
        <v>45303</v>
      </c>
      <c r="K4374" s="4">
        <f>ClientiBanca[[#This Row],[Prestito]]+ClientiBanca[[#This Row],[Mutuo]]</f>
        <v>40000</v>
      </c>
      <c r="L4374" t="str">
        <f>IF(ClientiBanca[[#This Row],[Reddito annuo]]&gt;=70000,"si","no")</f>
        <v>no</v>
      </c>
    </row>
    <row r="4375" spans="1:12">
      <c r="A4375">
        <v>104374</v>
      </c>
      <c r="B4375">
        <v>54</v>
      </c>
      <c r="C4375" s="2">
        <v>34300</v>
      </c>
      <c r="D4375" t="s">
        <v>12</v>
      </c>
      <c r="E4375" s="2">
        <v>0</v>
      </c>
      <c r="F4375" s="2">
        <v>0</v>
      </c>
      <c r="G4375" t="s">
        <v>16</v>
      </c>
      <c r="H4375" t="s">
        <v>14</v>
      </c>
      <c r="I4375" t="s">
        <v>18</v>
      </c>
      <c r="J4375" s="3">
        <v>46111</v>
      </c>
      <c r="K4375" s="4">
        <f>ClientiBanca[[#This Row],[Prestito]]+ClientiBanca[[#This Row],[Mutuo]]</f>
        <v>0</v>
      </c>
      <c r="L4375" t="str">
        <f>IF(ClientiBanca[[#This Row],[Reddito annuo]]&gt;=70000,"si","no")</f>
        <v>no</v>
      </c>
    </row>
    <row r="4376" spans="1:12">
      <c r="A4376">
        <v>104375</v>
      </c>
      <c r="B4376">
        <v>67</v>
      </c>
      <c r="C4376" s="2">
        <v>44800</v>
      </c>
      <c r="D4376" t="s">
        <v>21</v>
      </c>
      <c r="E4376" s="2">
        <v>46700</v>
      </c>
      <c r="F4376" s="2">
        <v>0</v>
      </c>
      <c r="G4376" t="s">
        <v>13</v>
      </c>
      <c r="H4376" t="s">
        <v>14</v>
      </c>
      <c r="I4376" t="s">
        <v>18</v>
      </c>
      <c r="J4376" s="3">
        <v>45593</v>
      </c>
      <c r="K4376" s="4">
        <f>ClientiBanca[[#This Row],[Prestito]]+ClientiBanca[[#This Row],[Mutuo]]</f>
        <v>46700</v>
      </c>
      <c r="L4376" t="str">
        <f>IF(ClientiBanca[[#This Row],[Reddito annuo]]&gt;=70000,"si","no")</f>
        <v>no</v>
      </c>
    </row>
    <row r="4377" spans="1:12">
      <c r="A4377">
        <v>104376</v>
      </c>
      <c r="B4377">
        <v>31</v>
      </c>
      <c r="C4377" s="2">
        <v>27500</v>
      </c>
      <c r="D4377" t="s">
        <v>21</v>
      </c>
      <c r="E4377" s="2">
        <v>34400</v>
      </c>
      <c r="F4377" s="2">
        <v>0</v>
      </c>
      <c r="G4377" t="s">
        <v>13</v>
      </c>
      <c r="H4377" t="s">
        <v>25</v>
      </c>
      <c r="I4377" t="s">
        <v>18</v>
      </c>
      <c r="J4377" s="3">
        <v>46237</v>
      </c>
      <c r="K4377" s="4">
        <f>ClientiBanca[[#This Row],[Prestito]]+ClientiBanca[[#This Row],[Mutuo]]</f>
        <v>34400</v>
      </c>
      <c r="L4377" t="str">
        <f>IF(ClientiBanca[[#This Row],[Reddito annuo]]&gt;=70000,"si","no")</f>
        <v>no</v>
      </c>
    </row>
    <row r="4378" spans="1:12">
      <c r="A4378">
        <v>104377</v>
      </c>
      <c r="B4378">
        <v>64</v>
      </c>
      <c r="C4378" s="2">
        <v>72600</v>
      </c>
      <c r="D4378" t="s">
        <v>21</v>
      </c>
      <c r="E4378" s="2">
        <v>0</v>
      </c>
      <c r="F4378" s="2">
        <v>0</v>
      </c>
      <c r="G4378" t="s">
        <v>24</v>
      </c>
      <c r="H4378" t="s">
        <v>20</v>
      </c>
      <c r="I4378" t="s">
        <v>18</v>
      </c>
      <c r="J4378" s="3">
        <v>46038</v>
      </c>
      <c r="K4378" s="4">
        <f>ClientiBanca[[#This Row],[Prestito]]+ClientiBanca[[#This Row],[Mutuo]]</f>
        <v>0</v>
      </c>
      <c r="L4378" t="str">
        <f>IF(ClientiBanca[[#This Row],[Reddito annuo]]&gt;=70000,"si","no")</f>
        <v>si</v>
      </c>
    </row>
    <row r="4379" spans="1:12">
      <c r="A4379">
        <v>104378</v>
      </c>
      <c r="B4379">
        <v>45</v>
      </c>
      <c r="C4379" s="2">
        <v>70900</v>
      </c>
      <c r="D4379" t="s">
        <v>12</v>
      </c>
      <c r="E4379" s="2">
        <v>39500</v>
      </c>
      <c r="F4379" s="2">
        <v>338000</v>
      </c>
      <c r="G4379" t="s">
        <v>27</v>
      </c>
      <c r="H4379" t="s">
        <v>20</v>
      </c>
      <c r="I4379" t="s">
        <v>18</v>
      </c>
      <c r="J4379" s="3">
        <v>46176</v>
      </c>
      <c r="K4379" s="4">
        <f>ClientiBanca[[#This Row],[Prestito]]+ClientiBanca[[#This Row],[Mutuo]]</f>
        <v>377500</v>
      </c>
      <c r="L4379" t="str">
        <f>IF(ClientiBanca[[#This Row],[Reddito annuo]]&gt;=70000,"si","no")</f>
        <v>si</v>
      </c>
    </row>
    <row r="4380" spans="1:12">
      <c r="A4380">
        <v>104379</v>
      </c>
      <c r="B4380">
        <v>60</v>
      </c>
      <c r="C4380" s="2">
        <v>32500</v>
      </c>
      <c r="D4380" t="s">
        <v>22</v>
      </c>
      <c r="E4380" s="2">
        <v>40600</v>
      </c>
      <c r="F4380" s="2">
        <v>238000</v>
      </c>
      <c r="G4380" t="s">
        <v>27</v>
      </c>
      <c r="H4380" t="s">
        <v>14</v>
      </c>
      <c r="I4380" t="s">
        <v>18</v>
      </c>
      <c r="J4380" s="3">
        <v>46094</v>
      </c>
      <c r="K4380" s="4">
        <f>ClientiBanca[[#This Row],[Prestito]]+ClientiBanca[[#This Row],[Mutuo]]</f>
        <v>278600</v>
      </c>
      <c r="L4380" t="str">
        <f>IF(ClientiBanca[[#This Row],[Reddito annuo]]&gt;=70000,"si","no")</f>
        <v>no</v>
      </c>
    </row>
    <row r="4381" spans="1:12">
      <c r="A4381">
        <v>104380</v>
      </c>
      <c r="B4381">
        <v>70</v>
      </c>
      <c r="C4381" s="2">
        <v>45300</v>
      </c>
      <c r="D4381" t="s">
        <v>21</v>
      </c>
      <c r="E4381" s="2">
        <v>21400</v>
      </c>
      <c r="F4381" s="2">
        <v>0</v>
      </c>
      <c r="G4381" t="s">
        <v>27</v>
      </c>
      <c r="H4381" t="s">
        <v>20</v>
      </c>
      <c r="I4381" t="s">
        <v>18</v>
      </c>
      <c r="J4381" s="3">
        <v>45315</v>
      </c>
      <c r="K4381" s="4">
        <f>ClientiBanca[[#This Row],[Prestito]]+ClientiBanca[[#This Row],[Mutuo]]</f>
        <v>21400</v>
      </c>
      <c r="L4381" t="str">
        <f>IF(ClientiBanca[[#This Row],[Reddito annuo]]&gt;=70000,"si","no")</f>
        <v>no</v>
      </c>
    </row>
    <row r="4382" spans="1:12">
      <c r="A4382">
        <v>104381</v>
      </c>
      <c r="B4382">
        <v>38</v>
      </c>
      <c r="C4382" s="2">
        <v>76800</v>
      </c>
      <c r="D4382" t="s">
        <v>21</v>
      </c>
      <c r="E4382" s="2">
        <v>41100</v>
      </c>
      <c r="F4382" s="2">
        <v>0</v>
      </c>
      <c r="G4382" t="s">
        <v>23</v>
      </c>
      <c r="H4382" t="s">
        <v>20</v>
      </c>
      <c r="I4382" t="s">
        <v>18</v>
      </c>
      <c r="J4382" s="3">
        <v>46121</v>
      </c>
      <c r="K4382" s="4">
        <f>ClientiBanca[[#This Row],[Prestito]]+ClientiBanca[[#This Row],[Mutuo]]</f>
        <v>41100</v>
      </c>
      <c r="L4382" t="str">
        <f>IF(ClientiBanca[[#This Row],[Reddito annuo]]&gt;=70000,"si","no")</f>
        <v>si</v>
      </c>
    </row>
    <row r="4383" spans="1:12">
      <c r="A4383">
        <v>104382</v>
      </c>
      <c r="B4383">
        <v>48</v>
      </c>
      <c r="C4383" s="2">
        <v>50000</v>
      </c>
      <c r="D4383" t="s">
        <v>21</v>
      </c>
      <c r="E4383" s="2">
        <v>62500</v>
      </c>
      <c r="F4383" s="2">
        <v>0</v>
      </c>
      <c r="G4383" t="s">
        <v>24</v>
      </c>
      <c r="H4383" t="s">
        <v>14</v>
      </c>
      <c r="I4383" t="s">
        <v>18</v>
      </c>
      <c r="J4383" s="3">
        <v>45429</v>
      </c>
      <c r="K4383" s="4">
        <f>ClientiBanca[[#This Row],[Prestito]]+ClientiBanca[[#This Row],[Mutuo]]</f>
        <v>62500</v>
      </c>
      <c r="L4383" t="str">
        <f>IF(ClientiBanca[[#This Row],[Reddito annuo]]&gt;=70000,"si","no")</f>
        <v>no</v>
      </c>
    </row>
    <row r="4384" spans="1:12">
      <c r="A4384">
        <v>104383</v>
      </c>
      <c r="B4384">
        <v>40</v>
      </c>
      <c r="C4384" s="2">
        <v>55900</v>
      </c>
      <c r="D4384" t="s">
        <v>21</v>
      </c>
      <c r="E4384" s="2">
        <v>0</v>
      </c>
      <c r="F4384" s="2">
        <v>0</v>
      </c>
      <c r="G4384" t="s">
        <v>28</v>
      </c>
      <c r="H4384" t="s">
        <v>17</v>
      </c>
      <c r="I4384" t="s">
        <v>18</v>
      </c>
      <c r="J4384" s="3">
        <v>46048</v>
      </c>
      <c r="K4384" s="4">
        <f>ClientiBanca[[#This Row],[Prestito]]+ClientiBanca[[#This Row],[Mutuo]]</f>
        <v>0</v>
      </c>
      <c r="L4384" t="str">
        <f>IF(ClientiBanca[[#This Row],[Reddito annuo]]&gt;=70000,"si","no")</f>
        <v>no</v>
      </c>
    </row>
    <row r="4385" spans="1:12">
      <c r="A4385">
        <v>104384</v>
      </c>
      <c r="B4385">
        <v>25</v>
      </c>
      <c r="C4385" s="2">
        <v>33500</v>
      </c>
      <c r="D4385" t="s">
        <v>12</v>
      </c>
      <c r="E4385" s="2">
        <v>41900</v>
      </c>
      <c r="F4385" s="2">
        <v>0</v>
      </c>
      <c r="G4385" t="s">
        <v>16</v>
      </c>
      <c r="H4385" t="s">
        <v>17</v>
      </c>
      <c r="I4385" t="s">
        <v>18</v>
      </c>
      <c r="J4385" s="3">
        <v>45673</v>
      </c>
      <c r="K4385" s="4">
        <f>ClientiBanca[[#This Row],[Prestito]]+ClientiBanca[[#This Row],[Mutuo]]</f>
        <v>41900</v>
      </c>
      <c r="L4385" t="str">
        <f>IF(ClientiBanca[[#This Row],[Reddito annuo]]&gt;=70000,"si","no")</f>
        <v>no</v>
      </c>
    </row>
    <row r="4386" spans="1:12">
      <c r="A4386">
        <v>104385</v>
      </c>
      <c r="B4386">
        <v>23</v>
      </c>
      <c r="C4386" s="2">
        <v>63900</v>
      </c>
      <c r="D4386" t="s">
        <v>21</v>
      </c>
      <c r="E4386" s="2">
        <v>39800</v>
      </c>
      <c r="F4386" s="2">
        <v>0</v>
      </c>
      <c r="G4386" t="s">
        <v>13</v>
      </c>
      <c r="H4386" t="s">
        <v>17</v>
      </c>
      <c r="I4386" t="s">
        <v>15</v>
      </c>
      <c r="J4386" s="3">
        <v>46180</v>
      </c>
      <c r="K4386" s="4">
        <f>ClientiBanca[[#This Row],[Prestito]]+ClientiBanca[[#This Row],[Mutuo]]</f>
        <v>39800</v>
      </c>
      <c r="L4386" t="str">
        <f>IF(ClientiBanca[[#This Row],[Reddito annuo]]&gt;=70000,"si","no")</f>
        <v>no</v>
      </c>
    </row>
    <row r="4387" spans="1:12">
      <c r="A4387">
        <v>104386</v>
      </c>
      <c r="B4387">
        <v>73</v>
      </c>
      <c r="C4387" s="2">
        <v>103700</v>
      </c>
      <c r="D4387" t="s">
        <v>21</v>
      </c>
      <c r="E4387" s="2">
        <v>12000</v>
      </c>
      <c r="F4387" s="2">
        <v>0</v>
      </c>
      <c r="G4387" t="s">
        <v>26</v>
      </c>
      <c r="H4387" t="s">
        <v>20</v>
      </c>
      <c r="I4387" t="s">
        <v>18</v>
      </c>
      <c r="J4387" s="3">
        <v>46169</v>
      </c>
      <c r="K4387" s="4">
        <f>ClientiBanca[[#This Row],[Prestito]]+ClientiBanca[[#This Row],[Mutuo]]</f>
        <v>12000</v>
      </c>
      <c r="L4387" t="str">
        <f>IF(ClientiBanca[[#This Row],[Reddito annuo]]&gt;=70000,"si","no")</f>
        <v>si</v>
      </c>
    </row>
    <row r="4388" spans="1:12">
      <c r="A4388">
        <v>104387</v>
      </c>
      <c r="B4388">
        <v>69</v>
      </c>
      <c r="C4388" s="2">
        <v>113000</v>
      </c>
      <c r="D4388" t="s">
        <v>12</v>
      </c>
      <c r="E4388" s="2">
        <v>0</v>
      </c>
      <c r="F4388" s="2">
        <v>0</v>
      </c>
      <c r="G4388" t="s">
        <v>13</v>
      </c>
      <c r="H4388" t="s">
        <v>17</v>
      </c>
      <c r="I4388" t="s">
        <v>18</v>
      </c>
      <c r="J4388" s="3">
        <v>45999</v>
      </c>
      <c r="K4388" s="4">
        <f>ClientiBanca[[#This Row],[Prestito]]+ClientiBanca[[#This Row],[Mutuo]]</f>
        <v>0</v>
      </c>
      <c r="L4388" t="str">
        <f>IF(ClientiBanca[[#This Row],[Reddito annuo]]&gt;=70000,"si","no")</f>
        <v>si</v>
      </c>
    </row>
    <row r="4389" spans="1:12">
      <c r="A4389">
        <v>104388</v>
      </c>
      <c r="B4389">
        <v>34</v>
      </c>
      <c r="C4389" s="2">
        <v>83100</v>
      </c>
      <c r="D4389" t="s">
        <v>21</v>
      </c>
      <c r="E4389" s="2">
        <v>38700</v>
      </c>
      <c r="F4389" s="2">
        <v>0</v>
      </c>
      <c r="G4389" t="s">
        <v>27</v>
      </c>
      <c r="H4389" t="s">
        <v>20</v>
      </c>
      <c r="I4389" t="s">
        <v>18</v>
      </c>
      <c r="J4389" s="3">
        <v>45676</v>
      </c>
      <c r="K4389" s="4">
        <f>ClientiBanca[[#This Row],[Prestito]]+ClientiBanca[[#This Row],[Mutuo]]</f>
        <v>38700</v>
      </c>
      <c r="L4389" t="str">
        <f>IF(ClientiBanca[[#This Row],[Reddito annuo]]&gt;=70000,"si","no")</f>
        <v>si</v>
      </c>
    </row>
    <row r="4390" spans="1:12">
      <c r="A4390">
        <v>104389</v>
      </c>
      <c r="B4390">
        <v>26</v>
      </c>
      <c r="C4390" s="2">
        <v>54000</v>
      </c>
      <c r="D4390" t="s">
        <v>21</v>
      </c>
      <c r="E4390" s="2">
        <v>27300</v>
      </c>
      <c r="F4390" s="2">
        <v>0</v>
      </c>
      <c r="G4390" t="s">
        <v>19</v>
      </c>
      <c r="H4390" t="s">
        <v>14</v>
      </c>
      <c r="I4390" t="s">
        <v>18</v>
      </c>
      <c r="J4390" s="3">
        <v>45913</v>
      </c>
      <c r="K4390" s="4">
        <f>ClientiBanca[[#This Row],[Prestito]]+ClientiBanca[[#This Row],[Mutuo]]</f>
        <v>27300</v>
      </c>
      <c r="L4390" t="str">
        <f>IF(ClientiBanca[[#This Row],[Reddito annuo]]&gt;=70000,"si","no")</f>
        <v>no</v>
      </c>
    </row>
    <row r="4391" spans="1:12">
      <c r="A4391">
        <v>104390</v>
      </c>
      <c r="B4391">
        <v>68</v>
      </c>
      <c r="C4391" s="2">
        <v>40000</v>
      </c>
      <c r="D4391" t="s">
        <v>12</v>
      </c>
      <c r="E4391" s="2">
        <v>43900</v>
      </c>
      <c r="F4391" s="2">
        <v>0</v>
      </c>
      <c r="G4391" t="s">
        <v>13</v>
      </c>
      <c r="H4391" t="s">
        <v>14</v>
      </c>
      <c r="I4391" t="s">
        <v>18</v>
      </c>
      <c r="J4391" s="3">
        <v>46106</v>
      </c>
      <c r="K4391" s="4">
        <f>ClientiBanca[[#This Row],[Prestito]]+ClientiBanca[[#This Row],[Mutuo]]</f>
        <v>43900</v>
      </c>
      <c r="L4391" t="str">
        <f>IF(ClientiBanca[[#This Row],[Reddito annuo]]&gt;=70000,"si","no")</f>
        <v>no</v>
      </c>
    </row>
    <row r="4392" spans="1:12">
      <c r="A4392">
        <v>104391</v>
      </c>
      <c r="B4392">
        <v>35</v>
      </c>
      <c r="C4392" s="2">
        <v>93400</v>
      </c>
      <c r="D4392" t="s">
        <v>12</v>
      </c>
      <c r="E4392" s="2">
        <v>49900</v>
      </c>
      <c r="F4392" s="2">
        <v>0</v>
      </c>
      <c r="G4392" t="s">
        <v>28</v>
      </c>
      <c r="H4392" t="s">
        <v>14</v>
      </c>
      <c r="I4392" t="s">
        <v>18</v>
      </c>
      <c r="J4392" s="3">
        <v>46019</v>
      </c>
      <c r="K4392" s="4">
        <f>ClientiBanca[[#This Row],[Prestito]]+ClientiBanca[[#This Row],[Mutuo]]</f>
        <v>49900</v>
      </c>
      <c r="L4392" t="str">
        <f>IF(ClientiBanca[[#This Row],[Reddito annuo]]&gt;=70000,"si","no")</f>
        <v>si</v>
      </c>
    </row>
    <row r="4393" spans="1:12">
      <c r="A4393">
        <v>104392</v>
      </c>
      <c r="B4393">
        <v>30</v>
      </c>
      <c r="C4393" s="2">
        <v>83600</v>
      </c>
      <c r="D4393" t="s">
        <v>21</v>
      </c>
      <c r="E4393" s="2">
        <v>78500</v>
      </c>
      <c r="F4393" s="2">
        <v>307000</v>
      </c>
      <c r="G4393" t="s">
        <v>26</v>
      </c>
      <c r="H4393" t="s">
        <v>25</v>
      </c>
      <c r="I4393" t="s">
        <v>18</v>
      </c>
      <c r="J4393" s="3">
        <v>45881</v>
      </c>
      <c r="K4393" s="4">
        <f>ClientiBanca[[#This Row],[Prestito]]+ClientiBanca[[#This Row],[Mutuo]]</f>
        <v>385500</v>
      </c>
      <c r="L4393" t="str">
        <f>IF(ClientiBanca[[#This Row],[Reddito annuo]]&gt;=70000,"si","no")</f>
        <v>si</v>
      </c>
    </row>
    <row r="4394" spans="1:12">
      <c r="A4394">
        <v>104393</v>
      </c>
      <c r="B4394">
        <v>39</v>
      </c>
      <c r="C4394" s="2">
        <v>25300</v>
      </c>
      <c r="D4394" t="s">
        <v>21</v>
      </c>
      <c r="E4394" s="2">
        <v>27600</v>
      </c>
      <c r="F4394" s="2">
        <v>0</v>
      </c>
      <c r="G4394" t="s">
        <v>26</v>
      </c>
      <c r="H4394" t="s">
        <v>25</v>
      </c>
      <c r="I4394" t="s">
        <v>18</v>
      </c>
      <c r="J4394" s="3">
        <v>46106</v>
      </c>
      <c r="K4394" s="4">
        <f>ClientiBanca[[#This Row],[Prestito]]+ClientiBanca[[#This Row],[Mutuo]]</f>
        <v>27600</v>
      </c>
      <c r="L4394" t="str">
        <f>IF(ClientiBanca[[#This Row],[Reddito annuo]]&gt;=70000,"si","no")</f>
        <v>no</v>
      </c>
    </row>
    <row r="4395" spans="1:12">
      <c r="A4395">
        <v>104394</v>
      </c>
      <c r="B4395">
        <v>57</v>
      </c>
      <c r="C4395" s="2">
        <v>38400</v>
      </c>
      <c r="D4395" t="s">
        <v>12</v>
      </c>
      <c r="E4395" s="2">
        <v>48000</v>
      </c>
      <c r="F4395" s="2">
        <v>0</v>
      </c>
      <c r="G4395" t="s">
        <v>27</v>
      </c>
      <c r="H4395" t="s">
        <v>14</v>
      </c>
      <c r="I4395" t="s">
        <v>18</v>
      </c>
      <c r="J4395" s="3">
        <v>45541</v>
      </c>
      <c r="K4395" s="4">
        <f>ClientiBanca[[#This Row],[Prestito]]+ClientiBanca[[#This Row],[Mutuo]]</f>
        <v>48000</v>
      </c>
      <c r="L4395" t="str">
        <f>IF(ClientiBanca[[#This Row],[Reddito annuo]]&gt;=70000,"si","no")</f>
        <v>no</v>
      </c>
    </row>
    <row r="4396" spans="1:12">
      <c r="A4396">
        <v>104395</v>
      </c>
      <c r="B4396">
        <v>50</v>
      </c>
      <c r="C4396" s="2">
        <v>52900</v>
      </c>
      <c r="D4396" t="s">
        <v>12</v>
      </c>
      <c r="E4396" s="2">
        <v>0</v>
      </c>
      <c r="F4396" s="2">
        <v>0</v>
      </c>
      <c r="G4396" t="s">
        <v>26</v>
      </c>
      <c r="H4396" t="s">
        <v>14</v>
      </c>
      <c r="I4396" t="s">
        <v>18</v>
      </c>
      <c r="J4396" s="3">
        <v>45773</v>
      </c>
      <c r="K4396" s="4">
        <f>ClientiBanca[[#This Row],[Prestito]]+ClientiBanca[[#This Row],[Mutuo]]</f>
        <v>0</v>
      </c>
      <c r="L4396" t="str">
        <f>IF(ClientiBanca[[#This Row],[Reddito annuo]]&gt;=70000,"si","no")</f>
        <v>no</v>
      </c>
    </row>
    <row r="4397" spans="1:12">
      <c r="A4397">
        <v>104396</v>
      </c>
      <c r="B4397">
        <v>33</v>
      </c>
      <c r="C4397" s="2">
        <v>56600</v>
      </c>
      <c r="D4397" t="s">
        <v>21</v>
      </c>
      <c r="E4397" s="2">
        <v>59800</v>
      </c>
      <c r="F4397" s="2">
        <v>0</v>
      </c>
      <c r="G4397" t="s">
        <v>13</v>
      </c>
      <c r="H4397" t="s">
        <v>14</v>
      </c>
      <c r="I4397" t="s">
        <v>18</v>
      </c>
      <c r="J4397" s="3">
        <v>45725</v>
      </c>
      <c r="K4397" s="4">
        <f>ClientiBanca[[#This Row],[Prestito]]+ClientiBanca[[#This Row],[Mutuo]]</f>
        <v>59800</v>
      </c>
      <c r="L4397" t="str">
        <f>IF(ClientiBanca[[#This Row],[Reddito annuo]]&gt;=70000,"si","no")</f>
        <v>no</v>
      </c>
    </row>
    <row r="4398" spans="1:12">
      <c r="A4398">
        <v>104397</v>
      </c>
      <c r="B4398">
        <v>28</v>
      </c>
      <c r="C4398" s="2">
        <v>91100</v>
      </c>
      <c r="D4398" t="s">
        <v>12</v>
      </c>
      <c r="E4398" s="2">
        <v>30200</v>
      </c>
      <c r="F4398" s="2">
        <v>0</v>
      </c>
      <c r="G4398" t="s">
        <v>16</v>
      </c>
      <c r="H4398" t="s">
        <v>17</v>
      </c>
      <c r="I4398" t="s">
        <v>18</v>
      </c>
      <c r="J4398" s="3">
        <v>45350</v>
      </c>
      <c r="K4398" s="4">
        <f>ClientiBanca[[#This Row],[Prestito]]+ClientiBanca[[#This Row],[Mutuo]]</f>
        <v>30200</v>
      </c>
      <c r="L4398" t="str">
        <f>IF(ClientiBanca[[#This Row],[Reddito annuo]]&gt;=70000,"si","no")</f>
        <v>si</v>
      </c>
    </row>
    <row r="4399" spans="1:12">
      <c r="A4399">
        <v>104398</v>
      </c>
      <c r="B4399">
        <v>64</v>
      </c>
      <c r="C4399" s="2">
        <v>68100</v>
      </c>
      <c r="D4399" t="s">
        <v>12</v>
      </c>
      <c r="E4399" s="2">
        <v>64100</v>
      </c>
      <c r="F4399" s="2">
        <v>299000</v>
      </c>
      <c r="G4399" t="s">
        <v>24</v>
      </c>
      <c r="H4399" t="s">
        <v>17</v>
      </c>
      <c r="I4399" t="s">
        <v>18</v>
      </c>
      <c r="J4399" s="3">
        <v>45917</v>
      </c>
      <c r="K4399" s="4">
        <f>ClientiBanca[[#This Row],[Prestito]]+ClientiBanca[[#This Row],[Mutuo]]</f>
        <v>363100</v>
      </c>
      <c r="L4399" t="str">
        <f>IF(ClientiBanca[[#This Row],[Reddito annuo]]&gt;=70000,"si","no")</f>
        <v>no</v>
      </c>
    </row>
    <row r="4400" spans="1:12">
      <c r="A4400">
        <v>104399</v>
      </c>
      <c r="B4400">
        <v>33</v>
      </c>
      <c r="C4400" s="2">
        <v>35400</v>
      </c>
      <c r="D4400" t="s">
        <v>21</v>
      </c>
      <c r="E4400" s="2">
        <v>44200</v>
      </c>
      <c r="F4400" s="2">
        <v>0</v>
      </c>
      <c r="G4400" t="s">
        <v>19</v>
      </c>
      <c r="H4400" t="s">
        <v>17</v>
      </c>
      <c r="I4400" t="s">
        <v>18</v>
      </c>
      <c r="J4400" s="3">
        <v>45618</v>
      </c>
      <c r="K4400" s="4">
        <f>ClientiBanca[[#This Row],[Prestito]]+ClientiBanca[[#This Row],[Mutuo]]</f>
        <v>44200</v>
      </c>
      <c r="L4400" t="str">
        <f>IF(ClientiBanca[[#This Row],[Reddito annuo]]&gt;=70000,"si","no")</f>
        <v>no</v>
      </c>
    </row>
    <row r="4401" spans="1:12">
      <c r="A4401">
        <v>104400</v>
      </c>
      <c r="B4401">
        <v>56</v>
      </c>
      <c r="C4401" s="2">
        <v>35700</v>
      </c>
      <c r="D4401" t="s">
        <v>12</v>
      </c>
      <c r="E4401" s="2">
        <v>0</v>
      </c>
      <c r="F4401" s="2">
        <v>0</v>
      </c>
      <c r="G4401" t="s">
        <v>23</v>
      </c>
      <c r="H4401" t="s">
        <v>14</v>
      </c>
      <c r="I4401" t="s">
        <v>18</v>
      </c>
      <c r="J4401" s="3">
        <v>46043</v>
      </c>
      <c r="K4401" s="4">
        <f>ClientiBanca[[#This Row],[Prestito]]+ClientiBanca[[#This Row],[Mutuo]]</f>
        <v>0</v>
      </c>
      <c r="L4401" t="str">
        <f>IF(ClientiBanca[[#This Row],[Reddito annuo]]&gt;=70000,"si","no")</f>
        <v>no</v>
      </c>
    </row>
    <row r="4402" spans="1:12">
      <c r="A4402">
        <v>104401</v>
      </c>
      <c r="B4402">
        <v>57</v>
      </c>
      <c r="C4402" s="2">
        <v>71400</v>
      </c>
      <c r="D4402" t="s">
        <v>22</v>
      </c>
      <c r="E4402" s="2">
        <v>10100</v>
      </c>
      <c r="F4402" s="2">
        <v>0</v>
      </c>
      <c r="G4402" t="s">
        <v>26</v>
      </c>
      <c r="H4402" t="s">
        <v>14</v>
      </c>
      <c r="I4402" t="s">
        <v>18</v>
      </c>
      <c r="J4402" s="3">
        <v>45784</v>
      </c>
      <c r="K4402" s="4">
        <f>ClientiBanca[[#This Row],[Prestito]]+ClientiBanca[[#This Row],[Mutuo]]</f>
        <v>10100</v>
      </c>
      <c r="L4402" t="str">
        <f>IF(ClientiBanca[[#This Row],[Reddito annuo]]&gt;=70000,"si","no")</f>
        <v>si</v>
      </c>
    </row>
    <row r="4403" spans="1:12">
      <c r="A4403">
        <v>104402</v>
      </c>
      <c r="B4403">
        <v>72</v>
      </c>
      <c r="C4403" s="2">
        <v>122500</v>
      </c>
      <c r="D4403" t="s">
        <v>21</v>
      </c>
      <c r="E4403" s="2">
        <v>31000</v>
      </c>
      <c r="F4403" s="2">
        <v>0</v>
      </c>
      <c r="G4403" t="s">
        <v>27</v>
      </c>
      <c r="H4403" t="s">
        <v>20</v>
      </c>
      <c r="I4403" t="s">
        <v>18</v>
      </c>
      <c r="J4403" s="3">
        <v>46059</v>
      </c>
      <c r="K4403" s="4">
        <f>ClientiBanca[[#This Row],[Prestito]]+ClientiBanca[[#This Row],[Mutuo]]</f>
        <v>31000</v>
      </c>
      <c r="L4403" t="str">
        <f>IF(ClientiBanca[[#This Row],[Reddito annuo]]&gt;=70000,"si","no")</f>
        <v>si</v>
      </c>
    </row>
    <row r="4404" spans="1:12">
      <c r="A4404">
        <v>104403</v>
      </c>
      <c r="B4404">
        <v>21</v>
      </c>
      <c r="C4404" s="2">
        <v>75400</v>
      </c>
      <c r="D4404" t="s">
        <v>21</v>
      </c>
      <c r="E4404" s="2">
        <v>0</v>
      </c>
      <c r="F4404" s="2">
        <v>0</v>
      </c>
      <c r="G4404" t="s">
        <v>26</v>
      </c>
      <c r="H4404" t="s">
        <v>20</v>
      </c>
      <c r="I4404" t="s">
        <v>18</v>
      </c>
      <c r="J4404" s="3">
        <v>46142</v>
      </c>
      <c r="K4404" s="4">
        <f>ClientiBanca[[#This Row],[Prestito]]+ClientiBanca[[#This Row],[Mutuo]]</f>
        <v>0</v>
      </c>
      <c r="L4404" t="str">
        <f>IF(ClientiBanca[[#This Row],[Reddito annuo]]&gt;=70000,"si","no")</f>
        <v>si</v>
      </c>
    </row>
    <row r="4405" spans="1:12">
      <c r="A4405">
        <v>104404</v>
      </c>
      <c r="B4405">
        <v>70</v>
      </c>
      <c r="C4405" s="2">
        <v>68900</v>
      </c>
      <c r="D4405" t="s">
        <v>12</v>
      </c>
      <c r="E4405" s="2">
        <v>31400</v>
      </c>
      <c r="F4405" s="2">
        <v>0</v>
      </c>
      <c r="G4405" t="s">
        <v>19</v>
      </c>
      <c r="H4405" t="s">
        <v>17</v>
      </c>
      <c r="I4405" t="s">
        <v>18</v>
      </c>
      <c r="J4405" s="3">
        <v>45794</v>
      </c>
      <c r="K4405" s="4">
        <f>ClientiBanca[[#This Row],[Prestito]]+ClientiBanca[[#This Row],[Mutuo]]</f>
        <v>31400</v>
      </c>
      <c r="L4405" t="str">
        <f>IF(ClientiBanca[[#This Row],[Reddito annuo]]&gt;=70000,"si","no")</f>
        <v>no</v>
      </c>
    </row>
    <row r="4406" spans="1:12">
      <c r="A4406">
        <v>104405</v>
      </c>
      <c r="B4406">
        <v>36</v>
      </c>
      <c r="C4406" s="2">
        <v>107800</v>
      </c>
      <c r="D4406" t="s">
        <v>21</v>
      </c>
      <c r="E4406" s="2">
        <v>0</v>
      </c>
      <c r="F4406" s="2">
        <v>176000</v>
      </c>
      <c r="G4406" t="s">
        <v>19</v>
      </c>
      <c r="H4406" t="s">
        <v>17</v>
      </c>
      <c r="I4406" t="s">
        <v>18</v>
      </c>
      <c r="J4406" s="3">
        <v>45962</v>
      </c>
      <c r="K4406" s="4">
        <f>ClientiBanca[[#This Row],[Prestito]]+ClientiBanca[[#This Row],[Mutuo]]</f>
        <v>176000</v>
      </c>
      <c r="L4406" t="str">
        <f>IF(ClientiBanca[[#This Row],[Reddito annuo]]&gt;=70000,"si","no")</f>
        <v>si</v>
      </c>
    </row>
    <row r="4407" spans="1:12">
      <c r="A4407">
        <v>104406</v>
      </c>
      <c r="B4407">
        <v>50</v>
      </c>
      <c r="C4407" s="2">
        <v>52500</v>
      </c>
      <c r="D4407" t="s">
        <v>22</v>
      </c>
      <c r="E4407" s="2">
        <v>0</v>
      </c>
      <c r="F4407" s="2">
        <v>0</v>
      </c>
      <c r="G4407" t="s">
        <v>23</v>
      </c>
      <c r="H4407" t="s">
        <v>14</v>
      </c>
      <c r="I4407" t="s">
        <v>18</v>
      </c>
      <c r="J4407" s="3">
        <v>45998</v>
      </c>
      <c r="K4407" s="4">
        <f>ClientiBanca[[#This Row],[Prestito]]+ClientiBanca[[#This Row],[Mutuo]]</f>
        <v>0</v>
      </c>
      <c r="L4407" t="str">
        <f>IF(ClientiBanca[[#This Row],[Reddito annuo]]&gt;=70000,"si","no")</f>
        <v>no</v>
      </c>
    </row>
    <row r="4408" spans="1:12">
      <c r="A4408">
        <v>104407</v>
      </c>
      <c r="B4408">
        <v>37</v>
      </c>
      <c r="C4408" s="2">
        <v>113300</v>
      </c>
      <c r="D4408" t="s">
        <v>21</v>
      </c>
      <c r="E4408" s="2">
        <v>0</v>
      </c>
      <c r="F4408" s="2">
        <v>0</v>
      </c>
      <c r="G4408" t="s">
        <v>19</v>
      </c>
      <c r="H4408" t="s">
        <v>14</v>
      </c>
      <c r="I4408" t="s">
        <v>18</v>
      </c>
      <c r="J4408" s="3">
        <v>46091</v>
      </c>
      <c r="K4408" s="4">
        <f>ClientiBanca[[#This Row],[Prestito]]+ClientiBanca[[#This Row],[Mutuo]]</f>
        <v>0</v>
      </c>
      <c r="L4408" t="str">
        <f>IF(ClientiBanca[[#This Row],[Reddito annuo]]&gt;=70000,"si","no")</f>
        <v>si</v>
      </c>
    </row>
    <row r="4409" spans="1:12">
      <c r="A4409">
        <v>104408</v>
      </c>
      <c r="B4409">
        <v>20</v>
      </c>
      <c r="C4409" s="2">
        <v>74400</v>
      </c>
      <c r="D4409" t="s">
        <v>21</v>
      </c>
      <c r="E4409" s="2">
        <v>0</v>
      </c>
      <c r="F4409" s="2">
        <v>0</v>
      </c>
      <c r="G4409" t="s">
        <v>24</v>
      </c>
      <c r="H4409" t="s">
        <v>17</v>
      </c>
      <c r="I4409" t="s">
        <v>18</v>
      </c>
      <c r="J4409" s="3">
        <v>45877</v>
      </c>
      <c r="K4409" s="4">
        <f>ClientiBanca[[#This Row],[Prestito]]+ClientiBanca[[#This Row],[Mutuo]]</f>
        <v>0</v>
      </c>
      <c r="L4409" t="str">
        <f>IF(ClientiBanca[[#This Row],[Reddito annuo]]&gt;=70000,"si","no")</f>
        <v>si</v>
      </c>
    </row>
    <row r="4410" spans="1:12">
      <c r="A4410">
        <v>104409</v>
      </c>
      <c r="B4410">
        <v>40</v>
      </c>
      <c r="C4410" s="2">
        <v>73200</v>
      </c>
      <c r="D4410" t="s">
        <v>22</v>
      </c>
      <c r="E4410" s="2">
        <v>71600</v>
      </c>
      <c r="F4410" s="2">
        <v>0</v>
      </c>
      <c r="G4410" t="s">
        <v>26</v>
      </c>
      <c r="H4410" t="s">
        <v>14</v>
      </c>
      <c r="I4410" t="s">
        <v>18</v>
      </c>
      <c r="J4410" s="3">
        <v>46045</v>
      </c>
      <c r="K4410" s="4">
        <f>ClientiBanca[[#This Row],[Prestito]]+ClientiBanca[[#This Row],[Mutuo]]</f>
        <v>71600</v>
      </c>
      <c r="L4410" t="str">
        <f>IF(ClientiBanca[[#This Row],[Reddito annuo]]&gt;=70000,"si","no")</f>
        <v>si</v>
      </c>
    </row>
    <row r="4411" spans="1:12">
      <c r="A4411">
        <v>104410</v>
      </c>
      <c r="B4411">
        <v>61</v>
      </c>
      <c r="C4411" s="2">
        <v>116900</v>
      </c>
      <c r="D4411" t="s">
        <v>12</v>
      </c>
      <c r="E4411" s="2">
        <v>28800</v>
      </c>
      <c r="F4411" s="2">
        <v>0</v>
      </c>
      <c r="G4411" t="s">
        <v>27</v>
      </c>
      <c r="H4411" t="s">
        <v>17</v>
      </c>
      <c r="I4411" t="s">
        <v>18</v>
      </c>
      <c r="J4411" s="3">
        <v>45767</v>
      </c>
      <c r="K4411" s="4">
        <f>ClientiBanca[[#This Row],[Prestito]]+ClientiBanca[[#This Row],[Mutuo]]</f>
        <v>28800</v>
      </c>
      <c r="L4411" t="str">
        <f>IF(ClientiBanca[[#This Row],[Reddito annuo]]&gt;=70000,"si","no")</f>
        <v>si</v>
      </c>
    </row>
    <row r="4412" spans="1:12">
      <c r="A4412">
        <v>104411</v>
      </c>
      <c r="B4412">
        <v>47</v>
      </c>
      <c r="C4412" s="2">
        <v>74000</v>
      </c>
      <c r="D4412" t="s">
        <v>21</v>
      </c>
      <c r="E4412" s="2">
        <v>42300</v>
      </c>
      <c r="F4412" s="2">
        <v>0</v>
      </c>
      <c r="G4412" t="s">
        <v>26</v>
      </c>
      <c r="H4412" t="s">
        <v>20</v>
      </c>
      <c r="I4412" t="s">
        <v>18</v>
      </c>
      <c r="J4412" s="3">
        <v>45349</v>
      </c>
      <c r="K4412" s="4">
        <f>ClientiBanca[[#This Row],[Prestito]]+ClientiBanca[[#This Row],[Mutuo]]</f>
        <v>42300</v>
      </c>
      <c r="L4412" t="str">
        <f>IF(ClientiBanca[[#This Row],[Reddito annuo]]&gt;=70000,"si","no")</f>
        <v>si</v>
      </c>
    </row>
    <row r="4413" spans="1:12">
      <c r="A4413">
        <v>104412</v>
      </c>
      <c r="B4413">
        <v>50</v>
      </c>
      <c r="C4413" s="2">
        <v>67500</v>
      </c>
      <c r="D4413" t="s">
        <v>21</v>
      </c>
      <c r="E4413" s="2">
        <v>26100</v>
      </c>
      <c r="F4413" s="2">
        <v>0</v>
      </c>
      <c r="G4413" t="s">
        <v>28</v>
      </c>
      <c r="H4413" t="s">
        <v>17</v>
      </c>
      <c r="I4413" t="s">
        <v>18</v>
      </c>
      <c r="J4413" s="3">
        <v>45576</v>
      </c>
      <c r="K4413" s="4">
        <f>ClientiBanca[[#This Row],[Prestito]]+ClientiBanca[[#This Row],[Mutuo]]</f>
        <v>26100</v>
      </c>
      <c r="L4413" t="str">
        <f>IF(ClientiBanca[[#This Row],[Reddito annuo]]&gt;=70000,"si","no")</f>
        <v>no</v>
      </c>
    </row>
    <row r="4414" spans="1:12">
      <c r="A4414">
        <v>104413</v>
      </c>
      <c r="B4414">
        <v>51</v>
      </c>
      <c r="C4414" s="2">
        <v>34900</v>
      </c>
      <c r="D4414" t="s">
        <v>22</v>
      </c>
      <c r="E4414" s="2">
        <v>11500</v>
      </c>
      <c r="F4414" s="2">
        <v>147000</v>
      </c>
      <c r="G4414" t="s">
        <v>16</v>
      </c>
      <c r="H4414" t="s">
        <v>14</v>
      </c>
      <c r="I4414" t="s">
        <v>15</v>
      </c>
      <c r="J4414" s="3">
        <v>46148</v>
      </c>
      <c r="K4414" s="4">
        <f>ClientiBanca[[#This Row],[Prestito]]+ClientiBanca[[#This Row],[Mutuo]]</f>
        <v>158500</v>
      </c>
      <c r="L4414" t="str">
        <f>IF(ClientiBanca[[#This Row],[Reddito annuo]]&gt;=70000,"si","no")</f>
        <v>no</v>
      </c>
    </row>
    <row r="4415" spans="1:12">
      <c r="A4415">
        <v>104414</v>
      </c>
      <c r="B4415">
        <v>63</v>
      </c>
      <c r="C4415" s="2">
        <v>57800</v>
      </c>
      <c r="D4415" t="s">
        <v>21</v>
      </c>
      <c r="E4415" s="2">
        <v>25500</v>
      </c>
      <c r="F4415" s="2">
        <v>232000</v>
      </c>
      <c r="G4415" t="s">
        <v>19</v>
      </c>
      <c r="H4415" t="s">
        <v>17</v>
      </c>
      <c r="I4415" t="s">
        <v>18</v>
      </c>
      <c r="J4415" s="3">
        <v>45355</v>
      </c>
      <c r="K4415" s="4">
        <f>ClientiBanca[[#This Row],[Prestito]]+ClientiBanca[[#This Row],[Mutuo]]</f>
        <v>257500</v>
      </c>
      <c r="L4415" t="str">
        <f>IF(ClientiBanca[[#This Row],[Reddito annuo]]&gt;=70000,"si","no")</f>
        <v>no</v>
      </c>
    </row>
    <row r="4416" spans="1:12">
      <c r="A4416">
        <v>104415</v>
      </c>
      <c r="B4416">
        <v>50</v>
      </c>
      <c r="C4416" s="2">
        <v>69200</v>
      </c>
      <c r="D4416" t="s">
        <v>21</v>
      </c>
      <c r="E4416" s="2">
        <v>44300</v>
      </c>
      <c r="F4416" s="2">
        <v>110000</v>
      </c>
      <c r="G4416" t="s">
        <v>23</v>
      </c>
      <c r="H4416" t="s">
        <v>14</v>
      </c>
      <c r="I4416" t="s">
        <v>18</v>
      </c>
      <c r="J4416" s="3">
        <v>46136</v>
      </c>
      <c r="K4416" s="4">
        <f>ClientiBanca[[#This Row],[Prestito]]+ClientiBanca[[#This Row],[Mutuo]]</f>
        <v>154300</v>
      </c>
      <c r="L4416" t="str">
        <f>IF(ClientiBanca[[#This Row],[Reddito annuo]]&gt;=70000,"si","no")</f>
        <v>no</v>
      </c>
    </row>
    <row r="4417" spans="1:12">
      <c r="A4417">
        <v>104416</v>
      </c>
      <c r="B4417">
        <v>67</v>
      </c>
      <c r="C4417" s="2">
        <v>65600</v>
      </c>
      <c r="D4417" t="s">
        <v>21</v>
      </c>
      <c r="E4417" s="2">
        <v>0</v>
      </c>
      <c r="F4417" s="2">
        <v>0</v>
      </c>
      <c r="G4417" t="s">
        <v>23</v>
      </c>
      <c r="H4417" t="s">
        <v>20</v>
      </c>
      <c r="I4417" t="s">
        <v>18</v>
      </c>
      <c r="J4417" s="3">
        <v>45734</v>
      </c>
      <c r="K4417" s="4">
        <f>ClientiBanca[[#This Row],[Prestito]]+ClientiBanca[[#This Row],[Mutuo]]</f>
        <v>0</v>
      </c>
      <c r="L4417" t="str">
        <f>IF(ClientiBanca[[#This Row],[Reddito annuo]]&gt;=70000,"si","no")</f>
        <v>no</v>
      </c>
    </row>
    <row r="4418" spans="1:12">
      <c r="A4418">
        <v>104417</v>
      </c>
      <c r="B4418">
        <v>56</v>
      </c>
      <c r="C4418" s="2">
        <v>92900</v>
      </c>
      <c r="D4418" t="s">
        <v>21</v>
      </c>
      <c r="E4418" s="2">
        <v>0</v>
      </c>
      <c r="F4418" s="2">
        <v>0</v>
      </c>
      <c r="G4418" t="s">
        <v>13</v>
      </c>
      <c r="H4418" t="s">
        <v>17</v>
      </c>
      <c r="I4418" t="s">
        <v>18</v>
      </c>
      <c r="J4418" s="3">
        <v>45384</v>
      </c>
      <c r="K4418" s="4">
        <f>ClientiBanca[[#This Row],[Prestito]]+ClientiBanca[[#This Row],[Mutuo]]</f>
        <v>0</v>
      </c>
      <c r="L4418" t="str">
        <f>IF(ClientiBanca[[#This Row],[Reddito annuo]]&gt;=70000,"si","no")</f>
        <v>si</v>
      </c>
    </row>
    <row r="4419" spans="1:12">
      <c r="A4419">
        <v>104418</v>
      </c>
      <c r="B4419">
        <v>64</v>
      </c>
      <c r="C4419" s="2">
        <v>51800</v>
      </c>
      <c r="D4419" t="s">
        <v>12</v>
      </c>
      <c r="E4419" s="2">
        <v>40300</v>
      </c>
      <c r="F4419" s="2">
        <v>241000</v>
      </c>
      <c r="G4419" t="s">
        <v>24</v>
      </c>
      <c r="H4419" t="s">
        <v>17</v>
      </c>
      <c r="I4419" t="s">
        <v>18</v>
      </c>
      <c r="J4419" s="3">
        <v>46214</v>
      </c>
      <c r="K4419" s="4">
        <f>ClientiBanca[[#This Row],[Prestito]]+ClientiBanca[[#This Row],[Mutuo]]</f>
        <v>281300</v>
      </c>
      <c r="L4419" t="str">
        <f>IF(ClientiBanca[[#This Row],[Reddito annuo]]&gt;=70000,"si","no")</f>
        <v>no</v>
      </c>
    </row>
    <row r="4420" spans="1:12">
      <c r="A4420">
        <v>104419</v>
      </c>
      <c r="B4420">
        <v>36</v>
      </c>
      <c r="C4420" s="2">
        <v>28300</v>
      </c>
      <c r="D4420" t="s">
        <v>21</v>
      </c>
      <c r="E4420" s="2">
        <v>16800</v>
      </c>
      <c r="F4420" s="2">
        <v>0</v>
      </c>
      <c r="G4420" t="s">
        <v>13</v>
      </c>
      <c r="H4420" t="s">
        <v>17</v>
      </c>
      <c r="I4420" t="s">
        <v>18</v>
      </c>
      <c r="J4420" s="3">
        <v>45896</v>
      </c>
      <c r="K4420" s="4">
        <f>ClientiBanca[[#This Row],[Prestito]]+ClientiBanca[[#This Row],[Mutuo]]</f>
        <v>16800</v>
      </c>
      <c r="L4420" t="str">
        <f>IF(ClientiBanca[[#This Row],[Reddito annuo]]&gt;=70000,"si","no")</f>
        <v>no</v>
      </c>
    </row>
    <row r="4421" spans="1:12">
      <c r="A4421">
        <v>104420</v>
      </c>
      <c r="B4421">
        <v>42</v>
      </c>
      <c r="C4421" s="2">
        <v>34100</v>
      </c>
      <c r="D4421" t="s">
        <v>21</v>
      </c>
      <c r="E4421" s="2">
        <v>42600</v>
      </c>
      <c r="F4421" s="2">
        <v>0</v>
      </c>
      <c r="G4421" t="s">
        <v>27</v>
      </c>
      <c r="H4421" t="s">
        <v>25</v>
      </c>
      <c r="I4421" t="s">
        <v>18</v>
      </c>
      <c r="J4421" s="3">
        <v>45686</v>
      </c>
      <c r="K4421" s="4">
        <f>ClientiBanca[[#This Row],[Prestito]]+ClientiBanca[[#This Row],[Mutuo]]</f>
        <v>42600</v>
      </c>
      <c r="L4421" t="str">
        <f>IF(ClientiBanca[[#This Row],[Reddito annuo]]&gt;=70000,"si","no")</f>
        <v>no</v>
      </c>
    </row>
    <row r="4422" spans="1:12">
      <c r="A4422">
        <v>104421</v>
      </c>
      <c r="B4422">
        <v>47</v>
      </c>
      <c r="C4422" s="2">
        <v>73800</v>
      </c>
      <c r="D4422" t="s">
        <v>12</v>
      </c>
      <c r="E4422" s="2">
        <v>19600</v>
      </c>
      <c r="F4422" s="2">
        <v>0</v>
      </c>
      <c r="G4422" t="s">
        <v>26</v>
      </c>
      <c r="H4422" t="s">
        <v>14</v>
      </c>
      <c r="I4422" t="s">
        <v>18</v>
      </c>
      <c r="J4422" s="3">
        <v>45504</v>
      </c>
      <c r="K4422" s="4">
        <f>ClientiBanca[[#This Row],[Prestito]]+ClientiBanca[[#This Row],[Mutuo]]</f>
        <v>19600</v>
      </c>
      <c r="L4422" t="str">
        <f>IF(ClientiBanca[[#This Row],[Reddito annuo]]&gt;=70000,"si","no")</f>
        <v>si</v>
      </c>
    </row>
    <row r="4423" spans="1:12">
      <c r="A4423">
        <v>104422</v>
      </c>
      <c r="B4423">
        <v>66</v>
      </c>
      <c r="C4423" s="2">
        <v>58500</v>
      </c>
      <c r="D4423" t="s">
        <v>22</v>
      </c>
      <c r="E4423" s="2">
        <v>63000</v>
      </c>
      <c r="F4423" s="2">
        <v>0</v>
      </c>
      <c r="G4423" t="s">
        <v>24</v>
      </c>
      <c r="H4423" t="s">
        <v>17</v>
      </c>
      <c r="I4423" t="s">
        <v>18</v>
      </c>
      <c r="J4423" s="3">
        <v>45540</v>
      </c>
      <c r="K4423" s="4">
        <f>ClientiBanca[[#This Row],[Prestito]]+ClientiBanca[[#This Row],[Mutuo]]</f>
        <v>63000</v>
      </c>
      <c r="L4423" t="str">
        <f>IF(ClientiBanca[[#This Row],[Reddito annuo]]&gt;=70000,"si","no")</f>
        <v>no</v>
      </c>
    </row>
    <row r="4424" spans="1:12">
      <c r="A4424">
        <v>104423</v>
      </c>
      <c r="B4424">
        <v>50</v>
      </c>
      <c r="C4424" s="2">
        <v>77400</v>
      </c>
      <c r="D4424" t="s">
        <v>21</v>
      </c>
      <c r="E4424" s="2">
        <v>41600</v>
      </c>
      <c r="F4424" s="2">
        <v>0</v>
      </c>
      <c r="G4424" t="s">
        <v>23</v>
      </c>
      <c r="H4424" t="s">
        <v>20</v>
      </c>
      <c r="I4424" t="s">
        <v>18</v>
      </c>
      <c r="J4424" s="3">
        <v>45475</v>
      </c>
      <c r="K4424" s="4">
        <f>ClientiBanca[[#This Row],[Prestito]]+ClientiBanca[[#This Row],[Mutuo]]</f>
        <v>41600</v>
      </c>
      <c r="L4424" t="str">
        <f>IF(ClientiBanca[[#This Row],[Reddito annuo]]&gt;=70000,"si","no")</f>
        <v>si</v>
      </c>
    </row>
    <row r="4425" spans="1:12">
      <c r="A4425">
        <v>104424</v>
      </c>
      <c r="B4425">
        <v>75</v>
      </c>
      <c r="C4425" s="2">
        <v>56300</v>
      </c>
      <c r="D4425" t="s">
        <v>12</v>
      </c>
      <c r="E4425" s="2">
        <v>12600</v>
      </c>
      <c r="F4425" s="2">
        <v>0</v>
      </c>
      <c r="G4425" t="s">
        <v>23</v>
      </c>
      <c r="H4425" t="s">
        <v>14</v>
      </c>
      <c r="I4425" t="s">
        <v>18</v>
      </c>
      <c r="J4425" s="3">
        <v>45658</v>
      </c>
      <c r="K4425" s="4">
        <f>ClientiBanca[[#This Row],[Prestito]]+ClientiBanca[[#This Row],[Mutuo]]</f>
        <v>12600</v>
      </c>
      <c r="L4425" t="str">
        <f>IF(ClientiBanca[[#This Row],[Reddito annuo]]&gt;=70000,"si","no")</f>
        <v>no</v>
      </c>
    </row>
    <row r="4426" spans="1:12">
      <c r="A4426">
        <v>104425</v>
      </c>
      <c r="B4426">
        <v>22</v>
      </c>
      <c r="C4426" s="2">
        <v>107500</v>
      </c>
      <c r="D4426" t="s">
        <v>21</v>
      </c>
      <c r="E4426" s="2">
        <v>29600</v>
      </c>
      <c r="F4426" s="2">
        <v>0</v>
      </c>
      <c r="G4426" t="s">
        <v>24</v>
      </c>
      <c r="H4426" t="s">
        <v>20</v>
      </c>
      <c r="I4426" t="s">
        <v>18</v>
      </c>
      <c r="J4426" s="3">
        <v>45940</v>
      </c>
      <c r="K4426" s="4">
        <f>ClientiBanca[[#This Row],[Prestito]]+ClientiBanca[[#This Row],[Mutuo]]</f>
        <v>29600</v>
      </c>
      <c r="L4426" t="str">
        <f>IF(ClientiBanca[[#This Row],[Reddito annuo]]&gt;=70000,"si","no")</f>
        <v>si</v>
      </c>
    </row>
    <row r="4427" spans="1:12">
      <c r="A4427">
        <v>104426</v>
      </c>
      <c r="B4427">
        <v>39</v>
      </c>
      <c r="C4427" s="2">
        <v>73500</v>
      </c>
      <c r="D4427" t="s">
        <v>12</v>
      </c>
      <c r="E4427" s="2">
        <v>31800</v>
      </c>
      <c r="F4427" s="2">
        <v>0</v>
      </c>
      <c r="G4427" t="s">
        <v>28</v>
      </c>
      <c r="H4427" t="s">
        <v>14</v>
      </c>
      <c r="I4427" t="s">
        <v>18</v>
      </c>
      <c r="J4427" s="3">
        <v>46198</v>
      </c>
      <c r="K4427" s="4">
        <f>ClientiBanca[[#This Row],[Prestito]]+ClientiBanca[[#This Row],[Mutuo]]</f>
        <v>31800</v>
      </c>
      <c r="L4427" t="str">
        <f>IF(ClientiBanca[[#This Row],[Reddito annuo]]&gt;=70000,"si","no")</f>
        <v>si</v>
      </c>
    </row>
    <row r="4428" spans="1:12">
      <c r="A4428">
        <v>104427</v>
      </c>
      <c r="B4428">
        <v>35</v>
      </c>
      <c r="C4428" s="2">
        <v>78800</v>
      </c>
      <c r="D4428" t="s">
        <v>22</v>
      </c>
      <c r="E4428" s="2">
        <v>57400</v>
      </c>
      <c r="F4428" s="2">
        <v>0</v>
      </c>
      <c r="G4428" t="s">
        <v>13</v>
      </c>
      <c r="H4428" t="s">
        <v>17</v>
      </c>
      <c r="I4428" t="s">
        <v>18</v>
      </c>
      <c r="J4428" s="3">
        <v>45738</v>
      </c>
      <c r="K4428" s="4">
        <f>ClientiBanca[[#This Row],[Prestito]]+ClientiBanca[[#This Row],[Mutuo]]</f>
        <v>57400</v>
      </c>
      <c r="L4428" t="str">
        <f>IF(ClientiBanca[[#This Row],[Reddito annuo]]&gt;=70000,"si","no")</f>
        <v>si</v>
      </c>
    </row>
    <row r="4429" spans="1:12">
      <c r="A4429">
        <v>104428</v>
      </c>
      <c r="B4429">
        <v>48</v>
      </c>
      <c r="C4429" s="2">
        <v>39100</v>
      </c>
      <c r="D4429" t="s">
        <v>21</v>
      </c>
      <c r="E4429" s="2">
        <v>48900</v>
      </c>
      <c r="F4429" s="2">
        <v>0</v>
      </c>
      <c r="G4429" t="s">
        <v>13</v>
      </c>
      <c r="H4429" t="s">
        <v>20</v>
      </c>
      <c r="I4429" t="s">
        <v>15</v>
      </c>
      <c r="J4429" s="3">
        <v>45680</v>
      </c>
      <c r="K4429" s="4">
        <f>ClientiBanca[[#This Row],[Prestito]]+ClientiBanca[[#This Row],[Mutuo]]</f>
        <v>48900</v>
      </c>
      <c r="L4429" t="str">
        <f>IF(ClientiBanca[[#This Row],[Reddito annuo]]&gt;=70000,"si","no")</f>
        <v>no</v>
      </c>
    </row>
    <row r="4430" spans="1:12">
      <c r="A4430">
        <v>104429</v>
      </c>
      <c r="B4430">
        <v>65</v>
      </c>
      <c r="C4430" s="2">
        <v>94500</v>
      </c>
      <c r="D4430" t="s">
        <v>12</v>
      </c>
      <c r="E4430" s="2">
        <v>60900</v>
      </c>
      <c r="F4430" s="2">
        <v>0</v>
      </c>
      <c r="G4430" t="s">
        <v>16</v>
      </c>
      <c r="H4430" t="s">
        <v>20</v>
      </c>
      <c r="I4430" t="s">
        <v>18</v>
      </c>
      <c r="J4430" s="3">
        <v>45580</v>
      </c>
      <c r="K4430" s="4">
        <f>ClientiBanca[[#This Row],[Prestito]]+ClientiBanca[[#This Row],[Mutuo]]</f>
        <v>60900</v>
      </c>
      <c r="L4430" t="str">
        <f>IF(ClientiBanca[[#This Row],[Reddito annuo]]&gt;=70000,"si","no")</f>
        <v>si</v>
      </c>
    </row>
    <row r="4431" spans="1:12">
      <c r="A4431">
        <v>104430</v>
      </c>
      <c r="B4431">
        <v>26</v>
      </c>
      <c r="C4431" s="2">
        <v>79700</v>
      </c>
      <c r="D4431" t="s">
        <v>21</v>
      </c>
      <c r="E4431" s="2">
        <v>34500</v>
      </c>
      <c r="F4431" s="2">
        <v>166000</v>
      </c>
      <c r="G4431" t="s">
        <v>26</v>
      </c>
      <c r="H4431" t="s">
        <v>20</v>
      </c>
      <c r="I4431" t="s">
        <v>18</v>
      </c>
      <c r="J4431" s="3">
        <v>45763</v>
      </c>
      <c r="K4431" s="4">
        <f>ClientiBanca[[#This Row],[Prestito]]+ClientiBanca[[#This Row],[Mutuo]]</f>
        <v>200500</v>
      </c>
      <c r="L4431" t="str">
        <f>IF(ClientiBanca[[#This Row],[Reddito annuo]]&gt;=70000,"si","no")</f>
        <v>si</v>
      </c>
    </row>
    <row r="4432" spans="1:12">
      <c r="A4432">
        <v>104431</v>
      </c>
      <c r="B4432">
        <v>71</v>
      </c>
      <c r="C4432" s="2">
        <v>34600</v>
      </c>
      <c r="D4432" t="s">
        <v>21</v>
      </c>
      <c r="E4432" s="2">
        <v>43200</v>
      </c>
      <c r="F4432" s="2">
        <v>0</v>
      </c>
      <c r="G4432" t="s">
        <v>23</v>
      </c>
      <c r="H4432" t="s">
        <v>17</v>
      </c>
      <c r="I4432" t="s">
        <v>18</v>
      </c>
      <c r="J4432" s="3">
        <v>45476</v>
      </c>
      <c r="K4432" s="4">
        <f>ClientiBanca[[#This Row],[Prestito]]+ClientiBanca[[#This Row],[Mutuo]]</f>
        <v>43200</v>
      </c>
      <c r="L4432" t="str">
        <f>IF(ClientiBanca[[#This Row],[Reddito annuo]]&gt;=70000,"si","no")</f>
        <v>no</v>
      </c>
    </row>
    <row r="4433" spans="1:12">
      <c r="A4433">
        <v>104432</v>
      </c>
      <c r="B4433">
        <v>47</v>
      </c>
      <c r="C4433" s="2">
        <v>50900</v>
      </c>
      <c r="D4433" t="s">
        <v>12</v>
      </c>
      <c r="E4433" s="2">
        <v>41000</v>
      </c>
      <c r="F4433" s="2">
        <v>180000</v>
      </c>
      <c r="G4433" t="s">
        <v>27</v>
      </c>
      <c r="H4433" t="s">
        <v>20</v>
      </c>
      <c r="I4433" t="s">
        <v>18</v>
      </c>
      <c r="J4433" s="3">
        <v>45506</v>
      </c>
      <c r="K4433" s="4">
        <f>ClientiBanca[[#This Row],[Prestito]]+ClientiBanca[[#This Row],[Mutuo]]</f>
        <v>221000</v>
      </c>
      <c r="L4433" t="str">
        <f>IF(ClientiBanca[[#This Row],[Reddito annuo]]&gt;=70000,"si","no")</f>
        <v>no</v>
      </c>
    </row>
    <row r="4434" spans="1:12">
      <c r="A4434">
        <v>104433</v>
      </c>
      <c r="B4434">
        <v>24</v>
      </c>
      <c r="C4434" s="2">
        <v>72300</v>
      </c>
      <c r="D4434" t="s">
        <v>21</v>
      </c>
      <c r="E4434" s="2">
        <v>24500</v>
      </c>
      <c r="F4434" s="2">
        <v>0</v>
      </c>
      <c r="G4434" t="s">
        <v>16</v>
      </c>
      <c r="H4434" t="s">
        <v>17</v>
      </c>
      <c r="I4434" t="s">
        <v>18</v>
      </c>
      <c r="J4434" s="3">
        <v>46188</v>
      </c>
      <c r="K4434" s="4">
        <f>ClientiBanca[[#This Row],[Prestito]]+ClientiBanca[[#This Row],[Mutuo]]</f>
        <v>24500</v>
      </c>
      <c r="L4434" t="str">
        <f>IF(ClientiBanca[[#This Row],[Reddito annuo]]&gt;=70000,"si","no")</f>
        <v>si</v>
      </c>
    </row>
    <row r="4435" spans="1:12">
      <c r="A4435">
        <v>104434</v>
      </c>
      <c r="B4435">
        <v>25</v>
      </c>
      <c r="C4435" s="2">
        <v>87000</v>
      </c>
      <c r="D4435" t="s">
        <v>21</v>
      </c>
      <c r="E4435" s="2">
        <v>48200</v>
      </c>
      <c r="F4435" s="2">
        <v>0</v>
      </c>
      <c r="G4435" t="s">
        <v>28</v>
      </c>
      <c r="H4435" t="s">
        <v>20</v>
      </c>
      <c r="I4435" t="s">
        <v>18</v>
      </c>
      <c r="J4435" s="3">
        <v>46218</v>
      </c>
      <c r="K4435" s="4">
        <f>ClientiBanca[[#This Row],[Prestito]]+ClientiBanca[[#This Row],[Mutuo]]</f>
        <v>48200</v>
      </c>
      <c r="L4435" t="str">
        <f>IF(ClientiBanca[[#This Row],[Reddito annuo]]&gt;=70000,"si","no")</f>
        <v>si</v>
      </c>
    </row>
    <row r="4436" spans="1:12">
      <c r="A4436">
        <v>104435</v>
      </c>
      <c r="B4436">
        <v>48</v>
      </c>
      <c r="C4436" s="2">
        <v>50500</v>
      </c>
      <c r="D4436" t="s">
        <v>22</v>
      </c>
      <c r="E4436" s="2">
        <v>0</v>
      </c>
      <c r="F4436" s="2">
        <v>0</v>
      </c>
      <c r="G4436" t="s">
        <v>27</v>
      </c>
      <c r="H4436" t="s">
        <v>20</v>
      </c>
      <c r="I4436" t="s">
        <v>18</v>
      </c>
      <c r="J4436" s="3">
        <v>45398</v>
      </c>
      <c r="K4436" s="4">
        <f>ClientiBanca[[#This Row],[Prestito]]+ClientiBanca[[#This Row],[Mutuo]]</f>
        <v>0</v>
      </c>
      <c r="L4436" t="str">
        <f>IF(ClientiBanca[[#This Row],[Reddito annuo]]&gt;=70000,"si","no")</f>
        <v>no</v>
      </c>
    </row>
    <row r="4437" spans="1:12">
      <c r="A4437">
        <v>104436</v>
      </c>
      <c r="B4437">
        <v>65</v>
      </c>
      <c r="C4437" s="2">
        <v>104300</v>
      </c>
      <c r="D4437" t="s">
        <v>22</v>
      </c>
      <c r="E4437" s="2">
        <v>0</v>
      </c>
      <c r="F4437" s="2">
        <v>0</v>
      </c>
      <c r="G4437" t="s">
        <v>28</v>
      </c>
      <c r="H4437" t="s">
        <v>20</v>
      </c>
      <c r="I4437" t="s">
        <v>18</v>
      </c>
      <c r="J4437" s="3">
        <v>46145</v>
      </c>
      <c r="K4437" s="4">
        <f>ClientiBanca[[#This Row],[Prestito]]+ClientiBanca[[#This Row],[Mutuo]]</f>
        <v>0</v>
      </c>
      <c r="L4437" t="str">
        <f>IF(ClientiBanca[[#This Row],[Reddito annuo]]&gt;=70000,"si","no")</f>
        <v>si</v>
      </c>
    </row>
    <row r="4438" spans="1:12">
      <c r="A4438">
        <v>104437</v>
      </c>
      <c r="B4438">
        <v>58</v>
      </c>
      <c r="C4438" s="2">
        <v>58500</v>
      </c>
      <c r="D4438" t="s">
        <v>12</v>
      </c>
      <c r="E4438" s="2">
        <v>58300</v>
      </c>
      <c r="F4438" s="2">
        <v>0</v>
      </c>
      <c r="G4438" t="s">
        <v>13</v>
      </c>
      <c r="H4438" t="s">
        <v>17</v>
      </c>
      <c r="I4438" t="s">
        <v>18</v>
      </c>
      <c r="J4438" s="3">
        <v>45871</v>
      </c>
      <c r="K4438" s="4">
        <f>ClientiBanca[[#This Row],[Prestito]]+ClientiBanca[[#This Row],[Mutuo]]</f>
        <v>58300</v>
      </c>
      <c r="L4438" t="str">
        <f>IF(ClientiBanca[[#This Row],[Reddito annuo]]&gt;=70000,"si","no")</f>
        <v>no</v>
      </c>
    </row>
    <row r="4439" spans="1:12">
      <c r="A4439">
        <v>104438</v>
      </c>
      <c r="B4439">
        <v>30</v>
      </c>
      <c r="C4439" s="2">
        <v>54000</v>
      </c>
      <c r="D4439" t="s">
        <v>21</v>
      </c>
      <c r="E4439" s="2">
        <v>0</v>
      </c>
      <c r="F4439" s="2">
        <v>0</v>
      </c>
      <c r="G4439" t="s">
        <v>24</v>
      </c>
      <c r="H4439" t="s">
        <v>14</v>
      </c>
      <c r="I4439" t="s">
        <v>18</v>
      </c>
      <c r="J4439" s="3">
        <v>45455</v>
      </c>
      <c r="K4439" s="4">
        <f>ClientiBanca[[#This Row],[Prestito]]+ClientiBanca[[#This Row],[Mutuo]]</f>
        <v>0</v>
      </c>
      <c r="L4439" t="str">
        <f>IF(ClientiBanca[[#This Row],[Reddito annuo]]&gt;=70000,"si","no")</f>
        <v>no</v>
      </c>
    </row>
    <row r="4440" spans="1:12">
      <c r="A4440">
        <v>104439</v>
      </c>
      <c r="B4440">
        <v>66</v>
      </c>
      <c r="C4440" s="2">
        <v>73600</v>
      </c>
      <c r="D4440" t="s">
        <v>21</v>
      </c>
      <c r="E4440" s="2">
        <v>0</v>
      </c>
      <c r="F4440" s="2">
        <v>0</v>
      </c>
      <c r="G4440" t="s">
        <v>23</v>
      </c>
      <c r="H4440" t="s">
        <v>17</v>
      </c>
      <c r="I4440" t="s">
        <v>18</v>
      </c>
      <c r="J4440" s="3">
        <v>45634</v>
      </c>
      <c r="K4440" s="4">
        <f>ClientiBanca[[#This Row],[Prestito]]+ClientiBanca[[#This Row],[Mutuo]]</f>
        <v>0</v>
      </c>
      <c r="L4440" t="str">
        <f>IF(ClientiBanca[[#This Row],[Reddito annuo]]&gt;=70000,"si","no")</f>
        <v>si</v>
      </c>
    </row>
    <row r="4441" spans="1:12">
      <c r="A4441">
        <v>104440</v>
      </c>
      <c r="B4441">
        <v>37</v>
      </c>
      <c r="C4441" s="2">
        <v>91100</v>
      </c>
      <c r="D4441" t="s">
        <v>12</v>
      </c>
      <c r="E4441" s="2">
        <v>0</v>
      </c>
      <c r="F4441" s="2">
        <v>333000</v>
      </c>
      <c r="G4441" t="s">
        <v>19</v>
      </c>
      <c r="H4441" t="s">
        <v>14</v>
      </c>
      <c r="I4441" t="s">
        <v>18</v>
      </c>
      <c r="J4441" s="3">
        <v>46264</v>
      </c>
      <c r="K4441" s="4">
        <f>ClientiBanca[[#This Row],[Prestito]]+ClientiBanca[[#This Row],[Mutuo]]</f>
        <v>333000</v>
      </c>
      <c r="L4441" t="str">
        <f>IF(ClientiBanca[[#This Row],[Reddito annuo]]&gt;=70000,"si","no")</f>
        <v>si</v>
      </c>
    </row>
    <row r="4442" spans="1:12">
      <c r="A4442">
        <v>104441</v>
      </c>
      <c r="B4442">
        <v>37</v>
      </c>
      <c r="C4442" s="2">
        <v>44000</v>
      </c>
      <c r="D4442" t="s">
        <v>12</v>
      </c>
      <c r="E4442" s="2">
        <v>22300</v>
      </c>
      <c r="F4442" s="2">
        <v>0</v>
      </c>
      <c r="G4442" t="s">
        <v>13</v>
      </c>
      <c r="H4442" t="s">
        <v>14</v>
      </c>
      <c r="I4442" t="s">
        <v>18</v>
      </c>
      <c r="J4442" s="3">
        <v>45323</v>
      </c>
      <c r="K4442" s="4">
        <f>ClientiBanca[[#This Row],[Prestito]]+ClientiBanca[[#This Row],[Mutuo]]</f>
        <v>22300</v>
      </c>
      <c r="L4442" t="str">
        <f>IF(ClientiBanca[[#This Row],[Reddito annuo]]&gt;=70000,"si","no")</f>
        <v>no</v>
      </c>
    </row>
    <row r="4443" spans="1:12">
      <c r="A4443">
        <v>104442</v>
      </c>
      <c r="B4443">
        <v>70</v>
      </c>
      <c r="C4443" s="2">
        <v>27400</v>
      </c>
      <c r="D4443" t="s">
        <v>21</v>
      </c>
      <c r="E4443" s="2">
        <v>34200</v>
      </c>
      <c r="F4443" s="2">
        <v>0</v>
      </c>
      <c r="G4443" t="s">
        <v>13</v>
      </c>
      <c r="H4443" t="s">
        <v>14</v>
      </c>
      <c r="I4443" t="s">
        <v>18</v>
      </c>
      <c r="J4443" s="3">
        <v>45627</v>
      </c>
      <c r="K4443" s="4">
        <f>ClientiBanca[[#This Row],[Prestito]]+ClientiBanca[[#This Row],[Mutuo]]</f>
        <v>34200</v>
      </c>
      <c r="L4443" t="str">
        <f>IF(ClientiBanca[[#This Row],[Reddito annuo]]&gt;=70000,"si","no")</f>
        <v>no</v>
      </c>
    </row>
    <row r="4444" spans="1:12">
      <c r="A4444">
        <v>104443</v>
      </c>
      <c r="B4444">
        <v>59</v>
      </c>
      <c r="C4444" s="2">
        <v>112000</v>
      </c>
      <c r="D4444" t="s">
        <v>22</v>
      </c>
      <c r="E4444" s="2">
        <v>0</v>
      </c>
      <c r="F4444" s="2">
        <v>0</v>
      </c>
      <c r="G4444" t="s">
        <v>27</v>
      </c>
      <c r="H4444" t="s">
        <v>14</v>
      </c>
      <c r="I4444" t="s">
        <v>18</v>
      </c>
      <c r="J4444" s="3">
        <v>45446</v>
      </c>
      <c r="K4444" s="4">
        <f>ClientiBanca[[#This Row],[Prestito]]+ClientiBanca[[#This Row],[Mutuo]]</f>
        <v>0</v>
      </c>
      <c r="L4444" t="str">
        <f>IF(ClientiBanca[[#This Row],[Reddito annuo]]&gt;=70000,"si","no")</f>
        <v>si</v>
      </c>
    </row>
    <row r="4445" spans="1:12">
      <c r="A4445">
        <v>104444</v>
      </c>
      <c r="B4445">
        <v>50</v>
      </c>
      <c r="C4445" s="2">
        <v>53500</v>
      </c>
      <c r="D4445" t="s">
        <v>12</v>
      </c>
      <c r="E4445" s="2">
        <v>0</v>
      </c>
      <c r="F4445" s="2">
        <v>0</v>
      </c>
      <c r="G4445" t="s">
        <v>26</v>
      </c>
      <c r="H4445" t="s">
        <v>14</v>
      </c>
      <c r="I4445" t="s">
        <v>18</v>
      </c>
      <c r="J4445" s="3">
        <v>46066</v>
      </c>
      <c r="K4445" s="4">
        <f>ClientiBanca[[#This Row],[Prestito]]+ClientiBanca[[#This Row],[Mutuo]]</f>
        <v>0</v>
      </c>
      <c r="L4445" t="str">
        <f>IF(ClientiBanca[[#This Row],[Reddito annuo]]&gt;=70000,"si","no")</f>
        <v>no</v>
      </c>
    </row>
    <row r="4446" spans="1:12">
      <c r="A4446">
        <v>104445</v>
      </c>
      <c r="B4446">
        <v>51</v>
      </c>
      <c r="C4446" s="2">
        <v>124300</v>
      </c>
      <c r="D4446" t="s">
        <v>12</v>
      </c>
      <c r="E4446" s="2">
        <v>58900</v>
      </c>
      <c r="F4446" s="2">
        <v>208000</v>
      </c>
      <c r="G4446" t="s">
        <v>19</v>
      </c>
      <c r="H4446" t="s">
        <v>20</v>
      </c>
      <c r="I4446" t="s">
        <v>18</v>
      </c>
      <c r="J4446" s="3">
        <v>45650</v>
      </c>
      <c r="K4446" s="4">
        <f>ClientiBanca[[#This Row],[Prestito]]+ClientiBanca[[#This Row],[Mutuo]]</f>
        <v>266900</v>
      </c>
      <c r="L4446" t="str">
        <f>IF(ClientiBanca[[#This Row],[Reddito annuo]]&gt;=70000,"si","no")</f>
        <v>si</v>
      </c>
    </row>
    <row r="4447" spans="1:12">
      <c r="A4447">
        <v>104446</v>
      </c>
      <c r="B4447">
        <v>20</v>
      </c>
      <c r="C4447" s="2">
        <v>90000</v>
      </c>
      <c r="D4447" t="s">
        <v>21</v>
      </c>
      <c r="E4447" s="2">
        <v>60700</v>
      </c>
      <c r="F4447" s="2">
        <v>0</v>
      </c>
      <c r="G4447" t="s">
        <v>16</v>
      </c>
      <c r="H4447" t="s">
        <v>17</v>
      </c>
      <c r="I4447" t="s">
        <v>18</v>
      </c>
      <c r="J4447" s="3">
        <v>46056</v>
      </c>
      <c r="K4447" s="4">
        <f>ClientiBanca[[#This Row],[Prestito]]+ClientiBanca[[#This Row],[Mutuo]]</f>
        <v>60700</v>
      </c>
      <c r="L4447" t="str">
        <f>IF(ClientiBanca[[#This Row],[Reddito annuo]]&gt;=70000,"si","no")</f>
        <v>si</v>
      </c>
    </row>
    <row r="4448" spans="1:12">
      <c r="A4448">
        <v>104447</v>
      </c>
      <c r="B4448">
        <v>64</v>
      </c>
      <c r="C4448" s="2">
        <v>59800</v>
      </c>
      <c r="D4448" t="s">
        <v>12</v>
      </c>
      <c r="E4448" s="2">
        <v>0</v>
      </c>
      <c r="F4448" s="2">
        <v>0</v>
      </c>
      <c r="G4448" t="s">
        <v>19</v>
      </c>
      <c r="H4448" t="s">
        <v>14</v>
      </c>
      <c r="I4448" t="s">
        <v>18</v>
      </c>
      <c r="J4448" s="3">
        <v>46192</v>
      </c>
      <c r="K4448" s="4">
        <f>ClientiBanca[[#This Row],[Prestito]]+ClientiBanca[[#This Row],[Mutuo]]</f>
        <v>0</v>
      </c>
      <c r="L4448" t="str">
        <f>IF(ClientiBanca[[#This Row],[Reddito annuo]]&gt;=70000,"si","no")</f>
        <v>no</v>
      </c>
    </row>
    <row r="4449" spans="1:12">
      <c r="A4449">
        <v>104448</v>
      </c>
      <c r="B4449">
        <v>26</v>
      </c>
      <c r="C4449" s="2">
        <v>79300</v>
      </c>
      <c r="D4449" t="s">
        <v>21</v>
      </c>
      <c r="E4449" s="2">
        <v>0</v>
      </c>
      <c r="F4449" s="2">
        <v>128000</v>
      </c>
      <c r="G4449" t="s">
        <v>13</v>
      </c>
      <c r="H4449" t="s">
        <v>20</v>
      </c>
      <c r="I4449" t="s">
        <v>18</v>
      </c>
      <c r="J4449" s="3">
        <v>45669</v>
      </c>
      <c r="K4449" s="4">
        <f>ClientiBanca[[#This Row],[Prestito]]+ClientiBanca[[#This Row],[Mutuo]]</f>
        <v>128000</v>
      </c>
      <c r="L4449" t="str">
        <f>IF(ClientiBanca[[#This Row],[Reddito annuo]]&gt;=70000,"si","no")</f>
        <v>si</v>
      </c>
    </row>
    <row r="4450" spans="1:12">
      <c r="A4450">
        <v>104449</v>
      </c>
      <c r="B4450">
        <v>55</v>
      </c>
      <c r="C4450" s="2">
        <v>25500</v>
      </c>
      <c r="D4450" t="s">
        <v>21</v>
      </c>
      <c r="E4450" s="2">
        <v>31900</v>
      </c>
      <c r="F4450" s="2">
        <v>0</v>
      </c>
      <c r="G4450" t="s">
        <v>28</v>
      </c>
      <c r="H4450" t="s">
        <v>20</v>
      </c>
      <c r="I4450" t="s">
        <v>18</v>
      </c>
      <c r="J4450" s="3">
        <v>45795</v>
      </c>
      <c r="K4450" s="4">
        <f>ClientiBanca[[#This Row],[Prestito]]+ClientiBanca[[#This Row],[Mutuo]]</f>
        <v>31900</v>
      </c>
      <c r="L4450" t="str">
        <f>IF(ClientiBanca[[#This Row],[Reddito annuo]]&gt;=70000,"si","no")</f>
        <v>no</v>
      </c>
    </row>
    <row r="4451" spans="1:12">
      <c r="A4451">
        <v>104450</v>
      </c>
      <c r="B4451">
        <v>67</v>
      </c>
      <c r="C4451" s="2">
        <v>63300</v>
      </c>
      <c r="D4451" t="s">
        <v>22</v>
      </c>
      <c r="E4451" s="2">
        <v>10100</v>
      </c>
      <c r="F4451" s="2">
        <v>0</v>
      </c>
      <c r="G4451" t="s">
        <v>26</v>
      </c>
      <c r="H4451" t="s">
        <v>20</v>
      </c>
      <c r="I4451" t="s">
        <v>18</v>
      </c>
      <c r="J4451" s="3">
        <v>45577</v>
      </c>
      <c r="K4451" s="4">
        <f>ClientiBanca[[#This Row],[Prestito]]+ClientiBanca[[#This Row],[Mutuo]]</f>
        <v>10100</v>
      </c>
      <c r="L4451" t="str">
        <f>IF(ClientiBanca[[#This Row],[Reddito annuo]]&gt;=70000,"si","no")</f>
        <v>no</v>
      </c>
    </row>
    <row r="4452" spans="1:12">
      <c r="A4452">
        <v>104451</v>
      </c>
      <c r="B4452">
        <v>67</v>
      </c>
      <c r="C4452" s="2">
        <v>37200</v>
      </c>
      <c r="D4452" t="s">
        <v>22</v>
      </c>
      <c r="E4452" s="2">
        <v>16300</v>
      </c>
      <c r="F4452" s="2">
        <v>0</v>
      </c>
      <c r="G4452" t="s">
        <v>27</v>
      </c>
      <c r="H4452" t="s">
        <v>14</v>
      </c>
      <c r="I4452" t="s">
        <v>15</v>
      </c>
      <c r="J4452" s="3">
        <v>45646</v>
      </c>
      <c r="K4452" s="4">
        <f>ClientiBanca[[#This Row],[Prestito]]+ClientiBanca[[#This Row],[Mutuo]]</f>
        <v>16300</v>
      </c>
      <c r="L4452" t="str">
        <f>IF(ClientiBanca[[#This Row],[Reddito annuo]]&gt;=70000,"si","no")</f>
        <v>no</v>
      </c>
    </row>
    <row r="4453" spans="1:12">
      <c r="A4453">
        <v>104452</v>
      </c>
      <c r="B4453">
        <v>74</v>
      </c>
      <c r="C4453" s="2">
        <v>28800</v>
      </c>
      <c r="D4453" t="s">
        <v>21</v>
      </c>
      <c r="E4453" s="2">
        <v>30300</v>
      </c>
      <c r="F4453" s="2">
        <v>0</v>
      </c>
      <c r="G4453" t="s">
        <v>16</v>
      </c>
      <c r="H4453" t="s">
        <v>25</v>
      </c>
      <c r="I4453" t="s">
        <v>18</v>
      </c>
      <c r="J4453" s="3">
        <v>45712</v>
      </c>
      <c r="K4453" s="4">
        <f>ClientiBanca[[#This Row],[Prestito]]+ClientiBanca[[#This Row],[Mutuo]]</f>
        <v>30300</v>
      </c>
      <c r="L4453" t="str">
        <f>IF(ClientiBanca[[#This Row],[Reddito annuo]]&gt;=70000,"si","no")</f>
        <v>no</v>
      </c>
    </row>
    <row r="4454" spans="1:12">
      <c r="A4454">
        <v>104453</v>
      </c>
      <c r="B4454">
        <v>52</v>
      </c>
      <c r="C4454" s="2">
        <v>44100</v>
      </c>
      <c r="D4454" t="s">
        <v>12</v>
      </c>
      <c r="E4454" s="2">
        <v>0</v>
      </c>
      <c r="F4454" s="2">
        <v>135000</v>
      </c>
      <c r="G4454" t="s">
        <v>13</v>
      </c>
      <c r="H4454" t="s">
        <v>17</v>
      </c>
      <c r="I4454" t="s">
        <v>18</v>
      </c>
      <c r="J4454" s="3">
        <v>45868</v>
      </c>
      <c r="K4454" s="4">
        <f>ClientiBanca[[#This Row],[Prestito]]+ClientiBanca[[#This Row],[Mutuo]]</f>
        <v>135000</v>
      </c>
      <c r="L4454" t="str">
        <f>IF(ClientiBanca[[#This Row],[Reddito annuo]]&gt;=70000,"si","no")</f>
        <v>no</v>
      </c>
    </row>
    <row r="4455" spans="1:12">
      <c r="A4455">
        <v>104454</v>
      </c>
      <c r="B4455">
        <v>62</v>
      </c>
      <c r="C4455" s="2">
        <v>60100</v>
      </c>
      <c r="D4455" t="s">
        <v>21</v>
      </c>
      <c r="E4455" s="2">
        <v>0</v>
      </c>
      <c r="F4455" s="2">
        <v>0</v>
      </c>
      <c r="G4455" t="s">
        <v>28</v>
      </c>
      <c r="H4455" t="s">
        <v>25</v>
      </c>
      <c r="I4455" t="s">
        <v>18</v>
      </c>
      <c r="J4455" s="3">
        <v>45967</v>
      </c>
      <c r="K4455" s="4">
        <f>ClientiBanca[[#This Row],[Prestito]]+ClientiBanca[[#This Row],[Mutuo]]</f>
        <v>0</v>
      </c>
      <c r="L4455" t="str">
        <f>IF(ClientiBanca[[#This Row],[Reddito annuo]]&gt;=70000,"si","no")</f>
        <v>no</v>
      </c>
    </row>
    <row r="4456" spans="1:12">
      <c r="A4456">
        <v>104455</v>
      </c>
      <c r="B4456">
        <v>54</v>
      </c>
      <c r="C4456" s="2">
        <v>32500</v>
      </c>
      <c r="D4456" t="s">
        <v>12</v>
      </c>
      <c r="E4456" s="2">
        <v>35700</v>
      </c>
      <c r="F4456" s="2">
        <v>0</v>
      </c>
      <c r="G4456" t="s">
        <v>23</v>
      </c>
      <c r="H4456" t="s">
        <v>17</v>
      </c>
      <c r="I4456" t="s">
        <v>18</v>
      </c>
      <c r="J4456" s="3">
        <v>45449</v>
      </c>
      <c r="K4456" s="4">
        <f>ClientiBanca[[#This Row],[Prestito]]+ClientiBanca[[#This Row],[Mutuo]]</f>
        <v>35700</v>
      </c>
      <c r="L4456" t="str">
        <f>IF(ClientiBanca[[#This Row],[Reddito annuo]]&gt;=70000,"si","no")</f>
        <v>no</v>
      </c>
    </row>
    <row r="4457" spans="1:12">
      <c r="A4457">
        <v>104456</v>
      </c>
      <c r="B4457">
        <v>62</v>
      </c>
      <c r="C4457" s="2">
        <v>104100</v>
      </c>
      <c r="D4457" t="s">
        <v>12</v>
      </c>
      <c r="E4457" s="2">
        <v>31900</v>
      </c>
      <c r="F4457" s="2">
        <v>0</v>
      </c>
      <c r="G4457" t="s">
        <v>13</v>
      </c>
      <c r="H4457" t="s">
        <v>17</v>
      </c>
      <c r="I4457" t="s">
        <v>18</v>
      </c>
      <c r="J4457" s="3">
        <v>45416</v>
      </c>
      <c r="K4457" s="4">
        <f>ClientiBanca[[#This Row],[Prestito]]+ClientiBanca[[#This Row],[Mutuo]]</f>
        <v>31900</v>
      </c>
      <c r="L4457" t="str">
        <f>IF(ClientiBanca[[#This Row],[Reddito annuo]]&gt;=70000,"si","no")</f>
        <v>si</v>
      </c>
    </row>
    <row r="4458" spans="1:12">
      <c r="A4458">
        <v>104457</v>
      </c>
      <c r="B4458">
        <v>75</v>
      </c>
      <c r="C4458" s="2">
        <v>57000</v>
      </c>
      <c r="D4458" t="s">
        <v>21</v>
      </c>
      <c r="E4458" s="2">
        <v>54100</v>
      </c>
      <c r="F4458" s="2">
        <v>0</v>
      </c>
      <c r="G4458" t="s">
        <v>13</v>
      </c>
      <c r="H4458" t="s">
        <v>17</v>
      </c>
      <c r="I4458" t="s">
        <v>18</v>
      </c>
      <c r="J4458" s="3">
        <v>45648</v>
      </c>
      <c r="K4458" s="4">
        <f>ClientiBanca[[#This Row],[Prestito]]+ClientiBanca[[#This Row],[Mutuo]]</f>
        <v>54100</v>
      </c>
      <c r="L4458" t="str">
        <f>IF(ClientiBanca[[#This Row],[Reddito annuo]]&gt;=70000,"si","no")</f>
        <v>no</v>
      </c>
    </row>
    <row r="4459" spans="1:12">
      <c r="A4459">
        <v>104458</v>
      </c>
      <c r="B4459">
        <v>68</v>
      </c>
      <c r="C4459" s="2">
        <v>110500</v>
      </c>
      <c r="D4459" t="s">
        <v>12</v>
      </c>
      <c r="E4459" s="2">
        <v>4900</v>
      </c>
      <c r="F4459" s="2">
        <v>0</v>
      </c>
      <c r="G4459" t="s">
        <v>28</v>
      </c>
      <c r="H4459" t="s">
        <v>17</v>
      </c>
      <c r="I4459" t="s">
        <v>18</v>
      </c>
      <c r="J4459" s="3">
        <v>45582</v>
      </c>
      <c r="K4459" s="4">
        <f>ClientiBanca[[#This Row],[Prestito]]+ClientiBanca[[#This Row],[Mutuo]]</f>
        <v>4900</v>
      </c>
      <c r="L4459" t="str">
        <f>IF(ClientiBanca[[#This Row],[Reddito annuo]]&gt;=70000,"si","no")</f>
        <v>si</v>
      </c>
    </row>
    <row r="4460" spans="1:12">
      <c r="A4460">
        <v>104459</v>
      </c>
      <c r="B4460">
        <v>43</v>
      </c>
      <c r="C4460" s="2">
        <v>50700</v>
      </c>
      <c r="D4460" t="s">
        <v>21</v>
      </c>
      <c r="E4460" s="2">
        <v>29800</v>
      </c>
      <c r="F4460" s="2">
        <v>0</v>
      </c>
      <c r="G4460" t="s">
        <v>27</v>
      </c>
      <c r="H4460" t="s">
        <v>17</v>
      </c>
      <c r="I4460" t="s">
        <v>18</v>
      </c>
      <c r="J4460" s="3">
        <v>45996</v>
      </c>
      <c r="K4460" s="4">
        <f>ClientiBanca[[#This Row],[Prestito]]+ClientiBanca[[#This Row],[Mutuo]]</f>
        <v>29800</v>
      </c>
      <c r="L4460" t="str">
        <f>IF(ClientiBanca[[#This Row],[Reddito annuo]]&gt;=70000,"si","no")</f>
        <v>no</v>
      </c>
    </row>
    <row r="4461" spans="1:12">
      <c r="A4461">
        <v>104460</v>
      </c>
      <c r="B4461">
        <v>25</v>
      </c>
      <c r="C4461" s="2">
        <v>67500</v>
      </c>
      <c r="D4461" t="s">
        <v>21</v>
      </c>
      <c r="E4461" s="2">
        <v>0</v>
      </c>
      <c r="F4461" s="2">
        <v>0</v>
      </c>
      <c r="G4461" t="s">
        <v>23</v>
      </c>
      <c r="H4461" t="s">
        <v>20</v>
      </c>
      <c r="I4461" t="s">
        <v>18</v>
      </c>
      <c r="J4461" s="3">
        <v>46176</v>
      </c>
      <c r="K4461" s="4">
        <f>ClientiBanca[[#This Row],[Prestito]]+ClientiBanca[[#This Row],[Mutuo]]</f>
        <v>0</v>
      </c>
      <c r="L4461" t="str">
        <f>IF(ClientiBanca[[#This Row],[Reddito annuo]]&gt;=70000,"si","no")</f>
        <v>no</v>
      </c>
    </row>
    <row r="4462" spans="1:12">
      <c r="A4462">
        <v>104461</v>
      </c>
      <c r="B4462">
        <v>27</v>
      </c>
      <c r="C4462" s="2">
        <v>44500</v>
      </c>
      <c r="D4462" t="s">
        <v>21</v>
      </c>
      <c r="E4462" s="2">
        <v>54000</v>
      </c>
      <c r="F4462" s="2">
        <v>139000</v>
      </c>
      <c r="G4462" t="s">
        <v>24</v>
      </c>
      <c r="H4462" t="s">
        <v>14</v>
      </c>
      <c r="I4462" t="s">
        <v>18</v>
      </c>
      <c r="J4462" s="3">
        <v>45839</v>
      </c>
      <c r="K4462" s="4">
        <f>ClientiBanca[[#This Row],[Prestito]]+ClientiBanca[[#This Row],[Mutuo]]</f>
        <v>193000</v>
      </c>
      <c r="L4462" t="str">
        <f>IF(ClientiBanca[[#This Row],[Reddito annuo]]&gt;=70000,"si","no")</f>
        <v>no</v>
      </c>
    </row>
    <row r="4463" spans="1:12">
      <c r="A4463">
        <v>104462</v>
      </c>
      <c r="B4463">
        <v>34</v>
      </c>
      <c r="C4463" s="2">
        <v>41000</v>
      </c>
      <c r="D4463" t="s">
        <v>22</v>
      </c>
      <c r="E4463" s="2">
        <v>51200</v>
      </c>
      <c r="F4463" s="2">
        <v>0</v>
      </c>
      <c r="G4463" t="s">
        <v>27</v>
      </c>
      <c r="H4463" t="s">
        <v>25</v>
      </c>
      <c r="I4463" t="s">
        <v>18</v>
      </c>
      <c r="J4463" s="3">
        <v>45396</v>
      </c>
      <c r="K4463" s="4">
        <f>ClientiBanca[[#This Row],[Prestito]]+ClientiBanca[[#This Row],[Mutuo]]</f>
        <v>51200</v>
      </c>
      <c r="L4463" t="str">
        <f>IF(ClientiBanca[[#This Row],[Reddito annuo]]&gt;=70000,"si","no")</f>
        <v>no</v>
      </c>
    </row>
    <row r="4464" spans="1:12">
      <c r="A4464">
        <v>104463</v>
      </c>
      <c r="B4464">
        <v>30</v>
      </c>
      <c r="C4464" s="2">
        <v>74500</v>
      </c>
      <c r="D4464" t="s">
        <v>21</v>
      </c>
      <c r="E4464" s="2">
        <v>55200</v>
      </c>
      <c r="F4464" s="2">
        <v>0</v>
      </c>
      <c r="G4464" t="s">
        <v>28</v>
      </c>
      <c r="H4464" t="s">
        <v>17</v>
      </c>
      <c r="I4464" t="s">
        <v>18</v>
      </c>
      <c r="J4464" s="3">
        <v>45897</v>
      </c>
      <c r="K4464" s="4">
        <f>ClientiBanca[[#This Row],[Prestito]]+ClientiBanca[[#This Row],[Mutuo]]</f>
        <v>55200</v>
      </c>
      <c r="L4464" t="str">
        <f>IF(ClientiBanca[[#This Row],[Reddito annuo]]&gt;=70000,"si","no")</f>
        <v>si</v>
      </c>
    </row>
    <row r="4465" spans="1:12">
      <c r="A4465">
        <v>104464</v>
      </c>
      <c r="B4465">
        <v>67</v>
      </c>
      <c r="C4465" s="2">
        <v>91200</v>
      </c>
      <c r="D4465" t="s">
        <v>22</v>
      </c>
      <c r="E4465" s="2">
        <v>13300</v>
      </c>
      <c r="F4465" s="2">
        <v>0</v>
      </c>
      <c r="G4465" t="s">
        <v>24</v>
      </c>
      <c r="H4465" t="s">
        <v>20</v>
      </c>
      <c r="I4465" t="s">
        <v>18</v>
      </c>
      <c r="J4465" s="3">
        <v>45424</v>
      </c>
      <c r="K4465" s="4">
        <f>ClientiBanca[[#This Row],[Prestito]]+ClientiBanca[[#This Row],[Mutuo]]</f>
        <v>13300</v>
      </c>
      <c r="L4465" t="str">
        <f>IF(ClientiBanca[[#This Row],[Reddito annuo]]&gt;=70000,"si","no")</f>
        <v>si</v>
      </c>
    </row>
    <row r="4466" spans="1:12">
      <c r="A4466">
        <v>104465</v>
      </c>
      <c r="B4466">
        <v>23</v>
      </c>
      <c r="C4466" s="2">
        <v>62100</v>
      </c>
      <c r="D4466" t="s">
        <v>21</v>
      </c>
      <c r="E4466" s="2">
        <v>0</v>
      </c>
      <c r="F4466" s="2">
        <v>0</v>
      </c>
      <c r="G4466" t="s">
        <v>27</v>
      </c>
      <c r="H4466" t="s">
        <v>20</v>
      </c>
      <c r="I4466" t="s">
        <v>18</v>
      </c>
      <c r="J4466" s="3">
        <v>45794</v>
      </c>
      <c r="K4466" s="4">
        <f>ClientiBanca[[#This Row],[Prestito]]+ClientiBanca[[#This Row],[Mutuo]]</f>
        <v>0</v>
      </c>
      <c r="L4466" t="str">
        <f>IF(ClientiBanca[[#This Row],[Reddito annuo]]&gt;=70000,"si","no")</f>
        <v>no</v>
      </c>
    </row>
    <row r="4467" spans="1:12">
      <c r="A4467">
        <v>104466</v>
      </c>
      <c r="B4467">
        <v>72</v>
      </c>
      <c r="C4467" s="2">
        <v>72000</v>
      </c>
      <c r="D4467" t="s">
        <v>12</v>
      </c>
      <c r="E4467" s="2">
        <v>0</v>
      </c>
      <c r="F4467" s="2">
        <v>0</v>
      </c>
      <c r="G4467" t="s">
        <v>24</v>
      </c>
      <c r="H4467" t="s">
        <v>17</v>
      </c>
      <c r="I4467" t="s">
        <v>18</v>
      </c>
      <c r="J4467" s="3">
        <v>46044</v>
      </c>
      <c r="K4467" s="4">
        <f>ClientiBanca[[#This Row],[Prestito]]+ClientiBanca[[#This Row],[Mutuo]]</f>
        <v>0</v>
      </c>
      <c r="L4467" t="str">
        <f>IF(ClientiBanca[[#This Row],[Reddito annuo]]&gt;=70000,"si","no")</f>
        <v>si</v>
      </c>
    </row>
    <row r="4468" spans="1:12">
      <c r="A4468">
        <v>104467</v>
      </c>
      <c r="B4468">
        <v>61</v>
      </c>
      <c r="C4468" s="2">
        <v>53000</v>
      </c>
      <c r="D4468" t="s">
        <v>21</v>
      </c>
      <c r="E4468" s="2">
        <v>65000</v>
      </c>
      <c r="F4468" s="2">
        <v>0</v>
      </c>
      <c r="G4468" t="s">
        <v>19</v>
      </c>
      <c r="H4468" t="s">
        <v>14</v>
      </c>
      <c r="I4468" t="s">
        <v>18</v>
      </c>
      <c r="J4468" s="3">
        <v>45617</v>
      </c>
      <c r="K4468" s="4">
        <f>ClientiBanca[[#This Row],[Prestito]]+ClientiBanca[[#This Row],[Mutuo]]</f>
        <v>65000</v>
      </c>
      <c r="L4468" t="str">
        <f>IF(ClientiBanca[[#This Row],[Reddito annuo]]&gt;=70000,"si","no")</f>
        <v>no</v>
      </c>
    </row>
    <row r="4469" spans="1:12">
      <c r="A4469">
        <v>104468</v>
      </c>
      <c r="B4469">
        <v>27</v>
      </c>
      <c r="C4469" s="2">
        <v>52600</v>
      </c>
      <c r="D4469" t="s">
        <v>22</v>
      </c>
      <c r="E4469" s="2">
        <v>0</v>
      </c>
      <c r="F4469" s="2">
        <v>0</v>
      </c>
      <c r="G4469" t="s">
        <v>16</v>
      </c>
      <c r="H4469" t="s">
        <v>20</v>
      </c>
      <c r="I4469" t="s">
        <v>18</v>
      </c>
      <c r="J4469" s="3">
        <v>45878</v>
      </c>
      <c r="K4469" s="4">
        <f>ClientiBanca[[#This Row],[Prestito]]+ClientiBanca[[#This Row],[Mutuo]]</f>
        <v>0</v>
      </c>
      <c r="L4469" t="str">
        <f>IF(ClientiBanca[[#This Row],[Reddito annuo]]&gt;=70000,"si","no")</f>
        <v>no</v>
      </c>
    </row>
    <row r="4470" spans="1:12">
      <c r="A4470">
        <v>104469</v>
      </c>
      <c r="B4470">
        <v>45</v>
      </c>
      <c r="C4470" s="2">
        <v>95000</v>
      </c>
      <c r="D4470" t="s">
        <v>22</v>
      </c>
      <c r="E4470" s="2">
        <v>28200</v>
      </c>
      <c r="F4470" s="2">
        <v>0</v>
      </c>
      <c r="G4470" t="s">
        <v>23</v>
      </c>
      <c r="H4470" t="s">
        <v>20</v>
      </c>
      <c r="I4470" t="s">
        <v>18</v>
      </c>
      <c r="J4470" s="3">
        <v>45427</v>
      </c>
      <c r="K4470" s="4">
        <f>ClientiBanca[[#This Row],[Prestito]]+ClientiBanca[[#This Row],[Mutuo]]</f>
        <v>28200</v>
      </c>
      <c r="L4470" t="str">
        <f>IF(ClientiBanca[[#This Row],[Reddito annuo]]&gt;=70000,"si","no")</f>
        <v>si</v>
      </c>
    </row>
    <row r="4471" spans="1:12">
      <c r="A4471">
        <v>104470</v>
      </c>
      <c r="B4471">
        <v>69</v>
      </c>
      <c r="C4471" s="2">
        <v>50600</v>
      </c>
      <c r="D4471" t="s">
        <v>22</v>
      </c>
      <c r="E4471" s="2">
        <v>33100</v>
      </c>
      <c r="F4471" s="2">
        <v>0</v>
      </c>
      <c r="G4471" t="s">
        <v>27</v>
      </c>
      <c r="H4471" t="s">
        <v>17</v>
      </c>
      <c r="I4471" t="s">
        <v>18</v>
      </c>
      <c r="J4471" s="3">
        <v>46186</v>
      </c>
      <c r="K4471" s="4">
        <f>ClientiBanca[[#This Row],[Prestito]]+ClientiBanca[[#This Row],[Mutuo]]</f>
        <v>33100</v>
      </c>
      <c r="L4471" t="str">
        <f>IF(ClientiBanca[[#This Row],[Reddito annuo]]&gt;=70000,"si","no")</f>
        <v>no</v>
      </c>
    </row>
    <row r="4472" spans="1:12">
      <c r="A4472">
        <v>104471</v>
      </c>
      <c r="B4472">
        <v>37</v>
      </c>
      <c r="C4472" s="2">
        <v>50600</v>
      </c>
      <c r="D4472" t="s">
        <v>12</v>
      </c>
      <c r="E4472" s="2">
        <v>0</v>
      </c>
      <c r="F4472" s="2">
        <v>0</v>
      </c>
      <c r="G4472" t="s">
        <v>16</v>
      </c>
      <c r="H4472" t="s">
        <v>17</v>
      </c>
      <c r="I4472" t="s">
        <v>18</v>
      </c>
      <c r="J4472" s="3">
        <v>45310</v>
      </c>
      <c r="K4472" s="4">
        <f>ClientiBanca[[#This Row],[Prestito]]+ClientiBanca[[#This Row],[Mutuo]]</f>
        <v>0</v>
      </c>
      <c r="L4472" t="str">
        <f>IF(ClientiBanca[[#This Row],[Reddito annuo]]&gt;=70000,"si","no")</f>
        <v>no</v>
      </c>
    </row>
    <row r="4473" spans="1:12">
      <c r="A4473">
        <v>104472</v>
      </c>
      <c r="B4473">
        <v>59</v>
      </c>
      <c r="C4473" s="2">
        <v>55700</v>
      </c>
      <c r="D4473" t="s">
        <v>12</v>
      </c>
      <c r="E4473" s="2">
        <v>19000</v>
      </c>
      <c r="F4473" s="2">
        <v>0</v>
      </c>
      <c r="G4473" t="s">
        <v>28</v>
      </c>
      <c r="H4473" t="s">
        <v>14</v>
      </c>
      <c r="I4473" t="s">
        <v>18</v>
      </c>
      <c r="J4473" s="3">
        <v>45840</v>
      </c>
      <c r="K4473" s="4">
        <f>ClientiBanca[[#This Row],[Prestito]]+ClientiBanca[[#This Row],[Mutuo]]</f>
        <v>19000</v>
      </c>
      <c r="L4473" t="str">
        <f>IF(ClientiBanca[[#This Row],[Reddito annuo]]&gt;=70000,"si","no")</f>
        <v>no</v>
      </c>
    </row>
    <row r="4474" spans="1:12">
      <c r="A4474">
        <v>104473</v>
      </c>
      <c r="B4474">
        <v>32</v>
      </c>
      <c r="C4474" s="2">
        <v>70100</v>
      </c>
      <c r="D4474" t="s">
        <v>21</v>
      </c>
      <c r="E4474" s="2">
        <v>10900</v>
      </c>
      <c r="F4474" s="2">
        <v>73000</v>
      </c>
      <c r="G4474" t="s">
        <v>16</v>
      </c>
      <c r="H4474" t="s">
        <v>17</v>
      </c>
      <c r="I4474" t="s">
        <v>18</v>
      </c>
      <c r="J4474" s="3">
        <v>45586</v>
      </c>
      <c r="K4474" s="4">
        <f>ClientiBanca[[#This Row],[Prestito]]+ClientiBanca[[#This Row],[Mutuo]]</f>
        <v>83900</v>
      </c>
      <c r="L4474" t="str">
        <f>IF(ClientiBanca[[#This Row],[Reddito annuo]]&gt;=70000,"si","no")</f>
        <v>si</v>
      </c>
    </row>
    <row r="4475" spans="1:12">
      <c r="A4475">
        <v>104474</v>
      </c>
      <c r="B4475">
        <v>35</v>
      </c>
      <c r="C4475" s="2">
        <v>91800</v>
      </c>
      <c r="D4475" t="s">
        <v>12</v>
      </c>
      <c r="E4475" s="2">
        <v>0</v>
      </c>
      <c r="F4475" s="2">
        <v>93000</v>
      </c>
      <c r="G4475" t="s">
        <v>27</v>
      </c>
      <c r="H4475" t="s">
        <v>20</v>
      </c>
      <c r="I4475" t="s">
        <v>18</v>
      </c>
      <c r="J4475" s="3">
        <v>45355</v>
      </c>
      <c r="K4475" s="4">
        <f>ClientiBanca[[#This Row],[Prestito]]+ClientiBanca[[#This Row],[Mutuo]]</f>
        <v>93000</v>
      </c>
      <c r="L4475" t="str">
        <f>IF(ClientiBanca[[#This Row],[Reddito annuo]]&gt;=70000,"si","no")</f>
        <v>si</v>
      </c>
    </row>
    <row r="4476" spans="1:12">
      <c r="A4476">
        <v>104475</v>
      </c>
      <c r="B4476">
        <v>34</v>
      </c>
      <c r="C4476" s="2">
        <v>75800</v>
      </c>
      <c r="D4476" t="s">
        <v>21</v>
      </c>
      <c r="E4476" s="2">
        <v>29100</v>
      </c>
      <c r="F4476" s="2">
        <v>0</v>
      </c>
      <c r="G4476" t="s">
        <v>28</v>
      </c>
      <c r="H4476" t="s">
        <v>14</v>
      </c>
      <c r="I4476" t="s">
        <v>18</v>
      </c>
      <c r="J4476" s="3">
        <v>45870</v>
      </c>
      <c r="K4476" s="4">
        <f>ClientiBanca[[#This Row],[Prestito]]+ClientiBanca[[#This Row],[Mutuo]]</f>
        <v>29100</v>
      </c>
      <c r="L4476" t="str">
        <f>IF(ClientiBanca[[#This Row],[Reddito annuo]]&gt;=70000,"si","no")</f>
        <v>si</v>
      </c>
    </row>
    <row r="4477" spans="1:12">
      <c r="A4477">
        <v>104476</v>
      </c>
      <c r="B4477">
        <v>75</v>
      </c>
      <c r="C4477" s="2">
        <v>91400</v>
      </c>
      <c r="D4477" t="s">
        <v>21</v>
      </c>
      <c r="E4477" s="2">
        <v>54100</v>
      </c>
      <c r="F4477" s="2">
        <v>0</v>
      </c>
      <c r="G4477" t="s">
        <v>28</v>
      </c>
      <c r="H4477" t="s">
        <v>14</v>
      </c>
      <c r="I4477" t="s">
        <v>18</v>
      </c>
      <c r="J4477" s="3">
        <v>45942</v>
      </c>
      <c r="K4477" s="4">
        <f>ClientiBanca[[#This Row],[Prestito]]+ClientiBanca[[#This Row],[Mutuo]]</f>
        <v>54100</v>
      </c>
      <c r="L4477" t="str">
        <f>IF(ClientiBanca[[#This Row],[Reddito annuo]]&gt;=70000,"si","no")</f>
        <v>si</v>
      </c>
    </row>
    <row r="4478" spans="1:12">
      <c r="A4478">
        <v>104477</v>
      </c>
      <c r="B4478">
        <v>73</v>
      </c>
      <c r="C4478" s="2">
        <v>107200</v>
      </c>
      <c r="D4478" t="s">
        <v>12</v>
      </c>
      <c r="E4478" s="2">
        <v>0</v>
      </c>
      <c r="F4478" s="2">
        <v>202000</v>
      </c>
      <c r="G4478" t="s">
        <v>24</v>
      </c>
      <c r="H4478" t="s">
        <v>20</v>
      </c>
      <c r="I4478" t="s">
        <v>18</v>
      </c>
      <c r="J4478" s="3">
        <v>45834</v>
      </c>
      <c r="K4478" s="4">
        <f>ClientiBanca[[#This Row],[Prestito]]+ClientiBanca[[#This Row],[Mutuo]]</f>
        <v>202000</v>
      </c>
      <c r="L4478" t="str">
        <f>IF(ClientiBanca[[#This Row],[Reddito annuo]]&gt;=70000,"si","no")</f>
        <v>si</v>
      </c>
    </row>
    <row r="4479" spans="1:12">
      <c r="A4479">
        <v>104478</v>
      </c>
      <c r="B4479">
        <v>56</v>
      </c>
      <c r="C4479" s="2">
        <v>26000</v>
      </c>
      <c r="D4479" t="s">
        <v>22</v>
      </c>
      <c r="E4479" s="2">
        <v>26700</v>
      </c>
      <c r="F4479" s="2">
        <v>0</v>
      </c>
      <c r="G4479" t="s">
        <v>27</v>
      </c>
      <c r="H4479" t="s">
        <v>14</v>
      </c>
      <c r="I4479" t="s">
        <v>18</v>
      </c>
      <c r="J4479" s="3">
        <v>45620</v>
      </c>
      <c r="K4479" s="4">
        <f>ClientiBanca[[#This Row],[Prestito]]+ClientiBanca[[#This Row],[Mutuo]]</f>
        <v>26700</v>
      </c>
      <c r="L4479" t="str">
        <f>IF(ClientiBanca[[#This Row],[Reddito annuo]]&gt;=70000,"si","no")</f>
        <v>no</v>
      </c>
    </row>
    <row r="4480" spans="1:12">
      <c r="A4480">
        <v>104479</v>
      </c>
      <c r="B4480">
        <v>60</v>
      </c>
      <c r="C4480" s="2">
        <v>85100</v>
      </c>
      <c r="D4480" t="s">
        <v>22</v>
      </c>
      <c r="E4480" s="2">
        <v>41100</v>
      </c>
      <c r="F4480" s="2">
        <v>0</v>
      </c>
      <c r="G4480" t="s">
        <v>19</v>
      </c>
      <c r="H4480" t="s">
        <v>14</v>
      </c>
      <c r="I4480" t="s">
        <v>18</v>
      </c>
      <c r="J4480" s="3">
        <v>45785</v>
      </c>
      <c r="K4480" s="4">
        <f>ClientiBanca[[#This Row],[Prestito]]+ClientiBanca[[#This Row],[Mutuo]]</f>
        <v>41100</v>
      </c>
      <c r="L4480" t="str">
        <f>IF(ClientiBanca[[#This Row],[Reddito annuo]]&gt;=70000,"si","no")</f>
        <v>si</v>
      </c>
    </row>
    <row r="4481" spans="1:12">
      <c r="A4481">
        <v>104480</v>
      </c>
      <c r="B4481">
        <v>33</v>
      </c>
      <c r="C4481" s="2">
        <v>99100</v>
      </c>
      <c r="D4481" t="s">
        <v>12</v>
      </c>
      <c r="E4481" s="2">
        <v>22600</v>
      </c>
      <c r="F4481" s="2">
        <v>0</v>
      </c>
      <c r="G4481" t="s">
        <v>27</v>
      </c>
      <c r="H4481" t="s">
        <v>20</v>
      </c>
      <c r="I4481" t="s">
        <v>18</v>
      </c>
      <c r="J4481" s="3">
        <v>45805</v>
      </c>
      <c r="K4481" s="4">
        <f>ClientiBanca[[#This Row],[Prestito]]+ClientiBanca[[#This Row],[Mutuo]]</f>
        <v>22600</v>
      </c>
      <c r="L4481" t="str">
        <f>IF(ClientiBanca[[#This Row],[Reddito annuo]]&gt;=70000,"si","no")</f>
        <v>si</v>
      </c>
    </row>
    <row r="4482" spans="1:12">
      <c r="A4482">
        <v>104481</v>
      </c>
      <c r="B4482">
        <v>40</v>
      </c>
      <c r="C4482" s="2">
        <v>83900</v>
      </c>
      <c r="D4482" t="s">
        <v>21</v>
      </c>
      <c r="E4482" s="2">
        <v>19900</v>
      </c>
      <c r="F4482" s="2">
        <v>254000</v>
      </c>
      <c r="G4482" t="s">
        <v>19</v>
      </c>
      <c r="H4482" t="s">
        <v>20</v>
      </c>
      <c r="I4482" t="s">
        <v>18</v>
      </c>
      <c r="J4482" s="3">
        <v>46211</v>
      </c>
      <c r="K4482" s="4">
        <f>ClientiBanca[[#This Row],[Prestito]]+ClientiBanca[[#This Row],[Mutuo]]</f>
        <v>273900</v>
      </c>
      <c r="L4482" t="str">
        <f>IF(ClientiBanca[[#This Row],[Reddito annuo]]&gt;=70000,"si","no")</f>
        <v>si</v>
      </c>
    </row>
    <row r="4483" spans="1:12">
      <c r="A4483">
        <v>104482</v>
      </c>
      <c r="B4483">
        <v>23</v>
      </c>
      <c r="C4483" s="2">
        <v>35700</v>
      </c>
      <c r="D4483" t="s">
        <v>21</v>
      </c>
      <c r="E4483" s="2">
        <v>12700</v>
      </c>
      <c r="F4483" s="2">
        <v>0</v>
      </c>
      <c r="G4483" t="s">
        <v>28</v>
      </c>
      <c r="H4483" t="s">
        <v>14</v>
      </c>
      <c r="I4483" t="s">
        <v>18</v>
      </c>
      <c r="J4483" s="3">
        <v>45645</v>
      </c>
      <c r="K4483" s="4">
        <f>ClientiBanca[[#This Row],[Prestito]]+ClientiBanca[[#This Row],[Mutuo]]</f>
        <v>12700</v>
      </c>
      <c r="L4483" t="str">
        <f>IF(ClientiBanca[[#This Row],[Reddito annuo]]&gt;=70000,"si","no")</f>
        <v>no</v>
      </c>
    </row>
    <row r="4484" spans="1:12">
      <c r="A4484">
        <v>104483</v>
      </c>
      <c r="B4484">
        <v>20</v>
      </c>
      <c r="C4484" s="2">
        <v>77400</v>
      </c>
      <c r="D4484" t="s">
        <v>21</v>
      </c>
      <c r="E4484" s="2">
        <v>0</v>
      </c>
      <c r="F4484" s="2">
        <v>0</v>
      </c>
      <c r="G4484" t="s">
        <v>13</v>
      </c>
      <c r="H4484" t="s">
        <v>14</v>
      </c>
      <c r="I4484" t="s">
        <v>18</v>
      </c>
      <c r="J4484" s="3">
        <v>45942</v>
      </c>
      <c r="K4484" s="4">
        <f>ClientiBanca[[#This Row],[Prestito]]+ClientiBanca[[#This Row],[Mutuo]]</f>
        <v>0</v>
      </c>
      <c r="L4484" t="str">
        <f>IF(ClientiBanca[[#This Row],[Reddito annuo]]&gt;=70000,"si","no")</f>
        <v>si</v>
      </c>
    </row>
    <row r="4485" spans="1:12">
      <c r="A4485">
        <v>104484</v>
      </c>
      <c r="B4485">
        <v>37</v>
      </c>
      <c r="C4485" s="2">
        <v>33400</v>
      </c>
      <c r="D4485" t="s">
        <v>21</v>
      </c>
      <c r="E4485" s="2">
        <v>0</v>
      </c>
      <c r="F4485" s="2">
        <v>0</v>
      </c>
      <c r="G4485" t="s">
        <v>13</v>
      </c>
      <c r="H4485" t="s">
        <v>20</v>
      </c>
      <c r="I4485" t="s">
        <v>18</v>
      </c>
      <c r="J4485" s="3">
        <v>46022</v>
      </c>
      <c r="K4485" s="4">
        <f>ClientiBanca[[#This Row],[Prestito]]+ClientiBanca[[#This Row],[Mutuo]]</f>
        <v>0</v>
      </c>
      <c r="L4485" t="str">
        <f>IF(ClientiBanca[[#This Row],[Reddito annuo]]&gt;=70000,"si","no")</f>
        <v>no</v>
      </c>
    </row>
    <row r="4486" spans="1:12">
      <c r="A4486">
        <v>104485</v>
      </c>
      <c r="B4486">
        <v>72</v>
      </c>
      <c r="C4486" s="2">
        <v>21000</v>
      </c>
      <c r="D4486" t="s">
        <v>21</v>
      </c>
      <c r="E4486" s="2">
        <v>0</v>
      </c>
      <c r="F4486" s="2">
        <v>0</v>
      </c>
      <c r="G4486" t="s">
        <v>19</v>
      </c>
      <c r="H4486" t="s">
        <v>20</v>
      </c>
      <c r="I4486" t="s">
        <v>18</v>
      </c>
      <c r="J4486" s="3">
        <v>45730</v>
      </c>
      <c r="K4486" s="4">
        <f>ClientiBanca[[#This Row],[Prestito]]+ClientiBanca[[#This Row],[Mutuo]]</f>
        <v>0</v>
      </c>
      <c r="L4486" t="str">
        <f>IF(ClientiBanca[[#This Row],[Reddito annuo]]&gt;=70000,"si","no")</f>
        <v>no</v>
      </c>
    </row>
    <row r="4487" spans="1:12">
      <c r="A4487">
        <v>104486</v>
      </c>
      <c r="B4487">
        <v>57</v>
      </c>
      <c r="C4487" s="2">
        <v>67500</v>
      </c>
      <c r="D4487" t="s">
        <v>22</v>
      </c>
      <c r="E4487" s="2">
        <v>52000</v>
      </c>
      <c r="F4487" s="2">
        <v>0</v>
      </c>
      <c r="G4487" t="s">
        <v>24</v>
      </c>
      <c r="H4487" t="s">
        <v>14</v>
      </c>
      <c r="I4487" t="s">
        <v>18</v>
      </c>
      <c r="J4487" s="3">
        <v>45877</v>
      </c>
      <c r="K4487" s="4">
        <f>ClientiBanca[[#This Row],[Prestito]]+ClientiBanca[[#This Row],[Mutuo]]</f>
        <v>52000</v>
      </c>
      <c r="L4487" t="str">
        <f>IF(ClientiBanca[[#This Row],[Reddito annuo]]&gt;=70000,"si","no")</f>
        <v>no</v>
      </c>
    </row>
    <row r="4488" spans="1:12">
      <c r="A4488">
        <v>104487</v>
      </c>
      <c r="B4488">
        <v>57</v>
      </c>
      <c r="C4488" s="2">
        <v>44900</v>
      </c>
      <c r="D4488" t="s">
        <v>21</v>
      </c>
      <c r="E4488" s="2">
        <v>40400</v>
      </c>
      <c r="F4488" s="2">
        <v>344000</v>
      </c>
      <c r="G4488" t="s">
        <v>19</v>
      </c>
      <c r="H4488" t="s">
        <v>17</v>
      </c>
      <c r="I4488" t="s">
        <v>18</v>
      </c>
      <c r="J4488" s="3">
        <v>45341</v>
      </c>
      <c r="K4488" s="4">
        <f>ClientiBanca[[#This Row],[Prestito]]+ClientiBanca[[#This Row],[Mutuo]]</f>
        <v>384400</v>
      </c>
      <c r="L4488" t="str">
        <f>IF(ClientiBanca[[#This Row],[Reddito annuo]]&gt;=70000,"si","no")</f>
        <v>no</v>
      </c>
    </row>
    <row r="4489" spans="1:12">
      <c r="A4489">
        <v>104488</v>
      </c>
      <c r="B4489">
        <v>44</v>
      </c>
      <c r="C4489" s="2">
        <v>115500</v>
      </c>
      <c r="D4489" t="s">
        <v>21</v>
      </c>
      <c r="E4489" s="2">
        <v>55400</v>
      </c>
      <c r="F4489" s="2">
        <v>0</v>
      </c>
      <c r="G4489" t="s">
        <v>24</v>
      </c>
      <c r="H4489" t="s">
        <v>20</v>
      </c>
      <c r="I4489" t="s">
        <v>18</v>
      </c>
      <c r="J4489" s="3">
        <v>45418</v>
      </c>
      <c r="K4489" s="4">
        <f>ClientiBanca[[#This Row],[Prestito]]+ClientiBanca[[#This Row],[Mutuo]]</f>
        <v>55400</v>
      </c>
      <c r="L4489" t="str">
        <f>IF(ClientiBanca[[#This Row],[Reddito annuo]]&gt;=70000,"si","no")</f>
        <v>si</v>
      </c>
    </row>
    <row r="4490" spans="1:12">
      <c r="A4490">
        <v>104489</v>
      </c>
      <c r="B4490">
        <v>33</v>
      </c>
      <c r="C4490" s="2">
        <v>58200</v>
      </c>
      <c r="D4490" t="s">
        <v>12</v>
      </c>
      <c r="E4490" s="2">
        <v>13000</v>
      </c>
      <c r="F4490" s="2">
        <v>0</v>
      </c>
      <c r="G4490" t="s">
        <v>13</v>
      </c>
      <c r="H4490" t="s">
        <v>17</v>
      </c>
      <c r="I4490" t="s">
        <v>18</v>
      </c>
      <c r="J4490" s="3">
        <v>45690</v>
      </c>
      <c r="K4490" s="4">
        <f>ClientiBanca[[#This Row],[Prestito]]+ClientiBanca[[#This Row],[Mutuo]]</f>
        <v>13000</v>
      </c>
      <c r="L4490" t="str">
        <f>IF(ClientiBanca[[#This Row],[Reddito annuo]]&gt;=70000,"si","no")</f>
        <v>no</v>
      </c>
    </row>
    <row r="4491" spans="1:12">
      <c r="A4491">
        <v>104490</v>
      </c>
      <c r="B4491">
        <v>57</v>
      </c>
      <c r="C4491" s="2">
        <v>46200</v>
      </c>
      <c r="D4491" t="s">
        <v>21</v>
      </c>
      <c r="E4491" s="2">
        <v>57800</v>
      </c>
      <c r="F4491" s="2">
        <v>0</v>
      </c>
      <c r="G4491" t="s">
        <v>23</v>
      </c>
      <c r="H4491" t="s">
        <v>20</v>
      </c>
      <c r="I4491" t="s">
        <v>18</v>
      </c>
      <c r="J4491" s="3">
        <v>46048</v>
      </c>
      <c r="K4491" s="4">
        <f>ClientiBanca[[#This Row],[Prestito]]+ClientiBanca[[#This Row],[Mutuo]]</f>
        <v>57800</v>
      </c>
      <c r="L4491" t="str">
        <f>IF(ClientiBanca[[#This Row],[Reddito annuo]]&gt;=70000,"si","no")</f>
        <v>no</v>
      </c>
    </row>
    <row r="4492" spans="1:12">
      <c r="A4492">
        <v>104491</v>
      </c>
      <c r="B4492">
        <v>40</v>
      </c>
      <c r="C4492" s="2">
        <v>75000</v>
      </c>
      <c r="D4492" t="s">
        <v>12</v>
      </c>
      <c r="E4492" s="2">
        <v>0</v>
      </c>
      <c r="F4492" s="2">
        <v>0</v>
      </c>
      <c r="G4492" t="s">
        <v>16</v>
      </c>
      <c r="H4492" t="s">
        <v>17</v>
      </c>
      <c r="I4492" t="s">
        <v>18</v>
      </c>
      <c r="J4492" s="3">
        <v>45412</v>
      </c>
      <c r="K4492" s="4">
        <f>ClientiBanca[[#This Row],[Prestito]]+ClientiBanca[[#This Row],[Mutuo]]</f>
        <v>0</v>
      </c>
      <c r="L4492" t="str">
        <f>IF(ClientiBanca[[#This Row],[Reddito annuo]]&gt;=70000,"si","no")</f>
        <v>si</v>
      </c>
    </row>
    <row r="4493" spans="1:12">
      <c r="A4493">
        <v>104492</v>
      </c>
      <c r="B4493">
        <v>43</v>
      </c>
      <c r="C4493" s="2">
        <v>27200</v>
      </c>
      <c r="D4493" t="s">
        <v>12</v>
      </c>
      <c r="E4493" s="2">
        <v>14400</v>
      </c>
      <c r="F4493" s="2">
        <v>0</v>
      </c>
      <c r="G4493" t="s">
        <v>23</v>
      </c>
      <c r="H4493" t="s">
        <v>14</v>
      </c>
      <c r="I4493" t="s">
        <v>18</v>
      </c>
      <c r="J4493" s="3">
        <v>45402</v>
      </c>
      <c r="K4493" s="4">
        <f>ClientiBanca[[#This Row],[Prestito]]+ClientiBanca[[#This Row],[Mutuo]]</f>
        <v>14400</v>
      </c>
      <c r="L4493" t="str">
        <f>IF(ClientiBanca[[#This Row],[Reddito annuo]]&gt;=70000,"si","no")</f>
        <v>no</v>
      </c>
    </row>
    <row r="4494" spans="1:12">
      <c r="A4494">
        <v>104493</v>
      </c>
      <c r="B4494">
        <v>54</v>
      </c>
      <c r="C4494" s="2">
        <v>56200</v>
      </c>
      <c r="D4494" t="s">
        <v>12</v>
      </c>
      <c r="E4494" s="2">
        <v>28900</v>
      </c>
      <c r="F4494" s="2">
        <v>373000</v>
      </c>
      <c r="G4494" t="s">
        <v>27</v>
      </c>
      <c r="H4494" t="s">
        <v>20</v>
      </c>
      <c r="I4494" t="s">
        <v>15</v>
      </c>
      <c r="J4494" s="3">
        <v>45451</v>
      </c>
      <c r="K4494" s="4">
        <f>ClientiBanca[[#This Row],[Prestito]]+ClientiBanca[[#This Row],[Mutuo]]</f>
        <v>401900</v>
      </c>
      <c r="L4494" t="str">
        <f>IF(ClientiBanca[[#This Row],[Reddito annuo]]&gt;=70000,"si","no")</f>
        <v>no</v>
      </c>
    </row>
    <row r="4495" spans="1:12">
      <c r="A4495">
        <v>104494</v>
      </c>
      <c r="B4495">
        <v>71</v>
      </c>
      <c r="C4495" s="2">
        <v>88400</v>
      </c>
      <c r="D4495" t="s">
        <v>21</v>
      </c>
      <c r="E4495" s="2">
        <v>34700</v>
      </c>
      <c r="F4495" s="2">
        <v>0</v>
      </c>
      <c r="G4495" t="s">
        <v>23</v>
      </c>
      <c r="H4495" t="s">
        <v>20</v>
      </c>
      <c r="I4495" t="s">
        <v>18</v>
      </c>
      <c r="J4495" s="3">
        <v>45296</v>
      </c>
      <c r="K4495" s="4">
        <f>ClientiBanca[[#This Row],[Prestito]]+ClientiBanca[[#This Row],[Mutuo]]</f>
        <v>34700</v>
      </c>
      <c r="L4495" t="str">
        <f>IF(ClientiBanca[[#This Row],[Reddito annuo]]&gt;=70000,"si","no")</f>
        <v>si</v>
      </c>
    </row>
    <row r="4496" spans="1:12">
      <c r="A4496">
        <v>104495</v>
      </c>
      <c r="B4496">
        <v>69</v>
      </c>
      <c r="C4496" s="2">
        <v>37800</v>
      </c>
      <c r="D4496" t="s">
        <v>21</v>
      </c>
      <c r="E4496" s="2">
        <v>0</v>
      </c>
      <c r="F4496" s="2">
        <v>0</v>
      </c>
      <c r="G4496" t="s">
        <v>28</v>
      </c>
      <c r="H4496" t="s">
        <v>20</v>
      </c>
      <c r="I4496" t="s">
        <v>18</v>
      </c>
      <c r="J4496" s="3">
        <v>45297</v>
      </c>
      <c r="K4496" s="4">
        <f>ClientiBanca[[#This Row],[Prestito]]+ClientiBanca[[#This Row],[Mutuo]]</f>
        <v>0</v>
      </c>
      <c r="L4496" t="str">
        <f>IF(ClientiBanca[[#This Row],[Reddito annuo]]&gt;=70000,"si","no")</f>
        <v>no</v>
      </c>
    </row>
    <row r="4497" spans="1:12">
      <c r="A4497">
        <v>104496</v>
      </c>
      <c r="B4497">
        <v>21</v>
      </c>
      <c r="C4497" s="2">
        <v>83200</v>
      </c>
      <c r="D4497" t="s">
        <v>21</v>
      </c>
      <c r="E4497" s="2">
        <v>0</v>
      </c>
      <c r="F4497" s="2">
        <v>0</v>
      </c>
      <c r="G4497" t="s">
        <v>16</v>
      </c>
      <c r="H4497" t="s">
        <v>20</v>
      </c>
      <c r="I4497" t="s">
        <v>18</v>
      </c>
      <c r="J4497" s="3">
        <v>45602</v>
      </c>
      <c r="K4497" s="4">
        <f>ClientiBanca[[#This Row],[Prestito]]+ClientiBanca[[#This Row],[Mutuo]]</f>
        <v>0</v>
      </c>
      <c r="L4497" t="str">
        <f>IF(ClientiBanca[[#This Row],[Reddito annuo]]&gt;=70000,"si","no")</f>
        <v>si</v>
      </c>
    </row>
    <row r="4498" spans="1:12">
      <c r="A4498">
        <v>104497</v>
      </c>
      <c r="B4498">
        <v>49</v>
      </c>
      <c r="C4498" s="2">
        <v>28400</v>
      </c>
      <c r="D4498" t="s">
        <v>21</v>
      </c>
      <c r="E4498" s="2">
        <v>9800</v>
      </c>
      <c r="F4498" s="2">
        <v>172000</v>
      </c>
      <c r="G4498" t="s">
        <v>16</v>
      </c>
      <c r="H4498" t="s">
        <v>25</v>
      </c>
      <c r="I4498" t="s">
        <v>15</v>
      </c>
      <c r="J4498" s="3">
        <v>45807</v>
      </c>
      <c r="K4498" s="4">
        <f>ClientiBanca[[#This Row],[Prestito]]+ClientiBanca[[#This Row],[Mutuo]]</f>
        <v>181800</v>
      </c>
      <c r="L4498" t="str">
        <f>IF(ClientiBanca[[#This Row],[Reddito annuo]]&gt;=70000,"si","no")</f>
        <v>no</v>
      </c>
    </row>
    <row r="4499" spans="1:12">
      <c r="A4499">
        <v>104498</v>
      </c>
      <c r="B4499">
        <v>21</v>
      </c>
      <c r="C4499" s="2">
        <v>50400</v>
      </c>
      <c r="D4499" t="s">
        <v>22</v>
      </c>
      <c r="E4499" s="2">
        <v>35400</v>
      </c>
      <c r="F4499" s="2">
        <v>0</v>
      </c>
      <c r="G4499" t="s">
        <v>24</v>
      </c>
      <c r="H4499" t="s">
        <v>20</v>
      </c>
      <c r="I4499" t="s">
        <v>18</v>
      </c>
      <c r="J4499" s="3">
        <v>45336</v>
      </c>
      <c r="K4499" s="4">
        <f>ClientiBanca[[#This Row],[Prestito]]+ClientiBanca[[#This Row],[Mutuo]]</f>
        <v>35400</v>
      </c>
      <c r="L4499" t="str">
        <f>IF(ClientiBanca[[#This Row],[Reddito annuo]]&gt;=70000,"si","no")</f>
        <v>no</v>
      </c>
    </row>
    <row r="4500" spans="1:12">
      <c r="A4500">
        <v>104499</v>
      </c>
      <c r="B4500">
        <v>56</v>
      </c>
      <c r="C4500" s="2">
        <v>57100</v>
      </c>
      <c r="D4500" t="s">
        <v>21</v>
      </c>
      <c r="E4500" s="2">
        <v>0</v>
      </c>
      <c r="F4500" s="2">
        <v>0</v>
      </c>
      <c r="G4500" t="s">
        <v>24</v>
      </c>
      <c r="H4500" t="s">
        <v>20</v>
      </c>
      <c r="I4500" t="s">
        <v>18</v>
      </c>
      <c r="J4500" s="3">
        <v>45803</v>
      </c>
      <c r="K4500" s="4">
        <f>ClientiBanca[[#This Row],[Prestito]]+ClientiBanca[[#This Row],[Mutuo]]</f>
        <v>0</v>
      </c>
      <c r="L4500" t="str">
        <f>IF(ClientiBanca[[#This Row],[Reddito annuo]]&gt;=70000,"si","no")</f>
        <v>no</v>
      </c>
    </row>
    <row r="4501" spans="1:12">
      <c r="A4501">
        <v>104500</v>
      </c>
      <c r="B4501">
        <v>23</v>
      </c>
      <c r="C4501" s="2">
        <v>69700</v>
      </c>
      <c r="D4501" t="s">
        <v>21</v>
      </c>
      <c r="E4501" s="2">
        <v>45900</v>
      </c>
      <c r="F4501" s="2">
        <v>0</v>
      </c>
      <c r="G4501" t="s">
        <v>13</v>
      </c>
      <c r="H4501" t="s">
        <v>20</v>
      </c>
      <c r="I4501" t="s">
        <v>18</v>
      </c>
      <c r="J4501" s="3">
        <v>45932</v>
      </c>
      <c r="K4501" s="4">
        <f>ClientiBanca[[#This Row],[Prestito]]+ClientiBanca[[#This Row],[Mutuo]]</f>
        <v>45900</v>
      </c>
      <c r="L4501" t="str">
        <f>IF(ClientiBanca[[#This Row],[Reddito annuo]]&gt;=70000,"si","no")</f>
        <v>no</v>
      </c>
    </row>
    <row r="4502" spans="1:12">
      <c r="A4502">
        <v>104501</v>
      </c>
      <c r="B4502">
        <v>70</v>
      </c>
      <c r="C4502" s="2">
        <v>71800</v>
      </c>
      <c r="D4502" t="s">
        <v>22</v>
      </c>
      <c r="E4502" s="2">
        <v>0</v>
      </c>
      <c r="F4502" s="2">
        <v>0</v>
      </c>
      <c r="G4502" t="s">
        <v>24</v>
      </c>
      <c r="H4502" t="s">
        <v>17</v>
      </c>
      <c r="I4502" t="s">
        <v>18</v>
      </c>
      <c r="J4502" s="3">
        <v>45957</v>
      </c>
      <c r="K4502" s="4">
        <f>ClientiBanca[[#This Row],[Prestito]]+ClientiBanca[[#This Row],[Mutuo]]</f>
        <v>0</v>
      </c>
      <c r="L4502" t="str">
        <f>IF(ClientiBanca[[#This Row],[Reddito annuo]]&gt;=70000,"si","no")</f>
        <v>si</v>
      </c>
    </row>
    <row r="4503" spans="1:12">
      <c r="A4503">
        <v>104502</v>
      </c>
      <c r="B4503">
        <v>24</v>
      </c>
      <c r="C4503" s="2">
        <v>95500</v>
      </c>
      <c r="D4503" t="s">
        <v>12</v>
      </c>
      <c r="E4503" s="2">
        <v>6000</v>
      </c>
      <c r="F4503" s="2">
        <v>0</v>
      </c>
      <c r="G4503" t="s">
        <v>16</v>
      </c>
      <c r="H4503" t="s">
        <v>14</v>
      </c>
      <c r="I4503" t="s">
        <v>18</v>
      </c>
      <c r="J4503" s="3">
        <v>46221</v>
      </c>
      <c r="K4503" s="4">
        <f>ClientiBanca[[#This Row],[Prestito]]+ClientiBanca[[#This Row],[Mutuo]]</f>
        <v>6000</v>
      </c>
      <c r="L4503" t="str">
        <f>IF(ClientiBanca[[#This Row],[Reddito annuo]]&gt;=70000,"si","no")</f>
        <v>si</v>
      </c>
    </row>
    <row r="4504" spans="1:12">
      <c r="A4504">
        <v>104503</v>
      </c>
      <c r="B4504">
        <v>53</v>
      </c>
      <c r="C4504" s="2">
        <v>31000</v>
      </c>
      <c r="D4504" t="s">
        <v>22</v>
      </c>
      <c r="E4504" s="2">
        <v>10100</v>
      </c>
      <c r="F4504" s="2">
        <v>0</v>
      </c>
      <c r="G4504" t="s">
        <v>24</v>
      </c>
      <c r="H4504" t="s">
        <v>17</v>
      </c>
      <c r="I4504" t="s">
        <v>18</v>
      </c>
      <c r="J4504" s="3">
        <v>45564</v>
      </c>
      <c r="K4504" s="4">
        <f>ClientiBanca[[#This Row],[Prestito]]+ClientiBanca[[#This Row],[Mutuo]]</f>
        <v>10100</v>
      </c>
      <c r="L4504" t="str">
        <f>IF(ClientiBanca[[#This Row],[Reddito annuo]]&gt;=70000,"si","no")</f>
        <v>no</v>
      </c>
    </row>
    <row r="4505" spans="1:12">
      <c r="A4505">
        <v>104504</v>
      </c>
      <c r="B4505">
        <v>44</v>
      </c>
      <c r="C4505" s="2">
        <v>48300</v>
      </c>
      <c r="D4505" t="s">
        <v>22</v>
      </c>
      <c r="E4505" s="2">
        <v>52300</v>
      </c>
      <c r="F4505" s="2">
        <v>0</v>
      </c>
      <c r="G4505" t="s">
        <v>24</v>
      </c>
      <c r="H4505" t="s">
        <v>20</v>
      </c>
      <c r="I4505" t="s">
        <v>18</v>
      </c>
      <c r="J4505" s="3">
        <v>45973</v>
      </c>
      <c r="K4505" s="4">
        <f>ClientiBanca[[#This Row],[Prestito]]+ClientiBanca[[#This Row],[Mutuo]]</f>
        <v>52300</v>
      </c>
      <c r="L4505" t="str">
        <f>IF(ClientiBanca[[#This Row],[Reddito annuo]]&gt;=70000,"si","no")</f>
        <v>no</v>
      </c>
    </row>
    <row r="4506" spans="1:12">
      <c r="A4506">
        <v>104505</v>
      </c>
      <c r="B4506">
        <v>59</v>
      </c>
      <c r="C4506" s="2">
        <v>68000</v>
      </c>
      <c r="D4506" t="s">
        <v>21</v>
      </c>
      <c r="E4506" s="2">
        <v>5400</v>
      </c>
      <c r="F4506" s="2">
        <v>220000</v>
      </c>
      <c r="G4506" t="s">
        <v>23</v>
      </c>
      <c r="H4506" t="s">
        <v>20</v>
      </c>
      <c r="I4506" t="s">
        <v>18</v>
      </c>
      <c r="J4506" s="3">
        <v>45924</v>
      </c>
      <c r="K4506" s="4">
        <f>ClientiBanca[[#This Row],[Prestito]]+ClientiBanca[[#This Row],[Mutuo]]</f>
        <v>225400</v>
      </c>
      <c r="L4506" t="str">
        <f>IF(ClientiBanca[[#This Row],[Reddito annuo]]&gt;=70000,"si","no")</f>
        <v>no</v>
      </c>
    </row>
    <row r="4507" spans="1:12">
      <c r="A4507">
        <v>104506</v>
      </c>
      <c r="B4507">
        <v>54</v>
      </c>
      <c r="C4507" s="2">
        <v>100900</v>
      </c>
      <c r="D4507" t="s">
        <v>21</v>
      </c>
      <c r="E4507" s="2">
        <v>0</v>
      </c>
      <c r="F4507" s="2">
        <v>214000</v>
      </c>
      <c r="G4507" t="s">
        <v>28</v>
      </c>
      <c r="H4507" t="s">
        <v>17</v>
      </c>
      <c r="I4507" t="s">
        <v>18</v>
      </c>
      <c r="J4507" s="3">
        <v>45337</v>
      </c>
      <c r="K4507" s="4">
        <f>ClientiBanca[[#This Row],[Prestito]]+ClientiBanca[[#This Row],[Mutuo]]</f>
        <v>214000</v>
      </c>
      <c r="L4507" t="str">
        <f>IF(ClientiBanca[[#This Row],[Reddito annuo]]&gt;=70000,"si","no")</f>
        <v>si</v>
      </c>
    </row>
    <row r="4508" spans="1:12">
      <c r="A4508">
        <v>104507</v>
      </c>
      <c r="B4508">
        <v>72</v>
      </c>
      <c r="C4508" s="2">
        <v>85400</v>
      </c>
      <c r="D4508" t="s">
        <v>21</v>
      </c>
      <c r="E4508" s="2">
        <v>0</v>
      </c>
      <c r="F4508" s="2">
        <v>0</v>
      </c>
      <c r="G4508" t="s">
        <v>26</v>
      </c>
      <c r="H4508" t="s">
        <v>20</v>
      </c>
      <c r="I4508" t="s">
        <v>18</v>
      </c>
      <c r="J4508" s="3">
        <v>46107</v>
      </c>
      <c r="K4508" s="4">
        <f>ClientiBanca[[#This Row],[Prestito]]+ClientiBanca[[#This Row],[Mutuo]]</f>
        <v>0</v>
      </c>
      <c r="L4508" t="str">
        <f>IF(ClientiBanca[[#This Row],[Reddito annuo]]&gt;=70000,"si","no")</f>
        <v>si</v>
      </c>
    </row>
    <row r="4509" spans="1:12">
      <c r="A4509">
        <v>104508</v>
      </c>
      <c r="B4509">
        <v>40</v>
      </c>
      <c r="C4509" s="2">
        <v>62600</v>
      </c>
      <c r="D4509" t="s">
        <v>22</v>
      </c>
      <c r="E4509" s="2">
        <v>49100</v>
      </c>
      <c r="F4509" s="2">
        <v>109000</v>
      </c>
      <c r="G4509" t="s">
        <v>13</v>
      </c>
      <c r="H4509" t="s">
        <v>20</v>
      </c>
      <c r="I4509" t="s">
        <v>18</v>
      </c>
      <c r="J4509" s="3">
        <v>45808</v>
      </c>
      <c r="K4509" s="4">
        <f>ClientiBanca[[#This Row],[Prestito]]+ClientiBanca[[#This Row],[Mutuo]]</f>
        <v>158100</v>
      </c>
      <c r="L4509" t="str">
        <f>IF(ClientiBanca[[#This Row],[Reddito annuo]]&gt;=70000,"si","no")</f>
        <v>no</v>
      </c>
    </row>
    <row r="4510" spans="1:12">
      <c r="A4510">
        <v>104509</v>
      </c>
      <c r="B4510">
        <v>64</v>
      </c>
      <c r="C4510" s="2">
        <v>26900</v>
      </c>
      <c r="D4510" t="s">
        <v>12</v>
      </c>
      <c r="E4510" s="2">
        <v>0</v>
      </c>
      <c r="F4510" s="2">
        <v>0</v>
      </c>
      <c r="G4510" t="s">
        <v>27</v>
      </c>
      <c r="H4510" t="s">
        <v>17</v>
      </c>
      <c r="I4510" t="s">
        <v>18</v>
      </c>
      <c r="J4510" s="3">
        <v>45947</v>
      </c>
      <c r="K4510" s="4">
        <f>ClientiBanca[[#This Row],[Prestito]]+ClientiBanca[[#This Row],[Mutuo]]</f>
        <v>0</v>
      </c>
      <c r="L4510" t="str">
        <f>IF(ClientiBanca[[#This Row],[Reddito annuo]]&gt;=70000,"si","no")</f>
        <v>no</v>
      </c>
    </row>
    <row r="4511" spans="1:12">
      <c r="A4511">
        <v>104510</v>
      </c>
      <c r="B4511">
        <v>58</v>
      </c>
      <c r="C4511" s="2">
        <v>96200</v>
      </c>
      <c r="D4511" t="s">
        <v>21</v>
      </c>
      <c r="E4511" s="2">
        <v>19800</v>
      </c>
      <c r="F4511" s="2">
        <v>208000</v>
      </c>
      <c r="G4511" t="s">
        <v>27</v>
      </c>
      <c r="H4511" t="s">
        <v>14</v>
      </c>
      <c r="I4511" t="s">
        <v>18</v>
      </c>
      <c r="J4511" s="3">
        <v>45828</v>
      </c>
      <c r="K4511" s="4">
        <f>ClientiBanca[[#This Row],[Prestito]]+ClientiBanca[[#This Row],[Mutuo]]</f>
        <v>227800</v>
      </c>
      <c r="L4511" t="str">
        <f>IF(ClientiBanca[[#This Row],[Reddito annuo]]&gt;=70000,"si","no")</f>
        <v>si</v>
      </c>
    </row>
    <row r="4512" spans="1:12">
      <c r="A4512">
        <v>104511</v>
      </c>
      <c r="B4512">
        <v>31</v>
      </c>
      <c r="C4512" s="2">
        <v>102300</v>
      </c>
      <c r="D4512" t="s">
        <v>12</v>
      </c>
      <c r="E4512" s="2">
        <v>67800</v>
      </c>
      <c r="F4512" s="2">
        <v>125000</v>
      </c>
      <c r="G4512" t="s">
        <v>16</v>
      </c>
      <c r="H4512" t="s">
        <v>17</v>
      </c>
      <c r="I4512" t="s">
        <v>18</v>
      </c>
      <c r="J4512" s="3">
        <v>45832</v>
      </c>
      <c r="K4512" s="4">
        <f>ClientiBanca[[#This Row],[Prestito]]+ClientiBanca[[#This Row],[Mutuo]]</f>
        <v>192800</v>
      </c>
      <c r="L4512" t="str">
        <f>IF(ClientiBanca[[#This Row],[Reddito annuo]]&gt;=70000,"si","no")</f>
        <v>si</v>
      </c>
    </row>
    <row r="4513" spans="1:12">
      <c r="A4513">
        <v>104512</v>
      </c>
      <c r="B4513">
        <v>51</v>
      </c>
      <c r="C4513" s="2">
        <v>25900</v>
      </c>
      <c r="D4513" t="s">
        <v>22</v>
      </c>
      <c r="E4513" s="2">
        <v>32400</v>
      </c>
      <c r="F4513" s="2">
        <v>0</v>
      </c>
      <c r="G4513" t="s">
        <v>13</v>
      </c>
      <c r="H4513" t="s">
        <v>17</v>
      </c>
      <c r="I4513" t="s">
        <v>18</v>
      </c>
      <c r="J4513" s="3">
        <v>45497</v>
      </c>
      <c r="K4513" s="4">
        <f>ClientiBanca[[#This Row],[Prestito]]+ClientiBanca[[#This Row],[Mutuo]]</f>
        <v>32400</v>
      </c>
      <c r="L4513" t="str">
        <f>IF(ClientiBanca[[#This Row],[Reddito annuo]]&gt;=70000,"si","no")</f>
        <v>no</v>
      </c>
    </row>
    <row r="4514" spans="1:12">
      <c r="A4514">
        <v>104513</v>
      </c>
      <c r="B4514">
        <v>65</v>
      </c>
      <c r="C4514" s="2">
        <v>32500</v>
      </c>
      <c r="D4514" t="s">
        <v>12</v>
      </c>
      <c r="E4514" s="2">
        <v>0</v>
      </c>
      <c r="F4514" s="2">
        <v>203000</v>
      </c>
      <c r="G4514" t="s">
        <v>19</v>
      </c>
      <c r="H4514" t="s">
        <v>17</v>
      </c>
      <c r="I4514" t="s">
        <v>18</v>
      </c>
      <c r="J4514" s="3">
        <v>45432</v>
      </c>
      <c r="K4514" s="4">
        <f>ClientiBanca[[#This Row],[Prestito]]+ClientiBanca[[#This Row],[Mutuo]]</f>
        <v>203000</v>
      </c>
      <c r="L4514" t="str">
        <f>IF(ClientiBanca[[#This Row],[Reddito annuo]]&gt;=70000,"si","no")</f>
        <v>no</v>
      </c>
    </row>
    <row r="4515" spans="1:12">
      <c r="A4515">
        <v>104514</v>
      </c>
      <c r="B4515">
        <v>37</v>
      </c>
      <c r="C4515" s="2">
        <v>58400</v>
      </c>
      <c r="D4515" t="s">
        <v>12</v>
      </c>
      <c r="E4515" s="2">
        <v>0</v>
      </c>
      <c r="F4515" s="2">
        <v>148000</v>
      </c>
      <c r="G4515" t="s">
        <v>13</v>
      </c>
      <c r="H4515" t="s">
        <v>17</v>
      </c>
      <c r="I4515" t="s">
        <v>18</v>
      </c>
      <c r="J4515" s="3">
        <v>45849</v>
      </c>
      <c r="K4515" s="4">
        <f>ClientiBanca[[#This Row],[Prestito]]+ClientiBanca[[#This Row],[Mutuo]]</f>
        <v>148000</v>
      </c>
      <c r="L4515" t="str">
        <f>IF(ClientiBanca[[#This Row],[Reddito annuo]]&gt;=70000,"si","no")</f>
        <v>no</v>
      </c>
    </row>
    <row r="4516" spans="1:12">
      <c r="A4516">
        <v>104515</v>
      </c>
      <c r="B4516">
        <v>30</v>
      </c>
      <c r="C4516" s="2">
        <v>56300</v>
      </c>
      <c r="D4516" t="s">
        <v>12</v>
      </c>
      <c r="E4516" s="2">
        <v>42900</v>
      </c>
      <c r="F4516" s="2">
        <v>0</v>
      </c>
      <c r="G4516" t="s">
        <v>16</v>
      </c>
      <c r="H4516" t="s">
        <v>17</v>
      </c>
      <c r="I4516" t="s">
        <v>15</v>
      </c>
      <c r="J4516" s="3">
        <v>45608</v>
      </c>
      <c r="K4516" s="4">
        <f>ClientiBanca[[#This Row],[Prestito]]+ClientiBanca[[#This Row],[Mutuo]]</f>
        <v>42900</v>
      </c>
      <c r="L4516" t="str">
        <f>IF(ClientiBanca[[#This Row],[Reddito annuo]]&gt;=70000,"si","no")</f>
        <v>no</v>
      </c>
    </row>
    <row r="4517" spans="1:12">
      <c r="A4517">
        <v>104516</v>
      </c>
      <c r="B4517">
        <v>72</v>
      </c>
      <c r="C4517" s="2">
        <v>24100</v>
      </c>
      <c r="D4517" t="s">
        <v>22</v>
      </c>
      <c r="E4517" s="2">
        <v>30100</v>
      </c>
      <c r="F4517" s="2">
        <v>0</v>
      </c>
      <c r="G4517" t="s">
        <v>27</v>
      </c>
      <c r="H4517" t="s">
        <v>14</v>
      </c>
      <c r="I4517" t="s">
        <v>18</v>
      </c>
      <c r="J4517" s="3">
        <v>45751</v>
      </c>
      <c r="K4517" s="4">
        <f>ClientiBanca[[#This Row],[Prestito]]+ClientiBanca[[#This Row],[Mutuo]]</f>
        <v>30100</v>
      </c>
      <c r="L4517" t="str">
        <f>IF(ClientiBanca[[#This Row],[Reddito annuo]]&gt;=70000,"si","no")</f>
        <v>no</v>
      </c>
    </row>
    <row r="4518" spans="1:12">
      <c r="A4518">
        <v>104517</v>
      </c>
      <c r="B4518">
        <v>38</v>
      </c>
      <c r="C4518" s="2">
        <v>53500</v>
      </c>
      <c r="D4518" t="s">
        <v>21</v>
      </c>
      <c r="E4518" s="2">
        <v>40600</v>
      </c>
      <c r="F4518" s="2">
        <v>0</v>
      </c>
      <c r="G4518" t="s">
        <v>19</v>
      </c>
      <c r="H4518" t="s">
        <v>14</v>
      </c>
      <c r="I4518" t="s">
        <v>18</v>
      </c>
      <c r="J4518" s="3">
        <v>45420</v>
      </c>
      <c r="K4518" s="4">
        <f>ClientiBanca[[#This Row],[Prestito]]+ClientiBanca[[#This Row],[Mutuo]]</f>
        <v>40600</v>
      </c>
      <c r="L4518" t="str">
        <f>IF(ClientiBanca[[#This Row],[Reddito annuo]]&gt;=70000,"si","no")</f>
        <v>no</v>
      </c>
    </row>
    <row r="4519" spans="1:12">
      <c r="A4519">
        <v>104518</v>
      </c>
      <c r="B4519">
        <v>40</v>
      </c>
      <c r="C4519" s="2">
        <v>99100</v>
      </c>
      <c r="D4519" t="s">
        <v>12</v>
      </c>
      <c r="E4519" s="2">
        <v>21700</v>
      </c>
      <c r="F4519" s="2">
        <v>0</v>
      </c>
      <c r="G4519" t="s">
        <v>16</v>
      </c>
      <c r="H4519" t="s">
        <v>20</v>
      </c>
      <c r="I4519" t="s">
        <v>18</v>
      </c>
      <c r="J4519" s="3">
        <v>45474</v>
      </c>
      <c r="K4519" s="4">
        <f>ClientiBanca[[#This Row],[Prestito]]+ClientiBanca[[#This Row],[Mutuo]]</f>
        <v>21700</v>
      </c>
      <c r="L4519" t="str">
        <f>IF(ClientiBanca[[#This Row],[Reddito annuo]]&gt;=70000,"si","no")</f>
        <v>si</v>
      </c>
    </row>
    <row r="4520" spans="1:12">
      <c r="A4520">
        <v>104519</v>
      </c>
      <c r="B4520">
        <v>56</v>
      </c>
      <c r="C4520" s="2">
        <v>67800</v>
      </c>
      <c r="D4520" t="s">
        <v>22</v>
      </c>
      <c r="E4520" s="2">
        <v>79500</v>
      </c>
      <c r="F4520" s="2">
        <v>0</v>
      </c>
      <c r="G4520" t="s">
        <v>26</v>
      </c>
      <c r="H4520" t="s">
        <v>20</v>
      </c>
      <c r="I4520" t="s">
        <v>18</v>
      </c>
      <c r="J4520" s="3">
        <v>45393</v>
      </c>
      <c r="K4520" s="4">
        <f>ClientiBanca[[#This Row],[Prestito]]+ClientiBanca[[#This Row],[Mutuo]]</f>
        <v>79500</v>
      </c>
      <c r="L4520" t="str">
        <f>IF(ClientiBanca[[#This Row],[Reddito annuo]]&gt;=70000,"si","no")</f>
        <v>no</v>
      </c>
    </row>
    <row r="4521" spans="1:12">
      <c r="A4521">
        <v>104520</v>
      </c>
      <c r="B4521">
        <v>40</v>
      </c>
      <c r="C4521" s="2">
        <v>119600</v>
      </c>
      <c r="D4521" t="s">
        <v>21</v>
      </c>
      <c r="E4521" s="2">
        <v>17200</v>
      </c>
      <c r="F4521" s="2">
        <v>0</v>
      </c>
      <c r="G4521" t="s">
        <v>23</v>
      </c>
      <c r="H4521" t="s">
        <v>17</v>
      </c>
      <c r="I4521" t="s">
        <v>18</v>
      </c>
      <c r="J4521" s="3">
        <v>45830</v>
      </c>
      <c r="K4521" s="4">
        <f>ClientiBanca[[#This Row],[Prestito]]+ClientiBanca[[#This Row],[Mutuo]]</f>
        <v>17200</v>
      </c>
      <c r="L4521" t="str">
        <f>IF(ClientiBanca[[#This Row],[Reddito annuo]]&gt;=70000,"si","no")</f>
        <v>si</v>
      </c>
    </row>
    <row r="4522" spans="1:12">
      <c r="A4522">
        <v>104521</v>
      </c>
      <c r="B4522">
        <v>33</v>
      </c>
      <c r="C4522" s="2">
        <v>119600</v>
      </c>
      <c r="D4522" t="s">
        <v>12</v>
      </c>
      <c r="E4522" s="2">
        <v>0</v>
      </c>
      <c r="F4522" s="2">
        <v>0</v>
      </c>
      <c r="G4522" t="s">
        <v>16</v>
      </c>
      <c r="H4522" t="s">
        <v>20</v>
      </c>
      <c r="I4522" t="s">
        <v>18</v>
      </c>
      <c r="J4522" s="3">
        <v>45658</v>
      </c>
      <c r="K4522" s="4">
        <f>ClientiBanca[[#This Row],[Prestito]]+ClientiBanca[[#This Row],[Mutuo]]</f>
        <v>0</v>
      </c>
      <c r="L4522" t="str">
        <f>IF(ClientiBanca[[#This Row],[Reddito annuo]]&gt;=70000,"si","no")</f>
        <v>si</v>
      </c>
    </row>
    <row r="4523" spans="1:12">
      <c r="A4523">
        <v>104522</v>
      </c>
      <c r="B4523">
        <v>61</v>
      </c>
      <c r="C4523" s="2">
        <v>95800</v>
      </c>
      <c r="D4523" t="s">
        <v>21</v>
      </c>
      <c r="E4523" s="2">
        <v>29400</v>
      </c>
      <c r="F4523" s="2">
        <v>0</v>
      </c>
      <c r="G4523" t="s">
        <v>16</v>
      </c>
      <c r="H4523" t="s">
        <v>25</v>
      </c>
      <c r="I4523" t="s">
        <v>15</v>
      </c>
      <c r="J4523" s="3">
        <v>45661</v>
      </c>
      <c r="K4523" s="4">
        <f>ClientiBanca[[#This Row],[Prestito]]+ClientiBanca[[#This Row],[Mutuo]]</f>
        <v>29400</v>
      </c>
      <c r="L4523" t="str">
        <f>IF(ClientiBanca[[#This Row],[Reddito annuo]]&gt;=70000,"si","no")</f>
        <v>si</v>
      </c>
    </row>
    <row r="4524" spans="1:12">
      <c r="A4524">
        <v>104523</v>
      </c>
      <c r="B4524">
        <v>45</v>
      </c>
      <c r="C4524" s="2">
        <v>51400</v>
      </c>
      <c r="D4524" t="s">
        <v>21</v>
      </c>
      <c r="E4524" s="2">
        <v>37200</v>
      </c>
      <c r="F4524" s="2">
        <v>0</v>
      </c>
      <c r="G4524" t="s">
        <v>28</v>
      </c>
      <c r="H4524" t="s">
        <v>17</v>
      </c>
      <c r="I4524" t="s">
        <v>18</v>
      </c>
      <c r="J4524" s="3">
        <v>45604</v>
      </c>
      <c r="K4524" s="4">
        <f>ClientiBanca[[#This Row],[Prestito]]+ClientiBanca[[#This Row],[Mutuo]]</f>
        <v>37200</v>
      </c>
      <c r="L4524" t="str">
        <f>IF(ClientiBanca[[#This Row],[Reddito annuo]]&gt;=70000,"si","no")</f>
        <v>no</v>
      </c>
    </row>
    <row r="4525" spans="1:12">
      <c r="A4525">
        <v>104524</v>
      </c>
      <c r="B4525">
        <v>73</v>
      </c>
      <c r="C4525" s="2">
        <v>82600</v>
      </c>
      <c r="D4525" t="s">
        <v>21</v>
      </c>
      <c r="E4525" s="2">
        <v>20200</v>
      </c>
      <c r="F4525" s="2">
        <v>0</v>
      </c>
      <c r="G4525" t="s">
        <v>16</v>
      </c>
      <c r="H4525" t="s">
        <v>20</v>
      </c>
      <c r="I4525" t="s">
        <v>18</v>
      </c>
      <c r="J4525" s="3">
        <v>45444</v>
      </c>
      <c r="K4525" s="4">
        <f>ClientiBanca[[#This Row],[Prestito]]+ClientiBanca[[#This Row],[Mutuo]]</f>
        <v>20200</v>
      </c>
      <c r="L4525" t="str">
        <f>IF(ClientiBanca[[#This Row],[Reddito annuo]]&gt;=70000,"si","no")</f>
        <v>si</v>
      </c>
    </row>
    <row r="4526" spans="1:12">
      <c r="A4526">
        <v>104525</v>
      </c>
      <c r="B4526">
        <v>72</v>
      </c>
      <c r="C4526" s="2">
        <v>54900</v>
      </c>
      <c r="D4526" t="s">
        <v>22</v>
      </c>
      <c r="E4526" s="2">
        <v>0</v>
      </c>
      <c r="F4526" s="2">
        <v>0</v>
      </c>
      <c r="G4526" t="s">
        <v>27</v>
      </c>
      <c r="H4526" t="s">
        <v>17</v>
      </c>
      <c r="I4526" t="s">
        <v>18</v>
      </c>
      <c r="J4526" s="3">
        <v>45736</v>
      </c>
      <c r="K4526" s="4">
        <f>ClientiBanca[[#This Row],[Prestito]]+ClientiBanca[[#This Row],[Mutuo]]</f>
        <v>0</v>
      </c>
      <c r="L4526" t="str">
        <f>IF(ClientiBanca[[#This Row],[Reddito annuo]]&gt;=70000,"si","no")</f>
        <v>no</v>
      </c>
    </row>
    <row r="4527" spans="1:12">
      <c r="A4527">
        <v>104526</v>
      </c>
      <c r="B4527">
        <v>24</v>
      </c>
      <c r="C4527" s="2">
        <v>46000</v>
      </c>
      <c r="D4527" t="s">
        <v>12</v>
      </c>
      <c r="E4527" s="2">
        <v>57500</v>
      </c>
      <c r="F4527" s="2">
        <v>230000</v>
      </c>
      <c r="G4527" t="s">
        <v>16</v>
      </c>
      <c r="H4527" t="s">
        <v>17</v>
      </c>
      <c r="I4527" t="s">
        <v>18</v>
      </c>
      <c r="J4527" s="3">
        <v>45899</v>
      </c>
      <c r="K4527" s="4">
        <f>ClientiBanca[[#This Row],[Prestito]]+ClientiBanca[[#This Row],[Mutuo]]</f>
        <v>287500</v>
      </c>
      <c r="L4527" t="str">
        <f>IF(ClientiBanca[[#This Row],[Reddito annuo]]&gt;=70000,"si","no")</f>
        <v>no</v>
      </c>
    </row>
    <row r="4528" spans="1:12">
      <c r="A4528">
        <v>104527</v>
      </c>
      <c r="B4528">
        <v>75</v>
      </c>
      <c r="C4528" s="2">
        <v>48300</v>
      </c>
      <c r="D4528" t="s">
        <v>21</v>
      </c>
      <c r="E4528" s="2">
        <v>47900</v>
      </c>
      <c r="F4528" s="2">
        <v>122000</v>
      </c>
      <c r="G4528" t="s">
        <v>26</v>
      </c>
      <c r="H4528" t="s">
        <v>14</v>
      </c>
      <c r="I4528" t="s">
        <v>18</v>
      </c>
      <c r="J4528" s="3">
        <v>46044</v>
      </c>
      <c r="K4528" s="4">
        <f>ClientiBanca[[#This Row],[Prestito]]+ClientiBanca[[#This Row],[Mutuo]]</f>
        <v>169900</v>
      </c>
      <c r="L4528" t="str">
        <f>IF(ClientiBanca[[#This Row],[Reddito annuo]]&gt;=70000,"si","no")</f>
        <v>no</v>
      </c>
    </row>
    <row r="4529" spans="1:12">
      <c r="A4529">
        <v>104528</v>
      </c>
      <c r="B4529">
        <v>75</v>
      </c>
      <c r="C4529" s="2">
        <v>59200</v>
      </c>
      <c r="D4529" t="s">
        <v>21</v>
      </c>
      <c r="E4529" s="2">
        <v>0</v>
      </c>
      <c r="F4529" s="2">
        <v>0</v>
      </c>
      <c r="G4529" t="s">
        <v>27</v>
      </c>
      <c r="H4529" t="s">
        <v>14</v>
      </c>
      <c r="I4529" t="s">
        <v>18</v>
      </c>
      <c r="J4529" s="3">
        <v>45614</v>
      </c>
      <c r="K4529" s="4">
        <f>ClientiBanca[[#This Row],[Prestito]]+ClientiBanca[[#This Row],[Mutuo]]</f>
        <v>0</v>
      </c>
      <c r="L4529" t="str">
        <f>IF(ClientiBanca[[#This Row],[Reddito annuo]]&gt;=70000,"si","no")</f>
        <v>no</v>
      </c>
    </row>
    <row r="4530" spans="1:12">
      <c r="A4530">
        <v>104529</v>
      </c>
      <c r="B4530">
        <v>31</v>
      </c>
      <c r="C4530" s="2">
        <v>88000</v>
      </c>
      <c r="D4530" t="s">
        <v>21</v>
      </c>
      <c r="E4530" s="2">
        <v>36600</v>
      </c>
      <c r="F4530" s="2">
        <v>0</v>
      </c>
      <c r="G4530" t="s">
        <v>28</v>
      </c>
      <c r="H4530" t="s">
        <v>17</v>
      </c>
      <c r="I4530" t="s">
        <v>18</v>
      </c>
      <c r="J4530" s="3">
        <v>45349</v>
      </c>
      <c r="K4530" s="4">
        <f>ClientiBanca[[#This Row],[Prestito]]+ClientiBanca[[#This Row],[Mutuo]]</f>
        <v>36600</v>
      </c>
      <c r="L4530" t="str">
        <f>IF(ClientiBanca[[#This Row],[Reddito annuo]]&gt;=70000,"si","no")</f>
        <v>si</v>
      </c>
    </row>
    <row r="4531" spans="1:12">
      <c r="A4531">
        <v>104530</v>
      </c>
      <c r="B4531">
        <v>51</v>
      </c>
      <c r="C4531" s="2">
        <v>82800</v>
      </c>
      <c r="D4531" t="s">
        <v>21</v>
      </c>
      <c r="E4531" s="2">
        <v>82800</v>
      </c>
      <c r="F4531" s="2">
        <v>0</v>
      </c>
      <c r="G4531" t="s">
        <v>16</v>
      </c>
      <c r="H4531" t="s">
        <v>17</v>
      </c>
      <c r="I4531" t="s">
        <v>18</v>
      </c>
      <c r="J4531" s="3">
        <v>46059</v>
      </c>
      <c r="K4531" s="4">
        <f>ClientiBanca[[#This Row],[Prestito]]+ClientiBanca[[#This Row],[Mutuo]]</f>
        <v>82800</v>
      </c>
      <c r="L4531" t="str">
        <f>IF(ClientiBanca[[#This Row],[Reddito annuo]]&gt;=70000,"si","no")</f>
        <v>si</v>
      </c>
    </row>
    <row r="4532" spans="1:12">
      <c r="A4532">
        <v>104531</v>
      </c>
      <c r="B4532">
        <v>48</v>
      </c>
      <c r="C4532" s="2">
        <v>30600</v>
      </c>
      <c r="D4532" t="s">
        <v>12</v>
      </c>
      <c r="E4532" s="2">
        <v>38200</v>
      </c>
      <c r="F4532" s="2">
        <v>128000</v>
      </c>
      <c r="G4532" t="s">
        <v>28</v>
      </c>
      <c r="H4532" t="s">
        <v>20</v>
      </c>
      <c r="I4532" t="s">
        <v>18</v>
      </c>
      <c r="J4532" s="3">
        <v>45550</v>
      </c>
      <c r="K4532" s="4">
        <f>ClientiBanca[[#This Row],[Prestito]]+ClientiBanca[[#This Row],[Mutuo]]</f>
        <v>166200</v>
      </c>
      <c r="L4532" t="str">
        <f>IF(ClientiBanca[[#This Row],[Reddito annuo]]&gt;=70000,"si","no")</f>
        <v>no</v>
      </c>
    </row>
    <row r="4533" spans="1:12">
      <c r="A4533">
        <v>104532</v>
      </c>
      <c r="B4533">
        <v>20</v>
      </c>
      <c r="C4533" s="2">
        <v>70400</v>
      </c>
      <c r="D4533" t="s">
        <v>21</v>
      </c>
      <c r="E4533" s="2">
        <v>0</v>
      </c>
      <c r="F4533" s="2">
        <v>0</v>
      </c>
      <c r="G4533" t="s">
        <v>24</v>
      </c>
      <c r="H4533" t="s">
        <v>20</v>
      </c>
      <c r="I4533" t="s">
        <v>18</v>
      </c>
      <c r="J4533" s="3">
        <v>45761</v>
      </c>
      <c r="K4533" s="4">
        <f>ClientiBanca[[#This Row],[Prestito]]+ClientiBanca[[#This Row],[Mutuo]]</f>
        <v>0</v>
      </c>
      <c r="L4533" t="str">
        <f>IF(ClientiBanca[[#This Row],[Reddito annuo]]&gt;=70000,"si","no")</f>
        <v>si</v>
      </c>
    </row>
    <row r="4534" spans="1:12">
      <c r="A4534">
        <v>104533</v>
      </c>
      <c r="B4534">
        <v>46</v>
      </c>
      <c r="C4534" s="2">
        <v>99900</v>
      </c>
      <c r="D4534" t="s">
        <v>21</v>
      </c>
      <c r="E4534" s="2">
        <v>38100</v>
      </c>
      <c r="F4534" s="2">
        <v>0</v>
      </c>
      <c r="G4534" t="s">
        <v>16</v>
      </c>
      <c r="H4534" t="s">
        <v>20</v>
      </c>
      <c r="I4534" t="s">
        <v>18</v>
      </c>
      <c r="J4534" s="3">
        <v>45981</v>
      </c>
      <c r="K4534" s="4">
        <f>ClientiBanca[[#This Row],[Prestito]]+ClientiBanca[[#This Row],[Mutuo]]</f>
        <v>38100</v>
      </c>
      <c r="L4534" t="str">
        <f>IF(ClientiBanca[[#This Row],[Reddito annuo]]&gt;=70000,"si","no")</f>
        <v>si</v>
      </c>
    </row>
    <row r="4535" spans="1:12">
      <c r="A4535">
        <v>104534</v>
      </c>
      <c r="B4535">
        <v>63</v>
      </c>
      <c r="C4535" s="2">
        <v>101000</v>
      </c>
      <c r="D4535" t="s">
        <v>21</v>
      </c>
      <c r="E4535" s="2">
        <v>18500</v>
      </c>
      <c r="F4535" s="2">
        <v>0</v>
      </c>
      <c r="G4535" t="s">
        <v>28</v>
      </c>
      <c r="H4535" t="s">
        <v>17</v>
      </c>
      <c r="I4535" t="s">
        <v>18</v>
      </c>
      <c r="J4535" s="3">
        <v>45375</v>
      </c>
      <c r="K4535" s="4">
        <f>ClientiBanca[[#This Row],[Prestito]]+ClientiBanca[[#This Row],[Mutuo]]</f>
        <v>18500</v>
      </c>
      <c r="L4535" t="str">
        <f>IF(ClientiBanca[[#This Row],[Reddito annuo]]&gt;=70000,"si","no")</f>
        <v>si</v>
      </c>
    </row>
    <row r="4536" spans="1:12">
      <c r="A4536">
        <v>104535</v>
      </c>
      <c r="B4536">
        <v>46</v>
      </c>
      <c r="C4536" s="2">
        <v>24300</v>
      </c>
      <c r="D4536" t="s">
        <v>12</v>
      </c>
      <c r="E4536" s="2">
        <v>30400</v>
      </c>
      <c r="F4536" s="2">
        <v>0</v>
      </c>
      <c r="G4536" t="s">
        <v>28</v>
      </c>
      <c r="H4536" t="s">
        <v>17</v>
      </c>
      <c r="I4536" t="s">
        <v>18</v>
      </c>
      <c r="J4536" s="3">
        <v>46213</v>
      </c>
      <c r="K4536" s="4">
        <f>ClientiBanca[[#This Row],[Prestito]]+ClientiBanca[[#This Row],[Mutuo]]</f>
        <v>30400</v>
      </c>
      <c r="L4536" t="str">
        <f>IF(ClientiBanca[[#This Row],[Reddito annuo]]&gt;=70000,"si","no")</f>
        <v>no</v>
      </c>
    </row>
    <row r="4537" spans="1:12">
      <c r="A4537">
        <v>104536</v>
      </c>
      <c r="B4537">
        <v>55</v>
      </c>
      <c r="C4537" s="2">
        <v>59300</v>
      </c>
      <c r="D4537" t="s">
        <v>21</v>
      </c>
      <c r="E4537" s="2">
        <v>0</v>
      </c>
      <c r="F4537" s="2">
        <v>162000</v>
      </c>
      <c r="G4537" t="s">
        <v>13</v>
      </c>
      <c r="H4537" t="s">
        <v>17</v>
      </c>
      <c r="I4537" t="s">
        <v>18</v>
      </c>
      <c r="J4537" s="3">
        <v>46194</v>
      </c>
      <c r="K4537" s="4">
        <f>ClientiBanca[[#This Row],[Prestito]]+ClientiBanca[[#This Row],[Mutuo]]</f>
        <v>162000</v>
      </c>
      <c r="L4537" t="str">
        <f>IF(ClientiBanca[[#This Row],[Reddito annuo]]&gt;=70000,"si","no")</f>
        <v>no</v>
      </c>
    </row>
    <row r="4538" spans="1:12">
      <c r="A4538">
        <v>104537</v>
      </c>
      <c r="B4538">
        <v>40</v>
      </c>
      <c r="C4538" s="2">
        <v>39000</v>
      </c>
      <c r="D4538" t="s">
        <v>12</v>
      </c>
      <c r="E4538" s="2">
        <v>48800</v>
      </c>
      <c r="F4538" s="2">
        <v>0</v>
      </c>
      <c r="G4538" t="s">
        <v>23</v>
      </c>
      <c r="H4538" t="s">
        <v>20</v>
      </c>
      <c r="I4538" t="s">
        <v>18</v>
      </c>
      <c r="J4538" s="3">
        <v>45700</v>
      </c>
      <c r="K4538" s="4">
        <f>ClientiBanca[[#This Row],[Prestito]]+ClientiBanca[[#This Row],[Mutuo]]</f>
        <v>48800</v>
      </c>
      <c r="L4538" t="str">
        <f>IF(ClientiBanca[[#This Row],[Reddito annuo]]&gt;=70000,"si","no")</f>
        <v>no</v>
      </c>
    </row>
    <row r="4539" spans="1:12">
      <c r="A4539">
        <v>104538</v>
      </c>
      <c r="B4539">
        <v>37</v>
      </c>
      <c r="C4539" s="2">
        <v>78300</v>
      </c>
      <c r="D4539" t="s">
        <v>21</v>
      </c>
      <c r="E4539" s="2">
        <v>41400</v>
      </c>
      <c r="F4539" s="2">
        <v>0</v>
      </c>
      <c r="G4539" t="s">
        <v>28</v>
      </c>
      <c r="H4539" t="s">
        <v>20</v>
      </c>
      <c r="I4539" t="s">
        <v>18</v>
      </c>
      <c r="J4539" s="3">
        <v>45950</v>
      </c>
      <c r="K4539" s="4">
        <f>ClientiBanca[[#This Row],[Prestito]]+ClientiBanca[[#This Row],[Mutuo]]</f>
        <v>41400</v>
      </c>
      <c r="L4539" t="str">
        <f>IF(ClientiBanca[[#This Row],[Reddito annuo]]&gt;=70000,"si","no")</f>
        <v>si</v>
      </c>
    </row>
    <row r="4540" spans="1:12">
      <c r="A4540">
        <v>104539</v>
      </c>
      <c r="B4540">
        <v>69</v>
      </c>
      <c r="C4540" s="2">
        <v>46200</v>
      </c>
      <c r="D4540" t="s">
        <v>21</v>
      </c>
      <c r="E4540" s="2">
        <v>16300</v>
      </c>
      <c r="F4540" s="2">
        <v>0</v>
      </c>
      <c r="G4540" t="s">
        <v>19</v>
      </c>
      <c r="H4540" t="s">
        <v>17</v>
      </c>
      <c r="I4540" t="s">
        <v>18</v>
      </c>
      <c r="J4540" s="3">
        <v>46263</v>
      </c>
      <c r="K4540" s="4">
        <f>ClientiBanca[[#This Row],[Prestito]]+ClientiBanca[[#This Row],[Mutuo]]</f>
        <v>16300</v>
      </c>
      <c r="L4540" t="str">
        <f>IF(ClientiBanca[[#This Row],[Reddito annuo]]&gt;=70000,"si","no")</f>
        <v>no</v>
      </c>
    </row>
    <row r="4541" spans="1:12">
      <c r="A4541">
        <v>104540</v>
      </c>
      <c r="B4541">
        <v>51</v>
      </c>
      <c r="C4541" s="2">
        <v>75000</v>
      </c>
      <c r="D4541" t="s">
        <v>12</v>
      </c>
      <c r="E4541" s="2">
        <v>0</v>
      </c>
      <c r="F4541" s="2">
        <v>404000</v>
      </c>
      <c r="G4541" t="s">
        <v>28</v>
      </c>
      <c r="H4541" t="s">
        <v>14</v>
      </c>
      <c r="I4541" t="s">
        <v>18</v>
      </c>
      <c r="J4541" s="3">
        <v>45424</v>
      </c>
      <c r="K4541" s="4">
        <f>ClientiBanca[[#This Row],[Prestito]]+ClientiBanca[[#This Row],[Mutuo]]</f>
        <v>404000</v>
      </c>
      <c r="L4541" t="str">
        <f>IF(ClientiBanca[[#This Row],[Reddito annuo]]&gt;=70000,"si","no")</f>
        <v>si</v>
      </c>
    </row>
    <row r="4542" spans="1:12">
      <c r="A4542">
        <v>104541</v>
      </c>
      <c r="B4542">
        <v>36</v>
      </c>
      <c r="C4542" s="2">
        <v>70100</v>
      </c>
      <c r="D4542" t="s">
        <v>12</v>
      </c>
      <c r="E4542" s="2">
        <v>66600</v>
      </c>
      <c r="F4542" s="2">
        <v>0</v>
      </c>
      <c r="G4542" t="s">
        <v>23</v>
      </c>
      <c r="H4542" t="s">
        <v>17</v>
      </c>
      <c r="I4542" t="s">
        <v>18</v>
      </c>
      <c r="J4542" s="3">
        <v>45868</v>
      </c>
      <c r="K4542" s="4">
        <f>ClientiBanca[[#This Row],[Prestito]]+ClientiBanca[[#This Row],[Mutuo]]</f>
        <v>66600</v>
      </c>
      <c r="L4542" t="str">
        <f>IF(ClientiBanca[[#This Row],[Reddito annuo]]&gt;=70000,"si","no")</f>
        <v>si</v>
      </c>
    </row>
    <row r="4543" spans="1:12">
      <c r="A4543">
        <v>104542</v>
      </c>
      <c r="B4543">
        <v>70</v>
      </c>
      <c r="C4543" s="2">
        <v>23200</v>
      </c>
      <c r="D4543" t="s">
        <v>21</v>
      </c>
      <c r="E4543" s="2">
        <v>0</v>
      </c>
      <c r="F4543" s="2">
        <v>0</v>
      </c>
      <c r="G4543" t="s">
        <v>13</v>
      </c>
      <c r="H4543" t="s">
        <v>20</v>
      </c>
      <c r="I4543" t="s">
        <v>18</v>
      </c>
      <c r="J4543" s="3">
        <v>45902</v>
      </c>
      <c r="K4543" s="4">
        <f>ClientiBanca[[#This Row],[Prestito]]+ClientiBanca[[#This Row],[Mutuo]]</f>
        <v>0</v>
      </c>
      <c r="L4543" t="str">
        <f>IF(ClientiBanca[[#This Row],[Reddito annuo]]&gt;=70000,"si","no")</f>
        <v>no</v>
      </c>
    </row>
    <row r="4544" spans="1:12">
      <c r="A4544">
        <v>104543</v>
      </c>
      <c r="B4544">
        <v>56</v>
      </c>
      <c r="C4544" s="2">
        <v>55900</v>
      </c>
      <c r="D4544" t="s">
        <v>21</v>
      </c>
      <c r="E4544" s="2">
        <v>0</v>
      </c>
      <c r="F4544" s="2">
        <v>0</v>
      </c>
      <c r="G4544" t="s">
        <v>24</v>
      </c>
      <c r="H4544" t="s">
        <v>17</v>
      </c>
      <c r="I4544" t="s">
        <v>18</v>
      </c>
      <c r="J4544" s="3">
        <v>45545</v>
      </c>
      <c r="K4544" s="4">
        <f>ClientiBanca[[#This Row],[Prestito]]+ClientiBanca[[#This Row],[Mutuo]]</f>
        <v>0</v>
      </c>
      <c r="L4544" t="str">
        <f>IF(ClientiBanca[[#This Row],[Reddito annuo]]&gt;=70000,"si","no")</f>
        <v>no</v>
      </c>
    </row>
    <row r="4545" spans="1:12">
      <c r="A4545">
        <v>104544</v>
      </c>
      <c r="B4545">
        <v>24</v>
      </c>
      <c r="C4545" s="2">
        <v>51800</v>
      </c>
      <c r="D4545" t="s">
        <v>21</v>
      </c>
      <c r="E4545" s="2">
        <v>33900</v>
      </c>
      <c r="F4545" s="2">
        <v>0</v>
      </c>
      <c r="G4545" t="s">
        <v>19</v>
      </c>
      <c r="H4545" t="s">
        <v>25</v>
      </c>
      <c r="I4545" t="s">
        <v>18</v>
      </c>
      <c r="J4545" s="3">
        <v>46085</v>
      </c>
      <c r="K4545" s="4">
        <f>ClientiBanca[[#This Row],[Prestito]]+ClientiBanca[[#This Row],[Mutuo]]</f>
        <v>33900</v>
      </c>
      <c r="L4545" t="str">
        <f>IF(ClientiBanca[[#This Row],[Reddito annuo]]&gt;=70000,"si","no")</f>
        <v>no</v>
      </c>
    </row>
    <row r="4546" spans="1:12">
      <c r="A4546">
        <v>104545</v>
      </c>
      <c r="B4546">
        <v>23</v>
      </c>
      <c r="C4546" s="2">
        <v>112100</v>
      </c>
      <c r="D4546" t="s">
        <v>22</v>
      </c>
      <c r="E4546" s="2">
        <v>34600</v>
      </c>
      <c r="F4546" s="2">
        <v>177000</v>
      </c>
      <c r="G4546" t="s">
        <v>19</v>
      </c>
      <c r="H4546" t="s">
        <v>20</v>
      </c>
      <c r="I4546" t="s">
        <v>18</v>
      </c>
      <c r="J4546" s="3">
        <v>45382</v>
      </c>
      <c r="K4546" s="4">
        <f>ClientiBanca[[#This Row],[Prestito]]+ClientiBanca[[#This Row],[Mutuo]]</f>
        <v>211600</v>
      </c>
      <c r="L4546" t="str">
        <f>IF(ClientiBanca[[#This Row],[Reddito annuo]]&gt;=70000,"si","no")</f>
        <v>si</v>
      </c>
    </row>
    <row r="4547" spans="1:12">
      <c r="A4547">
        <v>104546</v>
      </c>
      <c r="B4547">
        <v>43</v>
      </c>
      <c r="C4547" s="2">
        <v>82100</v>
      </c>
      <c r="D4547" t="s">
        <v>22</v>
      </c>
      <c r="E4547" s="2">
        <v>0</v>
      </c>
      <c r="F4547" s="2">
        <v>250000</v>
      </c>
      <c r="G4547" t="s">
        <v>19</v>
      </c>
      <c r="H4547" t="s">
        <v>14</v>
      </c>
      <c r="I4547" t="s">
        <v>18</v>
      </c>
      <c r="J4547" s="3">
        <v>45650</v>
      </c>
      <c r="K4547" s="4">
        <f>ClientiBanca[[#This Row],[Prestito]]+ClientiBanca[[#This Row],[Mutuo]]</f>
        <v>250000</v>
      </c>
      <c r="L4547" t="str">
        <f>IF(ClientiBanca[[#This Row],[Reddito annuo]]&gt;=70000,"si","no")</f>
        <v>si</v>
      </c>
    </row>
    <row r="4548" spans="1:12">
      <c r="A4548">
        <v>104547</v>
      </c>
      <c r="B4548">
        <v>27</v>
      </c>
      <c r="C4548" s="2">
        <v>71300</v>
      </c>
      <c r="D4548" t="s">
        <v>22</v>
      </c>
      <c r="E4548" s="2">
        <v>19000</v>
      </c>
      <c r="F4548" s="2">
        <v>0</v>
      </c>
      <c r="G4548" t="s">
        <v>27</v>
      </c>
      <c r="H4548" t="s">
        <v>17</v>
      </c>
      <c r="I4548" t="s">
        <v>18</v>
      </c>
      <c r="J4548" s="3">
        <v>45319</v>
      </c>
      <c r="K4548" s="4">
        <f>ClientiBanca[[#This Row],[Prestito]]+ClientiBanca[[#This Row],[Mutuo]]</f>
        <v>19000</v>
      </c>
      <c r="L4548" t="str">
        <f>IF(ClientiBanca[[#This Row],[Reddito annuo]]&gt;=70000,"si","no")</f>
        <v>si</v>
      </c>
    </row>
    <row r="4549" spans="1:12">
      <c r="A4549">
        <v>104548</v>
      </c>
      <c r="B4549">
        <v>52</v>
      </c>
      <c r="C4549" s="2">
        <v>82600</v>
      </c>
      <c r="D4549" t="s">
        <v>21</v>
      </c>
      <c r="E4549" s="2">
        <v>12000</v>
      </c>
      <c r="F4549" s="2">
        <v>0</v>
      </c>
      <c r="G4549" t="s">
        <v>19</v>
      </c>
      <c r="H4549" t="s">
        <v>17</v>
      </c>
      <c r="I4549" t="s">
        <v>18</v>
      </c>
      <c r="J4549" s="3">
        <v>45622</v>
      </c>
      <c r="K4549" s="4">
        <f>ClientiBanca[[#This Row],[Prestito]]+ClientiBanca[[#This Row],[Mutuo]]</f>
        <v>12000</v>
      </c>
      <c r="L4549" t="str">
        <f>IF(ClientiBanca[[#This Row],[Reddito annuo]]&gt;=70000,"si","no")</f>
        <v>si</v>
      </c>
    </row>
    <row r="4550" spans="1:12">
      <c r="A4550">
        <v>104549</v>
      </c>
      <c r="B4550">
        <v>48</v>
      </c>
      <c r="C4550" s="2">
        <v>62700</v>
      </c>
      <c r="D4550" t="s">
        <v>12</v>
      </c>
      <c r="E4550" s="2">
        <v>0</v>
      </c>
      <c r="F4550" s="2">
        <v>0</v>
      </c>
      <c r="G4550" t="s">
        <v>27</v>
      </c>
      <c r="H4550" t="s">
        <v>14</v>
      </c>
      <c r="I4550" t="s">
        <v>18</v>
      </c>
      <c r="J4550" s="3">
        <v>45506</v>
      </c>
      <c r="K4550" s="4">
        <f>ClientiBanca[[#This Row],[Prestito]]+ClientiBanca[[#This Row],[Mutuo]]</f>
        <v>0</v>
      </c>
      <c r="L4550" t="str">
        <f>IF(ClientiBanca[[#This Row],[Reddito annuo]]&gt;=70000,"si","no")</f>
        <v>no</v>
      </c>
    </row>
    <row r="4551" spans="1:12">
      <c r="A4551">
        <v>104550</v>
      </c>
      <c r="B4551">
        <v>64</v>
      </c>
      <c r="C4551" s="2">
        <v>78200</v>
      </c>
      <c r="D4551" t="s">
        <v>21</v>
      </c>
      <c r="E4551" s="2">
        <v>12200</v>
      </c>
      <c r="F4551" s="2">
        <v>113000</v>
      </c>
      <c r="G4551" t="s">
        <v>16</v>
      </c>
      <c r="H4551" t="s">
        <v>20</v>
      </c>
      <c r="I4551" t="s">
        <v>18</v>
      </c>
      <c r="J4551" s="3">
        <v>45967</v>
      </c>
      <c r="K4551" s="4">
        <f>ClientiBanca[[#This Row],[Prestito]]+ClientiBanca[[#This Row],[Mutuo]]</f>
        <v>125200</v>
      </c>
      <c r="L4551" t="str">
        <f>IF(ClientiBanca[[#This Row],[Reddito annuo]]&gt;=70000,"si","no")</f>
        <v>si</v>
      </c>
    </row>
    <row r="4552" spans="1:12">
      <c r="A4552">
        <v>104551</v>
      </c>
      <c r="B4552">
        <v>52</v>
      </c>
      <c r="C4552" s="2">
        <v>32500</v>
      </c>
      <c r="D4552" t="s">
        <v>21</v>
      </c>
      <c r="E4552" s="2">
        <v>0</v>
      </c>
      <c r="F4552" s="2">
        <v>0</v>
      </c>
      <c r="G4552" t="s">
        <v>23</v>
      </c>
      <c r="H4552" t="s">
        <v>14</v>
      </c>
      <c r="I4552" t="s">
        <v>18</v>
      </c>
      <c r="J4552" s="3">
        <v>45942</v>
      </c>
      <c r="K4552" s="4">
        <f>ClientiBanca[[#This Row],[Prestito]]+ClientiBanca[[#This Row],[Mutuo]]</f>
        <v>0</v>
      </c>
      <c r="L4552" t="str">
        <f>IF(ClientiBanca[[#This Row],[Reddito annuo]]&gt;=70000,"si","no")</f>
        <v>no</v>
      </c>
    </row>
    <row r="4553" spans="1:12">
      <c r="A4553">
        <v>104552</v>
      </c>
      <c r="B4553">
        <v>49</v>
      </c>
      <c r="C4553" s="2">
        <v>29800</v>
      </c>
      <c r="D4553" t="s">
        <v>21</v>
      </c>
      <c r="E4553" s="2">
        <v>0</v>
      </c>
      <c r="F4553" s="2">
        <v>0</v>
      </c>
      <c r="G4553" t="s">
        <v>19</v>
      </c>
      <c r="H4553" t="s">
        <v>25</v>
      </c>
      <c r="I4553" t="s">
        <v>18</v>
      </c>
      <c r="J4553" s="3">
        <v>46030</v>
      </c>
      <c r="K4553" s="4">
        <f>ClientiBanca[[#This Row],[Prestito]]+ClientiBanca[[#This Row],[Mutuo]]</f>
        <v>0</v>
      </c>
      <c r="L4553" t="str">
        <f>IF(ClientiBanca[[#This Row],[Reddito annuo]]&gt;=70000,"si","no")</f>
        <v>no</v>
      </c>
    </row>
    <row r="4554" spans="1:12">
      <c r="A4554">
        <v>104553</v>
      </c>
      <c r="B4554">
        <v>21</v>
      </c>
      <c r="C4554" s="2">
        <v>70300</v>
      </c>
      <c r="D4554" t="s">
        <v>22</v>
      </c>
      <c r="E4554" s="2">
        <v>19600</v>
      </c>
      <c r="F4554" s="2">
        <v>0</v>
      </c>
      <c r="G4554" t="s">
        <v>24</v>
      </c>
      <c r="H4554" t="s">
        <v>14</v>
      </c>
      <c r="I4554" t="s">
        <v>18</v>
      </c>
      <c r="J4554" s="3">
        <v>46186</v>
      </c>
      <c r="K4554" s="4">
        <f>ClientiBanca[[#This Row],[Prestito]]+ClientiBanca[[#This Row],[Mutuo]]</f>
        <v>19600</v>
      </c>
      <c r="L4554" t="str">
        <f>IF(ClientiBanca[[#This Row],[Reddito annuo]]&gt;=70000,"si","no")</f>
        <v>si</v>
      </c>
    </row>
    <row r="4555" spans="1:12">
      <c r="A4555">
        <v>104554</v>
      </c>
      <c r="B4555">
        <v>68</v>
      </c>
      <c r="C4555" s="2">
        <v>95200</v>
      </c>
      <c r="D4555" t="s">
        <v>21</v>
      </c>
      <c r="E4555" s="2">
        <v>31100</v>
      </c>
      <c r="F4555" s="2">
        <v>276000</v>
      </c>
      <c r="G4555" t="s">
        <v>27</v>
      </c>
      <c r="H4555" t="s">
        <v>20</v>
      </c>
      <c r="I4555" t="s">
        <v>18</v>
      </c>
      <c r="J4555" s="3">
        <v>45784</v>
      </c>
      <c r="K4555" s="4">
        <f>ClientiBanca[[#This Row],[Prestito]]+ClientiBanca[[#This Row],[Mutuo]]</f>
        <v>307100</v>
      </c>
      <c r="L4555" t="str">
        <f>IF(ClientiBanca[[#This Row],[Reddito annuo]]&gt;=70000,"si","no")</f>
        <v>si</v>
      </c>
    </row>
    <row r="4556" spans="1:12">
      <c r="A4556">
        <v>104555</v>
      </c>
      <c r="B4556">
        <v>52</v>
      </c>
      <c r="C4556" s="2">
        <v>68900</v>
      </c>
      <c r="D4556" t="s">
        <v>12</v>
      </c>
      <c r="E4556" s="2">
        <v>0</v>
      </c>
      <c r="F4556" s="2">
        <v>231000</v>
      </c>
      <c r="G4556" t="s">
        <v>28</v>
      </c>
      <c r="H4556" t="s">
        <v>17</v>
      </c>
      <c r="I4556" t="s">
        <v>18</v>
      </c>
      <c r="J4556" s="3">
        <v>45628</v>
      </c>
      <c r="K4556" s="4">
        <f>ClientiBanca[[#This Row],[Prestito]]+ClientiBanca[[#This Row],[Mutuo]]</f>
        <v>231000</v>
      </c>
      <c r="L4556" t="str">
        <f>IF(ClientiBanca[[#This Row],[Reddito annuo]]&gt;=70000,"si","no")</f>
        <v>no</v>
      </c>
    </row>
    <row r="4557" spans="1:12">
      <c r="A4557">
        <v>104556</v>
      </c>
      <c r="B4557">
        <v>30</v>
      </c>
      <c r="C4557" s="2">
        <v>75700</v>
      </c>
      <c r="D4557" t="s">
        <v>12</v>
      </c>
      <c r="E4557" s="2">
        <v>41000</v>
      </c>
      <c r="F4557" s="2">
        <v>0</v>
      </c>
      <c r="G4557" t="s">
        <v>23</v>
      </c>
      <c r="H4557" t="s">
        <v>20</v>
      </c>
      <c r="I4557" t="s">
        <v>18</v>
      </c>
      <c r="J4557" s="3">
        <v>46122</v>
      </c>
      <c r="K4557" s="4">
        <f>ClientiBanca[[#This Row],[Prestito]]+ClientiBanca[[#This Row],[Mutuo]]</f>
        <v>41000</v>
      </c>
      <c r="L4557" t="str">
        <f>IF(ClientiBanca[[#This Row],[Reddito annuo]]&gt;=70000,"si","no")</f>
        <v>si</v>
      </c>
    </row>
    <row r="4558" spans="1:12">
      <c r="A4558">
        <v>104557</v>
      </c>
      <c r="B4558">
        <v>53</v>
      </c>
      <c r="C4558" s="2">
        <v>47000</v>
      </c>
      <c r="D4558" t="s">
        <v>21</v>
      </c>
      <c r="E4558" s="2">
        <v>44900</v>
      </c>
      <c r="F4558" s="2">
        <v>0</v>
      </c>
      <c r="G4558" t="s">
        <v>23</v>
      </c>
      <c r="H4558" t="s">
        <v>25</v>
      </c>
      <c r="I4558" t="s">
        <v>18</v>
      </c>
      <c r="J4558" s="3">
        <v>45755</v>
      </c>
      <c r="K4558" s="4">
        <f>ClientiBanca[[#This Row],[Prestito]]+ClientiBanca[[#This Row],[Mutuo]]</f>
        <v>44900</v>
      </c>
      <c r="L4558" t="str">
        <f>IF(ClientiBanca[[#This Row],[Reddito annuo]]&gt;=70000,"si","no")</f>
        <v>no</v>
      </c>
    </row>
    <row r="4559" spans="1:12">
      <c r="A4559">
        <v>104558</v>
      </c>
      <c r="B4559">
        <v>65</v>
      </c>
      <c r="C4559" s="2">
        <v>97100</v>
      </c>
      <c r="D4559" t="s">
        <v>21</v>
      </c>
      <c r="E4559" s="2">
        <v>55200</v>
      </c>
      <c r="F4559" s="2">
        <v>0</v>
      </c>
      <c r="G4559" t="s">
        <v>27</v>
      </c>
      <c r="H4559" t="s">
        <v>20</v>
      </c>
      <c r="I4559" t="s">
        <v>18</v>
      </c>
      <c r="J4559" s="3">
        <v>45652</v>
      </c>
      <c r="K4559" s="4">
        <f>ClientiBanca[[#This Row],[Prestito]]+ClientiBanca[[#This Row],[Mutuo]]</f>
        <v>55200</v>
      </c>
      <c r="L4559" t="str">
        <f>IF(ClientiBanca[[#This Row],[Reddito annuo]]&gt;=70000,"si","no")</f>
        <v>si</v>
      </c>
    </row>
    <row r="4560" spans="1:12">
      <c r="A4560">
        <v>104559</v>
      </c>
      <c r="B4560">
        <v>26</v>
      </c>
      <c r="C4560" s="2">
        <v>47900</v>
      </c>
      <c r="D4560" t="s">
        <v>12</v>
      </c>
      <c r="E4560" s="2">
        <v>32700</v>
      </c>
      <c r="F4560" s="2">
        <v>0</v>
      </c>
      <c r="G4560" t="s">
        <v>28</v>
      </c>
      <c r="H4560" t="s">
        <v>25</v>
      </c>
      <c r="I4560" t="s">
        <v>18</v>
      </c>
      <c r="J4560" s="3">
        <v>45631</v>
      </c>
      <c r="K4560" s="4">
        <f>ClientiBanca[[#This Row],[Prestito]]+ClientiBanca[[#This Row],[Mutuo]]</f>
        <v>32700</v>
      </c>
      <c r="L4560" t="str">
        <f>IF(ClientiBanca[[#This Row],[Reddito annuo]]&gt;=70000,"si","no")</f>
        <v>no</v>
      </c>
    </row>
    <row r="4561" spans="1:12">
      <c r="A4561">
        <v>104560</v>
      </c>
      <c r="B4561">
        <v>67</v>
      </c>
      <c r="C4561" s="2">
        <v>42500</v>
      </c>
      <c r="D4561" t="s">
        <v>22</v>
      </c>
      <c r="E4561" s="2">
        <v>42700</v>
      </c>
      <c r="F4561" s="2">
        <v>0</v>
      </c>
      <c r="G4561" t="s">
        <v>23</v>
      </c>
      <c r="H4561" t="s">
        <v>20</v>
      </c>
      <c r="I4561" t="s">
        <v>18</v>
      </c>
      <c r="J4561" s="3">
        <v>45948</v>
      </c>
      <c r="K4561" s="4">
        <f>ClientiBanca[[#This Row],[Prestito]]+ClientiBanca[[#This Row],[Mutuo]]</f>
        <v>42700</v>
      </c>
      <c r="L4561" t="str">
        <f>IF(ClientiBanca[[#This Row],[Reddito annuo]]&gt;=70000,"si","no")</f>
        <v>no</v>
      </c>
    </row>
    <row r="4562" spans="1:12">
      <c r="A4562">
        <v>104561</v>
      </c>
      <c r="B4562">
        <v>39</v>
      </c>
      <c r="C4562" s="2">
        <v>87600</v>
      </c>
      <c r="D4562" t="s">
        <v>21</v>
      </c>
      <c r="E4562" s="2">
        <v>11500</v>
      </c>
      <c r="F4562" s="2">
        <v>0</v>
      </c>
      <c r="G4562" t="s">
        <v>13</v>
      </c>
      <c r="H4562" t="s">
        <v>14</v>
      </c>
      <c r="I4562" t="s">
        <v>18</v>
      </c>
      <c r="J4562" s="3">
        <v>45937</v>
      </c>
      <c r="K4562" s="4">
        <f>ClientiBanca[[#This Row],[Prestito]]+ClientiBanca[[#This Row],[Mutuo]]</f>
        <v>11500</v>
      </c>
      <c r="L4562" t="str">
        <f>IF(ClientiBanca[[#This Row],[Reddito annuo]]&gt;=70000,"si","no")</f>
        <v>si</v>
      </c>
    </row>
    <row r="4563" spans="1:12">
      <c r="A4563">
        <v>104562</v>
      </c>
      <c r="B4563">
        <v>23</v>
      </c>
      <c r="C4563" s="2">
        <v>37600</v>
      </c>
      <c r="D4563" t="s">
        <v>12</v>
      </c>
      <c r="E4563" s="2">
        <v>0</v>
      </c>
      <c r="F4563" s="2">
        <v>0</v>
      </c>
      <c r="G4563" t="s">
        <v>24</v>
      </c>
      <c r="H4563" t="s">
        <v>17</v>
      </c>
      <c r="I4563" t="s">
        <v>18</v>
      </c>
      <c r="J4563" s="3">
        <v>45726</v>
      </c>
      <c r="K4563" s="4">
        <f>ClientiBanca[[#This Row],[Prestito]]+ClientiBanca[[#This Row],[Mutuo]]</f>
        <v>0</v>
      </c>
      <c r="L4563" t="str">
        <f>IF(ClientiBanca[[#This Row],[Reddito annuo]]&gt;=70000,"si","no")</f>
        <v>no</v>
      </c>
    </row>
    <row r="4564" spans="1:12">
      <c r="A4564">
        <v>104563</v>
      </c>
      <c r="B4564">
        <v>39</v>
      </c>
      <c r="C4564" s="2">
        <v>72400</v>
      </c>
      <c r="D4564" t="s">
        <v>12</v>
      </c>
      <c r="E4564" s="2">
        <v>55900</v>
      </c>
      <c r="F4564" s="2">
        <v>0</v>
      </c>
      <c r="G4564" t="s">
        <v>28</v>
      </c>
      <c r="H4564" t="s">
        <v>20</v>
      </c>
      <c r="I4564" t="s">
        <v>15</v>
      </c>
      <c r="J4564" s="3">
        <v>45415</v>
      </c>
      <c r="K4564" s="4">
        <f>ClientiBanca[[#This Row],[Prestito]]+ClientiBanca[[#This Row],[Mutuo]]</f>
        <v>55900</v>
      </c>
      <c r="L4564" t="str">
        <f>IF(ClientiBanca[[#This Row],[Reddito annuo]]&gt;=70000,"si","no")</f>
        <v>si</v>
      </c>
    </row>
    <row r="4565" spans="1:12">
      <c r="A4565">
        <v>104564</v>
      </c>
      <c r="B4565">
        <v>60</v>
      </c>
      <c r="C4565" s="2">
        <v>36300</v>
      </c>
      <c r="D4565" t="s">
        <v>21</v>
      </c>
      <c r="E4565" s="2">
        <v>43000</v>
      </c>
      <c r="F4565" s="2">
        <v>0</v>
      </c>
      <c r="G4565" t="s">
        <v>16</v>
      </c>
      <c r="H4565" t="s">
        <v>17</v>
      </c>
      <c r="I4565" t="s">
        <v>18</v>
      </c>
      <c r="J4565" s="3">
        <v>45294</v>
      </c>
      <c r="K4565" s="4">
        <f>ClientiBanca[[#This Row],[Prestito]]+ClientiBanca[[#This Row],[Mutuo]]</f>
        <v>43000</v>
      </c>
      <c r="L4565" t="str">
        <f>IF(ClientiBanca[[#This Row],[Reddito annuo]]&gt;=70000,"si","no")</f>
        <v>no</v>
      </c>
    </row>
    <row r="4566" spans="1:12">
      <c r="A4566">
        <v>104565</v>
      </c>
      <c r="B4566">
        <v>41</v>
      </c>
      <c r="C4566" s="2">
        <v>98700</v>
      </c>
      <c r="D4566" t="s">
        <v>22</v>
      </c>
      <c r="E4566" s="2">
        <v>0</v>
      </c>
      <c r="F4566" s="2">
        <v>0</v>
      </c>
      <c r="G4566" t="s">
        <v>23</v>
      </c>
      <c r="H4566" t="s">
        <v>20</v>
      </c>
      <c r="I4566" t="s">
        <v>18</v>
      </c>
      <c r="J4566" s="3">
        <v>45861</v>
      </c>
      <c r="K4566" s="4">
        <f>ClientiBanca[[#This Row],[Prestito]]+ClientiBanca[[#This Row],[Mutuo]]</f>
        <v>0</v>
      </c>
      <c r="L4566" t="str">
        <f>IF(ClientiBanca[[#This Row],[Reddito annuo]]&gt;=70000,"si","no")</f>
        <v>si</v>
      </c>
    </row>
    <row r="4567" spans="1:12">
      <c r="A4567">
        <v>104566</v>
      </c>
      <c r="B4567">
        <v>49</v>
      </c>
      <c r="C4567" s="2">
        <v>69900</v>
      </c>
      <c r="D4567" t="s">
        <v>22</v>
      </c>
      <c r="E4567" s="2">
        <v>47100</v>
      </c>
      <c r="F4567" s="2">
        <v>0</v>
      </c>
      <c r="G4567" t="s">
        <v>28</v>
      </c>
      <c r="H4567" t="s">
        <v>20</v>
      </c>
      <c r="I4567" t="s">
        <v>18</v>
      </c>
      <c r="J4567" s="3">
        <v>45686</v>
      </c>
      <c r="K4567" s="4">
        <f>ClientiBanca[[#This Row],[Prestito]]+ClientiBanca[[#This Row],[Mutuo]]</f>
        <v>47100</v>
      </c>
      <c r="L4567" t="str">
        <f>IF(ClientiBanca[[#This Row],[Reddito annuo]]&gt;=70000,"si","no")</f>
        <v>no</v>
      </c>
    </row>
    <row r="4568" spans="1:12">
      <c r="A4568">
        <v>104567</v>
      </c>
      <c r="B4568">
        <v>69</v>
      </c>
      <c r="C4568" s="2">
        <v>40400</v>
      </c>
      <c r="D4568" t="s">
        <v>21</v>
      </c>
      <c r="E4568" s="2">
        <v>40400</v>
      </c>
      <c r="F4568" s="2">
        <v>0</v>
      </c>
      <c r="G4568" t="s">
        <v>13</v>
      </c>
      <c r="H4568" t="s">
        <v>20</v>
      </c>
      <c r="I4568" t="s">
        <v>18</v>
      </c>
      <c r="J4568" s="3">
        <v>45459</v>
      </c>
      <c r="K4568" s="4">
        <f>ClientiBanca[[#This Row],[Prestito]]+ClientiBanca[[#This Row],[Mutuo]]</f>
        <v>40400</v>
      </c>
      <c r="L4568" t="str">
        <f>IF(ClientiBanca[[#This Row],[Reddito annuo]]&gt;=70000,"si","no")</f>
        <v>no</v>
      </c>
    </row>
    <row r="4569" spans="1:12">
      <c r="A4569">
        <v>104568</v>
      </c>
      <c r="B4569">
        <v>62</v>
      </c>
      <c r="C4569" s="2">
        <v>44600</v>
      </c>
      <c r="D4569" t="s">
        <v>12</v>
      </c>
      <c r="E4569" s="2">
        <v>15700</v>
      </c>
      <c r="F4569" s="2">
        <v>0</v>
      </c>
      <c r="G4569" t="s">
        <v>28</v>
      </c>
      <c r="H4569" t="s">
        <v>17</v>
      </c>
      <c r="I4569" t="s">
        <v>18</v>
      </c>
      <c r="J4569" s="3">
        <v>46042</v>
      </c>
      <c r="K4569" s="4">
        <f>ClientiBanca[[#This Row],[Prestito]]+ClientiBanca[[#This Row],[Mutuo]]</f>
        <v>15700</v>
      </c>
      <c r="L4569" t="str">
        <f>IF(ClientiBanca[[#This Row],[Reddito annuo]]&gt;=70000,"si","no")</f>
        <v>no</v>
      </c>
    </row>
    <row r="4570" spans="1:12">
      <c r="A4570">
        <v>104569</v>
      </c>
      <c r="B4570">
        <v>26</v>
      </c>
      <c r="C4570" s="2">
        <v>47600</v>
      </c>
      <c r="D4570" t="s">
        <v>12</v>
      </c>
      <c r="E4570" s="2">
        <v>40200</v>
      </c>
      <c r="F4570" s="2">
        <v>0</v>
      </c>
      <c r="G4570" t="s">
        <v>13</v>
      </c>
      <c r="H4570" t="s">
        <v>17</v>
      </c>
      <c r="I4570" t="s">
        <v>18</v>
      </c>
      <c r="J4570" s="3">
        <v>45967</v>
      </c>
      <c r="K4570" s="4">
        <f>ClientiBanca[[#This Row],[Prestito]]+ClientiBanca[[#This Row],[Mutuo]]</f>
        <v>40200</v>
      </c>
      <c r="L4570" t="str">
        <f>IF(ClientiBanca[[#This Row],[Reddito annuo]]&gt;=70000,"si","no")</f>
        <v>no</v>
      </c>
    </row>
    <row r="4571" spans="1:12">
      <c r="A4571">
        <v>104570</v>
      </c>
      <c r="B4571">
        <v>37</v>
      </c>
      <c r="C4571" s="2">
        <v>47900</v>
      </c>
      <c r="D4571" t="s">
        <v>12</v>
      </c>
      <c r="E4571" s="2">
        <v>0</v>
      </c>
      <c r="F4571" s="2">
        <v>0</v>
      </c>
      <c r="G4571" t="s">
        <v>16</v>
      </c>
      <c r="H4571" t="s">
        <v>20</v>
      </c>
      <c r="I4571" t="s">
        <v>18</v>
      </c>
      <c r="J4571" s="3">
        <v>45561</v>
      </c>
      <c r="K4571" s="4">
        <f>ClientiBanca[[#This Row],[Prestito]]+ClientiBanca[[#This Row],[Mutuo]]</f>
        <v>0</v>
      </c>
      <c r="L4571" t="str">
        <f>IF(ClientiBanca[[#This Row],[Reddito annuo]]&gt;=70000,"si","no")</f>
        <v>no</v>
      </c>
    </row>
    <row r="4572" spans="1:12">
      <c r="A4572">
        <v>104571</v>
      </c>
      <c r="B4572">
        <v>62</v>
      </c>
      <c r="C4572" s="2">
        <v>41300</v>
      </c>
      <c r="D4572" t="s">
        <v>21</v>
      </c>
      <c r="E4572" s="2">
        <v>0</v>
      </c>
      <c r="F4572" s="2">
        <v>0</v>
      </c>
      <c r="G4572" t="s">
        <v>24</v>
      </c>
      <c r="H4572" t="s">
        <v>14</v>
      </c>
      <c r="I4572" t="s">
        <v>18</v>
      </c>
      <c r="J4572" s="3">
        <v>45749</v>
      </c>
      <c r="K4572" s="4">
        <f>ClientiBanca[[#This Row],[Prestito]]+ClientiBanca[[#This Row],[Mutuo]]</f>
        <v>0</v>
      </c>
      <c r="L4572" t="str">
        <f>IF(ClientiBanca[[#This Row],[Reddito annuo]]&gt;=70000,"si","no")</f>
        <v>no</v>
      </c>
    </row>
    <row r="4573" spans="1:12">
      <c r="A4573">
        <v>104572</v>
      </c>
      <c r="B4573">
        <v>62</v>
      </c>
      <c r="C4573" s="2">
        <v>32100</v>
      </c>
      <c r="D4573" t="s">
        <v>21</v>
      </c>
      <c r="E4573" s="2">
        <v>0</v>
      </c>
      <c r="F4573" s="2">
        <v>0</v>
      </c>
      <c r="G4573" t="s">
        <v>16</v>
      </c>
      <c r="H4573" t="s">
        <v>17</v>
      </c>
      <c r="I4573" t="s">
        <v>18</v>
      </c>
      <c r="J4573" s="3">
        <v>45297</v>
      </c>
      <c r="K4573" s="4">
        <f>ClientiBanca[[#This Row],[Prestito]]+ClientiBanca[[#This Row],[Mutuo]]</f>
        <v>0</v>
      </c>
      <c r="L4573" t="str">
        <f>IF(ClientiBanca[[#This Row],[Reddito annuo]]&gt;=70000,"si","no")</f>
        <v>no</v>
      </c>
    </row>
    <row r="4574" spans="1:12">
      <c r="A4574">
        <v>104573</v>
      </c>
      <c r="B4574">
        <v>61</v>
      </c>
      <c r="C4574" s="2">
        <v>56000</v>
      </c>
      <c r="D4574" t="s">
        <v>21</v>
      </c>
      <c r="E4574" s="2">
        <v>36100</v>
      </c>
      <c r="F4574" s="2">
        <v>0</v>
      </c>
      <c r="G4574" t="s">
        <v>13</v>
      </c>
      <c r="H4574" t="s">
        <v>14</v>
      </c>
      <c r="I4574" t="s">
        <v>18</v>
      </c>
      <c r="J4574" s="3">
        <v>45383</v>
      </c>
      <c r="K4574" s="4">
        <f>ClientiBanca[[#This Row],[Prestito]]+ClientiBanca[[#This Row],[Mutuo]]</f>
        <v>36100</v>
      </c>
      <c r="L4574" t="str">
        <f>IF(ClientiBanca[[#This Row],[Reddito annuo]]&gt;=70000,"si","no")</f>
        <v>no</v>
      </c>
    </row>
    <row r="4575" spans="1:12">
      <c r="A4575">
        <v>104574</v>
      </c>
      <c r="B4575">
        <v>61</v>
      </c>
      <c r="C4575" s="2">
        <v>62000</v>
      </c>
      <c r="D4575" t="s">
        <v>21</v>
      </c>
      <c r="E4575" s="2">
        <v>0</v>
      </c>
      <c r="F4575" s="2">
        <v>0</v>
      </c>
      <c r="G4575" t="s">
        <v>13</v>
      </c>
      <c r="H4575" t="s">
        <v>20</v>
      </c>
      <c r="I4575" t="s">
        <v>18</v>
      </c>
      <c r="J4575" s="3">
        <v>46140</v>
      </c>
      <c r="K4575" s="4">
        <f>ClientiBanca[[#This Row],[Prestito]]+ClientiBanca[[#This Row],[Mutuo]]</f>
        <v>0</v>
      </c>
      <c r="L4575" t="str">
        <f>IF(ClientiBanca[[#This Row],[Reddito annuo]]&gt;=70000,"si","no")</f>
        <v>no</v>
      </c>
    </row>
    <row r="4576" spans="1:12">
      <c r="A4576">
        <v>104575</v>
      </c>
      <c r="B4576">
        <v>67</v>
      </c>
      <c r="C4576" s="2">
        <v>51400</v>
      </c>
      <c r="D4576" t="s">
        <v>21</v>
      </c>
      <c r="E4576" s="2">
        <v>0</v>
      </c>
      <c r="F4576" s="2">
        <v>0</v>
      </c>
      <c r="G4576" t="s">
        <v>16</v>
      </c>
      <c r="H4576" t="s">
        <v>14</v>
      </c>
      <c r="I4576" t="s">
        <v>18</v>
      </c>
      <c r="J4576" s="3">
        <v>45994</v>
      </c>
      <c r="K4576" s="4">
        <f>ClientiBanca[[#This Row],[Prestito]]+ClientiBanca[[#This Row],[Mutuo]]</f>
        <v>0</v>
      </c>
      <c r="L4576" t="str">
        <f>IF(ClientiBanca[[#This Row],[Reddito annuo]]&gt;=70000,"si","no")</f>
        <v>no</v>
      </c>
    </row>
    <row r="4577" spans="1:12">
      <c r="A4577">
        <v>104576</v>
      </c>
      <c r="B4577">
        <v>44</v>
      </c>
      <c r="C4577" s="2">
        <v>85200</v>
      </c>
      <c r="D4577" t="s">
        <v>22</v>
      </c>
      <c r="E4577" s="2">
        <v>10800</v>
      </c>
      <c r="F4577" s="2">
        <v>164000</v>
      </c>
      <c r="G4577" t="s">
        <v>27</v>
      </c>
      <c r="H4577" t="s">
        <v>17</v>
      </c>
      <c r="I4577" t="s">
        <v>15</v>
      </c>
      <c r="J4577" s="3">
        <v>45481</v>
      </c>
      <c r="K4577" s="4">
        <f>ClientiBanca[[#This Row],[Prestito]]+ClientiBanca[[#This Row],[Mutuo]]</f>
        <v>174800</v>
      </c>
      <c r="L4577" t="str">
        <f>IF(ClientiBanca[[#This Row],[Reddito annuo]]&gt;=70000,"si","no")</f>
        <v>si</v>
      </c>
    </row>
    <row r="4578" spans="1:12">
      <c r="A4578">
        <v>104577</v>
      </c>
      <c r="B4578">
        <v>45</v>
      </c>
      <c r="C4578" s="2">
        <v>71600</v>
      </c>
      <c r="D4578" t="s">
        <v>21</v>
      </c>
      <c r="E4578" s="2">
        <v>23600</v>
      </c>
      <c r="F4578" s="2">
        <v>0</v>
      </c>
      <c r="G4578" t="s">
        <v>16</v>
      </c>
      <c r="H4578" t="s">
        <v>17</v>
      </c>
      <c r="I4578" t="s">
        <v>18</v>
      </c>
      <c r="J4578" s="3">
        <v>45489</v>
      </c>
      <c r="K4578" s="4">
        <f>ClientiBanca[[#This Row],[Prestito]]+ClientiBanca[[#This Row],[Mutuo]]</f>
        <v>23600</v>
      </c>
      <c r="L4578" t="str">
        <f>IF(ClientiBanca[[#This Row],[Reddito annuo]]&gt;=70000,"si","no")</f>
        <v>si</v>
      </c>
    </row>
    <row r="4579" spans="1:12">
      <c r="A4579">
        <v>104578</v>
      </c>
      <c r="B4579">
        <v>66</v>
      </c>
      <c r="C4579" s="2">
        <v>37300</v>
      </c>
      <c r="D4579" t="s">
        <v>12</v>
      </c>
      <c r="E4579" s="2">
        <v>23400</v>
      </c>
      <c r="F4579" s="2">
        <v>0</v>
      </c>
      <c r="G4579" t="s">
        <v>19</v>
      </c>
      <c r="H4579" t="s">
        <v>20</v>
      </c>
      <c r="I4579" t="s">
        <v>18</v>
      </c>
      <c r="J4579" s="3">
        <v>45921</v>
      </c>
      <c r="K4579" s="4">
        <f>ClientiBanca[[#This Row],[Prestito]]+ClientiBanca[[#This Row],[Mutuo]]</f>
        <v>23400</v>
      </c>
      <c r="L4579" t="str">
        <f>IF(ClientiBanca[[#This Row],[Reddito annuo]]&gt;=70000,"si","no")</f>
        <v>no</v>
      </c>
    </row>
    <row r="4580" spans="1:12">
      <c r="A4580">
        <v>104579</v>
      </c>
      <c r="B4580">
        <v>21</v>
      </c>
      <c r="C4580" s="2">
        <v>84800</v>
      </c>
      <c r="D4580" t="s">
        <v>12</v>
      </c>
      <c r="E4580" s="2">
        <v>20800</v>
      </c>
      <c r="F4580" s="2">
        <v>0</v>
      </c>
      <c r="G4580" t="s">
        <v>26</v>
      </c>
      <c r="H4580" t="s">
        <v>14</v>
      </c>
      <c r="I4580" t="s">
        <v>18</v>
      </c>
      <c r="J4580" s="3">
        <v>46011</v>
      </c>
      <c r="K4580" s="4">
        <f>ClientiBanca[[#This Row],[Prestito]]+ClientiBanca[[#This Row],[Mutuo]]</f>
        <v>20800</v>
      </c>
      <c r="L4580" t="str">
        <f>IF(ClientiBanca[[#This Row],[Reddito annuo]]&gt;=70000,"si","no")</f>
        <v>si</v>
      </c>
    </row>
    <row r="4581" spans="1:12">
      <c r="A4581">
        <v>104580</v>
      </c>
      <c r="B4581">
        <v>31</v>
      </c>
      <c r="C4581" s="2">
        <v>35800</v>
      </c>
      <c r="D4581" t="s">
        <v>12</v>
      </c>
      <c r="E4581" s="2">
        <v>44800</v>
      </c>
      <c r="F4581" s="2">
        <v>0</v>
      </c>
      <c r="G4581" t="s">
        <v>16</v>
      </c>
      <c r="H4581" t="s">
        <v>25</v>
      </c>
      <c r="I4581" t="s">
        <v>18</v>
      </c>
      <c r="J4581" s="3">
        <v>46162</v>
      </c>
      <c r="K4581" s="4">
        <f>ClientiBanca[[#This Row],[Prestito]]+ClientiBanca[[#This Row],[Mutuo]]</f>
        <v>44800</v>
      </c>
      <c r="L4581" t="str">
        <f>IF(ClientiBanca[[#This Row],[Reddito annuo]]&gt;=70000,"si","no")</f>
        <v>no</v>
      </c>
    </row>
    <row r="4582" spans="1:12">
      <c r="A4582">
        <v>104581</v>
      </c>
      <c r="B4582">
        <v>73</v>
      </c>
      <c r="C4582" s="2">
        <v>98200</v>
      </c>
      <c r="D4582" t="s">
        <v>21</v>
      </c>
      <c r="E4582" s="2">
        <v>0</v>
      </c>
      <c r="F4582" s="2">
        <v>150000</v>
      </c>
      <c r="G4582" t="s">
        <v>26</v>
      </c>
      <c r="H4582" t="s">
        <v>20</v>
      </c>
      <c r="I4582" t="s">
        <v>18</v>
      </c>
      <c r="J4582" s="3">
        <v>45902</v>
      </c>
      <c r="K4582" s="4">
        <f>ClientiBanca[[#This Row],[Prestito]]+ClientiBanca[[#This Row],[Mutuo]]</f>
        <v>150000</v>
      </c>
      <c r="L4582" t="str">
        <f>IF(ClientiBanca[[#This Row],[Reddito annuo]]&gt;=70000,"si","no")</f>
        <v>si</v>
      </c>
    </row>
    <row r="4583" spans="1:12">
      <c r="A4583">
        <v>104582</v>
      </c>
      <c r="B4583">
        <v>20</v>
      </c>
      <c r="C4583" s="2">
        <v>108000</v>
      </c>
      <c r="D4583" t="s">
        <v>12</v>
      </c>
      <c r="E4583" s="2">
        <v>63700</v>
      </c>
      <c r="F4583" s="2">
        <v>0</v>
      </c>
      <c r="G4583" t="s">
        <v>23</v>
      </c>
      <c r="H4583" t="s">
        <v>20</v>
      </c>
      <c r="I4583" t="s">
        <v>18</v>
      </c>
      <c r="J4583" s="3">
        <v>45956</v>
      </c>
      <c r="K4583" s="4">
        <f>ClientiBanca[[#This Row],[Prestito]]+ClientiBanca[[#This Row],[Mutuo]]</f>
        <v>63700</v>
      </c>
      <c r="L4583" t="str">
        <f>IF(ClientiBanca[[#This Row],[Reddito annuo]]&gt;=70000,"si","no")</f>
        <v>si</v>
      </c>
    </row>
    <row r="4584" spans="1:12">
      <c r="A4584">
        <v>104583</v>
      </c>
      <c r="B4584">
        <v>44</v>
      </c>
      <c r="C4584" s="2">
        <v>35300</v>
      </c>
      <c r="D4584" t="s">
        <v>22</v>
      </c>
      <c r="E4584" s="2">
        <v>44100</v>
      </c>
      <c r="F4584" s="2">
        <v>187000</v>
      </c>
      <c r="G4584" t="s">
        <v>16</v>
      </c>
      <c r="H4584" t="s">
        <v>14</v>
      </c>
      <c r="I4584" t="s">
        <v>18</v>
      </c>
      <c r="J4584" s="3">
        <v>46159</v>
      </c>
      <c r="K4584" s="4">
        <f>ClientiBanca[[#This Row],[Prestito]]+ClientiBanca[[#This Row],[Mutuo]]</f>
        <v>231100</v>
      </c>
      <c r="L4584" t="str">
        <f>IF(ClientiBanca[[#This Row],[Reddito annuo]]&gt;=70000,"si","no")</f>
        <v>no</v>
      </c>
    </row>
    <row r="4585" spans="1:12">
      <c r="A4585">
        <v>104584</v>
      </c>
      <c r="B4585">
        <v>75</v>
      </c>
      <c r="C4585" s="2">
        <v>57000</v>
      </c>
      <c r="D4585" t="s">
        <v>21</v>
      </c>
      <c r="E4585" s="2">
        <v>14900</v>
      </c>
      <c r="F4585" s="2">
        <v>0</v>
      </c>
      <c r="G4585" t="s">
        <v>28</v>
      </c>
      <c r="H4585" t="s">
        <v>17</v>
      </c>
      <c r="I4585" t="s">
        <v>18</v>
      </c>
      <c r="J4585" s="3">
        <v>45499</v>
      </c>
      <c r="K4585" s="4">
        <f>ClientiBanca[[#This Row],[Prestito]]+ClientiBanca[[#This Row],[Mutuo]]</f>
        <v>14900</v>
      </c>
      <c r="L4585" t="str">
        <f>IF(ClientiBanca[[#This Row],[Reddito annuo]]&gt;=70000,"si","no")</f>
        <v>no</v>
      </c>
    </row>
    <row r="4586" spans="1:12">
      <c r="A4586">
        <v>104585</v>
      </c>
      <c r="B4586">
        <v>26</v>
      </c>
      <c r="C4586" s="2">
        <v>66800</v>
      </c>
      <c r="D4586" t="s">
        <v>22</v>
      </c>
      <c r="E4586" s="2">
        <v>8700</v>
      </c>
      <c r="F4586" s="2">
        <v>0</v>
      </c>
      <c r="G4586" t="s">
        <v>16</v>
      </c>
      <c r="H4586" t="s">
        <v>17</v>
      </c>
      <c r="I4586" t="s">
        <v>18</v>
      </c>
      <c r="J4586" s="3">
        <v>45569</v>
      </c>
      <c r="K4586" s="4">
        <f>ClientiBanca[[#This Row],[Prestito]]+ClientiBanca[[#This Row],[Mutuo]]</f>
        <v>8700</v>
      </c>
      <c r="L4586" t="str">
        <f>IF(ClientiBanca[[#This Row],[Reddito annuo]]&gt;=70000,"si","no")</f>
        <v>no</v>
      </c>
    </row>
    <row r="4587" spans="1:12">
      <c r="A4587">
        <v>104586</v>
      </c>
      <c r="B4587">
        <v>59</v>
      </c>
      <c r="C4587" s="2">
        <v>54400</v>
      </c>
      <c r="D4587" t="s">
        <v>21</v>
      </c>
      <c r="E4587" s="2">
        <v>40000</v>
      </c>
      <c r="F4587" s="2">
        <v>0</v>
      </c>
      <c r="G4587" t="s">
        <v>23</v>
      </c>
      <c r="H4587" t="s">
        <v>20</v>
      </c>
      <c r="I4587" t="s">
        <v>18</v>
      </c>
      <c r="J4587" s="3">
        <v>45793</v>
      </c>
      <c r="K4587" s="4">
        <f>ClientiBanca[[#This Row],[Prestito]]+ClientiBanca[[#This Row],[Mutuo]]</f>
        <v>40000</v>
      </c>
      <c r="L4587" t="str">
        <f>IF(ClientiBanca[[#This Row],[Reddito annuo]]&gt;=70000,"si","no")</f>
        <v>no</v>
      </c>
    </row>
    <row r="4588" spans="1:12">
      <c r="A4588">
        <v>104587</v>
      </c>
      <c r="B4588">
        <v>54</v>
      </c>
      <c r="C4588" s="2">
        <v>61000</v>
      </c>
      <c r="D4588" t="s">
        <v>12</v>
      </c>
      <c r="E4588" s="2">
        <v>37400</v>
      </c>
      <c r="F4588" s="2">
        <v>0</v>
      </c>
      <c r="G4588" t="s">
        <v>24</v>
      </c>
      <c r="H4588" t="s">
        <v>20</v>
      </c>
      <c r="I4588" t="s">
        <v>18</v>
      </c>
      <c r="J4588" s="3">
        <v>45648</v>
      </c>
      <c r="K4588" s="4">
        <f>ClientiBanca[[#This Row],[Prestito]]+ClientiBanca[[#This Row],[Mutuo]]</f>
        <v>37400</v>
      </c>
      <c r="L4588" t="str">
        <f>IF(ClientiBanca[[#This Row],[Reddito annuo]]&gt;=70000,"si","no")</f>
        <v>no</v>
      </c>
    </row>
    <row r="4589" spans="1:12">
      <c r="A4589">
        <v>104588</v>
      </c>
      <c r="B4589">
        <v>59</v>
      </c>
      <c r="C4589" s="2">
        <v>53300</v>
      </c>
      <c r="D4589" t="s">
        <v>12</v>
      </c>
      <c r="E4589" s="2">
        <v>45400</v>
      </c>
      <c r="F4589" s="2">
        <v>0</v>
      </c>
      <c r="G4589" t="s">
        <v>28</v>
      </c>
      <c r="H4589" t="s">
        <v>25</v>
      </c>
      <c r="I4589" t="s">
        <v>18</v>
      </c>
      <c r="J4589" s="3">
        <v>45483</v>
      </c>
      <c r="K4589" s="4">
        <f>ClientiBanca[[#This Row],[Prestito]]+ClientiBanca[[#This Row],[Mutuo]]</f>
        <v>45400</v>
      </c>
      <c r="L4589" t="str">
        <f>IF(ClientiBanca[[#This Row],[Reddito annuo]]&gt;=70000,"si","no")</f>
        <v>no</v>
      </c>
    </row>
    <row r="4590" spans="1:12">
      <c r="A4590">
        <v>104589</v>
      </c>
      <c r="B4590">
        <v>64</v>
      </c>
      <c r="C4590" s="2">
        <v>43100</v>
      </c>
      <c r="D4590" t="s">
        <v>22</v>
      </c>
      <c r="E4590" s="2">
        <v>0</v>
      </c>
      <c r="F4590" s="2">
        <v>0</v>
      </c>
      <c r="G4590" t="s">
        <v>28</v>
      </c>
      <c r="H4590" t="s">
        <v>20</v>
      </c>
      <c r="I4590" t="s">
        <v>18</v>
      </c>
      <c r="J4590" s="3">
        <v>45624</v>
      </c>
      <c r="K4590" s="4">
        <f>ClientiBanca[[#This Row],[Prestito]]+ClientiBanca[[#This Row],[Mutuo]]</f>
        <v>0</v>
      </c>
      <c r="L4590" t="str">
        <f>IF(ClientiBanca[[#This Row],[Reddito annuo]]&gt;=70000,"si","no")</f>
        <v>no</v>
      </c>
    </row>
    <row r="4591" spans="1:12">
      <c r="A4591">
        <v>104590</v>
      </c>
      <c r="B4591">
        <v>36</v>
      </c>
      <c r="C4591" s="2">
        <v>59000</v>
      </c>
      <c r="D4591" t="s">
        <v>21</v>
      </c>
      <c r="E4591" s="2">
        <v>0</v>
      </c>
      <c r="F4591" s="2">
        <v>290000</v>
      </c>
      <c r="G4591" t="s">
        <v>23</v>
      </c>
      <c r="H4591" t="s">
        <v>14</v>
      </c>
      <c r="I4591" t="s">
        <v>18</v>
      </c>
      <c r="J4591" s="3">
        <v>46113</v>
      </c>
      <c r="K4591" s="4">
        <f>ClientiBanca[[#This Row],[Prestito]]+ClientiBanca[[#This Row],[Mutuo]]</f>
        <v>290000</v>
      </c>
      <c r="L4591" t="str">
        <f>IF(ClientiBanca[[#This Row],[Reddito annuo]]&gt;=70000,"si","no")</f>
        <v>no</v>
      </c>
    </row>
    <row r="4592" spans="1:12">
      <c r="A4592">
        <v>104591</v>
      </c>
      <c r="B4592">
        <v>33</v>
      </c>
      <c r="C4592" s="2">
        <v>52100</v>
      </c>
      <c r="D4592" t="s">
        <v>22</v>
      </c>
      <c r="E4592" s="2">
        <v>0</v>
      </c>
      <c r="F4592" s="2">
        <v>298000</v>
      </c>
      <c r="G4592" t="s">
        <v>16</v>
      </c>
      <c r="H4592" t="s">
        <v>17</v>
      </c>
      <c r="I4592" t="s">
        <v>18</v>
      </c>
      <c r="J4592" s="3">
        <v>46041</v>
      </c>
      <c r="K4592" s="4">
        <f>ClientiBanca[[#This Row],[Prestito]]+ClientiBanca[[#This Row],[Mutuo]]</f>
        <v>298000</v>
      </c>
      <c r="L4592" t="str">
        <f>IF(ClientiBanca[[#This Row],[Reddito annuo]]&gt;=70000,"si","no")</f>
        <v>no</v>
      </c>
    </row>
    <row r="4593" spans="1:12">
      <c r="A4593">
        <v>104592</v>
      </c>
      <c r="B4593">
        <v>53</v>
      </c>
      <c r="C4593" s="2">
        <v>112000</v>
      </c>
      <c r="D4593" t="s">
        <v>21</v>
      </c>
      <c r="E4593" s="2">
        <v>65600</v>
      </c>
      <c r="F4593" s="2">
        <v>168000</v>
      </c>
      <c r="G4593" t="s">
        <v>16</v>
      </c>
      <c r="H4593" t="s">
        <v>20</v>
      </c>
      <c r="I4593" t="s">
        <v>18</v>
      </c>
      <c r="J4593" s="3">
        <v>46141</v>
      </c>
      <c r="K4593" s="4">
        <f>ClientiBanca[[#This Row],[Prestito]]+ClientiBanca[[#This Row],[Mutuo]]</f>
        <v>233600</v>
      </c>
      <c r="L4593" t="str">
        <f>IF(ClientiBanca[[#This Row],[Reddito annuo]]&gt;=70000,"si","no")</f>
        <v>si</v>
      </c>
    </row>
    <row r="4594" spans="1:12">
      <c r="A4594">
        <v>104593</v>
      </c>
      <c r="B4594">
        <v>73</v>
      </c>
      <c r="C4594" s="2">
        <v>85100</v>
      </c>
      <c r="D4594" t="s">
        <v>12</v>
      </c>
      <c r="E4594" s="2">
        <v>30900</v>
      </c>
      <c r="F4594" s="2">
        <v>0</v>
      </c>
      <c r="G4594" t="s">
        <v>19</v>
      </c>
      <c r="H4594" t="s">
        <v>20</v>
      </c>
      <c r="I4594" t="s">
        <v>18</v>
      </c>
      <c r="J4594" s="3">
        <v>45947</v>
      </c>
      <c r="K4594" s="4">
        <f>ClientiBanca[[#This Row],[Prestito]]+ClientiBanca[[#This Row],[Mutuo]]</f>
        <v>30900</v>
      </c>
      <c r="L4594" t="str">
        <f>IF(ClientiBanca[[#This Row],[Reddito annuo]]&gt;=70000,"si","no")</f>
        <v>si</v>
      </c>
    </row>
    <row r="4595" spans="1:12">
      <c r="A4595">
        <v>104594</v>
      </c>
      <c r="B4595">
        <v>30</v>
      </c>
      <c r="C4595" s="2">
        <v>72400</v>
      </c>
      <c r="D4595" t="s">
        <v>12</v>
      </c>
      <c r="E4595" s="2">
        <v>27000</v>
      </c>
      <c r="F4595" s="2">
        <v>0</v>
      </c>
      <c r="G4595" t="s">
        <v>23</v>
      </c>
      <c r="H4595" t="s">
        <v>17</v>
      </c>
      <c r="I4595" t="s">
        <v>18</v>
      </c>
      <c r="J4595" s="3">
        <v>46107</v>
      </c>
      <c r="K4595" s="4">
        <f>ClientiBanca[[#This Row],[Prestito]]+ClientiBanca[[#This Row],[Mutuo]]</f>
        <v>27000</v>
      </c>
      <c r="L4595" t="str">
        <f>IF(ClientiBanca[[#This Row],[Reddito annuo]]&gt;=70000,"si","no")</f>
        <v>si</v>
      </c>
    </row>
    <row r="4596" spans="1:12">
      <c r="A4596">
        <v>104595</v>
      </c>
      <c r="B4596">
        <v>34</v>
      </c>
      <c r="C4596" s="2">
        <v>35800</v>
      </c>
      <c r="D4596" t="s">
        <v>12</v>
      </c>
      <c r="E4596" s="2">
        <v>26500</v>
      </c>
      <c r="F4596" s="2">
        <v>0</v>
      </c>
      <c r="G4596" t="s">
        <v>13</v>
      </c>
      <c r="H4596" t="s">
        <v>14</v>
      </c>
      <c r="I4596" t="s">
        <v>18</v>
      </c>
      <c r="J4596" s="3">
        <v>45886</v>
      </c>
      <c r="K4596" s="4">
        <f>ClientiBanca[[#This Row],[Prestito]]+ClientiBanca[[#This Row],[Mutuo]]</f>
        <v>26500</v>
      </c>
      <c r="L4596" t="str">
        <f>IF(ClientiBanca[[#This Row],[Reddito annuo]]&gt;=70000,"si","no")</f>
        <v>no</v>
      </c>
    </row>
    <row r="4597" spans="1:12">
      <c r="A4597">
        <v>104596</v>
      </c>
      <c r="B4597">
        <v>71</v>
      </c>
      <c r="C4597" s="2">
        <v>25900</v>
      </c>
      <c r="D4597" t="s">
        <v>21</v>
      </c>
      <c r="E4597" s="2">
        <v>10200</v>
      </c>
      <c r="F4597" s="2">
        <v>0</v>
      </c>
      <c r="G4597" t="s">
        <v>26</v>
      </c>
      <c r="H4597" t="s">
        <v>17</v>
      </c>
      <c r="I4597" t="s">
        <v>18</v>
      </c>
      <c r="J4597" s="3">
        <v>46080</v>
      </c>
      <c r="K4597" s="4">
        <f>ClientiBanca[[#This Row],[Prestito]]+ClientiBanca[[#This Row],[Mutuo]]</f>
        <v>10200</v>
      </c>
      <c r="L4597" t="str">
        <f>IF(ClientiBanca[[#This Row],[Reddito annuo]]&gt;=70000,"si","no")</f>
        <v>no</v>
      </c>
    </row>
    <row r="4598" spans="1:12">
      <c r="A4598">
        <v>104597</v>
      </c>
      <c r="B4598">
        <v>42</v>
      </c>
      <c r="C4598" s="2">
        <v>74000</v>
      </c>
      <c r="D4598" t="s">
        <v>12</v>
      </c>
      <c r="E4598" s="2">
        <v>40000</v>
      </c>
      <c r="F4598" s="2">
        <v>160000</v>
      </c>
      <c r="G4598" t="s">
        <v>24</v>
      </c>
      <c r="H4598" t="s">
        <v>17</v>
      </c>
      <c r="I4598" t="s">
        <v>18</v>
      </c>
      <c r="J4598" s="3">
        <v>45387</v>
      </c>
      <c r="K4598" s="4">
        <f>ClientiBanca[[#This Row],[Prestito]]+ClientiBanca[[#This Row],[Mutuo]]</f>
        <v>200000</v>
      </c>
      <c r="L4598" t="str">
        <f>IF(ClientiBanca[[#This Row],[Reddito annuo]]&gt;=70000,"si","no")</f>
        <v>si</v>
      </c>
    </row>
    <row r="4599" spans="1:12">
      <c r="A4599">
        <v>104598</v>
      </c>
      <c r="B4599">
        <v>75</v>
      </c>
      <c r="C4599" s="2">
        <v>75900</v>
      </c>
      <c r="D4599" t="s">
        <v>22</v>
      </c>
      <c r="E4599" s="2">
        <v>45400</v>
      </c>
      <c r="F4599" s="2">
        <v>0</v>
      </c>
      <c r="G4599" t="s">
        <v>27</v>
      </c>
      <c r="H4599" t="s">
        <v>20</v>
      </c>
      <c r="I4599" t="s">
        <v>18</v>
      </c>
      <c r="J4599" s="3">
        <v>45728</v>
      </c>
      <c r="K4599" s="4">
        <f>ClientiBanca[[#This Row],[Prestito]]+ClientiBanca[[#This Row],[Mutuo]]</f>
        <v>45400</v>
      </c>
      <c r="L4599" t="str">
        <f>IF(ClientiBanca[[#This Row],[Reddito annuo]]&gt;=70000,"si","no")</f>
        <v>si</v>
      </c>
    </row>
    <row r="4600" spans="1:12">
      <c r="A4600">
        <v>104599</v>
      </c>
      <c r="B4600">
        <v>63</v>
      </c>
      <c r="C4600" s="2">
        <v>29600</v>
      </c>
      <c r="D4600" t="s">
        <v>21</v>
      </c>
      <c r="E4600" s="2">
        <v>0</v>
      </c>
      <c r="F4600" s="2">
        <v>361000</v>
      </c>
      <c r="G4600" t="s">
        <v>26</v>
      </c>
      <c r="H4600" t="s">
        <v>17</v>
      </c>
      <c r="I4600" t="s">
        <v>18</v>
      </c>
      <c r="J4600" s="3">
        <v>45374</v>
      </c>
      <c r="K4600" s="4">
        <f>ClientiBanca[[#This Row],[Prestito]]+ClientiBanca[[#This Row],[Mutuo]]</f>
        <v>361000</v>
      </c>
      <c r="L4600" t="str">
        <f>IF(ClientiBanca[[#This Row],[Reddito annuo]]&gt;=70000,"si","no")</f>
        <v>no</v>
      </c>
    </row>
    <row r="4601" spans="1:12">
      <c r="A4601">
        <v>104600</v>
      </c>
      <c r="B4601">
        <v>47</v>
      </c>
      <c r="C4601" s="2">
        <v>98100</v>
      </c>
      <c r="D4601" t="s">
        <v>21</v>
      </c>
      <c r="E4601" s="2">
        <v>0</v>
      </c>
      <c r="F4601" s="2">
        <v>203000</v>
      </c>
      <c r="G4601" t="s">
        <v>28</v>
      </c>
      <c r="H4601" t="s">
        <v>17</v>
      </c>
      <c r="I4601" t="s">
        <v>18</v>
      </c>
      <c r="J4601" s="3">
        <v>46147</v>
      </c>
      <c r="K4601" s="4">
        <f>ClientiBanca[[#This Row],[Prestito]]+ClientiBanca[[#This Row],[Mutuo]]</f>
        <v>203000</v>
      </c>
      <c r="L4601" t="str">
        <f>IF(ClientiBanca[[#This Row],[Reddito annuo]]&gt;=70000,"si","no")</f>
        <v>si</v>
      </c>
    </row>
    <row r="4602" spans="1:12">
      <c r="A4602">
        <v>104601</v>
      </c>
      <c r="B4602">
        <v>58</v>
      </c>
      <c r="C4602" s="2">
        <v>45700</v>
      </c>
      <c r="D4602" t="s">
        <v>22</v>
      </c>
      <c r="E4602" s="2">
        <v>57100</v>
      </c>
      <c r="F4602" s="2">
        <v>367000</v>
      </c>
      <c r="G4602" t="s">
        <v>19</v>
      </c>
      <c r="H4602" t="s">
        <v>14</v>
      </c>
      <c r="I4602" t="s">
        <v>18</v>
      </c>
      <c r="J4602" s="3">
        <v>45644</v>
      </c>
      <c r="K4602" s="4">
        <f>ClientiBanca[[#This Row],[Prestito]]+ClientiBanca[[#This Row],[Mutuo]]</f>
        <v>424100</v>
      </c>
      <c r="L4602" t="str">
        <f>IF(ClientiBanca[[#This Row],[Reddito annuo]]&gt;=70000,"si","no")</f>
        <v>no</v>
      </c>
    </row>
    <row r="4603" spans="1:12">
      <c r="A4603">
        <v>104602</v>
      </c>
      <c r="B4603">
        <v>55</v>
      </c>
      <c r="C4603" s="2">
        <v>38300</v>
      </c>
      <c r="D4603" t="s">
        <v>22</v>
      </c>
      <c r="E4603" s="2">
        <v>41100</v>
      </c>
      <c r="F4603" s="2">
        <v>0</v>
      </c>
      <c r="G4603" t="s">
        <v>19</v>
      </c>
      <c r="H4603" t="s">
        <v>14</v>
      </c>
      <c r="I4603" t="s">
        <v>18</v>
      </c>
      <c r="J4603" s="3">
        <v>45298</v>
      </c>
      <c r="K4603" s="4">
        <f>ClientiBanca[[#This Row],[Prestito]]+ClientiBanca[[#This Row],[Mutuo]]</f>
        <v>41100</v>
      </c>
      <c r="L4603" t="str">
        <f>IF(ClientiBanca[[#This Row],[Reddito annuo]]&gt;=70000,"si","no")</f>
        <v>no</v>
      </c>
    </row>
    <row r="4604" spans="1:12">
      <c r="A4604">
        <v>104603</v>
      </c>
      <c r="B4604">
        <v>22</v>
      </c>
      <c r="C4604" s="2">
        <v>42900</v>
      </c>
      <c r="D4604" t="s">
        <v>21</v>
      </c>
      <c r="E4604" s="2">
        <v>49900</v>
      </c>
      <c r="F4604" s="2">
        <v>0</v>
      </c>
      <c r="G4604" t="s">
        <v>16</v>
      </c>
      <c r="H4604" t="s">
        <v>20</v>
      </c>
      <c r="I4604" t="s">
        <v>18</v>
      </c>
      <c r="J4604" s="3">
        <v>45863</v>
      </c>
      <c r="K4604" s="4">
        <f>ClientiBanca[[#This Row],[Prestito]]+ClientiBanca[[#This Row],[Mutuo]]</f>
        <v>49900</v>
      </c>
      <c r="L4604" t="str">
        <f>IF(ClientiBanca[[#This Row],[Reddito annuo]]&gt;=70000,"si","no")</f>
        <v>no</v>
      </c>
    </row>
    <row r="4605" spans="1:12">
      <c r="A4605">
        <v>104604</v>
      </c>
      <c r="B4605">
        <v>58</v>
      </c>
      <c r="C4605" s="2">
        <v>55400</v>
      </c>
      <c r="D4605" t="s">
        <v>12</v>
      </c>
      <c r="E4605" s="2">
        <v>40300</v>
      </c>
      <c r="F4605" s="2">
        <v>0</v>
      </c>
      <c r="G4605" t="s">
        <v>28</v>
      </c>
      <c r="H4605" t="s">
        <v>17</v>
      </c>
      <c r="I4605" t="s">
        <v>18</v>
      </c>
      <c r="J4605" s="3">
        <v>45394</v>
      </c>
      <c r="K4605" s="4">
        <f>ClientiBanca[[#This Row],[Prestito]]+ClientiBanca[[#This Row],[Mutuo]]</f>
        <v>40300</v>
      </c>
      <c r="L4605" t="str">
        <f>IF(ClientiBanca[[#This Row],[Reddito annuo]]&gt;=70000,"si","no")</f>
        <v>no</v>
      </c>
    </row>
    <row r="4606" spans="1:12">
      <c r="A4606">
        <v>104605</v>
      </c>
      <c r="B4606">
        <v>59</v>
      </c>
      <c r="C4606" s="2">
        <v>45200</v>
      </c>
      <c r="D4606" t="s">
        <v>22</v>
      </c>
      <c r="E4606" s="2">
        <v>34100</v>
      </c>
      <c r="F4606" s="2">
        <v>400000</v>
      </c>
      <c r="G4606" t="s">
        <v>13</v>
      </c>
      <c r="H4606" t="s">
        <v>17</v>
      </c>
      <c r="I4606" t="s">
        <v>15</v>
      </c>
      <c r="J4606" s="3">
        <v>45302</v>
      </c>
      <c r="K4606" s="4">
        <f>ClientiBanca[[#This Row],[Prestito]]+ClientiBanca[[#This Row],[Mutuo]]</f>
        <v>434100</v>
      </c>
      <c r="L4606" t="str">
        <f>IF(ClientiBanca[[#This Row],[Reddito annuo]]&gt;=70000,"si","no")</f>
        <v>no</v>
      </c>
    </row>
    <row r="4607" spans="1:12">
      <c r="A4607">
        <v>104606</v>
      </c>
      <c r="B4607">
        <v>28</v>
      </c>
      <c r="C4607" s="2">
        <v>93000</v>
      </c>
      <c r="D4607" t="s">
        <v>12</v>
      </c>
      <c r="E4607" s="2">
        <v>21600</v>
      </c>
      <c r="F4607" s="2">
        <v>0</v>
      </c>
      <c r="G4607" t="s">
        <v>24</v>
      </c>
      <c r="H4607" t="s">
        <v>25</v>
      </c>
      <c r="I4607" t="s">
        <v>18</v>
      </c>
      <c r="J4607" s="3">
        <v>46061</v>
      </c>
      <c r="K4607" s="4">
        <f>ClientiBanca[[#This Row],[Prestito]]+ClientiBanca[[#This Row],[Mutuo]]</f>
        <v>21600</v>
      </c>
      <c r="L4607" t="str">
        <f>IF(ClientiBanca[[#This Row],[Reddito annuo]]&gt;=70000,"si","no")</f>
        <v>si</v>
      </c>
    </row>
    <row r="4608" spans="1:12">
      <c r="A4608">
        <v>104607</v>
      </c>
      <c r="B4608">
        <v>51</v>
      </c>
      <c r="C4608" s="2">
        <v>75400</v>
      </c>
      <c r="D4608" t="s">
        <v>21</v>
      </c>
      <c r="E4608" s="2">
        <v>38200</v>
      </c>
      <c r="F4608" s="2">
        <v>0</v>
      </c>
      <c r="G4608" t="s">
        <v>24</v>
      </c>
      <c r="H4608" t="s">
        <v>20</v>
      </c>
      <c r="I4608" t="s">
        <v>18</v>
      </c>
      <c r="J4608" s="3">
        <v>45923</v>
      </c>
      <c r="K4608" s="4">
        <f>ClientiBanca[[#This Row],[Prestito]]+ClientiBanca[[#This Row],[Mutuo]]</f>
        <v>38200</v>
      </c>
      <c r="L4608" t="str">
        <f>IF(ClientiBanca[[#This Row],[Reddito annuo]]&gt;=70000,"si","no")</f>
        <v>si</v>
      </c>
    </row>
    <row r="4609" spans="1:12">
      <c r="A4609">
        <v>104608</v>
      </c>
      <c r="B4609">
        <v>62</v>
      </c>
      <c r="C4609" s="2">
        <v>79700</v>
      </c>
      <c r="D4609" t="s">
        <v>12</v>
      </c>
      <c r="E4609" s="2">
        <v>46000</v>
      </c>
      <c r="F4609" s="2">
        <v>0</v>
      </c>
      <c r="G4609" t="s">
        <v>24</v>
      </c>
      <c r="H4609" t="s">
        <v>20</v>
      </c>
      <c r="I4609" t="s">
        <v>18</v>
      </c>
      <c r="J4609" s="3">
        <v>45296</v>
      </c>
      <c r="K4609" s="4">
        <f>ClientiBanca[[#This Row],[Prestito]]+ClientiBanca[[#This Row],[Mutuo]]</f>
        <v>46000</v>
      </c>
      <c r="L4609" t="str">
        <f>IF(ClientiBanca[[#This Row],[Reddito annuo]]&gt;=70000,"si","no")</f>
        <v>si</v>
      </c>
    </row>
    <row r="4610" spans="1:12">
      <c r="A4610">
        <v>104609</v>
      </c>
      <c r="B4610">
        <v>27</v>
      </c>
      <c r="C4610" s="2">
        <v>36000</v>
      </c>
      <c r="D4610" t="s">
        <v>12</v>
      </c>
      <c r="E4610" s="2">
        <v>28600</v>
      </c>
      <c r="F4610" s="2">
        <v>0</v>
      </c>
      <c r="G4610" t="s">
        <v>13</v>
      </c>
      <c r="H4610" t="s">
        <v>14</v>
      </c>
      <c r="I4610" t="s">
        <v>18</v>
      </c>
      <c r="J4610" s="3">
        <v>45397</v>
      </c>
      <c r="K4610" s="4">
        <f>ClientiBanca[[#This Row],[Prestito]]+ClientiBanca[[#This Row],[Mutuo]]</f>
        <v>28600</v>
      </c>
      <c r="L4610" t="str">
        <f>IF(ClientiBanca[[#This Row],[Reddito annuo]]&gt;=70000,"si","no")</f>
        <v>no</v>
      </c>
    </row>
    <row r="4611" spans="1:12">
      <c r="A4611">
        <v>104610</v>
      </c>
      <c r="B4611">
        <v>33</v>
      </c>
      <c r="C4611" s="2">
        <v>69000</v>
      </c>
      <c r="D4611" t="s">
        <v>12</v>
      </c>
      <c r="E4611" s="2">
        <v>26700</v>
      </c>
      <c r="F4611" s="2">
        <v>0</v>
      </c>
      <c r="G4611" t="s">
        <v>24</v>
      </c>
      <c r="H4611" t="s">
        <v>14</v>
      </c>
      <c r="I4611" t="s">
        <v>18</v>
      </c>
      <c r="J4611" s="3">
        <v>45662</v>
      </c>
      <c r="K4611" s="4">
        <f>ClientiBanca[[#This Row],[Prestito]]+ClientiBanca[[#This Row],[Mutuo]]</f>
        <v>26700</v>
      </c>
      <c r="L4611" t="str">
        <f>IF(ClientiBanca[[#This Row],[Reddito annuo]]&gt;=70000,"si","no")</f>
        <v>no</v>
      </c>
    </row>
    <row r="4612" spans="1:12">
      <c r="A4612">
        <v>104611</v>
      </c>
      <c r="B4612">
        <v>20</v>
      </c>
      <c r="C4612" s="2">
        <v>60100</v>
      </c>
      <c r="D4612" t="s">
        <v>21</v>
      </c>
      <c r="E4612" s="2">
        <v>14900</v>
      </c>
      <c r="F4612" s="2">
        <v>0</v>
      </c>
      <c r="G4612" t="s">
        <v>24</v>
      </c>
      <c r="H4612" t="s">
        <v>14</v>
      </c>
      <c r="I4612" t="s">
        <v>18</v>
      </c>
      <c r="J4612" s="3">
        <v>46026</v>
      </c>
      <c r="K4612" s="4">
        <f>ClientiBanca[[#This Row],[Prestito]]+ClientiBanca[[#This Row],[Mutuo]]</f>
        <v>14900</v>
      </c>
      <c r="L4612" t="str">
        <f>IF(ClientiBanca[[#This Row],[Reddito annuo]]&gt;=70000,"si","no")</f>
        <v>no</v>
      </c>
    </row>
    <row r="4613" spans="1:12">
      <c r="A4613">
        <v>104612</v>
      </c>
      <c r="B4613">
        <v>34</v>
      </c>
      <c r="C4613" s="2">
        <v>37900</v>
      </c>
      <c r="D4613" t="s">
        <v>21</v>
      </c>
      <c r="E4613" s="2">
        <v>13600</v>
      </c>
      <c r="F4613" s="2">
        <v>0</v>
      </c>
      <c r="G4613" t="s">
        <v>19</v>
      </c>
      <c r="H4613" t="s">
        <v>14</v>
      </c>
      <c r="I4613" t="s">
        <v>18</v>
      </c>
      <c r="J4613" s="3">
        <v>45881</v>
      </c>
      <c r="K4613" s="4">
        <f>ClientiBanca[[#This Row],[Prestito]]+ClientiBanca[[#This Row],[Mutuo]]</f>
        <v>13600</v>
      </c>
      <c r="L4613" t="str">
        <f>IF(ClientiBanca[[#This Row],[Reddito annuo]]&gt;=70000,"si","no")</f>
        <v>no</v>
      </c>
    </row>
    <row r="4614" spans="1:12">
      <c r="A4614">
        <v>104613</v>
      </c>
      <c r="B4614">
        <v>47</v>
      </c>
      <c r="C4614" s="2">
        <v>48500</v>
      </c>
      <c r="D4614" t="s">
        <v>21</v>
      </c>
      <c r="E4614" s="2">
        <v>33200</v>
      </c>
      <c r="F4614" s="2">
        <v>0</v>
      </c>
      <c r="G4614" t="s">
        <v>19</v>
      </c>
      <c r="H4614" t="s">
        <v>20</v>
      </c>
      <c r="I4614" t="s">
        <v>18</v>
      </c>
      <c r="J4614" s="3">
        <v>45557</v>
      </c>
      <c r="K4614" s="4">
        <f>ClientiBanca[[#This Row],[Prestito]]+ClientiBanca[[#This Row],[Mutuo]]</f>
        <v>33200</v>
      </c>
      <c r="L4614" t="str">
        <f>IF(ClientiBanca[[#This Row],[Reddito annuo]]&gt;=70000,"si","no")</f>
        <v>no</v>
      </c>
    </row>
    <row r="4615" spans="1:12">
      <c r="A4615">
        <v>104614</v>
      </c>
      <c r="B4615">
        <v>74</v>
      </c>
      <c r="C4615" s="2">
        <v>74800</v>
      </c>
      <c r="D4615" t="s">
        <v>12</v>
      </c>
      <c r="E4615" s="2">
        <v>0</v>
      </c>
      <c r="F4615" s="2">
        <v>322000</v>
      </c>
      <c r="G4615" t="s">
        <v>24</v>
      </c>
      <c r="H4615" t="s">
        <v>17</v>
      </c>
      <c r="I4615" t="s">
        <v>18</v>
      </c>
      <c r="J4615" s="3">
        <v>45591</v>
      </c>
      <c r="K4615" s="4">
        <f>ClientiBanca[[#This Row],[Prestito]]+ClientiBanca[[#This Row],[Mutuo]]</f>
        <v>322000</v>
      </c>
      <c r="L4615" t="str">
        <f>IF(ClientiBanca[[#This Row],[Reddito annuo]]&gt;=70000,"si","no")</f>
        <v>si</v>
      </c>
    </row>
    <row r="4616" spans="1:12">
      <c r="A4616">
        <v>104615</v>
      </c>
      <c r="B4616">
        <v>22</v>
      </c>
      <c r="C4616" s="2">
        <v>58100</v>
      </c>
      <c r="D4616" t="s">
        <v>12</v>
      </c>
      <c r="E4616" s="2">
        <v>27300</v>
      </c>
      <c r="F4616" s="2">
        <v>0</v>
      </c>
      <c r="G4616" t="s">
        <v>19</v>
      </c>
      <c r="H4616" t="s">
        <v>17</v>
      </c>
      <c r="I4616" t="s">
        <v>18</v>
      </c>
      <c r="J4616" s="3">
        <v>45882</v>
      </c>
      <c r="K4616" s="4">
        <f>ClientiBanca[[#This Row],[Prestito]]+ClientiBanca[[#This Row],[Mutuo]]</f>
        <v>27300</v>
      </c>
      <c r="L4616" t="str">
        <f>IF(ClientiBanca[[#This Row],[Reddito annuo]]&gt;=70000,"si","no")</f>
        <v>no</v>
      </c>
    </row>
    <row r="4617" spans="1:12">
      <c r="A4617">
        <v>104616</v>
      </c>
      <c r="B4617">
        <v>32</v>
      </c>
      <c r="C4617" s="2">
        <v>93800</v>
      </c>
      <c r="D4617" t="s">
        <v>12</v>
      </c>
      <c r="E4617" s="2">
        <v>29800</v>
      </c>
      <c r="F4617" s="2">
        <v>0</v>
      </c>
      <c r="G4617" t="s">
        <v>19</v>
      </c>
      <c r="H4617" t="s">
        <v>14</v>
      </c>
      <c r="I4617" t="s">
        <v>18</v>
      </c>
      <c r="J4617" s="3">
        <v>46033</v>
      </c>
      <c r="K4617" s="4">
        <f>ClientiBanca[[#This Row],[Prestito]]+ClientiBanca[[#This Row],[Mutuo]]</f>
        <v>29800</v>
      </c>
      <c r="L4617" t="str">
        <f>IF(ClientiBanca[[#This Row],[Reddito annuo]]&gt;=70000,"si","no")</f>
        <v>si</v>
      </c>
    </row>
    <row r="4618" spans="1:12">
      <c r="A4618">
        <v>104617</v>
      </c>
      <c r="B4618">
        <v>33</v>
      </c>
      <c r="C4618" s="2">
        <v>51900</v>
      </c>
      <c r="D4618" t="s">
        <v>12</v>
      </c>
      <c r="E4618" s="2">
        <v>35900</v>
      </c>
      <c r="F4618" s="2">
        <v>0</v>
      </c>
      <c r="G4618" t="s">
        <v>24</v>
      </c>
      <c r="H4618" t="s">
        <v>17</v>
      </c>
      <c r="I4618" t="s">
        <v>18</v>
      </c>
      <c r="J4618" s="3">
        <v>46251</v>
      </c>
      <c r="K4618" s="4">
        <f>ClientiBanca[[#This Row],[Prestito]]+ClientiBanca[[#This Row],[Mutuo]]</f>
        <v>35900</v>
      </c>
      <c r="L4618" t="str">
        <f>IF(ClientiBanca[[#This Row],[Reddito annuo]]&gt;=70000,"si","no")</f>
        <v>no</v>
      </c>
    </row>
    <row r="4619" spans="1:12">
      <c r="A4619">
        <v>104618</v>
      </c>
      <c r="B4619">
        <v>65</v>
      </c>
      <c r="C4619" s="2">
        <v>72500</v>
      </c>
      <c r="D4619" t="s">
        <v>22</v>
      </c>
      <c r="E4619" s="2">
        <v>0</v>
      </c>
      <c r="F4619" s="2">
        <v>0</v>
      </c>
      <c r="G4619" t="s">
        <v>27</v>
      </c>
      <c r="H4619" t="s">
        <v>20</v>
      </c>
      <c r="I4619" t="s">
        <v>18</v>
      </c>
      <c r="J4619" s="3">
        <v>45670</v>
      </c>
      <c r="K4619" s="4">
        <f>ClientiBanca[[#This Row],[Prestito]]+ClientiBanca[[#This Row],[Mutuo]]</f>
        <v>0</v>
      </c>
      <c r="L4619" t="str">
        <f>IF(ClientiBanca[[#This Row],[Reddito annuo]]&gt;=70000,"si","no")</f>
        <v>si</v>
      </c>
    </row>
    <row r="4620" spans="1:12">
      <c r="A4620">
        <v>104619</v>
      </c>
      <c r="B4620">
        <v>32</v>
      </c>
      <c r="C4620" s="2">
        <v>91600</v>
      </c>
      <c r="D4620" t="s">
        <v>12</v>
      </c>
      <c r="E4620" s="2">
        <v>7900</v>
      </c>
      <c r="F4620" s="2">
        <v>0</v>
      </c>
      <c r="G4620" t="s">
        <v>26</v>
      </c>
      <c r="H4620" t="s">
        <v>17</v>
      </c>
      <c r="I4620" t="s">
        <v>18</v>
      </c>
      <c r="J4620" s="3">
        <v>46187</v>
      </c>
      <c r="K4620" s="4">
        <f>ClientiBanca[[#This Row],[Prestito]]+ClientiBanca[[#This Row],[Mutuo]]</f>
        <v>7900</v>
      </c>
      <c r="L4620" t="str">
        <f>IF(ClientiBanca[[#This Row],[Reddito annuo]]&gt;=70000,"si","no")</f>
        <v>si</v>
      </c>
    </row>
    <row r="4621" spans="1:12">
      <c r="A4621">
        <v>104620</v>
      </c>
      <c r="B4621">
        <v>38</v>
      </c>
      <c r="C4621" s="2">
        <v>105100</v>
      </c>
      <c r="D4621" t="s">
        <v>21</v>
      </c>
      <c r="E4621" s="2">
        <v>0</v>
      </c>
      <c r="F4621" s="2">
        <v>0</v>
      </c>
      <c r="G4621" t="s">
        <v>16</v>
      </c>
      <c r="H4621" t="s">
        <v>20</v>
      </c>
      <c r="I4621" t="s">
        <v>18</v>
      </c>
      <c r="J4621" s="3">
        <v>45791</v>
      </c>
      <c r="K4621" s="4">
        <f>ClientiBanca[[#This Row],[Prestito]]+ClientiBanca[[#This Row],[Mutuo]]</f>
        <v>0</v>
      </c>
      <c r="L4621" t="str">
        <f>IF(ClientiBanca[[#This Row],[Reddito annuo]]&gt;=70000,"si","no")</f>
        <v>si</v>
      </c>
    </row>
    <row r="4622" spans="1:12">
      <c r="A4622">
        <v>104621</v>
      </c>
      <c r="B4622">
        <v>25</v>
      </c>
      <c r="C4622" s="2">
        <v>43200</v>
      </c>
      <c r="D4622" t="s">
        <v>21</v>
      </c>
      <c r="E4622" s="2">
        <v>35800</v>
      </c>
      <c r="F4622" s="2">
        <v>95000</v>
      </c>
      <c r="G4622" t="s">
        <v>19</v>
      </c>
      <c r="H4622" t="s">
        <v>17</v>
      </c>
      <c r="I4622" t="s">
        <v>18</v>
      </c>
      <c r="J4622" s="3">
        <v>46249</v>
      </c>
      <c r="K4622" s="4">
        <f>ClientiBanca[[#This Row],[Prestito]]+ClientiBanca[[#This Row],[Mutuo]]</f>
        <v>130800</v>
      </c>
      <c r="L4622" t="str">
        <f>IF(ClientiBanca[[#This Row],[Reddito annuo]]&gt;=70000,"si","no")</f>
        <v>no</v>
      </c>
    </row>
    <row r="4623" spans="1:12">
      <c r="A4623">
        <v>104622</v>
      </c>
      <c r="B4623">
        <v>57</v>
      </c>
      <c r="C4623" s="2">
        <v>63500</v>
      </c>
      <c r="D4623" t="s">
        <v>22</v>
      </c>
      <c r="E4623" s="2">
        <v>0</v>
      </c>
      <c r="F4623" s="2">
        <v>0</v>
      </c>
      <c r="G4623" t="s">
        <v>23</v>
      </c>
      <c r="H4623" t="s">
        <v>25</v>
      </c>
      <c r="I4623" t="s">
        <v>18</v>
      </c>
      <c r="J4623" s="3">
        <v>46181</v>
      </c>
      <c r="K4623" s="4">
        <f>ClientiBanca[[#This Row],[Prestito]]+ClientiBanca[[#This Row],[Mutuo]]</f>
        <v>0</v>
      </c>
      <c r="L4623" t="str">
        <f>IF(ClientiBanca[[#This Row],[Reddito annuo]]&gt;=70000,"si","no")</f>
        <v>no</v>
      </c>
    </row>
    <row r="4624" spans="1:12">
      <c r="A4624">
        <v>104623</v>
      </c>
      <c r="B4624">
        <v>59</v>
      </c>
      <c r="C4624" s="2">
        <v>52500</v>
      </c>
      <c r="D4624" t="s">
        <v>22</v>
      </c>
      <c r="E4624" s="2">
        <v>50000</v>
      </c>
      <c r="F4624" s="2">
        <v>0</v>
      </c>
      <c r="G4624" t="s">
        <v>28</v>
      </c>
      <c r="H4624" t="s">
        <v>14</v>
      </c>
      <c r="I4624" t="s">
        <v>18</v>
      </c>
      <c r="J4624" s="3">
        <v>46117</v>
      </c>
      <c r="K4624" s="4">
        <f>ClientiBanca[[#This Row],[Prestito]]+ClientiBanca[[#This Row],[Mutuo]]</f>
        <v>50000</v>
      </c>
      <c r="L4624" t="str">
        <f>IF(ClientiBanca[[#This Row],[Reddito annuo]]&gt;=70000,"si","no")</f>
        <v>no</v>
      </c>
    </row>
    <row r="4625" spans="1:12">
      <c r="A4625">
        <v>104624</v>
      </c>
      <c r="B4625">
        <v>38</v>
      </c>
      <c r="C4625" s="2">
        <v>48900</v>
      </c>
      <c r="D4625" t="s">
        <v>21</v>
      </c>
      <c r="E4625" s="2">
        <v>27500</v>
      </c>
      <c r="F4625" s="2">
        <v>0</v>
      </c>
      <c r="G4625" t="s">
        <v>24</v>
      </c>
      <c r="H4625" t="s">
        <v>20</v>
      </c>
      <c r="I4625" t="s">
        <v>18</v>
      </c>
      <c r="J4625" s="3">
        <v>45964</v>
      </c>
      <c r="K4625" s="4">
        <f>ClientiBanca[[#This Row],[Prestito]]+ClientiBanca[[#This Row],[Mutuo]]</f>
        <v>27500</v>
      </c>
      <c r="L4625" t="str">
        <f>IF(ClientiBanca[[#This Row],[Reddito annuo]]&gt;=70000,"si","no")</f>
        <v>no</v>
      </c>
    </row>
    <row r="4626" spans="1:12">
      <c r="A4626">
        <v>104625</v>
      </c>
      <c r="B4626">
        <v>33</v>
      </c>
      <c r="C4626" s="2">
        <v>84000</v>
      </c>
      <c r="D4626" t="s">
        <v>12</v>
      </c>
      <c r="E4626" s="2">
        <v>0</v>
      </c>
      <c r="F4626" s="2">
        <v>0</v>
      </c>
      <c r="G4626" t="s">
        <v>24</v>
      </c>
      <c r="H4626" t="s">
        <v>17</v>
      </c>
      <c r="I4626" t="s">
        <v>18</v>
      </c>
      <c r="J4626" s="3">
        <v>45995</v>
      </c>
      <c r="K4626" s="4">
        <f>ClientiBanca[[#This Row],[Prestito]]+ClientiBanca[[#This Row],[Mutuo]]</f>
        <v>0</v>
      </c>
      <c r="L4626" t="str">
        <f>IF(ClientiBanca[[#This Row],[Reddito annuo]]&gt;=70000,"si","no")</f>
        <v>si</v>
      </c>
    </row>
    <row r="4627" spans="1:12">
      <c r="A4627">
        <v>104626</v>
      </c>
      <c r="B4627">
        <v>66</v>
      </c>
      <c r="C4627" s="2">
        <v>52200</v>
      </c>
      <c r="D4627" t="s">
        <v>21</v>
      </c>
      <c r="E4627" s="2">
        <v>12300</v>
      </c>
      <c r="F4627" s="2">
        <v>0</v>
      </c>
      <c r="G4627" t="s">
        <v>16</v>
      </c>
      <c r="H4627" t="s">
        <v>20</v>
      </c>
      <c r="I4627" t="s">
        <v>18</v>
      </c>
      <c r="J4627" s="3">
        <v>45875</v>
      </c>
      <c r="K4627" s="4">
        <f>ClientiBanca[[#This Row],[Prestito]]+ClientiBanca[[#This Row],[Mutuo]]</f>
        <v>12300</v>
      </c>
      <c r="L4627" t="str">
        <f>IF(ClientiBanca[[#This Row],[Reddito annuo]]&gt;=70000,"si","no")</f>
        <v>no</v>
      </c>
    </row>
    <row r="4628" spans="1:12">
      <c r="A4628">
        <v>104627</v>
      </c>
      <c r="B4628">
        <v>57</v>
      </c>
      <c r="C4628" s="2">
        <v>85300</v>
      </c>
      <c r="D4628" t="s">
        <v>21</v>
      </c>
      <c r="E4628" s="2">
        <v>25300</v>
      </c>
      <c r="F4628" s="2">
        <v>185000</v>
      </c>
      <c r="G4628" t="s">
        <v>23</v>
      </c>
      <c r="H4628" t="s">
        <v>17</v>
      </c>
      <c r="I4628" t="s">
        <v>18</v>
      </c>
      <c r="J4628" s="3">
        <v>45436</v>
      </c>
      <c r="K4628" s="4">
        <f>ClientiBanca[[#This Row],[Prestito]]+ClientiBanca[[#This Row],[Mutuo]]</f>
        <v>210300</v>
      </c>
      <c r="L4628" t="str">
        <f>IF(ClientiBanca[[#This Row],[Reddito annuo]]&gt;=70000,"si","no")</f>
        <v>si</v>
      </c>
    </row>
    <row r="4629" spans="1:12">
      <c r="A4629">
        <v>104628</v>
      </c>
      <c r="B4629">
        <v>24</v>
      </c>
      <c r="C4629" s="2">
        <v>51900</v>
      </c>
      <c r="D4629" t="s">
        <v>22</v>
      </c>
      <c r="E4629" s="2">
        <v>48700</v>
      </c>
      <c r="F4629" s="2">
        <v>254000</v>
      </c>
      <c r="G4629" t="s">
        <v>28</v>
      </c>
      <c r="H4629" t="s">
        <v>17</v>
      </c>
      <c r="I4629" t="s">
        <v>18</v>
      </c>
      <c r="J4629" s="3">
        <v>46106</v>
      </c>
      <c r="K4629" s="4">
        <f>ClientiBanca[[#This Row],[Prestito]]+ClientiBanca[[#This Row],[Mutuo]]</f>
        <v>302700</v>
      </c>
      <c r="L4629" t="str">
        <f>IF(ClientiBanca[[#This Row],[Reddito annuo]]&gt;=70000,"si","no")</f>
        <v>no</v>
      </c>
    </row>
    <row r="4630" spans="1:12">
      <c r="A4630">
        <v>104629</v>
      </c>
      <c r="B4630">
        <v>71</v>
      </c>
      <c r="C4630" s="2">
        <v>34900</v>
      </c>
      <c r="D4630" t="s">
        <v>21</v>
      </c>
      <c r="E4630" s="2">
        <v>18400</v>
      </c>
      <c r="F4630" s="2">
        <v>183000</v>
      </c>
      <c r="G4630" t="s">
        <v>19</v>
      </c>
      <c r="H4630" t="s">
        <v>14</v>
      </c>
      <c r="I4630" t="s">
        <v>18</v>
      </c>
      <c r="J4630" s="3">
        <v>45717</v>
      </c>
      <c r="K4630" s="4">
        <f>ClientiBanca[[#This Row],[Prestito]]+ClientiBanca[[#This Row],[Mutuo]]</f>
        <v>201400</v>
      </c>
      <c r="L4630" t="str">
        <f>IF(ClientiBanca[[#This Row],[Reddito annuo]]&gt;=70000,"si","no")</f>
        <v>no</v>
      </c>
    </row>
    <row r="4631" spans="1:12">
      <c r="A4631">
        <v>104630</v>
      </c>
      <c r="B4631">
        <v>31</v>
      </c>
      <c r="C4631" s="2">
        <v>47900</v>
      </c>
      <c r="D4631" t="s">
        <v>21</v>
      </c>
      <c r="E4631" s="2">
        <v>40500</v>
      </c>
      <c r="F4631" s="2">
        <v>152000</v>
      </c>
      <c r="G4631" t="s">
        <v>24</v>
      </c>
      <c r="H4631" t="s">
        <v>17</v>
      </c>
      <c r="I4631" t="s">
        <v>18</v>
      </c>
      <c r="J4631" s="3">
        <v>45888</v>
      </c>
      <c r="K4631" s="4">
        <f>ClientiBanca[[#This Row],[Prestito]]+ClientiBanca[[#This Row],[Mutuo]]</f>
        <v>192500</v>
      </c>
      <c r="L4631" t="str">
        <f>IF(ClientiBanca[[#This Row],[Reddito annuo]]&gt;=70000,"si","no")</f>
        <v>no</v>
      </c>
    </row>
    <row r="4632" spans="1:12">
      <c r="A4632">
        <v>104631</v>
      </c>
      <c r="B4632">
        <v>63</v>
      </c>
      <c r="C4632" s="2">
        <v>84900</v>
      </c>
      <c r="D4632" t="s">
        <v>21</v>
      </c>
      <c r="E4632" s="2">
        <v>0</v>
      </c>
      <c r="F4632" s="2">
        <v>0</v>
      </c>
      <c r="G4632" t="s">
        <v>16</v>
      </c>
      <c r="H4632" t="s">
        <v>17</v>
      </c>
      <c r="I4632" t="s">
        <v>18</v>
      </c>
      <c r="J4632" s="3">
        <v>45829</v>
      </c>
      <c r="K4632" s="4">
        <f>ClientiBanca[[#This Row],[Prestito]]+ClientiBanca[[#This Row],[Mutuo]]</f>
        <v>0</v>
      </c>
      <c r="L4632" t="str">
        <f>IF(ClientiBanca[[#This Row],[Reddito annuo]]&gt;=70000,"si","no")</f>
        <v>si</v>
      </c>
    </row>
    <row r="4633" spans="1:12">
      <c r="A4633">
        <v>104632</v>
      </c>
      <c r="B4633">
        <v>24</v>
      </c>
      <c r="C4633" s="2">
        <v>33700</v>
      </c>
      <c r="D4633" t="s">
        <v>22</v>
      </c>
      <c r="E4633" s="2">
        <v>22600</v>
      </c>
      <c r="F4633" s="2">
        <v>0</v>
      </c>
      <c r="G4633" t="s">
        <v>23</v>
      </c>
      <c r="H4633" t="s">
        <v>14</v>
      </c>
      <c r="I4633" t="s">
        <v>15</v>
      </c>
      <c r="J4633" s="3">
        <v>46090</v>
      </c>
      <c r="K4633" s="4">
        <f>ClientiBanca[[#This Row],[Prestito]]+ClientiBanca[[#This Row],[Mutuo]]</f>
        <v>22600</v>
      </c>
      <c r="L4633" t="str">
        <f>IF(ClientiBanca[[#This Row],[Reddito annuo]]&gt;=70000,"si","no")</f>
        <v>no</v>
      </c>
    </row>
    <row r="4634" spans="1:12">
      <c r="A4634">
        <v>104633</v>
      </c>
      <c r="B4634">
        <v>46</v>
      </c>
      <c r="C4634" s="2">
        <v>60600</v>
      </c>
      <c r="D4634" t="s">
        <v>12</v>
      </c>
      <c r="E4634" s="2">
        <v>37100</v>
      </c>
      <c r="F4634" s="2">
        <v>0</v>
      </c>
      <c r="G4634" t="s">
        <v>26</v>
      </c>
      <c r="H4634" t="s">
        <v>14</v>
      </c>
      <c r="I4634" t="s">
        <v>18</v>
      </c>
      <c r="J4634" s="3">
        <v>46113</v>
      </c>
      <c r="K4634" s="4">
        <f>ClientiBanca[[#This Row],[Prestito]]+ClientiBanca[[#This Row],[Mutuo]]</f>
        <v>37100</v>
      </c>
      <c r="L4634" t="str">
        <f>IF(ClientiBanca[[#This Row],[Reddito annuo]]&gt;=70000,"si","no")</f>
        <v>no</v>
      </c>
    </row>
    <row r="4635" spans="1:12">
      <c r="A4635">
        <v>104634</v>
      </c>
      <c r="B4635">
        <v>73</v>
      </c>
      <c r="C4635" s="2">
        <v>59000</v>
      </c>
      <c r="D4635" t="s">
        <v>12</v>
      </c>
      <c r="E4635" s="2">
        <v>0</v>
      </c>
      <c r="F4635" s="2">
        <v>307000</v>
      </c>
      <c r="G4635" t="s">
        <v>28</v>
      </c>
      <c r="H4635" t="s">
        <v>25</v>
      </c>
      <c r="I4635" t="s">
        <v>18</v>
      </c>
      <c r="J4635" s="3">
        <v>46166</v>
      </c>
      <c r="K4635" s="4">
        <f>ClientiBanca[[#This Row],[Prestito]]+ClientiBanca[[#This Row],[Mutuo]]</f>
        <v>307000</v>
      </c>
      <c r="L4635" t="str">
        <f>IF(ClientiBanca[[#This Row],[Reddito annuo]]&gt;=70000,"si","no")</f>
        <v>no</v>
      </c>
    </row>
    <row r="4636" spans="1:12">
      <c r="A4636">
        <v>104635</v>
      </c>
      <c r="B4636">
        <v>46</v>
      </c>
      <c r="C4636" s="2">
        <v>41900</v>
      </c>
      <c r="D4636" t="s">
        <v>12</v>
      </c>
      <c r="E4636" s="2">
        <v>0</v>
      </c>
      <c r="F4636" s="2">
        <v>0</v>
      </c>
      <c r="G4636" t="s">
        <v>13</v>
      </c>
      <c r="H4636" t="s">
        <v>14</v>
      </c>
      <c r="I4636" t="s">
        <v>18</v>
      </c>
      <c r="J4636" s="3">
        <v>45369</v>
      </c>
      <c r="K4636" s="4">
        <f>ClientiBanca[[#This Row],[Prestito]]+ClientiBanca[[#This Row],[Mutuo]]</f>
        <v>0</v>
      </c>
      <c r="L4636" t="str">
        <f>IF(ClientiBanca[[#This Row],[Reddito annuo]]&gt;=70000,"si","no")</f>
        <v>no</v>
      </c>
    </row>
    <row r="4637" spans="1:12">
      <c r="A4637">
        <v>104636</v>
      </c>
      <c r="B4637">
        <v>63</v>
      </c>
      <c r="C4637" s="2">
        <v>102300</v>
      </c>
      <c r="D4637" t="s">
        <v>21</v>
      </c>
      <c r="E4637" s="2">
        <v>34400</v>
      </c>
      <c r="F4637" s="2">
        <v>0</v>
      </c>
      <c r="G4637" t="s">
        <v>23</v>
      </c>
      <c r="H4637" t="s">
        <v>20</v>
      </c>
      <c r="I4637" t="s">
        <v>18</v>
      </c>
      <c r="J4637" s="3">
        <v>45772</v>
      </c>
      <c r="K4637" s="4">
        <f>ClientiBanca[[#This Row],[Prestito]]+ClientiBanca[[#This Row],[Mutuo]]</f>
        <v>34400</v>
      </c>
      <c r="L4637" t="str">
        <f>IF(ClientiBanca[[#This Row],[Reddito annuo]]&gt;=70000,"si","no")</f>
        <v>si</v>
      </c>
    </row>
    <row r="4638" spans="1:12">
      <c r="A4638">
        <v>104637</v>
      </c>
      <c r="B4638">
        <v>56</v>
      </c>
      <c r="C4638" s="2">
        <v>112400</v>
      </c>
      <c r="D4638" t="s">
        <v>21</v>
      </c>
      <c r="E4638" s="2">
        <v>0</v>
      </c>
      <c r="F4638" s="2">
        <v>0</v>
      </c>
      <c r="G4638" t="s">
        <v>26</v>
      </c>
      <c r="H4638" t="s">
        <v>20</v>
      </c>
      <c r="I4638" t="s">
        <v>18</v>
      </c>
      <c r="J4638" s="3">
        <v>45860</v>
      </c>
      <c r="K4638" s="4">
        <f>ClientiBanca[[#This Row],[Prestito]]+ClientiBanca[[#This Row],[Mutuo]]</f>
        <v>0</v>
      </c>
      <c r="L4638" t="str">
        <f>IF(ClientiBanca[[#This Row],[Reddito annuo]]&gt;=70000,"si","no")</f>
        <v>si</v>
      </c>
    </row>
    <row r="4639" spans="1:12">
      <c r="A4639">
        <v>104638</v>
      </c>
      <c r="B4639">
        <v>27</v>
      </c>
      <c r="C4639" s="2">
        <v>63900</v>
      </c>
      <c r="D4639" t="s">
        <v>22</v>
      </c>
      <c r="E4639" s="2">
        <v>35200</v>
      </c>
      <c r="F4639" s="2">
        <v>0</v>
      </c>
      <c r="G4639" t="s">
        <v>26</v>
      </c>
      <c r="H4639" t="s">
        <v>17</v>
      </c>
      <c r="I4639" t="s">
        <v>18</v>
      </c>
      <c r="J4639" s="3">
        <v>46022</v>
      </c>
      <c r="K4639" s="4">
        <f>ClientiBanca[[#This Row],[Prestito]]+ClientiBanca[[#This Row],[Mutuo]]</f>
        <v>35200</v>
      </c>
      <c r="L4639" t="str">
        <f>IF(ClientiBanca[[#This Row],[Reddito annuo]]&gt;=70000,"si","no")</f>
        <v>no</v>
      </c>
    </row>
    <row r="4640" spans="1:12">
      <c r="A4640">
        <v>104639</v>
      </c>
      <c r="B4640">
        <v>64</v>
      </c>
      <c r="C4640" s="2">
        <v>97200</v>
      </c>
      <c r="D4640" t="s">
        <v>21</v>
      </c>
      <c r="E4640" s="2">
        <v>27700</v>
      </c>
      <c r="F4640" s="2">
        <v>0</v>
      </c>
      <c r="G4640" t="s">
        <v>28</v>
      </c>
      <c r="H4640" t="s">
        <v>20</v>
      </c>
      <c r="I4640" t="s">
        <v>15</v>
      </c>
      <c r="J4640" s="3">
        <v>45350</v>
      </c>
      <c r="K4640" s="4">
        <f>ClientiBanca[[#This Row],[Prestito]]+ClientiBanca[[#This Row],[Mutuo]]</f>
        <v>27700</v>
      </c>
      <c r="L4640" t="str">
        <f>IF(ClientiBanca[[#This Row],[Reddito annuo]]&gt;=70000,"si","no")</f>
        <v>si</v>
      </c>
    </row>
    <row r="4641" spans="1:12">
      <c r="A4641">
        <v>104640</v>
      </c>
      <c r="B4641">
        <v>28</v>
      </c>
      <c r="C4641" s="2">
        <v>74400</v>
      </c>
      <c r="D4641" t="s">
        <v>21</v>
      </c>
      <c r="E4641" s="2">
        <v>35300</v>
      </c>
      <c r="F4641" s="2">
        <v>0</v>
      </c>
      <c r="G4641" t="s">
        <v>27</v>
      </c>
      <c r="H4641" t="s">
        <v>17</v>
      </c>
      <c r="I4641" t="s">
        <v>18</v>
      </c>
      <c r="J4641" s="3">
        <v>46181</v>
      </c>
      <c r="K4641" s="4">
        <f>ClientiBanca[[#This Row],[Prestito]]+ClientiBanca[[#This Row],[Mutuo]]</f>
        <v>35300</v>
      </c>
      <c r="L4641" t="str">
        <f>IF(ClientiBanca[[#This Row],[Reddito annuo]]&gt;=70000,"si","no")</f>
        <v>si</v>
      </c>
    </row>
    <row r="4642" spans="1:12">
      <c r="A4642">
        <v>104641</v>
      </c>
      <c r="B4642">
        <v>28</v>
      </c>
      <c r="C4642" s="2">
        <v>59400</v>
      </c>
      <c r="D4642" t="s">
        <v>21</v>
      </c>
      <c r="E4642" s="2">
        <v>13400</v>
      </c>
      <c r="F4642" s="2">
        <v>172000</v>
      </c>
      <c r="G4642" t="s">
        <v>24</v>
      </c>
      <c r="H4642" t="s">
        <v>20</v>
      </c>
      <c r="I4642" t="s">
        <v>18</v>
      </c>
      <c r="J4642" s="3">
        <v>46169</v>
      </c>
      <c r="K4642" s="4">
        <f>ClientiBanca[[#This Row],[Prestito]]+ClientiBanca[[#This Row],[Mutuo]]</f>
        <v>185400</v>
      </c>
      <c r="L4642" t="str">
        <f>IF(ClientiBanca[[#This Row],[Reddito annuo]]&gt;=70000,"si","no")</f>
        <v>no</v>
      </c>
    </row>
    <row r="4643" spans="1:12">
      <c r="A4643">
        <v>104642</v>
      </c>
      <c r="B4643">
        <v>36</v>
      </c>
      <c r="C4643" s="2">
        <v>35700</v>
      </c>
      <c r="D4643" t="s">
        <v>21</v>
      </c>
      <c r="E4643" s="2">
        <v>0</v>
      </c>
      <c r="F4643" s="2">
        <v>187000</v>
      </c>
      <c r="G4643" t="s">
        <v>13</v>
      </c>
      <c r="H4643" t="s">
        <v>20</v>
      </c>
      <c r="I4643" t="s">
        <v>18</v>
      </c>
      <c r="J4643" s="3">
        <v>45644</v>
      </c>
      <c r="K4643" s="4">
        <f>ClientiBanca[[#This Row],[Prestito]]+ClientiBanca[[#This Row],[Mutuo]]</f>
        <v>187000</v>
      </c>
      <c r="L4643" t="str">
        <f>IF(ClientiBanca[[#This Row],[Reddito annuo]]&gt;=70000,"si","no")</f>
        <v>no</v>
      </c>
    </row>
    <row r="4644" spans="1:12">
      <c r="A4644">
        <v>104643</v>
      </c>
      <c r="B4644">
        <v>34</v>
      </c>
      <c r="C4644" s="2">
        <v>34100</v>
      </c>
      <c r="D4644" t="s">
        <v>21</v>
      </c>
      <c r="E4644" s="2">
        <v>0</v>
      </c>
      <c r="F4644" s="2">
        <v>0</v>
      </c>
      <c r="G4644" t="s">
        <v>28</v>
      </c>
      <c r="H4644" t="s">
        <v>14</v>
      </c>
      <c r="I4644" t="s">
        <v>18</v>
      </c>
      <c r="J4644" s="3">
        <v>46151</v>
      </c>
      <c r="K4644" s="4">
        <f>ClientiBanca[[#This Row],[Prestito]]+ClientiBanca[[#This Row],[Mutuo]]</f>
        <v>0</v>
      </c>
      <c r="L4644" t="str">
        <f>IF(ClientiBanca[[#This Row],[Reddito annuo]]&gt;=70000,"si","no")</f>
        <v>no</v>
      </c>
    </row>
    <row r="4645" spans="1:12">
      <c r="A4645">
        <v>104644</v>
      </c>
      <c r="B4645">
        <v>31</v>
      </c>
      <c r="C4645" s="2">
        <v>81100</v>
      </c>
      <c r="D4645" t="s">
        <v>21</v>
      </c>
      <c r="E4645" s="2">
        <v>42100</v>
      </c>
      <c r="F4645" s="2">
        <v>217000</v>
      </c>
      <c r="G4645" t="s">
        <v>27</v>
      </c>
      <c r="H4645" t="s">
        <v>20</v>
      </c>
      <c r="I4645" t="s">
        <v>18</v>
      </c>
      <c r="J4645" s="3">
        <v>45324</v>
      </c>
      <c r="K4645" s="4">
        <f>ClientiBanca[[#This Row],[Prestito]]+ClientiBanca[[#This Row],[Mutuo]]</f>
        <v>259100</v>
      </c>
      <c r="L4645" t="str">
        <f>IF(ClientiBanca[[#This Row],[Reddito annuo]]&gt;=70000,"si","no")</f>
        <v>si</v>
      </c>
    </row>
    <row r="4646" spans="1:12">
      <c r="A4646">
        <v>104645</v>
      </c>
      <c r="B4646">
        <v>31</v>
      </c>
      <c r="C4646" s="2">
        <v>27000</v>
      </c>
      <c r="D4646" t="s">
        <v>12</v>
      </c>
      <c r="E4646" s="2">
        <v>0</v>
      </c>
      <c r="F4646" s="2">
        <v>0</v>
      </c>
      <c r="G4646" t="s">
        <v>13</v>
      </c>
      <c r="H4646" t="s">
        <v>14</v>
      </c>
      <c r="I4646" t="s">
        <v>18</v>
      </c>
      <c r="J4646" s="3">
        <v>45611</v>
      </c>
      <c r="K4646" s="4">
        <f>ClientiBanca[[#This Row],[Prestito]]+ClientiBanca[[#This Row],[Mutuo]]</f>
        <v>0</v>
      </c>
      <c r="L4646" t="str">
        <f>IF(ClientiBanca[[#This Row],[Reddito annuo]]&gt;=70000,"si","no")</f>
        <v>no</v>
      </c>
    </row>
    <row r="4647" spans="1:12">
      <c r="A4647">
        <v>104646</v>
      </c>
      <c r="B4647">
        <v>20</v>
      </c>
      <c r="C4647" s="2">
        <v>32200</v>
      </c>
      <c r="D4647" t="s">
        <v>22</v>
      </c>
      <c r="E4647" s="2">
        <v>40200</v>
      </c>
      <c r="F4647" s="2">
        <v>257000</v>
      </c>
      <c r="G4647" t="s">
        <v>16</v>
      </c>
      <c r="H4647" t="s">
        <v>20</v>
      </c>
      <c r="I4647" t="s">
        <v>18</v>
      </c>
      <c r="J4647" s="3">
        <v>45438</v>
      </c>
      <c r="K4647" s="4">
        <f>ClientiBanca[[#This Row],[Prestito]]+ClientiBanca[[#This Row],[Mutuo]]</f>
        <v>297200</v>
      </c>
      <c r="L4647" t="str">
        <f>IF(ClientiBanca[[#This Row],[Reddito annuo]]&gt;=70000,"si","no")</f>
        <v>no</v>
      </c>
    </row>
    <row r="4648" spans="1:12">
      <c r="A4648">
        <v>104647</v>
      </c>
      <c r="B4648">
        <v>51</v>
      </c>
      <c r="C4648" s="2">
        <v>38500</v>
      </c>
      <c r="D4648" t="s">
        <v>12</v>
      </c>
      <c r="E4648" s="2">
        <v>10300</v>
      </c>
      <c r="F4648" s="2">
        <v>0</v>
      </c>
      <c r="G4648" t="s">
        <v>27</v>
      </c>
      <c r="H4648" t="s">
        <v>17</v>
      </c>
      <c r="I4648" t="s">
        <v>18</v>
      </c>
      <c r="J4648" s="3">
        <v>45501</v>
      </c>
      <c r="K4648" s="4">
        <f>ClientiBanca[[#This Row],[Prestito]]+ClientiBanca[[#This Row],[Mutuo]]</f>
        <v>10300</v>
      </c>
      <c r="L4648" t="str">
        <f>IF(ClientiBanca[[#This Row],[Reddito annuo]]&gt;=70000,"si","no")</f>
        <v>no</v>
      </c>
    </row>
    <row r="4649" spans="1:12">
      <c r="A4649">
        <v>104648</v>
      </c>
      <c r="B4649">
        <v>64</v>
      </c>
      <c r="C4649" s="2">
        <v>74300</v>
      </c>
      <c r="D4649" t="s">
        <v>22</v>
      </c>
      <c r="E4649" s="2">
        <v>74200</v>
      </c>
      <c r="F4649" s="2">
        <v>0</v>
      </c>
      <c r="G4649" t="s">
        <v>13</v>
      </c>
      <c r="H4649" t="s">
        <v>25</v>
      </c>
      <c r="I4649" t="s">
        <v>18</v>
      </c>
      <c r="J4649" s="3">
        <v>45723</v>
      </c>
      <c r="K4649" s="4">
        <f>ClientiBanca[[#This Row],[Prestito]]+ClientiBanca[[#This Row],[Mutuo]]</f>
        <v>74200</v>
      </c>
      <c r="L4649" t="str">
        <f>IF(ClientiBanca[[#This Row],[Reddito annuo]]&gt;=70000,"si","no")</f>
        <v>si</v>
      </c>
    </row>
    <row r="4650" spans="1:12">
      <c r="A4650">
        <v>104649</v>
      </c>
      <c r="B4650">
        <v>28</v>
      </c>
      <c r="C4650" s="2">
        <v>48500</v>
      </c>
      <c r="D4650" t="s">
        <v>21</v>
      </c>
      <c r="E4650" s="2">
        <v>57500</v>
      </c>
      <c r="F4650" s="2">
        <v>346000</v>
      </c>
      <c r="G4650" t="s">
        <v>28</v>
      </c>
      <c r="H4650" t="s">
        <v>20</v>
      </c>
      <c r="I4650" t="s">
        <v>18</v>
      </c>
      <c r="J4650" s="3">
        <v>45663</v>
      </c>
      <c r="K4650" s="4">
        <f>ClientiBanca[[#This Row],[Prestito]]+ClientiBanca[[#This Row],[Mutuo]]</f>
        <v>403500</v>
      </c>
      <c r="L4650" t="str">
        <f>IF(ClientiBanca[[#This Row],[Reddito annuo]]&gt;=70000,"si","no")</f>
        <v>no</v>
      </c>
    </row>
    <row r="4651" spans="1:12">
      <c r="A4651">
        <v>104650</v>
      </c>
      <c r="B4651">
        <v>62</v>
      </c>
      <c r="C4651" s="2">
        <v>32200</v>
      </c>
      <c r="D4651" t="s">
        <v>12</v>
      </c>
      <c r="E4651" s="2">
        <v>19100</v>
      </c>
      <c r="F4651" s="2">
        <v>0</v>
      </c>
      <c r="G4651" t="s">
        <v>27</v>
      </c>
      <c r="H4651" t="s">
        <v>14</v>
      </c>
      <c r="I4651" t="s">
        <v>18</v>
      </c>
      <c r="J4651" s="3">
        <v>45348</v>
      </c>
      <c r="K4651" s="4">
        <f>ClientiBanca[[#This Row],[Prestito]]+ClientiBanca[[#This Row],[Mutuo]]</f>
        <v>19100</v>
      </c>
      <c r="L4651" t="str">
        <f>IF(ClientiBanca[[#This Row],[Reddito annuo]]&gt;=70000,"si","no")</f>
        <v>no</v>
      </c>
    </row>
    <row r="4652" spans="1:12">
      <c r="A4652">
        <v>104651</v>
      </c>
      <c r="B4652">
        <v>75</v>
      </c>
      <c r="C4652" s="2">
        <v>93500</v>
      </c>
      <c r="D4652" t="s">
        <v>12</v>
      </c>
      <c r="E4652" s="2">
        <v>0</v>
      </c>
      <c r="F4652" s="2">
        <v>0</v>
      </c>
      <c r="G4652" t="s">
        <v>26</v>
      </c>
      <c r="H4652" t="s">
        <v>25</v>
      </c>
      <c r="I4652" t="s">
        <v>18</v>
      </c>
      <c r="J4652" s="3">
        <v>45781</v>
      </c>
      <c r="K4652" s="4">
        <f>ClientiBanca[[#This Row],[Prestito]]+ClientiBanca[[#This Row],[Mutuo]]</f>
        <v>0</v>
      </c>
      <c r="L4652" t="str">
        <f>IF(ClientiBanca[[#This Row],[Reddito annuo]]&gt;=70000,"si","no")</f>
        <v>si</v>
      </c>
    </row>
    <row r="4653" spans="1:12">
      <c r="A4653">
        <v>104652</v>
      </c>
      <c r="B4653">
        <v>39</v>
      </c>
      <c r="C4653" s="2">
        <v>33800</v>
      </c>
      <c r="D4653" t="s">
        <v>22</v>
      </c>
      <c r="E4653" s="2">
        <v>41700</v>
      </c>
      <c r="F4653" s="2">
        <v>0</v>
      </c>
      <c r="G4653" t="s">
        <v>19</v>
      </c>
      <c r="H4653" t="s">
        <v>17</v>
      </c>
      <c r="I4653" t="s">
        <v>18</v>
      </c>
      <c r="J4653" s="3">
        <v>45519</v>
      </c>
      <c r="K4653" s="4">
        <f>ClientiBanca[[#This Row],[Prestito]]+ClientiBanca[[#This Row],[Mutuo]]</f>
        <v>41700</v>
      </c>
      <c r="L4653" t="str">
        <f>IF(ClientiBanca[[#This Row],[Reddito annuo]]&gt;=70000,"si","no")</f>
        <v>no</v>
      </c>
    </row>
    <row r="4654" spans="1:12">
      <c r="A4654">
        <v>104653</v>
      </c>
      <c r="B4654">
        <v>70</v>
      </c>
      <c r="C4654" s="2">
        <v>52100</v>
      </c>
      <c r="D4654" t="s">
        <v>12</v>
      </c>
      <c r="E4654" s="2">
        <v>65100</v>
      </c>
      <c r="F4654" s="2">
        <v>0</v>
      </c>
      <c r="G4654" t="s">
        <v>23</v>
      </c>
      <c r="H4654" t="s">
        <v>20</v>
      </c>
      <c r="I4654" t="s">
        <v>18</v>
      </c>
      <c r="J4654" s="3">
        <v>45619</v>
      </c>
      <c r="K4654" s="4">
        <f>ClientiBanca[[#This Row],[Prestito]]+ClientiBanca[[#This Row],[Mutuo]]</f>
        <v>65100</v>
      </c>
      <c r="L4654" t="str">
        <f>IF(ClientiBanca[[#This Row],[Reddito annuo]]&gt;=70000,"si","no")</f>
        <v>no</v>
      </c>
    </row>
    <row r="4655" spans="1:12">
      <c r="A4655">
        <v>104654</v>
      </c>
      <c r="B4655">
        <v>75</v>
      </c>
      <c r="C4655" s="2">
        <v>60100</v>
      </c>
      <c r="D4655" t="s">
        <v>12</v>
      </c>
      <c r="E4655" s="2">
        <v>36800</v>
      </c>
      <c r="F4655" s="2">
        <v>135000</v>
      </c>
      <c r="G4655" t="s">
        <v>16</v>
      </c>
      <c r="H4655" t="s">
        <v>17</v>
      </c>
      <c r="I4655" t="s">
        <v>15</v>
      </c>
      <c r="J4655" s="3">
        <v>46022</v>
      </c>
      <c r="K4655" s="4">
        <f>ClientiBanca[[#This Row],[Prestito]]+ClientiBanca[[#This Row],[Mutuo]]</f>
        <v>171800</v>
      </c>
      <c r="L4655" t="str">
        <f>IF(ClientiBanca[[#This Row],[Reddito annuo]]&gt;=70000,"si","no")</f>
        <v>no</v>
      </c>
    </row>
    <row r="4656" spans="1:12">
      <c r="A4656">
        <v>104655</v>
      </c>
      <c r="B4656">
        <v>39</v>
      </c>
      <c r="C4656" s="2">
        <v>55100</v>
      </c>
      <c r="D4656" t="s">
        <v>21</v>
      </c>
      <c r="E4656" s="2">
        <v>27900</v>
      </c>
      <c r="F4656" s="2">
        <v>296000</v>
      </c>
      <c r="G4656" t="s">
        <v>27</v>
      </c>
      <c r="H4656" t="s">
        <v>20</v>
      </c>
      <c r="I4656" t="s">
        <v>18</v>
      </c>
      <c r="J4656" s="3">
        <v>45940</v>
      </c>
      <c r="K4656" s="4">
        <f>ClientiBanca[[#This Row],[Prestito]]+ClientiBanca[[#This Row],[Mutuo]]</f>
        <v>323900</v>
      </c>
      <c r="L4656" t="str">
        <f>IF(ClientiBanca[[#This Row],[Reddito annuo]]&gt;=70000,"si","no")</f>
        <v>no</v>
      </c>
    </row>
    <row r="4657" spans="1:12">
      <c r="A4657">
        <v>104656</v>
      </c>
      <c r="B4657">
        <v>43</v>
      </c>
      <c r="C4657" s="2">
        <v>93800</v>
      </c>
      <c r="D4657" t="s">
        <v>21</v>
      </c>
      <c r="E4657" s="2">
        <v>48400</v>
      </c>
      <c r="F4657" s="2">
        <v>0</v>
      </c>
      <c r="G4657" t="s">
        <v>16</v>
      </c>
      <c r="H4657" t="s">
        <v>14</v>
      </c>
      <c r="I4657" t="s">
        <v>18</v>
      </c>
      <c r="J4657" s="3">
        <v>45457</v>
      </c>
      <c r="K4657" s="4">
        <f>ClientiBanca[[#This Row],[Prestito]]+ClientiBanca[[#This Row],[Mutuo]]</f>
        <v>48400</v>
      </c>
      <c r="L4657" t="str">
        <f>IF(ClientiBanca[[#This Row],[Reddito annuo]]&gt;=70000,"si","no")</f>
        <v>si</v>
      </c>
    </row>
    <row r="4658" spans="1:12">
      <c r="A4658">
        <v>104657</v>
      </c>
      <c r="B4658">
        <v>23</v>
      </c>
      <c r="C4658" s="2">
        <v>34200</v>
      </c>
      <c r="D4658" t="s">
        <v>21</v>
      </c>
      <c r="E4658" s="2">
        <v>39500</v>
      </c>
      <c r="F4658" s="2">
        <v>0</v>
      </c>
      <c r="G4658" t="s">
        <v>24</v>
      </c>
      <c r="H4658" t="s">
        <v>20</v>
      </c>
      <c r="I4658" t="s">
        <v>18</v>
      </c>
      <c r="J4658" s="3">
        <v>45648</v>
      </c>
      <c r="K4658" s="4">
        <f>ClientiBanca[[#This Row],[Prestito]]+ClientiBanca[[#This Row],[Mutuo]]</f>
        <v>39500</v>
      </c>
      <c r="L4658" t="str">
        <f>IF(ClientiBanca[[#This Row],[Reddito annuo]]&gt;=70000,"si","no")</f>
        <v>no</v>
      </c>
    </row>
    <row r="4659" spans="1:12">
      <c r="A4659">
        <v>104658</v>
      </c>
      <c r="B4659">
        <v>26</v>
      </c>
      <c r="C4659" s="2">
        <v>67200</v>
      </c>
      <c r="D4659" t="s">
        <v>12</v>
      </c>
      <c r="E4659" s="2">
        <v>28700</v>
      </c>
      <c r="F4659" s="2">
        <v>229000</v>
      </c>
      <c r="G4659" t="s">
        <v>28</v>
      </c>
      <c r="H4659" t="s">
        <v>14</v>
      </c>
      <c r="I4659" t="s">
        <v>15</v>
      </c>
      <c r="J4659" s="3">
        <v>45643</v>
      </c>
      <c r="K4659" s="4">
        <f>ClientiBanca[[#This Row],[Prestito]]+ClientiBanca[[#This Row],[Mutuo]]</f>
        <v>257700</v>
      </c>
      <c r="L4659" t="str">
        <f>IF(ClientiBanca[[#This Row],[Reddito annuo]]&gt;=70000,"si","no")</f>
        <v>no</v>
      </c>
    </row>
    <row r="4660" spans="1:12">
      <c r="A4660">
        <v>104659</v>
      </c>
      <c r="B4660">
        <v>27</v>
      </c>
      <c r="C4660" s="2">
        <v>101800</v>
      </c>
      <c r="D4660" t="s">
        <v>12</v>
      </c>
      <c r="E4660" s="2">
        <v>0</v>
      </c>
      <c r="F4660" s="2">
        <v>0</v>
      </c>
      <c r="G4660" t="s">
        <v>28</v>
      </c>
      <c r="H4660" t="s">
        <v>20</v>
      </c>
      <c r="I4660" t="s">
        <v>18</v>
      </c>
      <c r="J4660" s="3">
        <v>45654</v>
      </c>
      <c r="K4660" s="4">
        <f>ClientiBanca[[#This Row],[Prestito]]+ClientiBanca[[#This Row],[Mutuo]]</f>
        <v>0</v>
      </c>
      <c r="L4660" t="str">
        <f>IF(ClientiBanca[[#This Row],[Reddito annuo]]&gt;=70000,"si","no")</f>
        <v>si</v>
      </c>
    </row>
    <row r="4661" spans="1:12">
      <c r="A4661">
        <v>104660</v>
      </c>
      <c r="B4661">
        <v>71</v>
      </c>
      <c r="C4661" s="2">
        <v>25500</v>
      </c>
      <c r="D4661" t="s">
        <v>21</v>
      </c>
      <c r="E4661" s="2">
        <v>0</v>
      </c>
      <c r="F4661" s="2">
        <v>0</v>
      </c>
      <c r="G4661" t="s">
        <v>24</v>
      </c>
      <c r="H4661" t="s">
        <v>14</v>
      </c>
      <c r="I4661" t="s">
        <v>18</v>
      </c>
      <c r="J4661" s="3">
        <v>46221</v>
      </c>
      <c r="K4661" s="4">
        <f>ClientiBanca[[#This Row],[Prestito]]+ClientiBanca[[#This Row],[Mutuo]]</f>
        <v>0</v>
      </c>
      <c r="L4661" t="str">
        <f>IF(ClientiBanca[[#This Row],[Reddito annuo]]&gt;=70000,"si","no")</f>
        <v>no</v>
      </c>
    </row>
    <row r="4662" spans="1:12">
      <c r="A4662">
        <v>104661</v>
      </c>
      <c r="B4662">
        <v>52</v>
      </c>
      <c r="C4662" s="2">
        <v>69400</v>
      </c>
      <c r="D4662" t="s">
        <v>21</v>
      </c>
      <c r="E4662" s="2">
        <v>39900</v>
      </c>
      <c r="F4662" s="2">
        <v>0</v>
      </c>
      <c r="G4662" t="s">
        <v>16</v>
      </c>
      <c r="H4662" t="s">
        <v>17</v>
      </c>
      <c r="I4662" t="s">
        <v>18</v>
      </c>
      <c r="J4662" s="3">
        <v>45943</v>
      </c>
      <c r="K4662" s="4">
        <f>ClientiBanca[[#This Row],[Prestito]]+ClientiBanca[[#This Row],[Mutuo]]</f>
        <v>39900</v>
      </c>
      <c r="L4662" t="str">
        <f>IF(ClientiBanca[[#This Row],[Reddito annuo]]&gt;=70000,"si","no")</f>
        <v>no</v>
      </c>
    </row>
    <row r="4663" spans="1:12">
      <c r="A4663">
        <v>104662</v>
      </c>
      <c r="B4663">
        <v>55</v>
      </c>
      <c r="C4663" s="2">
        <v>89300</v>
      </c>
      <c r="D4663" t="s">
        <v>12</v>
      </c>
      <c r="E4663" s="2">
        <v>0</v>
      </c>
      <c r="F4663" s="2">
        <v>135000</v>
      </c>
      <c r="G4663" t="s">
        <v>27</v>
      </c>
      <c r="H4663" t="s">
        <v>20</v>
      </c>
      <c r="I4663" t="s">
        <v>18</v>
      </c>
      <c r="J4663" s="3">
        <v>46260</v>
      </c>
      <c r="K4663" s="4">
        <f>ClientiBanca[[#This Row],[Prestito]]+ClientiBanca[[#This Row],[Mutuo]]</f>
        <v>135000</v>
      </c>
      <c r="L4663" t="str">
        <f>IF(ClientiBanca[[#This Row],[Reddito annuo]]&gt;=70000,"si","no")</f>
        <v>si</v>
      </c>
    </row>
    <row r="4664" spans="1:12">
      <c r="A4664">
        <v>104663</v>
      </c>
      <c r="B4664">
        <v>55</v>
      </c>
      <c r="C4664" s="2">
        <v>115600</v>
      </c>
      <c r="D4664" t="s">
        <v>21</v>
      </c>
      <c r="E4664" s="2">
        <v>20000</v>
      </c>
      <c r="F4664" s="2">
        <v>0</v>
      </c>
      <c r="G4664" t="s">
        <v>19</v>
      </c>
      <c r="H4664" t="s">
        <v>20</v>
      </c>
      <c r="I4664" t="s">
        <v>18</v>
      </c>
      <c r="J4664" s="3">
        <v>46062</v>
      </c>
      <c r="K4664" s="4">
        <f>ClientiBanca[[#This Row],[Prestito]]+ClientiBanca[[#This Row],[Mutuo]]</f>
        <v>20000</v>
      </c>
      <c r="L4664" t="str">
        <f>IF(ClientiBanca[[#This Row],[Reddito annuo]]&gt;=70000,"si","no")</f>
        <v>si</v>
      </c>
    </row>
    <row r="4665" spans="1:12">
      <c r="A4665">
        <v>104664</v>
      </c>
      <c r="B4665">
        <v>38</v>
      </c>
      <c r="C4665" s="2">
        <v>33400</v>
      </c>
      <c r="D4665" t="s">
        <v>21</v>
      </c>
      <c r="E4665" s="2">
        <v>41800</v>
      </c>
      <c r="F4665" s="2">
        <v>0</v>
      </c>
      <c r="G4665" t="s">
        <v>28</v>
      </c>
      <c r="H4665" t="s">
        <v>20</v>
      </c>
      <c r="I4665" t="s">
        <v>18</v>
      </c>
      <c r="J4665" s="3">
        <v>46250</v>
      </c>
      <c r="K4665" s="4">
        <f>ClientiBanca[[#This Row],[Prestito]]+ClientiBanca[[#This Row],[Mutuo]]</f>
        <v>41800</v>
      </c>
      <c r="L4665" t="str">
        <f>IF(ClientiBanca[[#This Row],[Reddito annuo]]&gt;=70000,"si","no")</f>
        <v>no</v>
      </c>
    </row>
    <row r="4666" spans="1:12">
      <c r="A4666">
        <v>104665</v>
      </c>
      <c r="B4666">
        <v>48</v>
      </c>
      <c r="C4666" s="2">
        <v>105200</v>
      </c>
      <c r="D4666" t="s">
        <v>21</v>
      </c>
      <c r="E4666" s="2">
        <v>23200</v>
      </c>
      <c r="F4666" s="2">
        <v>0</v>
      </c>
      <c r="G4666" t="s">
        <v>19</v>
      </c>
      <c r="H4666" t="s">
        <v>20</v>
      </c>
      <c r="I4666" t="s">
        <v>18</v>
      </c>
      <c r="J4666" s="3">
        <v>45344</v>
      </c>
      <c r="K4666" s="4">
        <f>ClientiBanca[[#This Row],[Prestito]]+ClientiBanca[[#This Row],[Mutuo]]</f>
        <v>23200</v>
      </c>
      <c r="L4666" t="str">
        <f>IF(ClientiBanca[[#This Row],[Reddito annuo]]&gt;=70000,"si","no")</f>
        <v>si</v>
      </c>
    </row>
    <row r="4667" spans="1:12">
      <c r="A4667">
        <v>104666</v>
      </c>
      <c r="B4667">
        <v>23</v>
      </c>
      <c r="C4667" s="2">
        <v>37800</v>
      </c>
      <c r="D4667" t="s">
        <v>12</v>
      </c>
      <c r="E4667" s="2">
        <v>29700</v>
      </c>
      <c r="F4667" s="2">
        <v>0</v>
      </c>
      <c r="G4667" t="s">
        <v>26</v>
      </c>
      <c r="H4667" t="s">
        <v>17</v>
      </c>
      <c r="I4667" t="s">
        <v>18</v>
      </c>
      <c r="J4667" s="3">
        <v>45726</v>
      </c>
      <c r="K4667" s="4">
        <f>ClientiBanca[[#This Row],[Prestito]]+ClientiBanca[[#This Row],[Mutuo]]</f>
        <v>29700</v>
      </c>
      <c r="L4667" t="str">
        <f>IF(ClientiBanca[[#This Row],[Reddito annuo]]&gt;=70000,"si","no")</f>
        <v>no</v>
      </c>
    </row>
    <row r="4668" spans="1:12">
      <c r="A4668">
        <v>104667</v>
      </c>
      <c r="B4668">
        <v>36</v>
      </c>
      <c r="C4668" s="2">
        <v>37100</v>
      </c>
      <c r="D4668" t="s">
        <v>21</v>
      </c>
      <c r="E4668" s="2">
        <v>21300</v>
      </c>
      <c r="F4668" s="2">
        <v>0</v>
      </c>
      <c r="G4668" t="s">
        <v>13</v>
      </c>
      <c r="H4668" t="s">
        <v>20</v>
      </c>
      <c r="I4668" t="s">
        <v>18</v>
      </c>
      <c r="J4668" s="3">
        <v>45317</v>
      </c>
      <c r="K4668" s="4">
        <f>ClientiBanca[[#This Row],[Prestito]]+ClientiBanca[[#This Row],[Mutuo]]</f>
        <v>21300</v>
      </c>
      <c r="L4668" t="str">
        <f>IF(ClientiBanca[[#This Row],[Reddito annuo]]&gt;=70000,"si","no")</f>
        <v>no</v>
      </c>
    </row>
    <row r="4669" spans="1:12">
      <c r="A4669">
        <v>104668</v>
      </c>
      <c r="B4669">
        <v>56</v>
      </c>
      <c r="C4669" s="2">
        <v>61300</v>
      </c>
      <c r="D4669" t="s">
        <v>21</v>
      </c>
      <c r="E4669" s="2">
        <v>42600</v>
      </c>
      <c r="F4669" s="2">
        <v>258000</v>
      </c>
      <c r="G4669" t="s">
        <v>26</v>
      </c>
      <c r="H4669" t="s">
        <v>17</v>
      </c>
      <c r="I4669" t="s">
        <v>18</v>
      </c>
      <c r="J4669" s="3">
        <v>45494</v>
      </c>
      <c r="K4669" s="4">
        <f>ClientiBanca[[#This Row],[Prestito]]+ClientiBanca[[#This Row],[Mutuo]]</f>
        <v>300600</v>
      </c>
      <c r="L4669" t="str">
        <f>IF(ClientiBanca[[#This Row],[Reddito annuo]]&gt;=70000,"si","no")</f>
        <v>no</v>
      </c>
    </row>
    <row r="4670" spans="1:12">
      <c r="A4670">
        <v>104669</v>
      </c>
      <c r="B4670">
        <v>46</v>
      </c>
      <c r="C4670" s="2">
        <v>22000</v>
      </c>
      <c r="D4670" t="s">
        <v>21</v>
      </c>
      <c r="E4670" s="2">
        <v>27500</v>
      </c>
      <c r="F4670" s="2">
        <v>143000</v>
      </c>
      <c r="G4670" t="s">
        <v>24</v>
      </c>
      <c r="H4670" t="s">
        <v>17</v>
      </c>
      <c r="I4670" t="s">
        <v>18</v>
      </c>
      <c r="J4670" s="3">
        <v>45499</v>
      </c>
      <c r="K4670" s="4">
        <f>ClientiBanca[[#This Row],[Prestito]]+ClientiBanca[[#This Row],[Mutuo]]</f>
        <v>170500</v>
      </c>
      <c r="L4670" t="str">
        <f>IF(ClientiBanca[[#This Row],[Reddito annuo]]&gt;=70000,"si","no")</f>
        <v>no</v>
      </c>
    </row>
    <row r="4671" spans="1:12">
      <c r="A4671">
        <v>104670</v>
      </c>
      <c r="B4671">
        <v>62</v>
      </c>
      <c r="C4671" s="2">
        <v>72000</v>
      </c>
      <c r="D4671" t="s">
        <v>21</v>
      </c>
      <c r="E4671" s="2">
        <v>0</v>
      </c>
      <c r="F4671" s="2">
        <v>0</v>
      </c>
      <c r="G4671" t="s">
        <v>24</v>
      </c>
      <c r="H4671" t="s">
        <v>25</v>
      </c>
      <c r="I4671" t="s">
        <v>18</v>
      </c>
      <c r="J4671" s="3">
        <v>45851</v>
      </c>
      <c r="K4671" s="4">
        <f>ClientiBanca[[#This Row],[Prestito]]+ClientiBanca[[#This Row],[Mutuo]]</f>
        <v>0</v>
      </c>
      <c r="L4671" t="str">
        <f>IF(ClientiBanca[[#This Row],[Reddito annuo]]&gt;=70000,"si","no")</f>
        <v>si</v>
      </c>
    </row>
    <row r="4672" spans="1:12">
      <c r="A4672">
        <v>104671</v>
      </c>
      <c r="B4672">
        <v>21</v>
      </c>
      <c r="C4672" s="2">
        <v>99800</v>
      </c>
      <c r="D4672" t="s">
        <v>21</v>
      </c>
      <c r="E4672" s="2">
        <v>0</v>
      </c>
      <c r="F4672" s="2">
        <v>0</v>
      </c>
      <c r="G4672" t="s">
        <v>26</v>
      </c>
      <c r="H4672" t="s">
        <v>17</v>
      </c>
      <c r="I4672" t="s">
        <v>18</v>
      </c>
      <c r="J4672" s="3">
        <v>45390</v>
      </c>
      <c r="K4672" s="4">
        <f>ClientiBanca[[#This Row],[Prestito]]+ClientiBanca[[#This Row],[Mutuo]]</f>
        <v>0</v>
      </c>
      <c r="L4672" t="str">
        <f>IF(ClientiBanca[[#This Row],[Reddito annuo]]&gt;=70000,"si","no")</f>
        <v>si</v>
      </c>
    </row>
    <row r="4673" spans="1:12">
      <c r="A4673">
        <v>104672</v>
      </c>
      <c r="B4673">
        <v>44</v>
      </c>
      <c r="C4673" s="2">
        <v>43900</v>
      </c>
      <c r="D4673" t="s">
        <v>22</v>
      </c>
      <c r="E4673" s="2">
        <v>25900</v>
      </c>
      <c r="F4673" s="2">
        <v>0</v>
      </c>
      <c r="G4673" t="s">
        <v>24</v>
      </c>
      <c r="H4673" t="s">
        <v>14</v>
      </c>
      <c r="I4673" t="s">
        <v>18</v>
      </c>
      <c r="J4673" s="3">
        <v>45920</v>
      </c>
      <c r="K4673" s="4">
        <f>ClientiBanca[[#This Row],[Prestito]]+ClientiBanca[[#This Row],[Mutuo]]</f>
        <v>25900</v>
      </c>
      <c r="L4673" t="str">
        <f>IF(ClientiBanca[[#This Row],[Reddito annuo]]&gt;=70000,"si","no")</f>
        <v>no</v>
      </c>
    </row>
    <row r="4674" spans="1:12">
      <c r="A4674">
        <v>104673</v>
      </c>
      <c r="B4674">
        <v>33</v>
      </c>
      <c r="C4674" s="2">
        <v>41800</v>
      </c>
      <c r="D4674" t="s">
        <v>22</v>
      </c>
      <c r="E4674" s="2">
        <v>0</v>
      </c>
      <c r="F4674" s="2">
        <v>0</v>
      </c>
      <c r="G4674" t="s">
        <v>13</v>
      </c>
      <c r="H4674" t="s">
        <v>20</v>
      </c>
      <c r="I4674" t="s">
        <v>18</v>
      </c>
      <c r="J4674" s="3">
        <v>46231</v>
      </c>
      <c r="K4674" s="4">
        <f>ClientiBanca[[#This Row],[Prestito]]+ClientiBanca[[#This Row],[Mutuo]]</f>
        <v>0</v>
      </c>
      <c r="L4674" t="str">
        <f>IF(ClientiBanca[[#This Row],[Reddito annuo]]&gt;=70000,"si","no")</f>
        <v>no</v>
      </c>
    </row>
    <row r="4675" spans="1:12">
      <c r="A4675">
        <v>104674</v>
      </c>
      <c r="B4675">
        <v>68</v>
      </c>
      <c r="C4675" s="2">
        <v>97000</v>
      </c>
      <c r="D4675" t="s">
        <v>12</v>
      </c>
      <c r="E4675" s="2">
        <v>0</v>
      </c>
      <c r="F4675" s="2">
        <v>0</v>
      </c>
      <c r="G4675" t="s">
        <v>19</v>
      </c>
      <c r="H4675" t="s">
        <v>20</v>
      </c>
      <c r="I4675" t="s">
        <v>18</v>
      </c>
      <c r="J4675" s="3">
        <v>45403</v>
      </c>
      <c r="K4675" s="4">
        <f>ClientiBanca[[#This Row],[Prestito]]+ClientiBanca[[#This Row],[Mutuo]]</f>
        <v>0</v>
      </c>
      <c r="L4675" t="str">
        <f>IF(ClientiBanca[[#This Row],[Reddito annuo]]&gt;=70000,"si","no")</f>
        <v>si</v>
      </c>
    </row>
    <row r="4676" spans="1:12">
      <c r="A4676">
        <v>104675</v>
      </c>
      <c r="B4676">
        <v>28</v>
      </c>
      <c r="C4676" s="2">
        <v>87000</v>
      </c>
      <c r="D4676" t="s">
        <v>12</v>
      </c>
      <c r="E4676" s="2">
        <v>0</v>
      </c>
      <c r="F4676" s="2">
        <v>0</v>
      </c>
      <c r="G4676" t="s">
        <v>26</v>
      </c>
      <c r="H4676" t="s">
        <v>17</v>
      </c>
      <c r="I4676" t="s">
        <v>18</v>
      </c>
      <c r="J4676" s="3">
        <v>46148</v>
      </c>
      <c r="K4676" s="4">
        <f>ClientiBanca[[#This Row],[Prestito]]+ClientiBanca[[#This Row],[Mutuo]]</f>
        <v>0</v>
      </c>
      <c r="L4676" t="str">
        <f>IF(ClientiBanca[[#This Row],[Reddito annuo]]&gt;=70000,"si","no")</f>
        <v>si</v>
      </c>
    </row>
    <row r="4677" spans="1:12">
      <c r="A4677">
        <v>104676</v>
      </c>
      <c r="B4677">
        <v>50</v>
      </c>
      <c r="C4677" s="2">
        <v>51600</v>
      </c>
      <c r="D4677" t="s">
        <v>21</v>
      </c>
      <c r="E4677" s="2">
        <v>0</v>
      </c>
      <c r="F4677" s="2">
        <v>0</v>
      </c>
      <c r="G4677" t="s">
        <v>19</v>
      </c>
      <c r="H4677" t="s">
        <v>14</v>
      </c>
      <c r="I4677" t="s">
        <v>18</v>
      </c>
      <c r="J4677" s="3">
        <v>45860</v>
      </c>
      <c r="K4677" s="4">
        <f>ClientiBanca[[#This Row],[Prestito]]+ClientiBanca[[#This Row],[Mutuo]]</f>
        <v>0</v>
      </c>
      <c r="L4677" t="str">
        <f>IF(ClientiBanca[[#This Row],[Reddito annuo]]&gt;=70000,"si","no")</f>
        <v>no</v>
      </c>
    </row>
    <row r="4678" spans="1:12">
      <c r="A4678">
        <v>104677</v>
      </c>
      <c r="B4678">
        <v>36</v>
      </c>
      <c r="C4678" s="2">
        <v>102200</v>
      </c>
      <c r="D4678" t="s">
        <v>21</v>
      </c>
      <c r="E4678" s="2">
        <v>42800</v>
      </c>
      <c r="F4678" s="2">
        <v>0</v>
      </c>
      <c r="G4678" t="s">
        <v>26</v>
      </c>
      <c r="H4678" t="s">
        <v>20</v>
      </c>
      <c r="I4678" t="s">
        <v>18</v>
      </c>
      <c r="J4678" s="3">
        <v>45879</v>
      </c>
      <c r="K4678" s="4">
        <f>ClientiBanca[[#This Row],[Prestito]]+ClientiBanca[[#This Row],[Mutuo]]</f>
        <v>42800</v>
      </c>
      <c r="L4678" t="str">
        <f>IF(ClientiBanca[[#This Row],[Reddito annuo]]&gt;=70000,"si","no")</f>
        <v>si</v>
      </c>
    </row>
    <row r="4679" spans="1:12">
      <c r="A4679">
        <v>104678</v>
      </c>
      <c r="B4679">
        <v>57</v>
      </c>
      <c r="C4679" s="2">
        <v>64500</v>
      </c>
      <c r="D4679" t="s">
        <v>21</v>
      </c>
      <c r="E4679" s="2">
        <v>0</v>
      </c>
      <c r="F4679" s="2">
        <v>0</v>
      </c>
      <c r="G4679" t="s">
        <v>24</v>
      </c>
      <c r="H4679" t="s">
        <v>17</v>
      </c>
      <c r="I4679" t="s">
        <v>18</v>
      </c>
      <c r="J4679" s="3">
        <v>45414</v>
      </c>
      <c r="K4679" s="4">
        <f>ClientiBanca[[#This Row],[Prestito]]+ClientiBanca[[#This Row],[Mutuo]]</f>
        <v>0</v>
      </c>
      <c r="L4679" t="str">
        <f>IF(ClientiBanca[[#This Row],[Reddito annuo]]&gt;=70000,"si","no")</f>
        <v>no</v>
      </c>
    </row>
    <row r="4680" spans="1:12">
      <c r="A4680">
        <v>104679</v>
      </c>
      <c r="B4680">
        <v>20</v>
      </c>
      <c r="C4680" s="2">
        <v>37700</v>
      </c>
      <c r="D4680" t="s">
        <v>21</v>
      </c>
      <c r="E4680" s="2">
        <v>47100</v>
      </c>
      <c r="F4680" s="2">
        <v>0</v>
      </c>
      <c r="G4680" t="s">
        <v>24</v>
      </c>
      <c r="H4680" t="s">
        <v>17</v>
      </c>
      <c r="I4680" t="s">
        <v>18</v>
      </c>
      <c r="J4680" s="3">
        <v>45303</v>
      </c>
      <c r="K4680" s="4">
        <f>ClientiBanca[[#This Row],[Prestito]]+ClientiBanca[[#This Row],[Mutuo]]</f>
        <v>47100</v>
      </c>
      <c r="L4680" t="str">
        <f>IF(ClientiBanca[[#This Row],[Reddito annuo]]&gt;=70000,"si","no")</f>
        <v>no</v>
      </c>
    </row>
    <row r="4681" spans="1:12">
      <c r="A4681">
        <v>104680</v>
      </c>
      <c r="B4681">
        <v>35</v>
      </c>
      <c r="C4681" s="2">
        <v>40300</v>
      </c>
      <c r="D4681" t="s">
        <v>22</v>
      </c>
      <c r="E4681" s="2">
        <v>0</v>
      </c>
      <c r="F4681" s="2">
        <v>0</v>
      </c>
      <c r="G4681" t="s">
        <v>16</v>
      </c>
      <c r="H4681" t="s">
        <v>17</v>
      </c>
      <c r="I4681" t="s">
        <v>18</v>
      </c>
      <c r="J4681" s="3">
        <v>45869</v>
      </c>
      <c r="K4681" s="4">
        <f>ClientiBanca[[#This Row],[Prestito]]+ClientiBanca[[#This Row],[Mutuo]]</f>
        <v>0</v>
      </c>
      <c r="L4681" t="str">
        <f>IF(ClientiBanca[[#This Row],[Reddito annuo]]&gt;=70000,"si","no")</f>
        <v>no</v>
      </c>
    </row>
    <row r="4682" spans="1:12">
      <c r="A4682">
        <v>104681</v>
      </c>
      <c r="B4682">
        <v>27</v>
      </c>
      <c r="C4682" s="2">
        <v>62400</v>
      </c>
      <c r="D4682" t="s">
        <v>22</v>
      </c>
      <c r="E4682" s="2">
        <v>0</v>
      </c>
      <c r="F4682" s="2">
        <v>0</v>
      </c>
      <c r="G4682" t="s">
        <v>27</v>
      </c>
      <c r="H4682" t="s">
        <v>14</v>
      </c>
      <c r="I4682" t="s">
        <v>18</v>
      </c>
      <c r="J4682" s="3">
        <v>45482</v>
      </c>
      <c r="K4682" s="4">
        <f>ClientiBanca[[#This Row],[Prestito]]+ClientiBanca[[#This Row],[Mutuo]]</f>
        <v>0</v>
      </c>
      <c r="L4682" t="str">
        <f>IF(ClientiBanca[[#This Row],[Reddito annuo]]&gt;=70000,"si","no")</f>
        <v>no</v>
      </c>
    </row>
    <row r="4683" spans="1:12">
      <c r="A4683">
        <v>104682</v>
      </c>
      <c r="B4683">
        <v>53</v>
      </c>
      <c r="C4683" s="2">
        <v>92400</v>
      </c>
      <c r="D4683" t="s">
        <v>12</v>
      </c>
      <c r="E4683" s="2">
        <v>0</v>
      </c>
      <c r="F4683" s="2">
        <v>0</v>
      </c>
      <c r="G4683" t="s">
        <v>19</v>
      </c>
      <c r="H4683" t="s">
        <v>20</v>
      </c>
      <c r="I4683" t="s">
        <v>18</v>
      </c>
      <c r="J4683" s="3">
        <v>45735</v>
      </c>
      <c r="K4683" s="4">
        <f>ClientiBanca[[#This Row],[Prestito]]+ClientiBanca[[#This Row],[Mutuo]]</f>
        <v>0</v>
      </c>
      <c r="L4683" t="str">
        <f>IF(ClientiBanca[[#This Row],[Reddito annuo]]&gt;=70000,"si","no")</f>
        <v>si</v>
      </c>
    </row>
    <row r="4684" spans="1:12">
      <c r="A4684">
        <v>104683</v>
      </c>
      <c r="B4684">
        <v>51</v>
      </c>
      <c r="C4684" s="2">
        <v>42300</v>
      </c>
      <c r="D4684" t="s">
        <v>21</v>
      </c>
      <c r="E4684" s="2">
        <v>19900</v>
      </c>
      <c r="F4684" s="2">
        <v>221000</v>
      </c>
      <c r="G4684" t="s">
        <v>26</v>
      </c>
      <c r="H4684" t="s">
        <v>20</v>
      </c>
      <c r="I4684" t="s">
        <v>18</v>
      </c>
      <c r="J4684" s="3">
        <v>45944</v>
      </c>
      <c r="K4684" s="4">
        <f>ClientiBanca[[#This Row],[Prestito]]+ClientiBanca[[#This Row],[Mutuo]]</f>
        <v>240900</v>
      </c>
      <c r="L4684" t="str">
        <f>IF(ClientiBanca[[#This Row],[Reddito annuo]]&gt;=70000,"si","no")</f>
        <v>no</v>
      </c>
    </row>
    <row r="4685" spans="1:12">
      <c r="A4685">
        <v>104684</v>
      </c>
      <c r="B4685">
        <v>50</v>
      </c>
      <c r="C4685" s="2">
        <v>57300</v>
      </c>
      <c r="D4685" t="s">
        <v>21</v>
      </c>
      <c r="E4685" s="2">
        <v>45600</v>
      </c>
      <c r="F4685" s="2">
        <v>310000</v>
      </c>
      <c r="G4685" t="s">
        <v>13</v>
      </c>
      <c r="H4685" t="s">
        <v>14</v>
      </c>
      <c r="I4685" t="s">
        <v>18</v>
      </c>
      <c r="J4685" s="3">
        <v>46156</v>
      </c>
      <c r="K4685" s="4">
        <f>ClientiBanca[[#This Row],[Prestito]]+ClientiBanca[[#This Row],[Mutuo]]</f>
        <v>355600</v>
      </c>
      <c r="L4685" t="str">
        <f>IF(ClientiBanca[[#This Row],[Reddito annuo]]&gt;=70000,"si","no")</f>
        <v>no</v>
      </c>
    </row>
    <row r="4686" spans="1:12">
      <c r="A4686">
        <v>104685</v>
      </c>
      <c r="B4686">
        <v>51</v>
      </c>
      <c r="C4686" s="2">
        <v>95800</v>
      </c>
      <c r="D4686" t="s">
        <v>12</v>
      </c>
      <c r="E4686" s="2">
        <v>26000</v>
      </c>
      <c r="F4686" s="2">
        <v>0</v>
      </c>
      <c r="G4686" t="s">
        <v>26</v>
      </c>
      <c r="H4686" t="s">
        <v>20</v>
      </c>
      <c r="I4686" t="s">
        <v>18</v>
      </c>
      <c r="J4686" s="3">
        <v>45317</v>
      </c>
      <c r="K4686" s="4">
        <f>ClientiBanca[[#This Row],[Prestito]]+ClientiBanca[[#This Row],[Mutuo]]</f>
        <v>26000</v>
      </c>
      <c r="L4686" t="str">
        <f>IF(ClientiBanca[[#This Row],[Reddito annuo]]&gt;=70000,"si","no")</f>
        <v>si</v>
      </c>
    </row>
    <row r="4687" spans="1:12">
      <c r="A4687">
        <v>104686</v>
      </c>
      <c r="B4687">
        <v>74</v>
      </c>
      <c r="C4687" s="2">
        <v>55500</v>
      </c>
      <c r="D4687" t="s">
        <v>22</v>
      </c>
      <c r="E4687" s="2">
        <v>0</v>
      </c>
      <c r="F4687" s="2">
        <v>0</v>
      </c>
      <c r="G4687" t="s">
        <v>23</v>
      </c>
      <c r="H4687" t="s">
        <v>17</v>
      </c>
      <c r="I4687" t="s">
        <v>18</v>
      </c>
      <c r="J4687" s="3">
        <v>46109</v>
      </c>
      <c r="K4687" s="4">
        <f>ClientiBanca[[#This Row],[Prestito]]+ClientiBanca[[#This Row],[Mutuo]]</f>
        <v>0</v>
      </c>
      <c r="L4687" t="str">
        <f>IF(ClientiBanca[[#This Row],[Reddito annuo]]&gt;=70000,"si","no")</f>
        <v>no</v>
      </c>
    </row>
    <row r="4688" spans="1:12">
      <c r="A4688">
        <v>104687</v>
      </c>
      <c r="B4688">
        <v>47</v>
      </c>
      <c r="C4688" s="2">
        <v>57800</v>
      </c>
      <c r="D4688" t="s">
        <v>12</v>
      </c>
      <c r="E4688" s="2">
        <v>14800</v>
      </c>
      <c r="F4688" s="2">
        <v>0</v>
      </c>
      <c r="G4688" t="s">
        <v>19</v>
      </c>
      <c r="H4688" t="s">
        <v>14</v>
      </c>
      <c r="I4688" t="s">
        <v>18</v>
      </c>
      <c r="J4688" s="3">
        <v>45799</v>
      </c>
      <c r="K4688" s="4">
        <f>ClientiBanca[[#This Row],[Prestito]]+ClientiBanca[[#This Row],[Mutuo]]</f>
        <v>14800</v>
      </c>
      <c r="L4688" t="str">
        <f>IF(ClientiBanca[[#This Row],[Reddito annuo]]&gt;=70000,"si","no")</f>
        <v>no</v>
      </c>
    </row>
    <row r="4689" spans="1:12">
      <c r="A4689">
        <v>104688</v>
      </c>
      <c r="B4689">
        <v>47</v>
      </c>
      <c r="C4689" s="2">
        <v>67900</v>
      </c>
      <c r="D4689" t="s">
        <v>12</v>
      </c>
      <c r="E4689" s="2">
        <v>17200</v>
      </c>
      <c r="F4689" s="2">
        <v>0</v>
      </c>
      <c r="G4689" t="s">
        <v>16</v>
      </c>
      <c r="H4689" t="s">
        <v>20</v>
      </c>
      <c r="I4689" t="s">
        <v>18</v>
      </c>
      <c r="J4689" s="3">
        <v>45515</v>
      </c>
      <c r="K4689" s="4">
        <f>ClientiBanca[[#This Row],[Prestito]]+ClientiBanca[[#This Row],[Mutuo]]</f>
        <v>17200</v>
      </c>
      <c r="L4689" t="str">
        <f>IF(ClientiBanca[[#This Row],[Reddito annuo]]&gt;=70000,"si","no")</f>
        <v>no</v>
      </c>
    </row>
    <row r="4690" spans="1:12">
      <c r="A4690">
        <v>104689</v>
      </c>
      <c r="B4690">
        <v>30</v>
      </c>
      <c r="C4690" s="2">
        <v>111000</v>
      </c>
      <c r="D4690" t="s">
        <v>22</v>
      </c>
      <c r="E4690" s="2">
        <v>9800</v>
      </c>
      <c r="F4690" s="2">
        <v>0</v>
      </c>
      <c r="G4690" t="s">
        <v>13</v>
      </c>
      <c r="H4690" t="s">
        <v>17</v>
      </c>
      <c r="I4690" t="s">
        <v>18</v>
      </c>
      <c r="J4690" s="3">
        <v>45626</v>
      </c>
      <c r="K4690" s="4">
        <f>ClientiBanca[[#This Row],[Prestito]]+ClientiBanca[[#This Row],[Mutuo]]</f>
        <v>9800</v>
      </c>
      <c r="L4690" t="str">
        <f>IF(ClientiBanca[[#This Row],[Reddito annuo]]&gt;=70000,"si","no")</f>
        <v>si</v>
      </c>
    </row>
    <row r="4691" spans="1:12">
      <c r="A4691">
        <v>104690</v>
      </c>
      <c r="B4691">
        <v>46</v>
      </c>
      <c r="C4691" s="2">
        <v>53500</v>
      </c>
      <c r="D4691" t="s">
        <v>21</v>
      </c>
      <c r="E4691" s="2">
        <v>0</v>
      </c>
      <c r="F4691" s="2">
        <v>344000</v>
      </c>
      <c r="G4691" t="s">
        <v>13</v>
      </c>
      <c r="H4691" t="s">
        <v>17</v>
      </c>
      <c r="I4691" t="s">
        <v>18</v>
      </c>
      <c r="J4691" s="3">
        <v>45607</v>
      </c>
      <c r="K4691" s="4">
        <f>ClientiBanca[[#This Row],[Prestito]]+ClientiBanca[[#This Row],[Mutuo]]</f>
        <v>344000</v>
      </c>
      <c r="L4691" t="str">
        <f>IF(ClientiBanca[[#This Row],[Reddito annuo]]&gt;=70000,"si","no")</f>
        <v>no</v>
      </c>
    </row>
    <row r="4692" spans="1:12">
      <c r="A4692">
        <v>104691</v>
      </c>
      <c r="B4692">
        <v>32</v>
      </c>
      <c r="C4692" s="2">
        <v>25500</v>
      </c>
      <c r="D4692" t="s">
        <v>21</v>
      </c>
      <c r="E4692" s="2">
        <v>31900</v>
      </c>
      <c r="F4692" s="2">
        <v>225000</v>
      </c>
      <c r="G4692" t="s">
        <v>28</v>
      </c>
      <c r="H4692" t="s">
        <v>17</v>
      </c>
      <c r="I4692" t="s">
        <v>18</v>
      </c>
      <c r="J4692" s="3">
        <v>45379</v>
      </c>
      <c r="K4692" s="4">
        <f>ClientiBanca[[#This Row],[Prestito]]+ClientiBanca[[#This Row],[Mutuo]]</f>
        <v>256900</v>
      </c>
      <c r="L4692" t="str">
        <f>IF(ClientiBanca[[#This Row],[Reddito annuo]]&gt;=70000,"si","no")</f>
        <v>no</v>
      </c>
    </row>
    <row r="4693" spans="1:12">
      <c r="A4693">
        <v>104692</v>
      </c>
      <c r="B4693">
        <v>61</v>
      </c>
      <c r="C4693" s="2">
        <v>69900</v>
      </c>
      <c r="D4693" t="s">
        <v>21</v>
      </c>
      <c r="E4693" s="2">
        <v>0</v>
      </c>
      <c r="F4693" s="2">
        <v>0</v>
      </c>
      <c r="G4693" t="s">
        <v>13</v>
      </c>
      <c r="H4693" t="s">
        <v>17</v>
      </c>
      <c r="I4693" t="s">
        <v>18</v>
      </c>
      <c r="J4693" s="3">
        <v>45774</v>
      </c>
      <c r="K4693" s="4">
        <f>ClientiBanca[[#This Row],[Prestito]]+ClientiBanca[[#This Row],[Mutuo]]</f>
        <v>0</v>
      </c>
      <c r="L4693" t="str">
        <f>IF(ClientiBanca[[#This Row],[Reddito annuo]]&gt;=70000,"si","no")</f>
        <v>no</v>
      </c>
    </row>
    <row r="4694" spans="1:12">
      <c r="A4694">
        <v>104693</v>
      </c>
      <c r="B4694">
        <v>70</v>
      </c>
      <c r="C4694" s="2">
        <v>22500</v>
      </c>
      <c r="D4694" t="s">
        <v>12</v>
      </c>
      <c r="E4694" s="2">
        <v>20500</v>
      </c>
      <c r="F4694" s="2">
        <v>0</v>
      </c>
      <c r="G4694" t="s">
        <v>28</v>
      </c>
      <c r="H4694" t="s">
        <v>17</v>
      </c>
      <c r="I4694" t="s">
        <v>18</v>
      </c>
      <c r="J4694" s="3">
        <v>45765</v>
      </c>
      <c r="K4694" s="4">
        <f>ClientiBanca[[#This Row],[Prestito]]+ClientiBanca[[#This Row],[Mutuo]]</f>
        <v>20500</v>
      </c>
      <c r="L4694" t="str">
        <f>IF(ClientiBanca[[#This Row],[Reddito annuo]]&gt;=70000,"si","no")</f>
        <v>no</v>
      </c>
    </row>
    <row r="4695" spans="1:12">
      <c r="A4695">
        <v>104694</v>
      </c>
      <c r="B4695">
        <v>35</v>
      </c>
      <c r="C4695" s="2">
        <v>62200</v>
      </c>
      <c r="D4695" t="s">
        <v>21</v>
      </c>
      <c r="E4695" s="2">
        <v>0</v>
      </c>
      <c r="F4695" s="2">
        <v>0</v>
      </c>
      <c r="G4695" t="s">
        <v>26</v>
      </c>
      <c r="H4695" t="s">
        <v>20</v>
      </c>
      <c r="I4695" t="s">
        <v>18</v>
      </c>
      <c r="J4695" s="3">
        <v>45368</v>
      </c>
      <c r="K4695" s="4">
        <f>ClientiBanca[[#This Row],[Prestito]]+ClientiBanca[[#This Row],[Mutuo]]</f>
        <v>0</v>
      </c>
      <c r="L4695" t="str">
        <f>IF(ClientiBanca[[#This Row],[Reddito annuo]]&gt;=70000,"si","no")</f>
        <v>no</v>
      </c>
    </row>
    <row r="4696" spans="1:12">
      <c r="A4696">
        <v>104695</v>
      </c>
      <c r="B4696">
        <v>32</v>
      </c>
      <c r="C4696" s="2">
        <v>49600</v>
      </c>
      <c r="D4696" t="s">
        <v>12</v>
      </c>
      <c r="E4696" s="2">
        <v>54800</v>
      </c>
      <c r="F4696" s="2">
        <v>0</v>
      </c>
      <c r="G4696" t="s">
        <v>24</v>
      </c>
      <c r="H4696" t="s">
        <v>17</v>
      </c>
      <c r="I4696" t="s">
        <v>18</v>
      </c>
      <c r="J4696" s="3">
        <v>46050</v>
      </c>
      <c r="K4696" s="4">
        <f>ClientiBanca[[#This Row],[Prestito]]+ClientiBanca[[#This Row],[Mutuo]]</f>
        <v>54800</v>
      </c>
      <c r="L4696" t="str">
        <f>IF(ClientiBanca[[#This Row],[Reddito annuo]]&gt;=70000,"si","no")</f>
        <v>no</v>
      </c>
    </row>
    <row r="4697" spans="1:12">
      <c r="A4697">
        <v>104696</v>
      </c>
      <c r="B4697">
        <v>38</v>
      </c>
      <c r="C4697" s="2">
        <v>57100</v>
      </c>
      <c r="D4697" t="s">
        <v>22</v>
      </c>
      <c r="E4697" s="2">
        <v>30700</v>
      </c>
      <c r="F4697" s="2">
        <v>216000</v>
      </c>
      <c r="G4697" t="s">
        <v>23</v>
      </c>
      <c r="H4697" t="s">
        <v>14</v>
      </c>
      <c r="I4697" t="s">
        <v>18</v>
      </c>
      <c r="J4697" s="3">
        <v>45579</v>
      </c>
      <c r="K4697" s="4">
        <f>ClientiBanca[[#This Row],[Prestito]]+ClientiBanca[[#This Row],[Mutuo]]</f>
        <v>246700</v>
      </c>
      <c r="L4697" t="str">
        <f>IF(ClientiBanca[[#This Row],[Reddito annuo]]&gt;=70000,"si","no")</f>
        <v>no</v>
      </c>
    </row>
    <row r="4698" spans="1:12">
      <c r="A4698">
        <v>104697</v>
      </c>
      <c r="B4698">
        <v>72</v>
      </c>
      <c r="C4698" s="2">
        <v>111200</v>
      </c>
      <c r="D4698" t="s">
        <v>22</v>
      </c>
      <c r="E4698" s="2">
        <v>0</v>
      </c>
      <c r="F4698" s="2">
        <v>0</v>
      </c>
      <c r="G4698" t="s">
        <v>26</v>
      </c>
      <c r="H4698" t="s">
        <v>20</v>
      </c>
      <c r="I4698" t="s">
        <v>18</v>
      </c>
      <c r="J4698" s="3">
        <v>46251</v>
      </c>
      <c r="K4698" s="4">
        <f>ClientiBanca[[#This Row],[Prestito]]+ClientiBanca[[#This Row],[Mutuo]]</f>
        <v>0</v>
      </c>
      <c r="L4698" t="str">
        <f>IF(ClientiBanca[[#This Row],[Reddito annuo]]&gt;=70000,"si","no")</f>
        <v>si</v>
      </c>
    </row>
    <row r="4699" spans="1:12">
      <c r="A4699">
        <v>104698</v>
      </c>
      <c r="B4699">
        <v>32</v>
      </c>
      <c r="C4699" s="2">
        <v>31100</v>
      </c>
      <c r="D4699" t="s">
        <v>21</v>
      </c>
      <c r="E4699" s="2">
        <v>35700</v>
      </c>
      <c r="F4699" s="2">
        <v>0</v>
      </c>
      <c r="G4699" t="s">
        <v>16</v>
      </c>
      <c r="H4699" t="s">
        <v>17</v>
      </c>
      <c r="I4699" t="s">
        <v>18</v>
      </c>
      <c r="J4699" s="3">
        <v>46035</v>
      </c>
      <c r="K4699" s="4">
        <f>ClientiBanca[[#This Row],[Prestito]]+ClientiBanca[[#This Row],[Mutuo]]</f>
        <v>35700</v>
      </c>
      <c r="L4699" t="str">
        <f>IF(ClientiBanca[[#This Row],[Reddito annuo]]&gt;=70000,"si","no")</f>
        <v>no</v>
      </c>
    </row>
    <row r="4700" spans="1:12">
      <c r="A4700">
        <v>104699</v>
      </c>
      <c r="B4700">
        <v>21</v>
      </c>
      <c r="C4700" s="2">
        <v>24100</v>
      </c>
      <c r="D4700" t="s">
        <v>22</v>
      </c>
      <c r="E4700" s="2">
        <v>30100</v>
      </c>
      <c r="F4700" s="2">
        <v>0</v>
      </c>
      <c r="G4700" t="s">
        <v>23</v>
      </c>
      <c r="H4700" t="s">
        <v>20</v>
      </c>
      <c r="I4700" t="s">
        <v>18</v>
      </c>
      <c r="J4700" s="3">
        <v>45975</v>
      </c>
      <c r="K4700" s="4">
        <f>ClientiBanca[[#This Row],[Prestito]]+ClientiBanca[[#This Row],[Mutuo]]</f>
        <v>30100</v>
      </c>
      <c r="L4700" t="str">
        <f>IF(ClientiBanca[[#This Row],[Reddito annuo]]&gt;=70000,"si","no")</f>
        <v>no</v>
      </c>
    </row>
    <row r="4701" spans="1:12">
      <c r="A4701">
        <v>104700</v>
      </c>
      <c r="B4701">
        <v>43</v>
      </c>
      <c r="C4701" s="2">
        <v>58000</v>
      </c>
      <c r="D4701" t="s">
        <v>12</v>
      </c>
      <c r="E4701" s="2">
        <v>0</v>
      </c>
      <c r="F4701" s="2">
        <v>0</v>
      </c>
      <c r="G4701" t="s">
        <v>16</v>
      </c>
      <c r="H4701" t="s">
        <v>20</v>
      </c>
      <c r="I4701" t="s">
        <v>18</v>
      </c>
      <c r="J4701" s="3">
        <v>45834</v>
      </c>
      <c r="K4701" s="4">
        <f>ClientiBanca[[#This Row],[Prestito]]+ClientiBanca[[#This Row],[Mutuo]]</f>
        <v>0</v>
      </c>
      <c r="L4701" t="str">
        <f>IF(ClientiBanca[[#This Row],[Reddito annuo]]&gt;=70000,"si","no")</f>
        <v>no</v>
      </c>
    </row>
    <row r="4702" spans="1:12">
      <c r="A4702">
        <v>104701</v>
      </c>
      <c r="B4702">
        <v>23</v>
      </c>
      <c r="C4702" s="2">
        <v>97100</v>
      </c>
      <c r="D4702" t="s">
        <v>12</v>
      </c>
      <c r="E4702" s="2">
        <v>11800</v>
      </c>
      <c r="F4702" s="2">
        <v>0</v>
      </c>
      <c r="G4702" t="s">
        <v>27</v>
      </c>
      <c r="H4702" t="s">
        <v>17</v>
      </c>
      <c r="I4702" t="s">
        <v>18</v>
      </c>
      <c r="J4702" s="3">
        <v>45580</v>
      </c>
      <c r="K4702" s="4">
        <f>ClientiBanca[[#This Row],[Prestito]]+ClientiBanca[[#This Row],[Mutuo]]</f>
        <v>11800</v>
      </c>
      <c r="L4702" t="str">
        <f>IF(ClientiBanca[[#This Row],[Reddito annuo]]&gt;=70000,"si","no")</f>
        <v>si</v>
      </c>
    </row>
    <row r="4703" spans="1:12">
      <c r="A4703">
        <v>104702</v>
      </c>
      <c r="B4703">
        <v>38</v>
      </c>
      <c r="C4703" s="2">
        <v>107400</v>
      </c>
      <c r="D4703" t="s">
        <v>12</v>
      </c>
      <c r="E4703" s="2">
        <v>35200</v>
      </c>
      <c r="F4703" s="2">
        <v>111000</v>
      </c>
      <c r="G4703" t="s">
        <v>23</v>
      </c>
      <c r="H4703" t="s">
        <v>20</v>
      </c>
      <c r="I4703" t="s">
        <v>18</v>
      </c>
      <c r="J4703" s="3">
        <v>46241</v>
      </c>
      <c r="K4703" s="4">
        <f>ClientiBanca[[#This Row],[Prestito]]+ClientiBanca[[#This Row],[Mutuo]]</f>
        <v>146200</v>
      </c>
      <c r="L4703" t="str">
        <f>IF(ClientiBanca[[#This Row],[Reddito annuo]]&gt;=70000,"si","no")</f>
        <v>si</v>
      </c>
    </row>
    <row r="4704" spans="1:12">
      <c r="A4704">
        <v>104703</v>
      </c>
      <c r="B4704">
        <v>71</v>
      </c>
      <c r="C4704" s="2">
        <v>63000</v>
      </c>
      <c r="D4704" t="s">
        <v>21</v>
      </c>
      <c r="E4704" s="2">
        <v>0</v>
      </c>
      <c r="F4704" s="2">
        <v>0</v>
      </c>
      <c r="G4704" t="s">
        <v>13</v>
      </c>
      <c r="H4704" t="s">
        <v>20</v>
      </c>
      <c r="I4704" t="s">
        <v>18</v>
      </c>
      <c r="J4704" s="3">
        <v>45491</v>
      </c>
      <c r="K4704" s="4">
        <f>ClientiBanca[[#This Row],[Prestito]]+ClientiBanca[[#This Row],[Mutuo]]</f>
        <v>0</v>
      </c>
      <c r="L4704" t="str">
        <f>IF(ClientiBanca[[#This Row],[Reddito annuo]]&gt;=70000,"si","no")</f>
        <v>no</v>
      </c>
    </row>
    <row r="4705" spans="1:12">
      <c r="A4705">
        <v>104704</v>
      </c>
      <c r="B4705">
        <v>64</v>
      </c>
      <c r="C4705" s="2">
        <v>33900</v>
      </c>
      <c r="D4705" t="s">
        <v>21</v>
      </c>
      <c r="E4705" s="2">
        <v>15700</v>
      </c>
      <c r="F4705" s="2">
        <v>0</v>
      </c>
      <c r="G4705" t="s">
        <v>23</v>
      </c>
      <c r="H4705" t="s">
        <v>17</v>
      </c>
      <c r="I4705" t="s">
        <v>18</v>
      </c>
      <c r="J4705" s="3">
        <v>45604</v>
      </c>
      <c r="K4705" s="4">
        <f>ClientiBanca[[#This Row],[Prestito]]+ClientiBanca[[#This Row],[Mutuo]]</f>
        <v>15700</v>
      </c>
      <c r="L4705" t="str">
        <f>IF(ClientiBanca[[#This Row],[Reddito annuo]]&gt;=70000,"si","no")</f>
        <v>no</v>
      </c>
    </row>
    <row r="4706" spans="1:12">
      <c r="A4706">
        <v>104705</v>
      </c>
      <c r="B4706">
        <v>41</v>
      </c>
      <c r="C4706" s="2">
        <v>22300</v>
      </c>
      <c r="D4706" t="s">
        <v>21</v>
      </c>
      <c r="E4706" s="2">
        <v>0</v>
      </c>
      <c r="F4706" s="2">
        <v>0</v>
      </c>
      <c r="G4706" t="s">
        <v>23</v>
      </c>
      <c r="H4706" t="s">
        <v>17</v>
      </c>
      <c r="I4706" t="s">
        <v>18</v>
      </c>
      <c r="J4706" s="3">
        <v>45406</v>
      </c>
      <c r="K4706" s="4">
        <f>ClientiBanca[[#This Row],[Prestito]]+ClientiBanca[[#This Row],[Mutuo]]</f>
        <v>0</v>
      </c>
      <c r="L4706" t="str">
        <f>IF(ClientiBanca[[#This Row],[Reddito annuo]]&gt;=70000,"si","no")</f>
        <v>no</v>
      </c>
    </row>
    <row r="4707" spans="1:12">
      <c r="A4707">
        <v>104706</v>
      </c>
      <c r="B4707">
        <v>61</v>
      </c>
      <c r="C4707" s="2">
        <v>32700</v>
      </c>
      <c r="D4707" t="s">
        <v>21</v>
      </c>
      <c r="E4707" s="2">
        <v>38500</v>
      </c>
      <c r="F4707" s="2">
        <v>0</v>
      </c>
      <c r="G4707" t="s">
        <v>23</v>
      </c>
      <c r="H4707" t="s">
        <v>14</v>
      </c>
      <c r="I4707" t="s">
        <v>18</v>
      </c>
      <c r="J4707" s="3">
        <v>45860</v>
      </c>
      <c r="K4707" s="4">
        <f>ClientiBanca[[#This Row],[Prestito]]+ClientiBanca[[#This Row],[Mutuo]]</f>
        <v>38500</v>
      </c>
      <c r="L4707" t="str">
        <f>IF(ClientiBanca[[#This Row],[Reddito annuo]]&gt;=70000,"si","no")</f>
        <v>no</v>
      </c>
    </row>
    <row r="4708" spans="1:12">
      <c r="A4708">
        <v>104707</v>
      </c>
      <c r="B4708">
        <v>71</v>
      </c>
      <c r="C4708" s="2">
        <v>34000</v>
      </c>
      <c r="D4708" t="s">
        <v>22</v>
      </c>
      <c r="E4708" s="2">
        <v>0</v>
      </c>
      <c r="F4708" s="2">
        <v>0</v>
      </c>
      <c r="G4708" t="s">
        <v>24</v>
      </c>
      <c r="H4708" t="s">
        <v>25</v>
      </c>
      <c r="I4708" t="s">
        <v>18</v>
      </c>
      <c r="J4708" s="3">
        <v>45457</v>
      </c>
      <c r="K4708" s="4">
        <f>ClientiBanca[[#This Row],[Prestito]]+ClientiBanca[[#This Row],[Mutuo]]</f>
        <v>0</v>
      </c>
      <c r="L4708" t="str">
        <f>IF(ClientiBanca[[#This Row],[Reddito annuo]]&gt;=70000,"si","no")</f>
        <v>no</v>
      </c>
    </row>
    <row r="4709" spans="1:12">
      <c r="A4709">
        <v>104708</v>
      </c>
      <c r="B4709">
        <v>60</v>
      </c>
      <c r="C4709" s="2">
        <v>58900</v>
      </c>
      <c r="D4709" t="s">
        <v>12</v>
      </c>
      <c r="E4709" s="2">
        <v>37100</v>
      </c>
      <c r="F4709" s="2">
        <v>0</v>
      </c>
      <c r="G4709" t="s">
        <v>23</v>
      </c>
      <c r="H4709" t="s">
        <v>17</v>
      </c>
      <c r="I4709" t="s">
        <v>18</v>
      </c>
      <c r="J4709" s="3">
        <v>45996</v>
      </c>
      <c r="K4709" s="4">
        <f>ClientiBanca[[#This Row],[Prestito]]+ClientiBanca[[#This Row],[Mutuo]]</f>
        <v>37100</v>
      </c>
      <c r="L4709" t="str">
        <f>IF(ClientiBanca[[#This Row],[Reddito annuo]]&gt;=70000,"si","no")</f>
        <v>no</v>
      </c>
    </row>
    <row r="4710" spans="1:12">
      <c r="A4710">
        <v>104709</v>
      </c>
      <c r="B4710">
        <v>52</v>
      </c>
      <c r="C4710" s="2">
        <v>62300</v>
      </c>
      <c r="D4710" t="s">
        <v>21</v>
      </c>
      <c r="E4710" s="2">
        <v>18800</v>
      </c>
      <c r="F4710" s="2">
        <v>0</v>
      </c>
      <c r="G4710" t="s">
        <v>16</v>
      </c>
      <c r="H4710" t="s">
        <v>20</v>
      </c>
      <c r="I4710" t="s">
        <v>18</v>
      </c>
      <c r="J4710" s="3">
        <v>45807</v>
      </c>
      <c r="K4710" s="4">
        <f>ClientiBanca[[#This Row],[Prestito]]+ClientiBanca[[#This Row],[Mutuo]]</f>
        <v>18800</v>
      </c>
      <c r="L4710" t="str">
        <f>IF(ClientiBanca[[#This Row],[Reddito annuo]]&gt;=70000,"si","no")</f>
        <v>no</v>
      </c>
    </row>
    <row r="4711" spans="1:12">
      <c r="A4711">
        <v>104710</v>
      </c>
      <c r="B4711">
        <v>39</v>
      </c>
      <c r="C4711" s="2">
        <v>32000</v>
      </c>
      <c r="D4711" t="s">
        <v>12</v>
      </c>
      <c r="E4711" s="2">
        <v>0</v>
      </c>
      <c r="F4711" s="2">
        <v>0</v>
      </c>
      <c r="G4711" t="s">
        <v>27</v>
      </c>
      <c r="H4711" t="s">
        <v>17</v>
      </c>
      <c r="I4711" t="s">
        <v>18</v>
      </c>
      <c r="J4711" s="3">
        <v>45796</v>
      </c>
      <c r="K4711" s="4">
        <f>ClientiBanca[[#This Row],[Prestito]]+ClientiBanca[[#This Row],[Mutuo]]</f>
        <v>0</v>
      </c>
      <c r="L4711" t="str">
        <f>IF(ClientiBanca[[#This Row],[Reddito annuo]]&gt;=70000,"si","no")</f>
        <v>no</v>
      </c>
    </row>
    <row r="4712" spans="1:12">
      <c r="A4712">
        <v>104711</v>
      </c>
      <c r="B4712">
        <v>39</v>
      </c>
      <c r="C4712" s="2">
        <v>67000</v>
      </c>
      <c r="D4712" t="s">
        <v>21</v>
      </c>
      <c r="E4712" s="2">
        <v>66600</v>
      </c>
      <c r="F4712" s="2">
        <v>0</v>
      </c>
      <c r="G4712" t="s">
        <v>13</v>
      </c>
      <c r="H4712" t="s">
        <v>20</v>
      </c>
      <c r="I4712" t="s">
        <v>18</v>
      </c>
      <c r="J4712" s="3">
        <v>45546</v>
      </c>
      <c r="K4712" s="4">
        <f>ClientiBanca[[#This Row],[Prestito]]+ClientiBanca[[#This Row],[Mutuo]]</f>
        <v>66600</v>
      </c>
      <c r="L4712" t="str">
        <f>IF(ClientiBanca[[#This Row],[Reddito annuo]]&gt;=70000,"si","no")</f>
        <v>no</v>
      </c>
    </row>
    <row r="4713" spans="1:12">
      <c r="A4713">
        <v>104712</v>
      </c>
      <c r="B4713">
        <v>57</v>
      </c>
      <c r="C4713" s="2">
        <v>33400</v>
      </c>
      <c r="D4713" t="s">
        <v>21</v>
      </c>
      <c r="E4713" s="2">
        <v>35500</v>
      </c>
      <c r="F4713" s="2">
        <v>0</v>
      </c>
      <c r="G4713" t="s">
        <v>28</v>
      </c>
      <c r="H4713" t="s">
        <v>14</v>
      </c>
      <c r="I4713" t="s">
        <v>18</v>
      </c>
      <c r="J4713" s="3">
        <v>45955</v>
      </c>
      <c r="K4713" s="4">
        <f>ClientiBanca[[#This Row],[Prestito]]+ClientiBanca[[#This Row],[Mutuo]]</f>
        <v>35500</v>
      </c>
      <c r="L4713" t="str">
        <f>IF(ClientiBanca[[#This Row],[Reddito annuo]]&gt;=70000,"si","no")</f>
        <v>no</v>
      </c>
    </row>
    <row r="4714" spans="1:12">
      <c r="A4714">
        <v>104713</v>
      </c>
      <c r="B4714">
        <v>54</v>
      </c>
      <c r="C4714" s="2">
        <v>48700</v>
      </c>
      <c r="D4714" t="s">
        <v>12</v>
      </c>
      <c r="E4714" s="2">
        <v>50700</v>
      </c>
      <c r="F4714" s="2">
        <v>220000</v>
      </c>
      <c r="G4714" t="s">
        <v>24</v>
      </c>
      <c r="H4714" t="s">
        <v>25</v>
      </c>
      <c r="I4714" t="s">
        <v>18</v>
      </c>
      <c r="J4714" s="3">
        <v>46098</v>
      </c>
      <c r="K4714" s="4">
        <f>ClientiBanca[[#This Row],[Prestito]]+ClientiBanca[[#This Row],[Mutuo]]</f>
        <v>270700</v>
      </c>
      <c r="L4714" t="str">
        <f>IF(ClientiBanca[[#This Row],[Reddito annuo]]&gt;=70000,"si","no")</f>
        <v>no</v>
      </c>
    </row>
    <row r="4715" spans="1:12">
      <c r="A4715">
        <v>104714</v>
      </c>
      <c r="B4715">
        <v>48</v>
      </c>
      <c r="C4715" s="2">
        <v>71000</v>
      </c>
      <c r="D4715" t="s">
        <v>12</v>
      </c>
      <c r="E4715" s="2">
        <v>37900</v>
      </c>
      <c r="F4715" s="2">
        <v>172000</v>
      </c>
      <c r="G4715" t="s">
        <v>16</v>
      </c>
      <c r="H4715" t="s">
        <v>17</v>
      </c>
      <c r="I4715" t="s">
        <v>18</v>
      </c>
      <c r="J4715" s="3">
        <v>45540</v>
      </c>
      <c r="K4715" s="4">
        <f>ClientiBanca[[#This Row],[Prestito]]+ClientiBanca[[#This Row],[Mutuo]]</f>
        <v>209900</v>
      </c>
      <c r="L4715" t="str">
        <f>IF(ClientiBanca[[#This Row],[Reddito annuo]]&gt;=70000,"si","no")</f>
        <v>si</v>
      </c>
    </row>
    <row r="4716" spans="1:12">
      <c r="A4716">
        <v>104715</v>
      </c>
      <c r="B4716">
        <v>69</v>
      </c>
      <c r="C4716" s="2">
        <v>39600</v>
      </c>
      <c r="D4716" t="s">
        <v>21</v>
      </c>
      <c r="E4716" s="2">
        <v>49500</v>
      </c>
      <c r="F4716" s="2">
        <v>0</v>
      </c>
      <c r="G4716" t="s">
        <v>13</v>
      </c>
      <c r="H4716" t="s">
        <v>17</v>
      </c>
      <c r="I4716" t="s">
        <v>18</v>
      </c>
      <c r="J4716" s="3">
        <v>45980</v>
      </c>
      <c r="K4716" s="4">
        <f>ClientiBanca[[#This Row],[Prestito]]+ClientiBanca[[#This Row],[Mutuo]]</f>
        <v>49500</v>
      </c>
      <c r="L4716" t="str">
        <f>IF(ClientiBanca[[#This Row],[Reddito annuo]]&gt;=70000,"si","no")</f>
        <v>no</v>
      </c>
    </row>
    <row r="4717" spans="1:12">
      <c r="A4717">
        <v>104716</v>
      </c>
      <c r="B4717">
        <v>73</v>
      </c>
      <c r="C4717" s="2">
        <v>84300</v>
      </c>
      <c r="D4717" t="s">
        <v>12</v>
      </c>
      <c r="E4717" s="2">
        <v>10600</v>
      </c>
      <c r="F4717" s="2">
        <v>0</v>
      </c>
      <c r="G4717" t="s">
        <v>28</v>
      </c>
      <c r="H4717" t="s">
        <v>17</v>
      </c>
      <c r="I4717" t="s">
        <v>18</v>
      </c>
      <c r="J4717" s="3">
        <v>45881</v>
      </c>
      <c r="K4717" s="4">
        <f>ClientiBanca[[#This Row],[Prestito]]+ClientiBanca[[#This Row],[Mutuo]]</f>
        <v>10600</v>
      </c>
      <c r="L4717" t="str">
        <f>IF(ClientiBanca[[#This Row],[Reddito annuo]]&gt;=70000,"si","no")</f>
        <v>si</v>
      </c>
    </row>
    <row r="4718" spans="1:12">
      <c r="A4718">
        <v>104717</v>
      </c>
      <c r="B4718">
        <v>37</v>
      </c>
      <c r="C4718" s="2">
        <v>52200</v>
      </c>
      <c r="D4718" t="s">
        <v>21</v>
      </c>
      <c r="E4718" s="2">
        <v>46700</v>
      </c>
      <c r="F4718" s="2">
        <v>137000</v>
      </c>
      <c r="G4718" t="s">
        <v>27</v>
      </c>
      <c r="H4718" t="s">
        <v>20</v>
      </c>
      <c r="I4718" t="s">
        <v>18</v>
      </c>
      <c r="J4718" s="3">
        <v>46200</v>
      </c>
      <c r="K4718" s="4">
        <f>ClientiBanca[[#This Row],[Prestito]]+ClientiBanca[[#This Row],[Mutuo]]</f>
        <v>183700</v>
      </c>
      <c r="L4718" t="str">
        <f>IF(ClientiBanca[[#This Row],[Reddito annuo]]&gt;=70000,"si","no")</f>
        <v>no</v>
      </c>
    </row>
    <row r="4719" spans="1:12">
      <c r="A4719">
        <v>104718</v>
      </c>
      <c r="B4719">
        <v>75</v>
      </c>
      <c r="C4719" s="2">
        <v>38600</v>
      </c>
      <c r="D4719" t="s">
        <v>22</v>
      </c>
      <c r="E4719" s="2">
        <v>29400</v>
      </c>
      <c r="F4719" s="2">
        <v>0</v>
      </c>
      <c r="G4719" t="s">
        <v>28</v>
      </c>
      <c r="H4719" t="s">
        <v>17</v>
      </c>
      <c r="I4719" t="s">
        <v>18</v>
      </c>
      <c r="J4719" s="3">
        <v>45482</v>
      </c>
      <c r="K4719" s="4">
        <f>ClientiBanca[[#This Row],[Prestito]]+ClientiBanca[[#This Row],[Mutuo]]</f>
        <v>29400</v>
      </c>
      <c r="L4719" t="str">
        <f>IF(ClientiBanca[[#This Row],[Reddito annuo]]&gt;=70000,"si","no")</f>
        <v>no</v>
      </c>
    </row>
    <row r="4720" spans="1:12">
      <c r="A4720">
        <v>104719</v>
      </c>
      <c r="B4720">
        <v>33</v>
      </c>
      <c r="C4720" s="2">
        <v>87400</v>
      </c>
      <c r="D4720" t="s">
        <v>12</v>
      </c>
      <c r="E4720" s="2">
        <v>0</v>
      </c>
      <c r="F4720" s="2">
        <v>0</v>
      </c>
      <c r="G4720" t="s">
        <v>13</v>
      </c>
      <c r="H4720" t="s">
        <v>20</v>
      </c>
      <c r="I4720" t="s">
        <v>18</v>
      </c>
      <c r="J4720" s="3">
        <v>45518</v>
      </c>
      <c r="K4720" s="4">
        <f>ClientiBanca[[#This Row],[Prestito]]+ClientiBanca[[#This Row],[Mutuo]]</f>
        <v>0</v>
      </c>
      <c r="L4720" t="str">
        <f>IF(ClientiBanca[[#This Row],[Reddito annuo]]&gt;=70000,"si","no")</f>
        <v>si</v>
      </c>
    </row>
    <row r="4721" spans="1:12">
      <c r="A4721">
        <v>104720</v>
      </c>
      <c r="B4721">
        <v>71</v>
      </c>
      <c r="C4721" s="2">
        <v>85700</v>
      </c>
      <c r="D4721" t="s">
        <v>12</v>
      </c>
      <c r="E4721" s="2">
        <v>28700</v>
      </c>
      <c r="F4721" s="2">
        <v>0</v>
      </c>
      <c r="G4721" t="s">
        <v>23</v>
      </c>
      <c r="H4721" t="s">
        <v>17</v>
      </c>
      <c r="I4721" t="s">
        <v>18</v>
      </c>
      <c r="J4721" s="3">
        <v>45631</v>
      </c>
      <c r="K4721" s="4">
        <f>ClientiBanca[[#This Row],[Prestito]]+ClientiBanca[[#This Row],[Mutuo]]</f>
        <v>28700</v>
      </c>
      <c r="L4721" t="str">
        <f>IF(ClientiBanca[[#This Row],[Reddito annuo]]&gt;=70000,"si","no")</f>
        <v>si</v>
      </c>
    </row>
    <row r="4722" spans="1:12">
      <c r="A4722">
        <v>104721</v>
      </c>
      <c r="B4722">
        <v>60</v>
      </c>
      <c r="C4722" s="2">
        <v>31300</v>
      </c>
      <c r="D4722" t="s">
        <v>21</v>
      </c>
      <c r="E4722" s="2">
        <v>39100</v>
      </c>
      <c r="F4722" s="2">
        <v>180000</v>
      </c>
      <c r="G4722" t="s">
        <v>28</v>
      </c>
      <c r="H4722" t="s">
        <v>17</v>
      </c>
      <c r="I4722" t="s">
        <v>18</v>
      </c>
      <c r="J4722" s="3">
        <v>45899</v>
      </c>
      <c r="K4722" s="4">
        <f>ClientiBanca[[#This Row],[Prestito]]+ClientiBanca[[#This Row],[Mutuo]]</f>
        <v>219100</v>
      </c>
      <c r="L4722" t="str">
        <f>IF(ClientiBanca[[#This Row],[Reddito annuo]]&gt;=70000,"si","no")</f>
        <v>no</v>
      </c>
    </row>
    <row r="4723" spans="1:12">
      <c r="A4723">
        <v>104722</v>
      </c>
      <c r="B4723">
        <v>55</v>
      </c>
      <c r="C4723" s="2">
        <v>44100</v>
      </c>
      <c r="D4723" t="s">
        <v>21</v>
      </c>
      <c r="E4723" s="2">
        <v>0</v>
      </c>
      <c r="F4723" s="2">
        <v>0</v>
      </c>
      <c r="G4723" t="s">
        <v>23</v>
      </c>
      <c r="H4723" t="s">
        <v>14</v>
      </c>
      <c r="I4723" t="s">
        <v>18</v>
      </c>
      <c r="J4723" s="3">
        <v>45779</v>
      </c>
      <c r="K4723" s="4">
        <f>ClientiBanca[[#This Row],[Prestito]]+ClientiBanca[[#This Row],[Mutuo]]</f>
        <v>0</v>
      </c>
      <c r="L4723" t="str">
        <f>IF(ClientiBanca[[#This Row],[Reddito annuo]]&gt;=70000,"si","no")</f>
        <v>no</v>
      </c>
    </row>
    <row r="4724" spans="1:12">
      <c r="A4724">
        <v>104723</v>
      </c>
      <c r="B4724">
        <v>67</v>
      </c>
      <c r="C4724" s="2">
        <v>89600</v>
      </c>
      <c r="D4724" t="s">
        <v>21</v>
      </c>
      <c r="E4724" s="2">
        <v>0</v>
      </c>
      <c r="F4724" s="2">
        <v>0</v>
      </c>
      <c r="G4724" t="s">
        <v>26</v>
      </c>
      <c r="H4724" t="s">
        <v>20</v>
      </c>
      <c r="I4724" t="s">
        <v>18</v>
      </c>
      <c r="J4724" s="3">
        <v>45642</v>
      </c>
      <c r="K4724" s="4">
        <f>ClientiBanca[[#This Row],[Prestito]]+ClientiBanca[[#This Row],[Mutuo]]</f>
        <v>0</v>
      </c>
      <c r="L4724" t="str">
        <f>IF(ClientiBanca[[#This Row],[Reddito annuo]]&gt;=70000,"si","no")</f>
        <v>si</v>
      </c>
    </row>
    <row r="4725" spans="1:12">
      <c r="A4725">
        <v>104724</v>
      </c>
      <c r="B4725">
        <v>50</v>
      </c>
      <c r="C4725" s="2">
        <v>56600</v>
      </c>
      <c r="D4725" t="s">
        <v>12</v>
      </c>
      <c r="E4725" s="2">
        <v>0</v>
      </c>
      <c r="F4725" s="2">
        <v>0</v>
      </c>
      <c r="G4725" t="s">
        <v>24</v>
      </c>
      <c r="H4725" t="s">
        <v>17</v>
      </c>
      <c r="I4725" t="s">
        <v>18</v>
      </c>
      <c r="J4725" s="3">
        <v>45575</v>
      </c>
      <c r="K4725" s="4">
        <f>ClientiBanca[[#This Row],[Prestito]]+ClientiBanca[[#This Row],[Mutuo]]</f>
        <v>0</v>
      </c>
      <c r="L4725" t="str">
        <f>IF(ClientiBanca[[#This Row],[Reddito annuo]]&gt;=70000,"si","no")</f>
        <v>no</v>
      </c>
    </row>
    <row r="4726" spans="1:12">
      <c r="A4726">
        <v>104725</v>
      </c>
      <c r="B4726">
        <v>41</v>
      </c>
      <c r="C4726" s="2">
        <v>60200</v>
      </c>
      <c r="D4726" t="s">
        <v>21</v>
      </c>
      <c r="E4726" s="2">
        <v>45100</v>
      </c>
      <c r="F4726" s="2">
        <v>0</v>
      </c>
      <c r="G4726" t="s">
        <v>23</v>
      </c>
      <c r="H4726" t="s">
        <v>17</v>
      </c>
      <c r="I4726" t="s">
        <v>18</v>
      </c>
      <c r="J4726" s="3">
        <v>46189</v>
      </c>
      <c r="K4726" s="4">
        <f>ClientiBanca[[#This Row],[Prestito]]+ClientiBanca[[#This Row],[Mutuo]]</f>
        <v>45100</v>
      </c>
      <c r="L4726" t="str">
        <f>IF(ClientiBanca[[#This Row],[Reddito annuo]]&gt;=70000,"si","no")</f>
        <v>no</v>
      </c>
    </row>
    <row r="4727" spans="1:12">
      <c r="A4727">
        <v>104726</v>
      </c>
      <c r="B4727">
        <v>56</v>
      </c>
      <c r="C4727" s="2">
        <v>99200</v>
      </c>
      <c r="D4727" t="s">
        <v>21</v>
      </c>
      <c r="E4727" s="2">
        <v>81800</v>
      </c>
      <c r="F4727" s="2">
        <v>132000</v>
      </c>
      <c r="G4727" t="s">
        <v>26</v>
      </c>
      <c r="H4727" t="s">
        <v>20</v>
      </c>
      <c r="I4727" t="s">
        <v>18</v>
      </c>
      <c r="J4727" s="3">
        <v>46144</v>
      </c>
      <c r="K4727" s="4">
        <f>ClientiBanca[[#This Row],[Prestito]]+ClientiBanca[[#This Row],[Mutuo]]</f>
        <v>213800</v>
      </c>
      <c r="L4727" t="str">
        <f>IF(ClientiBanca[[#This Row],[Reddito annuo]]&gt;=70000,"si","no")</f>
        <v>si</v>
      </c>
    </row>
    <row r="4728" spans="1:12">
      <c r="A4728">
        <v>104727</v>
      </c>
      <c r="B4728">
        <v>74</v>
      </c>
      <c r="C4728" s="2">
        <v>52500</v>
      </c>
      <c r="D4728" t="s">
        <v>12</v>
      </c>
      <c r="E4728" s="2">
        <v>65600</v>
      </c>
      <c r="F4728" s="2">
        <v>0</v>
      </c>
      <c r="G4728" t="s">
        <v>24</v>
      </c>
      <c r="H4728" t="s">
        <v>17</v>
      </c>
      <c r="I4728" t="s">
        <v>18</v>
      </c>
      <c r="J4728" s="3">
        <v>45893</v>
      </c>
      <c r="K4728" s="4">
        <f>ClientiBanca[[#This Row],[Prestito]]+ClientiBanca[[#This Row],[Mutuo]]</f>
        <v>65600</v>
      </c>
      <c r="L4728" t="str">
        <f>IF(ClientiBanca[[#This Row],[Reddito annuo]]&gt;=70000,"si","no")</f>
        <v>no</v>
      </c>
    </row>
    <row r="4729" spans="1:12">
      <c r="A4729">
        <v>104728</v>
      </c>
      <c r="B4729">
        <v>55</v>
      </c>
      <c r="C4729" s="2">
        <v>63100</v>
      </c>
      <c r="D4729" t="s">
        <v>21</v>
      </c>
      <c r="E4729" s="2">
        <v>14400</v>
      </c>
      <c r="F4729" s="2">
        <v>156000</v>
      </c>
      <c r="G4729" t="s">
        <v>16</v>
      </c>
      <c r="H4729" t="s">
        <v>20</v>
      </c>
      <c r="I4729" t="s">
        <v>18</v>
      </c>
      <c r="J4729" s="3">
        <v>45590</v>
      </c>
      <c r="K4729" s="4">
        <f>ClientiBanca[[#This Row],[Prestito]]+ClientiBanca[[#This Row],[Mutuo]]</f>
        <v>170400</v>
      </c>
      <c r="L4729" t="str">
        <f>IF(ClientiBanca[[#This Row],[Reddito annuo]]&gt;=70000,"si","no")</f>
        <v>no</v>
      </c>
    </row>
    <row r="4730" spans="1:12">
      <c r="A4730">
        <v>104729</v>
      </c>
      <c r="B4730">
        <v>20</v>
      </c>
      <c r="C4730" s="2">
        <v>42500</v>
      </c>
      <c r="D4730" t="s">
        <v>12</v>
      </c>
      <c r="E4730" s="2">
        <v>0</v>
      </c>
      <c r="F4730" s="2">
        <v>0</v>
      </c>
      <c r="G4730" t="s">
        <v>27</v>
      </c>
      <c r="H4730" t="s">
        <v>17</v>
      </c>
      <c r="I4730" t="s">
        <v>18</v>
      </c>
      <c r="J4730" s="3">
        <v>45794</v>
      </c>
      <c r="K4730" s="4">
        <f>ClientiBanca[[#This Row],[Prestito]]+ClientiBanca[[#This Row],[Mutuo]]</f>
        <v>0</v>
      </c>
      <c r="L4730" t="str">
        <f>IF(ClientiBanca[[#This Row],[Reddito annuo]]&gt;=70000,"si","no")</f>
        <v>no</v>
      </c>
    </row>
    <row r="4731" spans="1:12">
      <c r="A4731">
        <v>104730</v>
      </c>
      <c r="B4731">
        <v>36</v>
      </c>
      <c r="C4731" s="2">
        <v>33600</v>
      </c>
      <c r="D4731" t="s">
        <v>21</v>
      </c>
      <c r="E4731" s="2">
        <v>42000</v>
      </c>
      <c r="F4731" s="2">
        <v>0</v>
      </c>
      <c r="G4731" t="s">
        <v>16</v>
      </c>
      <c r="H4731" t="s">
        <v>17</v>
      </c>
      <c r="I4731" t="s">
        <v>18</v>
      </c>
      <c r="J4731" s="3">
        <v>45307</v>
      </c>
      <c r="K4731" s="4">
        <f>ClientiBanca[[#This Row],[Prestito]]+ClientiBanca[[#This Row],[Mutuo]]</f>
        <v>42000</v>
      </c>
      <c r="L4731" t="str">
        <f>IF(ClientiBanca[[#This Row],[Reddito annuo]]&gt;=70000,"si","no")</f>
        <v>no</v>
      </c>
    </row>
    <row r="4732" spans="1:12">
      <c r="A4732">
        <v>104731</v>
      </c>
      <c r="B4732">
        <v>53</v>
      </c>
      <c r="C4732" s="2">
        <v>54000</v>
      </c>
      <c r="D4732" t="s">
        <v>22</v>
      </c>
      <c r="E4732" s="2">
        <v>39300</v>
      </c>
      <c r="F4732" s="2">
        <v>0</v>
      </c>
      <c r="G4732" t="s">
        <v>27</v>
      </c>
      <c r="H4732" t="s">
        <v>14</v>
      </c>
      <c r="I4732" t="s">
        <v>18</v>
      </c>
      <c r="J4732" s="3">
        <v>46056</v>
      </c>
      <c r="K4732" s="4">
        <f>ClientiBanca[[#This Row],[Prestito]]+ClientiBanca[[#This Row],[Mutuo]]</f>
        <v>39300</v>
      </c>
      <c r="L4732" t="str">
        <f>IF(ClientiBanca[[#This Row],[Reddito annuo]]&gt;=70000,"si","no")</f>
        <v>no</v>
      </c>
    </row>
    <row r="4733" spans="1:12">
      <c r="A4733">
        <v>104732</v>
      </c>
      <c r="B4733">
        <v>52</v>
      </c>
      <c r="C4733" s="2">
        <v>41600</v>
      </c>
      <c r="D4733" t="s">
        <v>12</v>
      </c>
      <c r="E4733" s="2">
        <v>20400</v>
      </c>
      <c r="F4733" s="2">
        <v>0</v>
      </c>
      <c r="G4733" t="s">
        <v>27</v>
      </c>
      <c r="H4733" t="s">
        <v>17</v>
      </c>
      <c r="I4733" t="s">
        <v>18</v>
      </c>
      <c r="J4733" s="3">
        <v>45667</v>
      </c>
      <c r="K4733" s="4">
        <f>ClientiBanca[[#This Row],[Prestito]]+ClientiBanca[[#This Row],[Mutuo]]</f>
        <v>20400</v>
      </c>
      <c r="L4733" t="str">
        <f>IF(ClientiBanca[[#This Row],[Reddito annuo]]&gt;=70000,"si","no")</f>
        <v>no</v>
      </c>
    </row>
    <row r="4734" spans="1:12">
      <c r="A4734">
        <v>104733</v>
      </c>
      <c r="B4734">
        <v>57</v>
      </c>
      <c r="C4734" s="2">
        <v>46400</v>
      </c>
      <c r="D4734" t="s">
        <v>21</v>
      </c>
      <c r="E4734" s="2">
        <v>58000</v>
      </c>
      <c r="F4734" s="2">
        <v>0</v>
      </c>
      <c r="G4734" t="s">
        <v>28</v>
      </c>
      <c r="H4734" t="s">
        <v>17</v>
      </c>
      <c r="I4734" t="s">
        <v>18</v>
      </c>
      <c r="J4734" s="3">
        <v>45600</v>
      </c>
      <c r="K4734" s="4">
        <f>ClientiBanca[[#This Row],[Prestito]]+ClientiBanca[[#This Row],[Mutuo]]</f>
        <v>58000</v>
      </c>
      <c r="L4734" t="str">
        <f>IF(ClientiBanca[[#This Row],[Reddito annuo]]&gt;=70000,"si","no")</f>
        <v>no</v>
      </c>
    </row>
    <row r="4735" spans="1:12">
      <c r="A4735">
        <v>104734</v>
      </c>
      <c r="B4735">
        <v>53</v>
      </c>
      <c r="C4735" s="2">
        <v>51700</v>
      </c>
      <c r="D4735" t="s">
        <v>12</v>
      </c>
      <c r="E4735" s="2">
        <v>64600</v>
      </c>
      <c r="F4735" s="2">
        <v>0</v>
      </c>
      <c r="G4735" t="s">
        <v>28</v>
      </c>
      <c r="H4735" t="s">
        <v>17</v>
      </c>
      <c r="I4735" t="s">
        <v>18</v>
      </c>
      <c r="J4735" s="3">
        <v>46095</v>
      </c>
      <c r="K4735" s="4">
        <f>ClientiBanca[[#This Row],[Prestito]]+ClientiBanca[[#This Row],[Mutuo]]</f>
        <v>64600</v>
      </c>
      <c r="L4735" t="str">
        <f>IF(ClientiBanca[[#This Row],[Reddito annuo]]&gt;=70000,"si","no")</f>
        <v>no</v>
      </c>
    </row>
    <row r="4736" spans="1:12">
      <c r="A4736">
        <v>104735</v>
      </c>
      <c r="B4736">
        <v>41</v>
      </c>
      <c r="C4736" s="2">
        <v>52700</v>
      </c>
      <c r="D4736" t="s">
        <v>22</v>
      </c>
      <c r="E4736" s="2">
        <v>24100</v>
      </c>
      <c r="F4736" s="2">
        <v>260000</v>
      </c>
      <c r="G4736" t="s">
        <v>26</v>
      </c>
      <c r="H4736" t="s">
        <v>20</v>
      </c>
      <c r="I4736" t="s">
        <v>18</v>
      </c>
      <c r="J4736" s="3">
        <v>45298</v>
      </c>
      <c r="K4736" s="4">
        <f>ClientiBanca[[#This Row],[Prestito]]+ClientiBanca[[#This Row],[Mutuo]]</f>
        <v>284100</v>
      </c>
      <c r="L4736" t="str">
        <f>IF(ClientiBanca[[#This Row],[Reddito annuo]]&gt;=70000,"si","no")</f>
        <v>no</v>
      </c>
    </row>
    <row r="4737" spans="1:12">
      <c r="A4737">
        <v>104736</v>
      </c>
      <c r="B4737">
        <v>69</v>
      </c>
      <c r="C4737" s="2">
        <v>26800</v>
      </c>
      <c r="D4737" t="s">
        <v>21</v>
      </c>
      <c r="E4737" s="2">
        <v>14800</v>
      </c>
      <c r="F4737" s="2">
        <v>0</v>
      </c>
      <c r="G4737" t="s">
        <v>13</v>
      </c>
      <c r="H4737" t="s">
        <v>14</v>
      </c>
      <c r="I4737" t="s">
        <v>18</v>
      </c>
      <c r="J4737" s="3">
        <v>45373</v>
      </c>
      <c r="K4737" s="4">
        <f>ClientiBanca[[#This Row],[Prestito]]+ClientiBanca[[#This Row],[Mutuo]]</f>
        <v>14800</v>
      </c>
      <c r="L4737" t="str">
        <f>IF(ClientiBanca[[#This Row],[Reddito annuo]]&gt;=70000,"si","no")</f>
        <v>no</v>
      </c>
    </row>
    <row r="4738" spans="1:12">
      <c r="A4738">
        <v>104737</v>
      </c>
      <c r="B4738">
        <v>48</v>
      </c>
      <c r="C4738" s="2">
        <v>51700</v>
      </c>
      <c r="D4738" t="s">
        <v>21</v>
      </c>
      <c r="E4738" s="2">
        <v>23100</v>
      </c>
      <c r="F4738" s="2">
        <v>0</v>
      </c>
      <c r="G4738" t="s">
        <v>16</v>
      </c>
      <c r="H4738" t="s">
        <v>17</v>
      </c>
      <c r="I4738" t="s">
        <v>18</v>
      </c>
      <c r="J4738" s="3">
        <v>45385</v>
      </c>
      <c r="K4738" s="4">
        <f>ClientiBanca[[#This Row],[Prestito]]+ClientiBanca[[#This Row],[Mutuo]]</f>
        <v>23100</v>
      </c>
      <c r="L4738" t="str">
        <f>IF(ClientiBanca[[#This Row],[Reddito annuo]]&gt;=70000,"si","no")</f>
        <v>no</v>
      </c>
    </row>
    <row r="4739" spans="1:12">
      <c r="A4739">
        <v>104738</v>
      </c>
      <c r="B4739">
        <v>52</v>
      </c>
      <c r="C4739" s="2">
        <v>33100</v>
      </c>
      <c r="D4739" t="s">
        <v>21</v>
      </c>
      <c r="E4739" s="2">
        <v>0</v>
      </c>
      <c r="F4739" s="2">
        <v>0</v>
      </c>
      <c r="G4739" t="s">
        <v>16</v>
      </c>
      <c r="H4739" t="s">
        <v>14</v>
      </c>
      <c r="I4739" t="s">
        <v>18</v>
      </c>
      <c r="J4739" s="3">
        <v>45754</v>
      </c>
      <c r="K4739" s="4">
        <f>ClientiBanca[[#This Row],[Prestito]]+ClientiBanca[[#This Row],[Mutuo]]</f>
        <v>0</v>
      </c>
      <c r="L4739" t="str">
        <f>IF(ClientiBanca[[#This Row],[Reddito annuo]]&gt;=70000,"si","no")</f>
        <v>no</v>
      </c>
    </row>
    <row r="4740" spans="1:12">
      <c r="A4740">
        <v>104739</v>
      </c>
      <c r="B4740">
        <v>41</v>
      </c>
      <c r="C4740" s="2">
        <v>56900</v>
      </c>
      <c r="D4740" t="s">
        <v>22</v>
      </c>
      <c r="E4740" s="2">
        <v>28000</v>
      </c>
      <c r="F4740" s="2">
        <v>220000</v>
      </c>
      <c r="G4740" t="s">
        <v>26</v>
      </c>
      <c r="H4740" t="s">
        <v>14</v>
      </c>
      <c r="I4740" t="s">
        <v>18</v>
      </c>
      <c r="J4740" s="3">
        <v>45313</v>
      </c>
      <c r="K4740" s="4">
        <f>ClientiBanca[[#This Row],[Prestito]]+ClientiBanca[[#This Row],[Mutuo]]</f>
        <v>248000</v>
      </c>
      <c r="L4740" t="str">
        <f>IF(ClientiBanca[[#This Row],[Reddito annuo]]&gt;=70000,"si","no")</f>
        <v>no</v>
      </c>
    </row>
    <row r="4741" spans="1:12">
      <c r="A4741">
        <v>104740</v>
      </c>
      <c r="B4741">
        <v>43</v>
      </c>
      <c r="C4741" s="2">
        <v>40900</v>
      </c>
      <c r="D4741" t="s">
        <v>22</v>
      </c>
      <c r="E4741" s="2">
        <v>51100</v>
      </c>
      <c r="F4741" s="2">
        <v>0</v>
      </c>
      <c r="G4741" t="s">
        <v>16</v>
      </c>
      <c r="H4741" t="s">
        <v>14</v>
      </c>
      <c r="I4741" t="s">
        <v>18</v>
      </c>
      <c r="J4741" s="3">
        <v>45343</v>
      </c>
      <c r="K4741" s="4">
        <f>ClientiBanca[[#This Row],[Prestito]]+ClientiBanca[[#This Row],[Mutuo]]</f>
        <v>51100</v>
      </c>
      <c r="L4741" t="str">
        <f>IF(ClientiBanca[[#This Row],[Reddito annuo]]&gt;=70000,"si","no")</f>
        <v>no</v>
      </c>
    </row>
    <row r="4742" spans="1:12">
      <c r="A4742">
        <v>104741</v>
      </c>
      <c r="B4742">
        <v>54</v>
      </c>
      <c r="C4742" s="2">
        <v>76000</v>
      </c>
      <c r="D4742" t="s">
        <v>22</v>
      </c>
      <c r="E4742" s="2">
        <v>0</v>
      </c>
      <c r="F4742" s="2">
        <v>0</v>
      </c>
      <c r="G4742" t="s">
        <v>28</v>
      </c>
      <c r="H4742" t="s">
        <v>17</v>
      </c>
      <c r="I4742" t="s">
        <v>18</v>
      </c>
      <c r="J4742" s="3">
        <v>45821</v>
      </c>
      <c r="K4742" s="4">
        <f>ClientiBanca[[#This Row],[Prestito]]+ClientiBanca[[#This Row],[Mutuo]]</f>
        <v>0</v>
      </c>
      <c r="L4742" t="str">
        <f>IF(ClientiBanca[[#This Row],[Reddito annuo]]&gt;=70000,"si","no")</f>
        <v>si</v>
      </c>
    </row>
    <row r="4743" spans="1:12">
      <c r="A4743">
        <v>104742</v>
      </c>
      <c r="B4743">
        <v>55</v>
      </c>
      <c r="C4743" s="2">
        <v>27900</v>
      </c>
      <c r="D4743" t="s">
        <v>21</v>
      </c>
      <c r="E4743" s="2">
        <v>18500</v>
      </c>
      <c r="F4743" s="2">
        <v>0</v>
      </c>
      <c r="G4743" t="s">
        <v>26</v>
      </c>
      <c r="H4743" t="s">
        <v>17</v>
      </c>
      <c r="I4743" t="s">
        <v>18</v>
      </c>
      <c r="J4743" s="3">
        <v>45399</v>
      </c>
      <c r="K4743" s="4">
        <f>ClientiBanca[[#This Row],[Prestito]]+ClientiBanca[[#This Row],[Mutuo]]</f>
        <v>18500</v>
      </c>
      <c r="L4743" t="str">
        <f>IF(ClientiBanca[[#This Row],[Reddito annuo]]&gt;=70000,"si","no")</f>
        <v>no</v>
      </c>
    </row>
    <row r="4744" spans="1:12">
      <c r="A4744">
        <v>104743</v>
      </c>
      <c r="B4744">
        <v>28</v>
      </c>
      <c r="C4744" s="2">
        <v>85800</v>
      </c>
      <c r="D4744" t="s">
        <v>21</v>
      </c>
      <c r="E4744" s="2">
        <v>0</v>
      </c>
      <c r="F4744" s="2">
        <v>0</v>
      </c>
      <c r="G4744" t="s">
        <v>28</v>
      </c>
      <c r="H4744" t="s">
        <v>17</v>
      </c>
      <c r="I4744" t="s">
        <v>18</v>
      </c>
      <c r="J4744" s="3">
        <v>46178</v>
      </c>
      <c r="K4744" s="4">
        <f>ClientiBanca[[#This Row],[Prestito]]+ClientiBanca[[#This Row],[Mutuo]]</f>
        <v>0</v>
      </c>
      <c r="L4744" t="str">
        <f>IF(ClientiBanca[[#This Row],[Reddito annuo]]&gt;=70000,"si","no")</f>
        <v>si</v>
      </c>
    </row>
    <row r="4745" spans="1:12">
      <c r="A4745">
        <v>104744</v>
      </c>
      <c r="B4745">
        <v>30</v>
      </c>
      <c r="C4745" s="2">
        <v>38600</v>
      </c>
      <c r="D4745" t="s">
        <v>12</v>
      </c>
      <c r="E4745" s="2">
        <v>48200</v>
      </c>
      <c r="F4745" s="2">
        <v>0</v>
      </c>
      <c r="G4745" t="s">
        <v>26</v>
      </c>
      <c r="H4745" t="s">
        <v>17</v>
      </c>
      <c r="I4745" t="s">
        <v>18</v>
      </c>
      <c r="J4745" s="3">
        <v>45363</v>
      </c>
      <c r="K4745" s="4">
        <f>ClientiBanca[[#This Row],[Prestito]]+ClientiBanca[[#This Row],[Mutuo]]</f>
        <v>48200</v>
      </c>
      <c r="L4745" t="str">
        <f>IF(ClientiBanca[[#This Row],[Reddito annuo]]&gt;=70000,"si","no")</f>
        <v>no</v>
      </c>
    </row>
    <row r="4746" spans="1:12">
      <c r="A4746">
        <v>104745</v>
      </c>
      <c r="B4746">
        <v>63</v>
      </c>
      <c r="C4746" s="2">
        <v>39000</v>
      </c>
      <c r="D4746" t="s">
        <v>12</v>
      </c>
      <c r="E4746" s="2">
        <v>48800</v>
      </c>
      <c r="F4746" s="2">
        <v>0</v>
      </c>
      <c r="G4746" t="s">
        <v>28</v>
      </c>
      <c r="H4746" t="s">
        <v>14</v>
      </c>
      <c r="I4746" t="s">
        <v>18</v>
      </c>
      <c r="J4746" s="3">
        <v>46233</v>
      </c>
      <c r="K4746" s="4">
        <f>ClientiBanca[[#This Row],[Prestito]]+ClientiBanca[[#This Row],[Mutuo]]</f>
        <v>48800</v>
      </c>
      <c r="L4746" t="str">
        <f>IF(ClientiBanca[[#This Row],[Reddito annuo]]&gt;=70000,"si","no")</f>
        <v>no</v>
      </c>
    </row>
    <row r="4747" spans="1:12">
      <c r="A4747">
        <v>104746</v>
      </c>
      <c r="B4747">
        <v>22</v>
      </c>
      <c r="C4747" s="2">
        <v>58100</v>
      </c>
      <c r="D4747" t="s">
        <v>21</v>
      </c>
      <c r="E4747" s="2">
        <v>59400</v>
      </c>
      <c r="F4747" s="2">
        <v>0</v>
      </c>
      <c r="G4747" t="s">
        <v>28</v>
      </c>
      <c r="H4747" t="s">
        <v>20</v>
      </c>
      <c r="I4747" t="s">
        <v>18</v>
      </c>
      <c r="J4747" s="3">
        <v>45682</v>
      </c>
      <c r="K4747" s="4">
        <f>ClientiBanca[[#This Row],[Prestito]]+ClientiBanca[[#This Row],[Mutuo]]</f>
        <v>59400</v>
      </c>
      <c r="L4747" t="str">
        <f>IF(ClientiBanca[[#This Row],[Reddito annuo]]&gt;=70000,"si","no")</f>
        <v>no</v>
      </c>
    </row>
    <row r="4748" spans="1:12">
      <c r="A4748">
        <v>104747</v>
      </c>
      <c r="B4748">
        <v>61</v>
      </c>
      <c r="C4748" s="2">
        <v>41700</v>
      </c>
      <c r="D4748" t="s">
        <v>21</v>
      </c>
      <c r="E4748" s="2">
        <v>35200</v>
      </c>
      <c r="F4748" s="2">
        <v>0</v>
      </c>
      <c r="G4748" t="s">
        <v>13</v>
      </c>
      <c r="H4748" t="s">
        <v>14</v>
      </c>
      <c r="I4748" t="s">
        <v>18</v>
      </c>
      <c r="J4748" s="3">
        <v>46098</v>
      </c>
      <c r="K4748" s="4">
        <f>ClientiBanca[[#This Row],[Prestito]]+ClientiBanca[[#This Row],[Mutuo]]</f>
        <v>35200</v>
      </c>
      <c r="L4748" t="str">
        <f>IF(ClientiBanca[[#This Row],[Reddito annuo]]&gt;=70000,"si","no")</f>
        <v>no</v>
      </c>
    </row>
    <row r="4749" spans="1:12">
      <c r="A4749">
        <v>104748</v>
      </c>
      <c r="B4749">
        <v>23</v>
      </c>
      <c r="C4749" s="2">
        <v>46000</v>
      </c>
      <c r="D4749" t="s">
        <v>21</v>
      </c>
      <c r="E4749" s="2">
        <v>32800</v>
      </c>
      <c r="F4749" s="2">
        <v>0</v>
      </c>
      <c r="G4749" t="s">
        <v>28</v>
      </c>
      <c r="H4749" t="s">
        <v>17</v>
      </c>
      <c r="I4749" t="s">
        <v>18</v>
      </c>
      <c r="J4749" s="3">
        <v>45964</v>
      </c>
      <c r="K4749" s="4">
        <f>ClientiBanca[[#This Row],[Prestito]]+ClientiBanca[[#This Row],[Mutuo]]</f>
        <v>32800</v>
      </c>
      <c r="L4749" t="str">
        <f>IF(ClientiBanca[[#This Row],[Reddito annuo]]&gt;=70000,"si","no")</f>
        <v>no</v>
      </c>
    </row>
    <row r="4750" spans="1:12">
      <c r="A4750">
        <v>104749</v>
      </c>
      <c r="B4750">
        <v>64</v>
      </c>
      <c r="C4750" s="2">
        <v>70700</v>
      </c>
      <c r="D4750" t="s">
        <v>12</v>
      </c>
      <c r="E4750" s="2">
        <v>15700</v>
      </c>
      <c r="F4750" s="2">
        <v>0</v>
      </c>
      <c r="G4750" t="s">
        <v>16</v>
      </c>
      <c r="H4750" t="s">
        <v>17</v>
      </c>
      <c r="I4750" t="s">
        <v>18</v>
      </c>
      <c r="J4750" s="3">
        <v>45895</v>
      </c>
      <c r="K4750" s="4">
        <f>ClientiBanca[[#This Row],[Prestito]]+ClientiBanca[[#This Row],[Mutuo]]</f>
        <v>15700</v>
      </c>
      <c r="L4750" t="str">
        <f>IF(ClientiBanca[[#This Row],[Reddito annuo]]&gt;=70000,"si","no")</f>
        <v>si</v>
      </c>
    </row>
    <row r="4751" spans="1:12">
      <c r="A4751">
        <v>104750</v>
      </c>
      <c r="B4751">
        <v>46</v>
      </c>
      <c r="C4751" s="2">
        <v>57800</v>
      </c>
      <c r="D4751" t="s">
        <v>21</v>
      </c>
      <c r="E4751" s="2">
        <v>72200</v>
      </c>
      <c r="F4751" s="2">
        <v>0</v>
      </c>
      <c r="G4751" t="s">
        <v>27</v>
      </c>
      <c r="H4751" t="s">
        <v>14</v>
      </c>
      <c r="I4751" t="s">
        <v>18</v>
      </c>
      <c r="J4751" s="3">
        <v>45562</v>
      </c>
      <c r="K4751" s="4">
        <f>ClientiBanca[[#This Row],[Prestito]]+ClientiBanca[[#This Row],[Mutuo]]</f>
        <v>72200</v>
      </c>
      <c r="L4751" t="str">
        <f>IF(ClientiBanca[[#This Row],[Reddito annuo]]&gt;=70000,"si","no")</f>
        <v>no</v>
      </c>
    </row>
    <row r="4752" spans="1:12">
      <c r="A4752">
        <v>104751</v>
      </c>
      <c r="B4752">
        <v>62</v>
      </c>
      <c r="C4752" s="2">
        <v>26000</v>
      </c>
      <c r="D4752" t="s">
        <v>21</v>
      </c>
      <c r="E4752" s="2">
        <v>32500</v>
      </c>
      <c r="F4752" s="2">
        <v>0</v>
      </c>
      <c r="G4752" t="s">
        <v>26</v>
      </c>
      <c r="H4752" t="s">
        <v>17</v>
      </c>
      <c r="I4752" t="s">
        <v>18</v>
      </c>
      <c r="J4752" s="3">
        <v>45833</v>
      </c>
      <c r="K4752" s="4">
        <f>ClientiBanca[[#This Row],[Prestito]]+ClientiBanca[[#This Row],[Mutuo]]</f>
        <v>32500</v>
      </c>
      <c r="L4752" t="str">
        <f>IF(ClientiBanca[[#This Row],[Reddito annuo]]&gt;=70000,"si","no")</f>
        <v>no</v>
      </c>
    </row>
    <row r="4753" spans="1:12">
      <c r="A4753">
        <v>104752</v>
      </c>
      <c r="B4753">
        <v>28</v>
      </c>
      <c r="C4753" s="2">
        <v>51600</v>
      </c>
      <c r="D4753" t="s">
        <v>12</v>
      </c>
      <c r="E4753" s="2">
        <v>22400</v>
      </c>
      <c r="F4753" s="2">
        <v>249000</v>
      </c>
      <c r="G4753" t="s">
        <v>16</v>
      </c>
      <c r="H4753" t="s">
        <v>17</v>
      </c>
      <c r="I4753" t="s">
        <v>18</v>
      </c>
      <c r="J4753" s="3">
        <v>45825</v>
      </c>
      <c r="K4753" s="4">
        <f>ClientiBanca[[#This Row],[Prestito]]+ClientiBanca[[#This Row],[Mutuo]]</f>
        <v>271400</v>
      </c>
      <c r="L4753" t="str">
        <f>IF(ClientiBanca[[#This Row],[Reddito annuo]]&gt;=70000,"si","no")</f>
        <v>no</v>
      </c>
    </row>
    <row r="4754" spans="1:12">
      <c r="A4754">
        <v>104753</v>
      </c>
      <c r="B4754">
        <v>47</v>
      </c>
      <c r="C4754" s="2">
        <v>90400</v>
      </c>
      <c r="D4754" t="s">
        <v>12</v>
      </c>
      <c r="E4754" s="2">
        <v>39800</v>
      </c>
      <c r="F4754" s="2">
        <v>275000</v>
      </c>
      <c r="G4754" t="s">
        <v>16</v>
      </c>
      <c r="H4754" t="s">
        <v>20</v>
      </c>
      <c r="I4754" t="s">
        <v>18</v>
      </c>
      <c r="J4754" s="3">
        <v>45596</v>
      </c>
      <c r="K4754" s="4">
        <f>ClientiBanca[[#This Row],[Prestito]]+ClientiBanca[[#This Row],[Mutuo]]</f>
        <v>314800</v>
      </c>
      <c r="L4754" t="str">
        <f>IF(ClientiBanca[[#This Row],[Reddito annuo]]&gt;=70000,"si","no")</f>
        <v>si</v>
      </c>
    </row>
    <row r="4755" spans="1:12">
      <c r="A4755">
        <v>104754</v>
      </c>
      <c r="B4755">
        <v>27</v>
      </c>
      <c r="C4755" s="2">
        <v>62600</v>
      </c>
      <c r="D4755" t="s">
        <v>21</v>
      </c>
      <c r="E4755" s="2">
        <v>49900</v>
      </c>
      <c r="F4755" s="2">
        <v>0</v>
      </c>
      <c r="G4755" t="s">
        <v>26</v>
      </c>
      <c r="H4755" t="s">
        <v>17</v>
      </c>
      <c r="I4755" t="s">
        <v>18</v>
      </c>
      <c r="J4755" s="3">
        <v>46100</v>
      </c>
      <c r="K4755" s="4">
        <f>ClientiBanca[[#This Row],[Prestito]]+ClientiBanca[[#This Row],[Mutuo]]</f>
        <v>49900</v>
      </c>
      <c r="L4755" t="str">
        <f>IF(ClientiBanca[[#This Row],[Reddito annuo]]&gt;=70000,"si","no")</f>
        <v>no</v>
      </c>
    </row>
    <row r="4756" spans="1:12">
      <c r="A4756">
        <v>104755</v>
      </c>
      <c r="B4756">
        <v>38</v>
      </c>
      <c r="C4756" s="2">
        <v>44600</v>
      </c>
      <c r="D4756" t="s">
        <v>21</v>
      </c>
      <c r="E4756" s="2">
        <v>31100</v>
      </c>
      <c r="F4756" s="2">
        <v>0</v>
      </c>
      <c r="G4756" t="s">
        <v>26</v>
      </c>
      <c r="H4756" t="s">
        <v>17</v>
      </c>
      <c r="I4756" t="s">
        <v>18</v>
      </c>
      <c r="J4756" s="3">
        <v>45866</v>
      </c>
      <c r="K4756" s="4">
        <f>ClientiBanca[[#This Row],[Prestito]]+ClientiBanca[[#This Row],[Mutuo]]</f>
        <v>31100</v>
      </c>
      <c r="L4756" t="str">
        <f>IF(ClientiBanca[[#This Row],[Reddito annuo]]&gt;=70000,"si","no")</f>
        <v>no</v>
      </c>
    </row>
    <row r="4757" spans="1:12">
      <c r="A4757">
        <v>104756</v>
      </c>
      <c r="B4757">
        <v>46</v>
      </c>
      <c r="C4757" s="2">
        <v>31100</v>
      </c>
      <c r="D4757" t="s">
        <v>12</v>
      </c>
      <c r="E4757" s="2">
        <v>38900</v>
      </c>
      <c r="F4757" s="2">
        <v>203000</v>
      </c>
      <c r="G4757" t="s">
        <v>27</v>
      </c>
      <c r="H4757" t="s">
        <v>17</v>
      </c>
      <c r="I4757" t="s">
        <v>18</v>
      </c>
      <c r="J4757" s="3">
        <v>46185</v>
      </c>
      <c r="K4757" s="4">
        <f>ClientiBanca[[#This Row],[Prestito]]+ClientiBanca[[#This Row],[Mutuo]]</f>
        <v>241900</v>
      </c>
      <c r="L4757" t="str">
        <f>IF(ClientiBanca[[#This Row],[Reddito annuo]]&gt;=70000,"si","no")</f>
        <v>no</v>
      </c>
    </row>
    <row r="4758" spans="1:12">
      <c r="A4758">
        <v>104757</v>
      </c>
      <c r="B4758">
        <v>59</v>
      </c>
      <c r="C4758" s="2">
        <v>43800</v>
      </c>
      <c r="D4758" t="s">
        <v>21</v>
      </c>
      <c r="E4758" s="2">
        <v>54200</v>
      </c>
      <c r="F4758" s="2">
        <v>0</v>
      </c>
      <c r="G4758" t="s">
        <v>24</v>
      </c>
      <c r="H4758" t="s">
        <v>25</v>
      </c>
      <c r="I4758" t="s">
        <v>18</v>
      </c>
      <c r="J4758" s="3">
        <v>45323</v>
      </c>
      <c r="K4758" s="4">
        <f>ClientiBanca[[#This Row],[Prestito]]+ClientiBanca[[#This Row],[Mutuo]]</f>
        <v>54200</v>
      </c>
      <c r="L4758" t="str">
        <f>IF(ClientiBanca[[#This Row],[Reddito annuo]]&gt;=70000,"si","no")</f>
        <v>no</v>
      </c>
    </row>
    <row r="4759" spans="1:12">
      <c r="A4759">
        <v>104758</v>
      </c>
      <c r="B4759">
        <v>34</v>
      </c>
      <c r="C4759" s="2">
        <v>47800</v>
      </c>
      <c r="D4759" t="s">
        <v>12</v>
      </c>
      <c r="E4759" s="2">
        <v>45600</v>
      </c>
      <c r="F4759" s="2">
        <v>0</v>
      </c>
      <c r="G4759" t="s">
        <v>27</v>
      </c>
      <c r="H4759" t="s">
        <v>17</v>
      </c>
      <c r="I4759" t="s">
        <v>18</v>
      </c>
      <c r="J4759" s="3">
        <v>45839</v>
      </c>
      <c r="K4759" s="4">
        <f>ClientiBanca[[#This Row],[Prestito]]+ClientiBanca[[#This Row],[Mutuo]]</f>
        <v>45600</v>
      </c>
      <c r="L4759" t="str">
        <f>IF(ClientiBanca[[#This Row],[Reddito annuo]]&gt;=70000,"si","no")</f>
        <v>no</v>
      </c>
    </row>
    <row r="4760" spans="1:12">
      <c r="A4760">
        <v>104759</v>
      </c>
      <c r="B4760">
        <v>51</v>
      </c>
      <c r="C4760" s="2">
        <v>58400</v>
      </c>
      <c r="D4760" t="s">
        <v>21</v>
      </c>
      <c r="E4760" s="2">
        <v>26200</v>
      </c>
      <c r="F4760" s="2">
        <v>225000</v>
      </c>
      <c r="G4760" t="s">
        <v>23</v>
      </c>
      <c r="H4760" t="s">
        <v>14</v>
      </c>
      <c r="I4760" t="s">
        <v>18</v>
      </c>
      <c r="J4760" s="3">
        <v>45469</v>
      </c>
      <c r="K4760" s="4">
        <f>ClientiBanca[[#This Row],[Prestito]]+ClientiBanca[[#This Row],[Mutuo]]</f>
        <v>251200</v>
      </c>
      <c r="L4760" t="str">
        <f>IF(ClientiBanca[[#This Row],[Reddito annuo]]&gt;=70000,"si","no")</f>
        <v>no</v>
      </c>
    </row>
    <row r="4761" spans="1:12">
      <c r="A4761">
        <v>104760</v>
      </c>
      <c r="B4761">
        <v>40</v>
      </c>
      <c r="C4761" s="2">
        <v>52700</v>
      </c>
      <c r="D4761" t="s">
        <v>22</v>
      </c>
      <c r="E4761" s="2">
        <v>0</v>
      </c>
      <c r="F4761" s="2">
        <v>0</v>
      </c>
      <c r="G4761" t="s">
        <v>28</v>
      </c>
      <c r="H4761" t="s">
        <v>17</v>
      </c>
      <c r="I4761" t="s">
        <v>18</v>
      </c>
      <c r="J4761" s="3">
        <v>45603</v>
      </c>
      <c r="K4761" s="4">
        <f>ClientiBanca[[#This Row],[Prestito]]+ClientiBanca[[#This Row],[Mutuo]]</f>
        <v>0</v>
      </c>
      <c r="L4761" t="str">
        <f>IF(ClientiBanca[[#This Row],[Reddito annuo]]&gt;=70000,"si","no")</f>
        <v>no</v>
      </c>
    </row>
    <row r="4762" spans="1:12">
      <c r="A4762">
        <v>104761</v>
      </c>
      <c r="B4762">
        <v>69</v>
      </c>
      <c r="C4762" s="2">
        <v>73500</v>
      </c>
      <c r="D4762" t="s">
        <v>21</v>
      </c>
      <c r="E4762" s="2">
        <v>51300</v>
      </c>
      <c r="F4762" s="2">
        <v>0</v>
      </c>
      <c r="G4762" t="s">
        <v>28</v>
      </c>
      <c r="H4762" t="s">
        <v>20</v>
      </c>
      <c r="I4762" t="s">
        <v>18</v>
      </c>
      <c r="J4762" s="3">
        <v>45708</v>
      </c>
      <c r="K4762" s="4">
        <f>ClientiBanca[[#This Row],[Prestito]]+ClientiBanca[[#This Row],[Mutuo]]</f>
        <v>51300</v>
      </c>
      <c r="L4762" t="str">
        <f>IF(ClientiBanca[[#This Row],[Reddito annuo]]&gt;=70000,"si","no")</f>
        <v>si</v>
      </c>
    </row>
    <row r="4763" spans="1:12">
      <c r="A4763">
        <v>104762</v>
      </c>
      <c r="B4763">
        <v>46</v>
      </c>
      <c r="C4763" s="2">
        <v>78500</v>
      </c>
      <c r="D4763" t="s">
        <v>12</v>
      </c>
      <c r="E4763" s="2">
        <v>0</v>
      </c>
      <c r="F4763" s="2">
        <v>0</v>
      </c>
      <c r="G4763" t="s">
        <v>16</v>
      </c>
      <c r="H4763" t="s">
        <v>14</v>
      </c>
      <c r="I4763" t="s">
        <v>18</v>
      </c>
      <c r="J4763" s="3">
        <v>46106</v>
      </c>
      <c r="K4763" s="4">
        <f>ClientiBanca[[#This Row],[Prestito]]+ClientiBanca[[#This Row],[Mutuo]]</f>
        <v>0</v>
      </c>
      <c r="L4763" t="str">
        <f>IF(ClientiBanca[[#This Row],[Reddito annuo]]&gt;=70000,"si","no")</f>
        <v>si</v>
      </c>
    </row>
    <row r="4764" spans="1:12">
      <c r="A4764">
        <v>104763</v>
      </c>
      <c r="B4764">
        <v>34</v>
      </c>
      <c r="C4764" s="2">
        <v>81900</v>
      </c>
      <c r="D4764" t="s">
        <v>21</v>
      </c>
      <c r="E4764" s="2">
        <v>0</v>
      </c>
      <c r="F4764" s="2">
        <v>80000</v>
      </c>
      <c r="G4764" t="s">
        <v>23</v>
      </c>
      <c r="H4764" t="s">
        <v>20</v>
      </c>
      <c r="I4764" t="s">
        <v>18</v>
      </c>
      <c r="J4764" s="3">
        <v>46110</v>
      </c>
      <c r="K4764" s="4">
        <f>ClientiBanca[[#This Row],[Prestito]]+ClientiBanca[[#This Row],[Mutuo]]</f>
        <v>80000</v>
      </c>
      <c r="L4764" t="str">
        <f>IF(ClientiBanca[[#This Row],[Reddito annuo]]&gt;=70000,"si","no")</f>
        <v>si</v>
      </c>
    </row>
    <row r="4765" spans="1:12">
      <c r="A4765">
        <v>104764</v>
      </c>
      <c r="B4765">
        <v>46</v>
      </c>
      <c r="C4765" s="2">
        <v>36700</v>
      </c>
      <c r="D4765" t="s">
        <v>12</v>
      </c>
      <c r="E4765" s="2">
        <v>29500</v>
      </c>
      <c r="F4765" s="2">
        <v>160000</v>
      </c>
      <c r="G4765" t="s">
        <v>16</v>
      </c>
      <c r="H4765" t="s">
        <v>17</v>
      </c>
      <c r="I4765" t="s">
        <v>18</v>
      </c>
      <c r="J4765" s="3">
        <v>45872</v>
      </c>
      <c r="K4765" s="4">
        <f>ClientiBanca[[#This Row],[Prestito]]+ClientiBanca[[#This Row],[Mutuo]]</f>
        <v>189500</v>
      </c>
      <c r="L4765" t="str">
        <f>IF(ClientiBanca[[#This Row],[Reddito annuo]]&gt;=70000,"si","no")</f>
        <v>no</v>
      </c>
    </row>
    <row r="4766" spans="1:12">
      <c r="A4766">
        <v>104765</v>
      </c>
      <c r="B4766">
        <v>51</v>
      </c>
      <c r="C4766" s="2">
        <v>56500</v>
      </c>
      <c r="D4766" t="s">
        <v>12</v>
      </c>
      <c r="E4766" s="2">
        <v>23300</v>
      </c>
      <c r="F4766" s="2">
        <v>0</v>
      </c>
      <c r="G4766" t="s">
        <v>23</v>
      </c>
      <c r="H4766" t="s">
        <v>14</v>
      </c>
      <c r="I4766" t="s">
        <v>18</v>
      </c>
      <c r="J4766" s="3">
        <v>45957</v>
      </c>
      <c r="K4766" s="4">
        <f>ClientiBanca[[#This Row],[Prestito]]+ClientiBanca[[#This Row],[Mutuo]]</f>
        <v>23300</v>
      </c>
      <c r="L4766" t="str">
        <f>IF(ClientiBanca[[#This Row],[Reddito annuo]]&gt;=70000,"si","no")</f>
        <v>no</v>
      </c>
    </row>
    <row r="4767" spans="1:12">
      <c r="A4767">
        <v>104766</v>
      </c>
      <c r="B4767">
        <v>41</v>
      </c>
      <c r="C4767" s="2">
        <v>46200</v>
      </c>
      <c r="D4767" t="s">
        <v>21</v>
      </c>
      <c r="E4767" s="2">
        <v>27300</v>
      </c>
      <c r="F4767" s="2">
        <v>217000</v>
      </c>
      <c r="G4767" t="s">
        <v>27</v>
      </c>
      <c r="H4767" t="s">
        <v>14</v>
      </c>
      <c r="I4767" t="s">
        <v>18</v>
      </c>
      <c r="J4767" s="3">
        <v>46176</v>
      </c>
      <c r="K4767" s="4">
        <f>ClientiBanca[[#This Row],[Prestito]]+ClientiBanca[[#This Row],[Mutuo]]</f>
        <v>244300</v>
      </c>
      <c r="L4767" t="str">
        <f>IF(ClientiBanca[[#This Row],[Reddito annuo]]&gt;=70000,"si","no")</f>
        <v>no</v>
      </c>
    </row>
    <row r="4768" spans="1:12">
      <c r="A4768">
        <v>104767</v>
      </c>
      <c r="B4768">
        <v>53</v>
      </c>
      <c r="C4768" s="2">
        <v>68500</v>
      </c>
      <c r="D4768" t="s">
        <v>22</v>
      </c>
      <c r="E4768" s="2">
        <v>0</v>
      </c>
      <c r="F4768" s="2">
        <v>79000</v>
      </c>
      <c r="G4768" t="s">
        <v>27</v>
      </c>
      <c r="H4768" t="s">
        <v>14</v>
      </c>
      <c r="I4768" t="s">
        <v>18</v>
      </c>
      <c r="J4768" s="3">
        <v>45895</v>
      </c>
      <c r="K4768" s="4">
        <f>ClientiBanca[[#This Row],[Prestito]]+ClientiBanca[[#This Row],[Mutuo]]</f>
        <v>79000</v>
      </c>
      <c r="L4768" t="str">
        <f>IF(ClientiBanca[[#This Row],[Reddito annuo]]&gt;=70000,"si","no")</f>
        <v>no</v>
      </c>
    </row>
    <row r="4769" spans="1:12">
      <c r="A4769">
        <v>104768</v>
      </c>
      <c r="B4769">
        <v>30</v>
      </c>
      <c r="C4769" s="2">
        <v>88200</v>
      </c>
      <c r="D4769" t="s">
        <v>21</v>
      </c>
      <c r="E4769" s="2">
        <v>0</v>
      </c>
      <c r="F4769" s="2">
        <v>0</v>
      </c>
      <c r="G4769" t="s">
        <v>26</v>
      </c>
      <c r="H4769" t="s">
        <v>17</v>
      </c>
      <c r="I4769" t="s">
        <v>18</v>
      </c>
      <c r="J4769" s="3">
        <v>45700</v>
      </c>
      <c r="K4769" s="4">
        <f>ClientiBanca[[#This Row],[Prestito]]+ClientiBanca[[#This Row],[Mutuo]]</f>
        <v>0</v>
      </c>
      <c r="L4769" t="str">
        <f>IF(ClientiBanca[[#This Row],[Reddito annuo]]&gt;=70000,"si","no")</f>
        <v>si</v>
      </c>
    </row>
    <row r="4770" spans="1:12">
      <c r="A4770">
        <v>104769</v>
      </c>
      <c r="B4770">
        <v>53</v>
      </c>
      <c r="C4770" s="2">
        <v>54800</v>
      </c>
      <c r="D4770" t="s">
        <v>21</v>
      </c>
      <c r="E4770" s="2">
        <v>68500</v>
      </c>
      <c r="F4770" s="2">
        <v>0</v>
      </c>
      <c r="G4770" t="s">
        <v>23</v>
      </c>
      <c r="H4770" t="s">
        <v>20</v>
      </c>
      <c r="I4770" t="s">
        <v>18</v>
      </c>
      <c r="J4770" s="3">
        <v>45615</v>
      </c>
      <c r="K4770" s="4">
        <f>ClientiBanca[[#This Row],[Prestito]]+ClientiBanca[[#This Row],[Mutuo]]</f>
        <v>68500</v>
      </c>
      <c r="L4770" t="str">
        <f>IF(ClientiBanca[[#This Row],[Reddito annuo]]&gt;=70000,"si","no")</f>
        <v>no</v>
      </c>
    </row>
    <row r="4771" spans="1:12">
      <c r="A4771">
        <v>104770</v>
      </c>
      <c r="B4771">
        <v>28</v>
      </c>
      <c r="C4771" s="2">
        <v>86300</v>
      </c>
      <c r="D4771" t="s">
        <v>21</v>
      </c>
      <c r="E4771" s="2">
        <v>72700</v>
      </c>
      <c r="F4771" s="2">
        <v>0</v>
      </c>
      <c r="G4771" t="s">
        <v>28</v>
      </c>
      <c r="H4771" t="s">
        <v>20</v>
      </c>
      <c r="I4771" t="s">
        <v>18</v>
      </c>
      <c r="J4771" s="3">
        <v>46003</v>
      </c>
      <c r="K4771" s="4">
        <f>ClientiBanca[[#This Row],[Prestito]]+ClientiBanca[[#This Row],[Mutuo]]</f>
        <v>72700</v>
      </c>
      <c r="L4771" t="str">
        <f>IF(ClientiBanca[[#This Row],[Reddito annuo]]&gt;=70000,"si","no")</f>
        <v>si</v>
      </c>
    </row>
    <row r="4772" spans="1:12">
      <c r="A4772">
        <v>104771</v>
      </c>
      <c r="B4772">
        <v>71</v>
      </c>
      <c r="C4772" s="2">
        <v>37800</v>
      </c>
      <c r="D4772" t="s">
        <v>21</v>
      </c>
      <c r="E4772" s="2">
        <v>47200</v>
      </c>
      <c r="F4772" s="2">
        <v>0</v>
      </c>
      <c r="G4772" t="s">
        <v>24</v>
      </c>
      <c r="H4772" t="s">
        <v>17</v>
      </c>
      <c r="I4772" t="s">
        <v>18</v>
      </c>
      <c r="J4772" s="3">
        <v>46037</v>
      </c>
      <c r="K4772" s="4">
        <f>ClientiBanca[[#This Row],[Prestito]]+ClientiBanca[[#This Row],[Mutuo]]</f>
        <v>47200</v>
      </c>
      <c r="L4772" t="str">
        <f>IF(ClientiBanca[[#This Row],[Reddito annuo]]&gt;=70000,"si","no")</f>
        <v>no</v>
      </c>
    </row>
    <row r="4773" spans="1:12">
      <c r="A4773">
        <v>104772</v>
      </c>
      <c r="B4773">
        <v>73</v>
      </c>
      <c r="C4773" s="2">
        <v>64900</v>
      </c>
      <c r="D4773" t="s">
        <v>22</v>
      </c>
      <c r="E4773" s="2">
        <v>0</v>
      </c>
      <c r="F4773" s="2">
        <v>0</v>
      </c>
      <c r="G4773" t="s">
        <v>19</v>
      </c>
      <c r="H4773" t="s">
        <v>17</v>
      </c>
      <c r="I4773" t="s">
        <v>18</v>
      </c>
      <c r="J4773" s="3">
        <v>46153</v>
      </c>
      <c r="K4773" s="4">
        <f>ClientiBanca[[#This Row],[Prestito]]+ClientiBanca[[#This Row],[Mutuo]]</f>
        <v>0</v>
      </c>
      <c r="L4773" t="str">
        <f>IF(ClientiBanca[[#This Row],[Reddito annuo]]&gt;=70000,"si","no")</f>
        <v>no</v>
      </c>
    </row>
    <row r="4774" spans="1:12">
      <c r="A4774">
        <v>104773</v>
      </c>
      <c r="B4774">
        <v>59</v>
      </c>
      <c r="C4774" s="2">
        <v>47600</v>
      </c>
      <c r="D4774" t="s">
        <v>21</v>
      </c>
      <c r="E4774" s="2">
        <v>21900</v>
      </c>
      <c r="F4774" s="2">
        <v>0</v>
      </c>
      <c r="G4774" t="s">
        <v>28</v>
      </c>
      <c r="H4774" t="s">
        <v>17</v>
      </c>
      <c r="I4774" t="s">
        <v>18</v>
      </c>
      <c r="J4774" s="3">
        <v>45716</v>
      </c>
      <c r="K4774" s="4">
        <f>ClientiBanca[[#This Row],[Prestito]]+ClientiBanca[[#This Row],[Mutuo]]</f>
        <v>21900</v>
      </c>
      <c r="L4774" t="str">
        <f>IF(ClientiBanca[[#This Row],[Reddito annuo]]&gt;=70000,"si","no")</f>
        <v>no</v>
      </c>
    </row>
    <row r="4775" spans="1:12">
      <c r="A4775">
        <v>104774</v>
      </c>
      <c r="B4775">
        <v>75</v>
      </c>
      <c r="C4775" s="2">
        <v>88600</v>
      </c>
      <c r="D4775" t="s">
        <v>12</v>
      </c>
      <c r="E4775" s="2">
        <v>38100</v>
      </c>
      <c r="F4775" s="2">
        <v>0</v>
      </c>
      <c r="G4775" t="s">
        <v>19</v>
      </c>
      <c r="H4775" t="s">
        <v>20</v>
      </c>
      <c r="I4775" t="s">
        <v>18</v>
      </c>
      <c r="J4775" s="3">
        <v>45358</v>
      </c>
      <c r="K4775" s="4">
        <f>ClientiBanca[[#This Row],[Prestito]]+ClientiBanca[[#This Row],[Mutuo]]</f>
        <v>38100</v>
      </c>
      <c r="L4775" t="str">
        <f>IF(ClientiBanca[[#This Row],[Reddito annuo]]&gt;=70000,"si","no")</f>
        <v>si</v>
      </c>
    </row>
    <row r="4776" spans="1:12">
      <c r="A4776">
        <v>104775</v>
      </c>
      <c r="B4776">
        <v>20</v>
      </c>
      <c r="C4776" s="2">
        <v>42000</v>
      </c>
      <c r="D4776" t="s">
        <v>12</v>
      </c>
      <c r="E4776" s="2">
        <v>42900</v>
      </c>
      <c r="F4776" s="2">
        <v>0</v>
      </c>
      <c r="G4776" t="s">
        <v>28</v>
      </c>
      <c r="H4776" t="s">
        <v>25</v>
      </c>
      <c r="I4776" t="s">
        <v>18</v>
      </c>
      <c r="J4776" s="3">
        <v>45945</v>
      </c>
      <c r="K4776" s="4">
        <f>ClientiBanca[[#This Row],[Prestito]]+ClientiBanca[[#This Row],[Mutuo]]</f>
        <v>42900</v>
      </c>
      <c r="L4776" t="str">
        <f>IF(ClientiBanca[[#This Row],[Reddito annuo]]&gt;=70000,"si","no")</f>
        <v>no</v>
      </c>
    </row>
    <row r="4777" spans="1:12">
      <c r="A4777">
        <v>104776</v>
      </c>
      <c r="B4777">
        <v>46</v>
      </c>
      <c r="C4777" s="2">
        <v>51100</v>
      </c>
      <c r="D4777" t="s">
        <v>21</v>
      </c>
      <c r="E4777" s="2">
        <v>63900</v>
      </c>
      <c r="F4777" s="2">
        <v>0</v>
      </c>
      <c r="G4777" t="s">
        <v>19</v>
      </c>
      <c r="H4777" t="s">
        <v>20</v>
      </c>
      <c r="I4777" t="s">
        <v>18</v>
      </c>
      <c r="J4777" s="3">
        <v>45422</v>
      </c>
      <c r="K4777" s="4">
        <f>ClientiBanca[[#This Row],[Prestito]]+ClientiBanca[[#This Row],[Mutuo]]</f>
        <v>63900</v>
      </c>
      <c r="L4777" t="str">
        <f>IF(ClientiBanca[[#This Row],[Reddito annuo]]&gt;=70000,"si","no")</f>
        <v>no</v>
      </c>
    </row>
    <row r="4778" spans="1:12">
      <c r="A4778">
        <v>104777</v>
      </c>
      <c r="B4778">
        <v>72</v>
      </c>
      <c r="C4778" s="2">
        <v>72000</v>
      </c>
      <c r="D4778" t="s">
        <v>21</v>
      </c>
      <c r="E4778" s="2">
        <v>0</v>
      </c>
      <c r="F4778" s="2">
        <v>0</v>
      </c>
      <c r="G4778" t="s">
        <v>16</v>
      </c>
      <c r="H4778" t="s">
        <v>17</v>
      </c>
      <c r="I4778" t="s">
        <v>18</v>
      </c>
      <c r="J4778" s="3">
        <v>45469</v>
      </c>
      <c r="K4778" s="4">
        <f>ClientiBanca[[#This Row],[Prestito]]+ClientiBanca[[#This Row],[Mutuo]]</f>
        <v>0</v>
      </c>
      <c r="L4778" t="str">
        <f>IF(ClientiBanca[[#This Row],[Reddito annuo]]&gt;=70000,"si","no")</f>
        <v>si</v>
      </c>
    </row>
    <row r="4779" spans="1:12">
      <c r="A4779">
        <v>104778</v>
      </c>
      <c r="B4779">
        <v>47</v>
      </c>
      <c r="C4779" s="2">
        <v>44600</v>
      </c>
      <c r="D4779" t="s">
        <v>12</v>
      </c>
      <c r="E4779" s="2">
        <v>39800</v>
      </c>
      <c r="F4779" s="2">
        <v>0</v>
      </c>
      <c r="G4779" t="s">
        <v>24</v>
      </c>
      <c r="H4779" t="s">
        <v>14</v>
      </c>
      <c r="I4779" t="s">
        <v>18</v>
      </c>
      <c r="J4779" s="3">
        <v>45908</v>
      </c>
      <c r="K4779" s="4">
        <f>ClientiBanca[[#This Row],[Prestito]]+ClientiBanca[[#This Row],[Mutuo]]</f>
        <v>39800</v>
      </c>
      <c r="L4779" t="str">
        <f>IF(ClientiBanca[[#This Row],[Reddito annuo]]&gt;=70000,"si","no")</f>
        <v>no</v>
      </c>
    </row>
    <row r="4780" spans="1:12">
      <c r="A4780">
        <v>104779</v>
      </c>
      <c r="B4780">
        <v>27</v>
      </c>
      <c r="C4780" s="2">
        <v>97500</v>
      </c>
      <c r="D4780" t="s">
        <v>12</v>
      </c>
      <c r="E4780" s="2">
        <v>0</v>
      </c>
      <c r="F4780" s="2">
        <v>0</v>
      </c>
      <c r="G4780" t="s">
        <v>19</v>
      </c>
      <c r="H4780" t="s">
        <v>14</v>
      </c>
      <c r="I4780" t="s">
        <v>18</v>
      </c>
      <c r="J4780" s="3">
        <v>45947</v>
      </c>
      <c r="K4780" s="4">
        <f>ClientiBanca[[#This Row],[Prestito]]+ClientiBanca[[#This Row],[Mutuo]]</f>
        <v>0</v>
      </c>
      <c r="L4780" t="str">
        <f>IF(ClientiBanca[[#This Row],[Reddito annuo]]&gt;=70000,"si","no")</f>
        <v>si</v>
      </c>
    </row>
    <row r="4781" spans="1:12">
      <c r="A4781">
        <v>104780</v>
      </c>
      <c r="B4781">
        <v>36</v>
      </c>
      <c r="C4781" s="2">
        <v>88500</v>
      </c>
      <c r="D4781" t="s">
        <v>21</v>
      </c>
      <c r="E4781" s="2">
        <v>56100</v>
      </c>
      <c r="F4781" s="2">
        <v>384000</v>
      </c>
      <c r="G4781" t="s">
        <v>16</v>
      </c>
      <c r="H4781" t="s">
        <v>17</v>
      </c>
      <c r="I4781" t="s">
        <v>18</v>
      </c>
      <c r="J4781" s="3">
        <v>45800</v>
      </c>
      <c r="K4781" s="4">
        <f>ClientiBanca[[#This Row],[Prestito]]+ClientiBanca[[#This Row],[Mutuo]]</f>
        <v>440100</v>
      </c>
      <c r="L4781" t="str">
        <f>IF(ClientiBanca[[#This Row],[Reddito annuo]]&gt;=70000,"si","no")</f>
        <v>si</v>
      </c>
    </row>
    <row r="4782" spans="1:12">
      <c r="A4782">
        <v>104781</v>
      </c>
      <c r="B4782">
        <v>64</v>
      </c>
      <c r="C4782" s="2">
        <v>119900</v>
      </c>
      <c r="D4782" t="s">
        <v>21</v>
      </c>
      <c r="E4782" s="2">
        <v>0</v>
      </c>
      <c r="F4782" s="2">
        <v>0</v>
      </c>
      <c r="G4782" t="s">
        <v>26</v>
      </c>
      <c r="H4782" t="s">
        <v>25</v>
      </c>
      <c r="I4782" t="s">
        <v>18</v>
      </c>
      <c r="J4782" s="3">
        <v>45757</v>
      </c>
      <c r="K4782" s="4">
        <f>ClientiBanca[[#This Row],[Prestito]]+ClientiBanca[[#This Row],[Mutuo]]</f>
        <v>0</v>
      </c>
      <c r="L4782" t="str">
        <f>IF(ClientiBanca[[#This Row],[Reddito annuo]]&gt;=70000,"si","no")</f>
        <v>si</v>
      </c>
    </row>
    <row r="4783" spans="1:12">
      <c r="A4783">
        <v>104782</v>
      </c>
      <c r="B4783">
        <v>70</v>
      </c>
      <c r="C4783" s="2">
        <v>48900</v>
      </c>
      <c r="D4783" t="s">
        <v>21</v>
      </c>
      <c r="E4783" s="2">
        <v>0</v>
      </c>
      <c r="F4783" s="2">
        <v>0</v>
      </c>
      <c r="G4783" t="s">
        <v>27</v>
      </c>
      <c r="H4783" t="s">
        <v>17</v>
      </c>
      <c r="I4783" t="s">
        <v>18</v>
      </c>
      <c r="J4783" s="3">
        <v>45571</v>
      </c>
      <c r="K4783" s="4">
        <f>ClientiBanca[[#This Row],[Prestito]]+ClientiBanca[[#This Row],[Mutuo]]</f>
        <v>0</v>
      </c>
      <c r="L4783" t="str">
        <f>IF(ClientiBanca[[#This Row],[Reddito annuo]]&gt;=70000,"si","no")</f>
        <v>no</v>
      </c>
    </row>
    <row r="4784" spans="1:12">
      <c r="A4784">
        <v>104783</v>
      </c>
      <c r="B4784">
        <v>59</v>
      </c>
      <c r="C4784" s="2">
        <v>33400</v>
      </c>
      <c r="D4784" t="s">
        <v>22</v>
      </c>
      <c r="E4784" s="2">
        <v>27000</v>
      </c>
      <c r="F4784" s="2">
        <v>0</v>
      </c>
      <c r="G4784" t="s">
        <v>24</v>
      </c>
      <c r="H4784" t="s">
        <v>14</v>
      </c>
      <c r="I4784" t="s">
        <v>15</v>
      </c>
      <c r="J4784" s="3">
        <v>45646</v>
      </c>
      <c r="K4784" s="4">
        <f>ClientiBanca[[#This Row],[Prestito]]+ClientiBanca[[#This Row],[Mutuo]]</f>
        <v>27000</v>
      </c>
      <c r="L4784" t="str">
        <f>IF(ClientiBanca[[#This Row],[Reddito annuo]]&gt;=70000,"si","no")</f>
        <v>no</v>
      </c>
    </row>
    <row r="4785" spans="1:12">
      <c r="A4785">
        <v>104784</v>
      </c>
      <c r="B4785">
        <v>62</v>
      </c>
      <c r="C4785" s="2">
        <v>104500</v>
      </c>
      <c r="D4785" t="s">
        <v>12</v>
      </c>
      <c r="E4785" s="2">
        <v>25900</v>
      </c>
      <c r="F4785" s="2">
        <v>188000</v>
      </c>
      <c r="G4785" t="s">
        <v>27</v>
      </c>
      <c r="H4785" t="s">
        <v>17</v>
      </c>
      <c r="I4785" t="s">
        <v>18</v>
      </c>
      <c r="J4785" s="3">
        <v>45403</v>
      </c>
      <c r="K4785" s="4">
        <f>ClientiBanca[[#This Row],[Prestito]]+ClientiBanca[[#This Row],[Mutuo]]</f>
        <v>213900</v>
      </c>
      <c r="L4785" t="str">
        <f>IF(ClientiBanca[[#This Row],[Reddito annuo]]&gt;=70000,"si","no")</f>
        <v>si</v>
      </c>
    </row>
    <row r="4786" spans="1:12">
      <c r="A4786">
        <v>104785</v>
      </c>
      <c r="B4786">
        <v>26</v>
      </c>
      <c r="C4786" s="2">
        <v>69100</v>
      </c>
      <c r="D4786" t="s">
        <v>12</v>
      </c>
      <c r="E4786" s="2">
        <v>39100</v>
      </c>
      <c r="F4786" s="2">
        <v>195000</v>
      </c>
      <c r="G4786" t="s">
        <v>19</v>
      </c>
      <c r="H4786" t="s">
        <v>20</v>
      </c>
      <c r="I4786" t="s">
        <v>15</v>
      </c>
      <c r="J4786" s="3">
        <v>45413</v>
      </c>
      <c r="K4786" s="4">
        <f>ClientiBanca[[#This Row],[Prestito]]+ClientiBanca[[#This Row],[Mutuo]]</f>
        <v>234100</v>
      </c>
      <c r="L4786" t="str">
        <f>IF(ClientiBanca[[#This Row],[Reddito annuo]]&gt;=70000,"si","no")</f>
        <v>no</v>
      </c>
    </row>
    <row r="4787" spans="1:12">
      <c r="A4787">
        <v>104786</v>
      </c>
      <c r="B4787">
        <v>40</v>
      </c>
      <c r="C4787" s="2">
        <v>62300</v>
      </c>
      <c r="D4787" t="s">
        <v>21</v>
      </c>
      <c r="E4787" s="2">
        <v>51300</v>
      </c>
      <c r="F4787" s="2">
        <v>0</v>
      </c>
      <c r="G4787" t="s">
        <v>26</v>
      </c>
      <c r="H4787" t="s">
        <v>14</v>
      </c>
      <c r="I4787" t="s">
        <v>18</v>
      </c>
      <c r="J4787" s="3">
        <v>45852</v>
      </c>
      <c r="K4787" s="4">
        <f>ClientiBanca[[#This Row],[Prestito]]+ClientiBanca[[#This Row],[Mutuo]]</f>
        <v>51300</v>
      </c>
      <c r="L4787" t="str">
        <f>IF(ClientiBanca[[#This Row],[Reddito annuo]]&gt;=70000,"si","no")</f>
        <v>no</v>
      </c>
    </row>
    <row r="4788" spans="1:12">
      <c r="A4788">
        <v>104787</v>
      </c>
      <c r="B4788">
        <v>21</v>
      </c>
      <c r="C4788" s="2">
        <v>74500</v>
      </c>
      <c r="D4788" t="s">
        <v>21</v>
      </c>
      <c r="E4788" s="2">
        <v>38700</v>
      </c>
      <c r="F4788" s="2">
        <v>331000</v>
      </c>
      <c r="G4788" t="s">
        <v>23</v>
      </c>
      <c r="H4788" t="s">
        <v>20</v>
      </c>
      <c r="I4788" t="s">
        <v>18</v>
      </c>
      <c r="J4788" s="3">
        <v>46239</v>
      </c>
      <c r="K4788" s="4">
        <f>ClientiBanca[[#This Row],[Prestito]]+ClientiBanca[[#This Row],[Mutuo]]</f>
        <v>369700</v>
      </c>
      <c r="L4788" t="str">
        <f>IF(ClientiBanca[[#This Row],[Reddito annuo]]&gt;=70000,"si","no")</f>
        <v>si</v>
      </c>
    </row>
    <row r="4789" spans="1:12">
      <c r="A4789">
        <v>104788</v>
      </c>
      <c r="B4789">
        <v>23</v>
      </c>
      <c r="C4789" s="2">
        <v>109100</v>
      </c>
      <c r="D4789" t="s">
        <v>12</v>
      </c>
      <c r="E4789" s="2">
        <v>62500</v>
      </c>
      <c r="F4789" s="2">
        <v>0</v>
      </c>
      <c r="G4789" t="s">
        <v>23</v>
      </c>
      <c r="H4789" t="s">
        <v>17</v>
      </c>
      <c r="I4789" t="s">
        <v>18</v>
      </c>
      <c r="J4789" s="3">
        <v>45537</v>
      </c>
      <c r="K4789" s="4">
        <f>ClientiBanca[[#This Row],[Prestito]]+ClientiBanca[[#This Row],[Mutuo]]</f>
        <v>62500</v>
      </c>
      <c r="L4789" t="str">
        <f>IF(ClientiBanca[[#This Row],[Reddito annuo]]&gt;=70000,"si","no")</f>
        <v>si</v>
      </c>
    </row>
    <row r="4790" spans="1:12">
      <c r="A4790">
        <v>104789</v>
      </c>
      <c r="B4790">
        <v>68</v>
      </c>
      <c r="C4790" s="2">
        <v>45300</v>
      </c>
      <c r="D4790" t="s">
        <v>12</v>
      </c>
      <c r="E4790" s="2">
        <v>56600</v>
      </c>
      <c r="F4790" s="2">
        <v>0</v>
      </c>
      <c r="G4790" t="s">
        <v>24</v>
      </c>
      <c r="H4790" t="s">
        <v>14</v>
      </c>
      <c r="I4790" t="s">
        <v>18</v>
      </c>
      <c r="J4790" s="3">
        <v>46207</v>
      </c>
      <c r="K4790" s="4">
        <f>ClientiBanca[[#This Row],[Prestito]]+ClientiBanca[[#This Row],[Mutuo]]</f>
        <v>56600</v>
      </c>
      <c r="L4790" t="str">
        <f>IF(ClientiBanca[[#This Row],[Reddito annuo]]&gt;=70000,"si","no")</f>
        <v>no</v>
      </c>
    </row>
    <row r="4791" spans="1:12">
      <c r="A4791">
        <v>104790</v>
      </c>
      <c r="B4791">
        <v>41</v>
      </c>
      <c r="C4791" s="2">
        <v>74000</v>
      </c>
      <c r="D4791" t="s">
        <v>12</v>
      </c>
      <c r="E4791" s="2">
        <v>25600</v>
      </c>
      <c r="F4791" s="2">
        <v>0</v>
      </c>
      <c r="G4791" t="s">
        <v>16</v>
      </c>
      <c r="H4791" t="s">
        <v>14</v>
      </c>
      <c r="I4791" t="s">
        <v>18</v>
      </c>
      <c r="J4791" s="3">
        <v>45600</v>
      </c>
      <c r="K4791" s="4">
        <f>ClientiBanca[[#This Row],[Prestito]]+ClientiBanca[[#This Row],[Mutuo]]</f>
        <v>25600</v>
      </c>
      <c r="L4791" t="str">
        <f>IF(ClientiBanca[[#This Row],[Reddito annuo]]&gt;=70000,"si","no")</f>
        <v>si</v>
      </c>
    </row>
    <row r="4792" spans="1:12">
      <c r="A4792">
        <v>104791</v>
      </c>
      <c r="B4792">
        <v>58</v>
      </c>
      <c r="C4792" s="2">
        <v>59600</v>
      </c>
      <c r="D4792" t="s">
        <v>21</v>
      </c>
      <c r="E4792" s="2">
        <v>68100</v>
      </c>
      <c r="F4792" s="2">
        <v>0</v>
      </c>
      <c r="G4792" t="s">
        <v>23</v>
      </c>
      <c r="H4792" t="s">
        <v>14</v>
      </c>
      <c r="I4792" t="s">
        <v>18</v>
      </c>
      <c r="J4792" s="3">
        <v>45900</v>
      </c>
      <c r="K4792" s="4">
        <f>ClientiBanca[[#This Row],[Prestito]]+ClientiBanca[[#This Row],[Mutuo]]</f>
        <v>68100</v>
      </c>
      <c r="L4792" t="str">
        <f>IF(ClientiBanca[[#This Row],[Reddito annuo]]&gt;=70000,"si","no")</f>
        <v>no</v>
      </c>
    </row>
    <row r="4793" spans="1:12">
      <c r="A4793">
        <v>104792</v>
      </c>
      <c r="B4793">
        <v>35</v>
      </c>
      <c r="C4793" s="2">
        <v>67400</v>
      </c>
      <c r="D4793" t="s">
        <v>12</v>
      </c>
      <c r="E4793" s="2">
        <v>8400</v>
      </c>
      <c r="F4793" s="2">
        <v>0</v>
      </c>
      <c r="G4793" t="s">
        <v>13</v>
      </c>
      <c r="H4793" t="s">
        <v>25</v>
      </c>
      <c r="I4793" t="s">
        <v>18</v>
      </c>
      <c r="J4793" s="3">
        <v>45653</v>
      </c>
      <c r="K4793" s="4">
        <f>ClientiBanca[[#This Row],[Prestito]]+ClientiBanca[[#This Row],[Mutuo]]</f>
        <v>8400</v>
      </c>
      <c r="L4793" t="str">
        <f>IF(ClientiBanca[[#This Row],[Reddito annuo]]&gt;=70000,"si","no")</f>
        <v>no</v>
      </c>
    </row>
    <row r="4794" spans="1:12">
      <c r="A4794">
        <v>104793</v>
      </c>
      <c r="B4794">
        <v>68</v>
      </c>
      <c r="C4794" s="2">
        <v>56000</v>
      </c>
      <c r="D4794" t="s">
        <v>21</v>
      </c>
      <c r="E4794" s="2">
        <v>0</v>
      </c>
      <c r="F4794" s="2">
        <v>0</v>
      </c>
      <c r="G4794" t="s">
        <v>27</v>
      </c>
      <c r="H4794" t="s">
        <v>17</v>
      </c>
      <c r="I4794" t="s">
        <v>18</v>
      </c>
      <c r="J4794" s="3">
        <v>45871</v>
      </c>
      <c r="K4794" s="4">
        <f>ClientiBanca[[#This Row],[Prestito]]+ClientiBanca[[#This Row],[Mutuo]]</f>
        <v>0</v>
      </c>
      <c r="L4794" t="str">
        <f>IF(ClientiBanca[[#This Row],[Reddito annuo]]&gt;=70000,"si","no")</f>
        <v>no</v>
      </c>
    </row>
    <row r="4795" spans="1:12">
      <c r="A4795">
        <v>104794</v>
      </c>
      <c r="B4795">
        <v>41</v>
      </c>
      <c r="C4795" s="2">
        <v>58600</v>
      </c>
      <c r="D4795" t="s">
        <v>12</v>
      </c>
      <c r="E4795" s="2">
        <v>0</v>
      </c>
      <c r="F4795" s="2">
        <v>197000</v>
      </c>
      <c r="G4795" t="s">
        <v>23</v>
      </c>
      <c r="H4795" t="s">
        <v>20</v>
      </c>
      <c r="I4795" t="s">
        <v>18</v>
      </c>
      <c r="J4795" s="3">
        <v>46166</v>
      </c>
      <c r="K4795" s="4">
        <f>ClientiBanca[[#This Row],[Prestito]]+ClientiBanca[[#This Row],[Mutuo]]</f>
        <v>197000</v>
      </c>
      <c r="L4795" t="str">
        <f>IF(ClientiBanca[[#This Row],[Reddito annuo]]&gt;=70000,"si","no")</f>
        <v>no</v>
      </c>
    </row>
    <row r="4796" spans="1:12">
      <c r="A4796">
        <v>104795</v>
      </c>
      <c r="B4796">
        <v>24</v>
      </c>
      <c r="C4796" s="2">
        <v>64200</v>
      </c>
      <c r="D4796" t="s">
        <v>12</v>
      </c>
      <c r="E4796" s="2">
        <v>0</v>
      </c>
      <c r="F4796" s="2">
        <v>0</v>
      </c>
      <c r="G4796" t="s">
        <v>26</v>
      </c>
      <c r="H4796" t="s">
        <v>17</v>
      </c>
      <c r="I4796" t="s">
        <v>18</v>
      </c>
      <c r="J4796" s="3">
        <v>46104</v>
      </c>
      <c r="K4796" s="4">
        <f>ClientiBanca[[#This Row],[Prestito]]+ClientiBanca[[#This Row],[Mutuo]]</f>
        <v>0</v>
      </c>
      <c r="L4796" t="str">
        <f>IF(ClientiBanca[[#This Row],[Reddito annuo]]&gt;=70000,"si","no")</f>
        <v>no</v>
      </c>
    </row>
    <row r="4797" spans="1:12">
      <c r="A4797">
        <v>104796</v>
      </c>
      <c r="B4797">
        <v>60</v>
      </c>
      <c r="C4797" s="2">
        <v>74900</v>
      </c>
      <c r="D4797" t="s">
        <v>21</v>
      </c>
      <c r="E4797" s="2">
        <v>23000</v>
      </c>
      <c r="F4797" s="2">
        <v>0</v>
      </c>
      <c r="G4797" t="s">
        <v>24</v>
      </c>
      <c r="H4797" t="s">
        <v>17</v>
      </c>
      <c r="I4797" t="s">
        <v>18</v>
      </c>
      <c r="J4797" s="3">
        <v>45678</v>
      </c>
      <c r="K4797" s="4">
        <f>ClientiBanca[[#This Row],[Prestito]]+ClientiBanca[[#This Row],[Mutuo]]</f>
        <v>23000</v>
      </c>
      <c r="L4797" t="str">
        <f>IF(ClientiBanca[[#This Row],[Reddito annuo]]&gt;=70000,"si","no")</f>
        <v>si</v>
      </c>
    </row>
    <row r="4798" spans="1:12">
      <c r="A4798">
        <v>104797</v>
      </c>
      <c r="B4798">
        <v>60</v>
      </c>
      <c r="C4798" s="2">
        <v>57600</v>
      </c>
      <c r="D4798" t="s">
        <v>22</v>
      </c>
      <c r="E4798" s="2">
        <v>0</v>
      </c>
      <c r="F4798" s="2">
        <v>0</v>
      </c>
      <c r="G4798" t="s">
        <v>28</v>
      </c>
      <c r="H4798" t="s">
        <v>17</v>
      </c>
      <c r="I4798" t="s">
        <v>18</v>
      </c>
      <c r="J4798" s="3">
        <v>45754</v>
      </c>
      <c r="K4798" s="4">
        <f>ClientiBanca[[#This Row],[Prestito]]+ClientiBanca[[#This Row],[Mutuo]]</f>
        <v>0</v>
      </c>
      <c r="L4798" t="str">
        <f>IF(ClientiBanca[[#This Row],[Reddito annuo]]&gt;=70000,"si","no")</f>
        <v>no</v>
      </c>
    </row>
    <row r="4799" spans="1:12">
      <c r="A4799">
        <v>104798</v>
      </c>
      <c r="B4799">
        <v>72</v>
      </c>
      <c r="C4799" s="2">
        <v>48600</v>
      </c>
      <c r="D4799" t="s">
        <v>12</v>
      </c>
      <c r="E4799" s="2">
        <v>8700</v>
      </c>
      <c r="F4799" s="2">
        <v>205000</v>
      </c>
      <c r="G4799" t="s">
        <v>24</v>
      </c>
      <c r="H4799" t="s">
        <v>20</v>
      </c>
      <c r="I4799" t="s">
        <v>18</v>
      </c>
      <c r="J4799" s="3">
        <v>46207</v>
      </c>
      <c r="K4799" s="4">
        <f>ClientiBanca[[#This Row],[Prestito]]+ClientiBanca[[#This Row],[Mutuo]]</f>
        <v>213700</v>
      </c>
      <c r="L4799" t="str">
        <f>IF(ClientiBanca[[#This Row],[Reddito annuo]]&gt;=70000,"si","no")</f>
        <v>no</v>
      </c>
    </row>
    <row r="4800" spans="1:12">
      <c r="A4800">
        <v>104799</v>
      </c>
      <c r="B4800">
        <v>57</v>
      </c>
      <c r="C4800" s="2">
        <v>100400</v>
      </c>
      <c r="D4800" t="s">
        <v>22</v>
      </c>
      <c r="E4800" s="2">
        <v>0</v>
      </c>
      <c r="F4800" s="2">
        <v>89000</v>
      </c>
      <c r="G4800" t="s">
        <v>16</v>
      </c>
      <c r="H4800" t="s">
        <v>14</v>
      </c>
      <c r="I4800" t="s">
        <v>18</v>
      </c>
      <c r="J4800" s="3">
        <v>46233</v>
      </c>
      <c r="K4800" s="4">
        <f>ClientiBanca[[#This Row],[Prestito]]+ClientiBanca[[#This Row],[Mutuo]]</f>
        <v>89000</v>
      </c>
      <c r="L4800" t="str">
        <f>IF(ClientiBanca[[#This Row],[Reddito annuo]]&gt;=70000,"si","no")</f>
        <v>si</v>
      </c>
    </row>
    <row r="4801" spans="1:12">
      <c r="A4801">
        <v>104800</v>
      </c>
      <c r="B4801">
        <v>54</v>
      </c>
      <c r="C4801" s="2">
        <v>44100</v>
      </c>
      <c r="D4801" t="s">
        <v>22</v>
      </c>
      <c r="E4801" s="2">
        <v>17400</v>
      </c>
      <c r="F4801" s="2">
        <v>237000</v>
      </c>
      <c r="G4801" t="s">
        <v>26</v>
      </c>
      <c r="H4801" t="s">
        <v>14</v>
      </c>
      <c r="I4801" t="s">
        <v>18</v>
      </c>
      <c r="J4801" s="3">
        <v>45305</v>
      </c>
      <c r="K4801" s="4">
        <f>ClientiBanca[[#This Row],[Prestito]]+ClientiBanca[[#This Row],[Mutuo]]</f>
        <v>254400</v>
      </c>
      <c r="L4801" t="str">
        <f>IF(ClientiBanca[[#This Row],[Reddito annuo]]&gt;=70000,"si","no")</f>
        <v>no</v>
      </c>
    </row>
    <row r="4802" spans="1:12">
      <c r="A4802">
        <v>104801</v>
      </c>
      <c r="B4802">
        <v>63</v>
      </c>
      <c r="C4802" s="2">
        <v>58200</v>
      </c>
      <c r="D4802" t="s">
        <v>12</v>
      </c>
      <c r="E4802" s="2">
        <v>12700</v>
      </c>
      <c r="F4802" s="2">
        <v>0</v>
      </c>
      <c r="G4802" t="s">
        <v>27</v>
      </c>
      <c r="H4802" t="s">
        <v>20</v>
      </c>
      <c r="I4802" t="s">
        <v>18</v>
      </c>
      <c r="J4802" s="3">
        <v>46067</v>
      </c>
      <c r="K4802" s="4">
        <f>ClientiBanca[[#This Row],[Prestito]]+ClientiBanca[[#This Row],[Mutuo]]</f>
        <v>12700</v>
      </c>
      <c r="L4802" t="str">
        <f>IF(ClientiBanca[[#This Row],[Reddito annuo]]&gt;=70000,"si","no")</f>
        <v>no</v>
      </c>
    </row>
    <row r="4803" spans="1:12">
      <c r="A4803">
        <v>104802</v>
      </c>
      <c r="B4803">
        <v>32</v>
      </c>
      <c r="C4803" s="2">
        <v>81100</v>
      </c>
      <c r="D4803" t="s">
        <v>21</v>
      </c>
      <c r="E4803" s="2">
        <v>45100</v>
      </c>
      <c r="F4803" s="2">
        <v>0</v>
      </c>
      <c r="G4803" t="s">
        <v>16</v>
      </c>
      <c r="H4803" t="s">
        <v>17</v>
      </c>
      <c r="I4803" t="s">
        <v>18</v>
      </c>
      <c r="J4803" s="3">
        <v>46242</v>
      </c>
      <c r="K4803" s="4">
        <f>ClientiBanca[[#This Row],[Prestito]]+ClientiBanca[[#This Row],[Mutuo]]</f>
        <v>45100</v>
      </c>
      <c r="L4803" t="str">
        <f>IF(ClientiBanca[[#This Row],[Reddito annuo]]&gt;=70000,"si","no")</f>
        <v>si</v>
      </c>
    </row>
    <row r="4804" spans="1:12">
      <c r="A4804">
        <v>104803</v>
      </c>
      <c r="B4804">
        <v>28</v>
      </c>
      <c r="C4804" s="2">
        <v>97600</v>
      </c>
      <c r="D4804" t="s">
        <v>21</v>
      </c>
      <c r="E4804" s="2">
        <v>79300</v>
      </c>
      <c r="F4804" s="2">
        <v>0</v>
      </c>
      <c r="G4804" t="s">
        <v>16</v>
      </c>
      <c r="H4804" t="s">
        <v>20</v>
      </c>
      <c r="I4804" t="s">
        <v>18</v>
      </c>
      <c r="J4804" s="3">
        <v>45321</v>
      </c>
      <c r="K4804" s="4">
        <f>ClientiBanca[[#This Row],[Prestito]]+ClientiBanca[[#This Row],[Mutuo]]</f>
        <v>79300</v>
      </c>
      <c r="L4804" t="str">
        <f>IF(ClientiBanca[[#This Row],[Reddito annuo]]&gt;=70000,"si","no")</f>
        <v>si</v>
      </c>
    </row>
    <row r="4805" spans="1:12">
      <c r="A4805">
        <v>104804</v>
      </c>
      <c r="B4805">
        <v>51</v>
      </c>
      <c r="C4805" s="2">
        <v>75100</v>
      </c>
      <c r="D4805" t="s">
        <v>21</v>
      </c>
      <c r="E4805" s="2">
        <v>25400</v>
      </c>
      <c r="F4805" s="2">
        <v>0</v>
      </c>
      <c r="G4805" t="s">
        <v>27</v>
      </c>
      <c r="H4805" t="s">
        <v>17</v>
      </c>
      <c r="I4805" t="s">
        <v>18</v>
      </c>
      <c r="J4805" s="3">
        <v>45993</v>
      </c>
      <c r="K4805" s="4">
        <f>ClientiBanca[[#This Row],[Prestito]]+ClientiBanca[[#This Row],[Mutuo]]</f>
        <v>25400</v>
      </c>
      <c r="L4805" t="str">
        <f>IF(ClientiBanca[[#This Row],[Reddito annuo]]&gt;=70000,"si","no")</f>
        <v>si</v>
      </c>
    </row>
    <row r="4806" spans="1:12">
      <c r="A4806">
        <v>104805</v>
      </c>
      <c r="B4806">
        <v>68</v>
      </c>
      <c r="C4806" s="2">
        <v>80500</v>
      </c>
      <c r="D4806" t="s">
        <v>21</v>
      </c>
      <c r="E4806" s="2">
        <v>49100</v>
      </c>
      <c r="F4806" s="2">
        <v>310000</v>
      </c>
      <c r="G4806" t="s">
        <v>23</v>
      </c>
      <c r="H4806" t="s">
        <v>20</v>
      </c>
      <c r="I4806" t="s">
        <v>18</v>
      </c>
      <c r="J4806" s="3">
        <v>45874</v>
      </c>
      <c r="K4806" s="4">
        <f>ClientiBanca[[#This Row],[Prestito]]+ClientiBanca[[#This Row],[Mutuo]]</f>
        <v>359100</v>
      </c>
      <c r="L4806" t="str">
        <f>IF(ClientiBanca[[#This Row],[Reddito annuo]]&gt;=70000,"si","no")</f>
        <v>si</v>
      </c>
    </row>
    <row r="4807" spans="1:12">
      <c r="A4807">
        <v>104806</v>
      </c>
      <c r="B4807">
        <v>22</v>
      </c>
      <c r="C4807" s="2">
        <v>30600</v>
      </c>
      <c r="D4807" t="s">
        <v>22</v>
      </c>
      <c r="E4807" s="2">
        <v>38200</v>
      </c>
      <c r="F4807" s="2">
        <v>0</v>
      </c>
      <c r="G4807" t="s">
        <v>16</v>
      </c>
      <c r="H4807" t="s">
        <v>14</v>
      </c>
      <c r="I4807" t="s">
        <v>18</v>
      </c>
      <c r="J4807" s="3">
        <v>46264</v>
      </c>
      <c r="K4807" s="4">
        <f>ClientiBanca[[#This Row],[Prestito]]+ClientiBanca[[#This Row],[Mutuo]]</f>
        <v>38200</v>
      </c>
      <c r="L4807" t="str">
        <f>IF(ClientiBanca[[#This Row],[Reddito annuo]]&gt;=70000,"si","no")</f>
        <v>no</v>
      </c>
    </row>
    <row r="4808" spans="1:12">
      <c r="A4808">
        <v>104807</v>
      </c>
      <c r="B4808">
        <v>22</v>
      </c>
      <c r="C4808" s="2">
        <v>63400</v>
      </c>
      <c r="D4808" t="s">
        <v>21</v>
      </c>
      <c r="E4808" s="2">
        <v>37000</v>
      </c>
      <c r="F4808" s="2">
        <v>0</v>
      </c>
      <c r="G4808" t="s">
        <v>13</v>
      </c>
      <c r="H4808" t="s">
        <v>17</v>
      </c>
      <c r="I4808" t="s">
        <v>18</v>
      </c>
      <c r="J4808" s="3">
        <v>45425</v>
      </c>
      <c r="K4808" s="4">
        <f>ClientiBanca[[#This Row],[Prestito]]+ClientiBanca[[#This Row],[Mutuo]]</f>
        <v>37000</v>
      </c>
      <c r="L4808" t="str">
        <f>IF(ClientiBanca[[#This Row],[Reddito annuo]]&gt;=70000,"si","no")</f>
        <v>no</v>
      </c>
    </row>
    <row r="4809" spans="1:12">
      <c r="A4809">
        <v>104808</v>
      </c>
      <c r="B4809">
        <v>74</v>
      </c>
      <c r="C4809" s="2">
        <v>120700</v>
      </c>
      <c r="D4809" t="s">
        <v>21</v>
      </c>
      <c r="E4809" s="2">
        <v>0</v>
      </c>
      <c r="F4809" s="2">
        <v>0</v>
      </c>
      <c r="G4809" t="s">
        <v>28</v>
      </c>
      <c r="H4809" t="s">
        <v>20</v>
      </c>
      <c r="I4809" t="s">
        <v>18</v>
      </c>
      <c r="J4809" s="3">
        <v>45681</v>
      </c>
      <c r="K4809" s="4">
        <f>ClientiBanca[[#This Row],[Prestito]]+ClientiBanca[[#This Row],[Mutuo]]</f>
        <v>0</v>
      </c>
      <c r="L4809" t="str">
        <f>IF(ClientiBanca[[#This Row],[Reddito annuo]]&gt;=70000,"si","no")</f>
        <v>si</v>
      </c>
    </row>
    <row r="4810" spans="1:12">
      <c r="A4810">
        <v>104809</v>
      </c>
      <c r="B4810">
        <v>23</v>
      </c>
      <c r="C4810" s="2">
        <v>84600</v>
      </c>
      <c r="D4810" t="s">
        <v>21</v>
      </c>
      <c r="E4810" s="2">
        <v>42500</v>
      </c>
      <c r="F4810" s="2">
        <v>0</v>
      </c>
      <c r="G4810" t="s">
        <v>28</v>
      </c>
      <c r="H4810" t="s">
        <v>17</v>
      </c>
      <c r="I4810" t="s">
        <v>18</v>
      </c>
      <c r="J4810" s="3">
        <v>45460</v>
      </c>
      <c r="K4810" s="4">
        <f>ClientiBanca[[#This Row],[Prestito]]+ClientiBanca[[#This Row],[Mutuo]]</f>
        <v>42500</v>
      </c>
      <c r="L4810" t="str">
        <f>IF(ClientiBanca[[#This Row],[Reddito annuo]]&gt;=70000,"si","no")</f>
        <v>si</v>
      </c>
    </row>
    <row r="4811" spans="1:12">
      <c r="A4811">
        <v>104810</v>
      </c>
      <c r="B4811">
        <v>24</v>
      </c>
      <c r="C4811" s="2">
        <v>44300</v>
      </c>
      <c r="D4811" t="s">
        <v>12</v>
      </c>
      <c r="E4811" s="2">
        <v>31500</v>
      </c>
      <c r="F4811" s="2">
        <v>0</v>
      </c>
      <c r="G4811" t="s">
        <v>27</v>
      </c>
      <c r="H4811" t="s">
        <v>17</v>
      </c>
      <c r="I4811" t="s">
        <v>18</v>
      </c>
      <c r="J4811" s="3">
        <v>45927</v>
      </c>
      <c r="K4811" s="4">
        <f>ClientiBanca[[#This Row],[Prestito]]+ClientiBanca[[#This Row],[Mutuo]]</f>
        <v>31500</v>
      </c>
      <c r="L4811" t="str">
        <f>IF(ClientiBanca[[#This Row],[Reddito annuo]]&gt;=70000,"si","no")</f>
        <v>no</v>
      </c>
    </row>
    <row r="4812" spans="1:12">
      <c r="A4812">
        <v>104811</v>
      </c>
      <c r="B4812">
        <v>71</v>
      </c>
      <c r="C4812" s="2">
        <v>106500</v>
      </c>
      <c r="D4812" t="s">
        <v>12</v>
      </c>
      <c r="E4812" s="2">
        <v>14100</v>
      </c>
      <c r="F4812" s="2">
        <v>109000</v>
      </c>
      <c r="G4812" t="s">
        <v>19</v>
      </c>
      <c r="H4812" t="s">
        <v>17</v>
      </c>
      <c r="I4812" t="s">
        <v>18</v>
      </c>
      <c r="J4812" s="3">
        <v>45945</v>
      </c>
      <c r="K4812" s="4">
        <f>ClientiBanca[[#This Row],[Prestito]]+ClientiBanca[[#This Row],[Mutuo]]</f>
        <v>123100</v>
      </c>
      <c r="L4812" t="str">
        <f>IF(ClientiBanca[[#This Row],[Reddito annuo]]&gt;=70000,"si","no")</f>
        <v>si</v>
      </c>
    </row>
    <row r="4813" spans="1:12">
      <c r="A4813">
        <v>104812</v>
      </c>
      <c r="B4813">
        <v>75</v>
      </c>
      <c r="C4813" s="2">
        <v>73700</v>
      </c>
      <c r="D4813" t="s">
        <v>12</v>
      </c>
      <c r="E4813" s="2">
        <v>26800</v>
      </c>
      <c r="F4813" s="2">
        <v>0</v>
      </c>
      <c r="G4813" t="s">
        <v>28</v>
      </c>
      <c r="H4813" t="s">
        <v>17</v>
      </c>
      <c r="I4813" t="s">
        <v>18</v>
      </c>
      <c r="J4813" s="3">
        <v>46116</v>
      </c>
      <c r="K4813" s="4">
        <f>ClientiBanca[[#This Row],[Prestito]]+ClientiBanca[[#This Row],[Mutuo]]</f>
        <v>26800</v>
      </c>
      <c r="L4813" t="str">
        <f>IF(ClientiBanca[[#This Row],[Reddito annuo]]&gt;=70000,"si","no")</f>
        <v>si</v>
      </c>
    </row>
    <row r="4814" spans="1:12">
      <c r="A4814">
        <v>104813</v>
      </c>
      <c r="B4814">
        <v>66</v>
      </c>
      <c r="C4814" s="2">
        <v>42600</v>
      </c>
      <c r="D4814" t="s">
        <v>12</v>
      </c>
      <c r="E4814" s="2">
        <v>0</v>
      </c>
      <c r="F4814" s="2">
        <v>0</v>
      </c>
      <c r="G4814" t="s">
        <v>26</v>
      </c>
      <c r="H4814" t="s">
        <v>14</v>
      </c>
      <c r="I4814" t="s">
        <v>18</v>
      </c>
      <c r="J4814" s="3">
        <v>46246</v>
      </c>
      <c r="K4814" s="4">
        <f>ClientiBanca[[#This Row],[Prestito]]+ClientiBanca[[#This Row],[Mutuo]]</f>
        <v>0</v>
      </c>
      <c r="L4814" t="str">
        <f>IF(ClientiBanca[[#This Row],[Reddito annuo]]&gt;=70000,"si","no")</f>
        <v>no</v>
      </c>
    </row>
    <row r="4815" spans="1:12">
      <c r="A4815">
        <v>104814</v>
      </c>
      <c r="B4815">
        <v>58</v>
      </c>
      <c r="C4815" s="2">
        <v>115000</v>
      </c>
      <c r="D4815" t="s">
        <v>22</v>
      </c>
      <c r="E4815" s="2">
        <v>38600</v>
      </c>
      <c r="F4815" s="2">
        <v>0</v>
      </c>
      <c r="G4815" t="s">
        <v>23</v>
      </c>
      <c r="H4815" t="s">
        <v>17</v>
      </c>
      <c r="I4815" t="s">
        <v>18</v>
      </c>
      <c r="J4815" s="3">
        <v>45833</v>
      </c>
      <c r="K4815" s="4">
        <f>ClientiBanca[[#This Row],[Prestito]]+ClientiBanca[[#This Row],[Mutuo]]</f>
        <v>38600</v>
      </c>
      <c r="L4815" t="str">
        <f>IF(ClientiBanca[[#This Row],[Reddito annuo]]&gt;=70000,"si","no")</f>
        <v>si</v>
      </c>
    </row>
    <row r="4816" spans="1:12">
      <c r="A4816">
        <v>104815</v>
      </c>
      <c r="B4816">
        <v>38</v>
      </c>
      <c r="C4816" s="2">
        <v>62700</v>
      </c>
      <c r="D4816" t="s">
        <v>22</v>
      </c>
      <c r="E4816" s="2">
        <v>19600</v>
      </c>
      <c r="F4816" s="2">
        <v>73000</v>
      </c>
      <c r="G4816" t="s">
        <v>19</v>
      </c>
      <c r="H4816" t="s">
        <v>14</v>
      </c>
      <c r="I4816" t="s">
        <v>18</v>
      </c>
      <c r="J4816" s="3">
        <v>46190</v>
      </c>
      <c r="K4816" s="4">
        <f>ClientiBanca[[#This Row],[Prestito]]+ClientiBanca[[#This Row],[Mutuo]]</f>
        <v>92600</v>
      </c>
      <c r="L4816" t="str">
        <f>IF(ClientiBanca[[#This Row],[Reddito annuo]]&gt;=70000,"si","no")</f>
        <v>no</v>
      </c>
    </row>
    <row r="4817" spans="1:12">
      <c r="A4817">
        <v>104816</v>
      </c>
      <c r="B4817">
        <v>33</v>
      </c>
      <c r="C4817" s="2">
        <v>26200</v>
      </c>
      <c r="D4817" t="s">
        <v>12</v>
      </c>
      <c r="E4817" s="2">
        <v>8100</v>
      </c>
      <c r="F4817" s="2">
        <v>0</v>
      </c>
      <c r="G4817" t="s">
        <v>27</v>
      </c>
      <c r="H4817" t="s">
        <v>20</v>
      </c>
      <c r="I4817" t="s">
        <v>18</v>
      </c>
      <c r="J4817" s="3">
        <v>46079</v>
      </c>
      <c r="K4817" s="4">
        <f>ClientiBanca[[#This Row],[Prestito]]+ClientiBanca[[#This Row],[Mutuo]]</f>
        <v>8100</v>
      </c>
      <c r="L4817" t="str">
        <f>IF(ClientiBanca[[#This Row],[Reddito annuo]]&gt;=70000,"si","no")</f>
        <v>no</v>
      </c>
    </row>
    <row r="4818" spans="1:12">
      <c r="A4818">
        <v>104817</v>
      </c>
      <c r="B4818">
        <v>49</v>
      </c>
      <c r="C4818" s="2">
        <v>49900</v>
      </c>
      <c r="D4818" t="s">
        <v>21</v>
      </c>
      <c r="E4818" s="2">
        <v>55500</v>
      </c>
      <c r="F4818" s="2">
        <v>0</v>
      </c>
      <c r="G4818" t="s">
        <v>16</v>
      </c>
      <c r="H4818" t="s">
        <v>14</v>
      </c>
      <c r="I4818" t="s">
        <v>18</v>
      </c>
      <c r="J4818" s="3">
        <v>45383</v>
      </c>
      <c r="K4818" s="4">
        <f>ClientiBanca[[#This Row],[Prestito]]+ClientiBanca[[#This Row],[Mutuo]]</f>
        <v>55500</v>
      </c>
      <c r="L4818" t="str">
        <f>IF(ClientiBanca[[#This Row],[Reddito annuo]]&gt;=70000,"si","no")</f>
        <v>no</v>
      </c>
    </row>
    <row r="4819" spans="1:12">
      <c r="A4819">
        <v>104818</v>
      </c>
      <c r="B4819">
        <v>47</v>
      </c>
      <c r="C4819" s="2">
        <v>41800</v>
      </c>
      <c r="D4819" t="s">
        <v>21</v>
      </c>
      <c r="E4819" s="2">
        <v>32100</v>
      </c>
      <c r="F4819" s="2">
        <v>0</v>
      </c>
      <c r="G4819" t="s">
        <v>23</v>
      </c>
      <c r="H4819" t="s">
        <v>20</v>
      </c>
      <c r="I4819" t="s">
        <v>18</v>
      </c>
      <c r="J4819" s="3">
        <v>45649</v>
      </c>
      <c r="K4819" s="4">
        <f>ClientiBanca[[#This Row],[Prestito]]+ClientiBanca[[#This Row],[Mutuo]]</f>
        <v>32100</v>
      </c>
      <c r="L4819" t="str">
        <f>IF(ClientiBanca[[#This Row],[Reddito annuo]]&gt;=70000,"si","no")</f>
        <v>no</v>
      </c>
    </row>
    <row r="4820" spans="1:12">
      <c r="A4820">
        <v>104819</v>
      </c>
      <c r="B4820">
        <v>52</v>
      </c>
      <c r="C4820" s="2">
        <v>39000</v>
      </c>
      <c r="D4820" t="s">
        <v>21</v>
      </c>
      <c r="E4820" s="2">
        <v>0</v>
      </c>
      <c r="F4820" s="2">
        <v>0</v>
      </c>
      <c r="G4820" t="s">
        <v>23</v>
      </c>
      <c r="H4820" t="s">
        <v>14</v>
      </c>
      <c r="I4820" t="s">
        <v>18</v>
      </c>
      <c r="J4820" s="3">
        <v>46178</v>
      </c>
      <c r="K4820" s="4">
        <f>ClientiBanca[[#This Row],[Prestito]]+ClientiBanca[[#This Row],[Mutuo]]</f>
        <v>0</v>
      </c>
      <c r="L4820" t="str">
        <f>IF(ClientiBanca[[#This Row],[Reddito annuo]]&gt;=70000,"si","no")</f>
        <v>no</v>
      </c>
    </row>
    <row r="4821" spans="1:12">
      <c r="A4821">
        <v>104820</v>
      </c>
      <c r="B4821">
        <v>21</v>
      </c>
      <c r="C4821" s="2">
        <v>63000</v>
      </c>
      <c r="D4821" t="s">
        <v>22</v>
      </c>
      <c r="E4821" s="2">
        <v>0</v>
      </c>
      <c r="F4821" s="2">
        <v>0</v>
      </c>
      <c r="G4821" t="s">
        <v>26</v>
      </c>
      <c r="H4821" t="s">
        <v>17</v>
      </c>
      <c r="I4821" t="s">
        <v>18</v>
      </c>
      <c r="J4821" s="3">
        <v>46155</v>
      </c>
      <c r="K4821" s="4">
        <f>ClientiBanca[[#This Row],[Prestito]]+ClientiBanca[[#This Row],[Mutuo]]</f>
        <v>0</v>
      </c>
      <c r="L4821" t="str">
        <f>IF(ClientiBanca[[#This Row],[Reddito annuo]]&gt;=70000,"si","no")</f>
        <v>no</v>
      </c>
    </row>
    <row r="4822" spans="1:12">
      <c r="A4822">
        <v>104821</v>
      </c>
      <c r="B4822">
        <v>72</v>
      </c>
      <c r="C4822" s="2">
        <v>70200</v>
      </c>
      <c r="D4822" t="s">
        <v>12</v>
      </c>
      <c r="E4822" s="2">
        <v>45800</v>
      </c>
      <c r="F4822" s="2">
        <v>0</v>
      </c>
      <c r="G4822" t="s">
        <v>13</v>
      </c>
      <c r="H4822" t="s">
        <v>20</v>
      </c>
      <c r="I4822" t="s">
        <v>18</v>
      </c>
      <c r="J4822" s="3">
        <v>45806</v>
      </c>
      <c r="K4822" s="4">
        <f>ClientiBanca[[#This Row],[Prestito]]+ClientiBanca[[#This Row],[Mutuo]]</f>
        <v>45800</v>
      </c>
      <c r="L4822" t="str">
        <f>IF(ClientiBanca[[#This Row],[Reddito annuo]]&gt;=70000,"si","no")</f>
        <v>si</v>
      </c>
    </row>
    <row r="4823" spans="1:12">
      <c r="A4823">
        <v>104822</v>
      </c>
      <c r="B4823">
        <v>21</v>
      </c>
      <c r="C4823" s="2">
        <v>47100</v>
      </c>
      <c r="D4823" t="s">
        <v>12</v>
      </c>
      <c r="E4823" s="2">
        <v>28200</v>
      </c>
      <c r="F4823" s="2">
        <v>0</v>
      </c>
      <c r="G4823" t="s">
        <v>28</v>
      </c>
      <c r="H4823" t="s">
        <v>14</v>
      </c>
      <c r="I4823" t="s">
        <v>18</v>
      </c>
      <c r="J4823" s="3">
        <v>45394</v>
      </c>
      <c r="K4823" s="4">
        <f>ClientiBanca[[#This Row],[Prestito]]+ClientiBanca[[#This Row],[Mutuo]]</f>
        <v>28200</v>
      </c>
      <c r="L4823" t="str">
        <f>IF(ClientiBanca[[#This Row],[Reddito annuo]]&gt;=70000,"si","no")</f>
        <v>no</v>
      </c>
    </row>
    <row r="4824" spans="1:12">
      <c r="A4824">
        <v>104823</v>
      </c>
      <c r="B4824">
        <v>28</v>
      </c>
      <c r="C4824" s="2">
        <v>56100</v>
      </c>
      <c r="D4824" t="s">
        <v>12</v>
      </c>
      <c r="E4824" s="2">
        <v>3100</v>
      </c>
      <c r="F4824" s="2">
        <v>0</v>
      </c>
      <c r="G4824" t="s">
        <v>13</v>
      </c>
      <c r="H4824" t="s">
        <v>25</v>
      </c>
      <c r="I4824" t="s">
        <v>18</v>
      </c>
      <c r="J4824" s="3">
        <v>46185</v>
      </c>
      <c r="K4824" s="4">
        <f>ClientiBanca[[#This Row],[Prestito]]+ClientiBanca[[#This Row],[Mutuo]]</f>
        <v>3100</v>
      </c>
      <c r="L4824" t="str">
        <f>IF(ClientiBanca[[#This Row],[Reddito annuo]]&gt;=70000,"si","no")</f>
        <v>no</v>
      </c>
    </row>
    <row r="4825" spans="1:12">
      <c r="A4825">
        <v>104824</v>
      </c>
      <c r="B4825">
        <v>49</v>
      </c>
      <c r="C4825" s="2">
        <v>127300</v>
      </c>
      <c r="D4825" t="s">
        <v>22</v>
      </c>
      <c r="E4825" s="2">
        <v>0</v>
      </c>
      <c r="F4825" s="2">
        <v>0</v>
      </c>
      <c r="G4825" t="s">
        <v>24</v>
      </c>
      <c r="H4825" t="s">
        <v>20</v>
      </c>
      <c r="I4825" t="s">
        <v>18</v>
      </c>
      <c r="J4825" s="3">
        <v>45447</v>
      </c>
      <c r="K4825" s="4">
        <f>ClientiBanca[[#This Row],[Prestito]]+ClientiBanca[[#This Row],[Mutuo]]</f>
        <v>0</v>
      </c>
      <c r="L4825" t="str">
        <f>IF(ClientiBanca[[#This Row],[Reddito annuo]]&gt;=70000,"si","no")</f>
        <v>si</v>
      </c>
    </row>
    <row r="4826" spans="1:12">
      <c r="A4826">
        <v>104825</v>
      </c>
      <c r="B4826">
        <v>46</v>
      </c>
      <c r="C4826" s="2">
        <v>58700</v>
      </c>
      <c r="D4826" t="s">
        <v>22</v>
      </c>
      <c r="E4826" s="2">
        <v>12100</v>
      </c>
      <c r="F4826" s="2">
        <v>0</v>
      </c>
      <c r="G4826" t="s">
        <v>27</v>
      </c>
      <c r="H4826" t="s">
        <v>14</v>
      </c>
      <c r="I4826" t="s">
        <v>18</v>
      </c>
      <c r="J4826" s="3">
        <v>45830</v>
      </c>
      <c r="K4826" s="4">
        <f>ClientiBanca[[#This Row],[Prestito]]+ClientiBanca[[#This Row],[Mutuo]]</f>
        <v>12100</v>
      </c>
      <c r="L4826" t="str">
        <f>IF(ClientiBanca[[#This Row],[Reddito annuo]]&gt;=70000,"si","no")</f>
        <v>no</v>
      </c>
    </row>
    <row r="4827" spans="1:12">
      <c r="A4827">
        <v>104826</v>
      </c>
      <c r="B4827">
        <v>61</v>
      </c>
      <c r="C4827" s="2">
        <v>55300</v>
      </c>
      <c r="D4827" t="s">
        <v>21</v>
      </c>
      <c r="E4827" s="2">
        <v>0</v>
      </c>
      <c r="F4827" s="2">
        <v>0</v>
      </c>
      <c r="G4827" t="s">
        <v>26</v>
      </c>
      <c r="H4827" t="s">
        <v>17</v>
      </c>
      <c r="I4827" t="s">
        <v>18</v>
      </c>
      <c r="J4827" s="3">
        <v>45532</v>
      </c>
      <c r="K4827" s="4">
        <f>ClientiBanca[[#This Row],[Prestito]]+ClientiBanca[[#This Row],[Mutuo]]</f>
        <v>0</v>
      </c>
      <c r="L4827" t="str">
        <f>IF(ClientiBanca[[#This Row],[Reddito annuo]]&gt;=70000,"si","no")</f>
        <v>no</v>
      </c>
    </row>
    <row r="4828" spans="1:12">
      <c r="A4828">
        <v>104827</v>
      </c>
      <c r="B4828">
        <v>42</v>
      </c>
      <c r="C4828" s="2">
        <v>94900</v>
      </c>
      <c r="D4828" t="s">
        <v>22</v>
      </c>
      <c r="E4828" s="2">
        <v>37800</v>
      </c>
      <c r="F4828" s="2">
        <v>201000</v>
      </c>
      <c r="G4828" t="s">
        <v>24</v>
      </c>
      <c r="H4828" t="s">
        <v>20</v>
      </c>
      <c r="I4828" t="s">
        <v>18</v>
      </c>
      <c r="J4828" s="3">
        <v>45746</v>
      </c>
      <c r="K4828" s="4">
        <f>ClientiBanca[[#This Row],[Prestito]]+ClientiBanca[[#This Row],[Mutuo]]</f>
        <v>238800</v>
      </c>
      <c r="L4828" t="str">
        <f>IF(ClientiBanca[[#This Row],[Reddito annuo]]&gt;=70000,"si","no")</f>
        <v>si</v>
      </c>
    </row>
    <row r="4829" spans="1:12">
      <c r="A4829">
        <v>104828</v>
      </c>
      <c r="B4829">
        <v>44</v>
      </c>
      <c r="C4829" s="2">
        <v>62500</v>
      </c>
      <c r="D4829" t="s">
        <v>22</v>
      </c>
      <c r="E4829" s="2">
        <v>33200</v>
      </c>
      <c r="F4829" s="2">
        <v>0</v>
      </c>
      <c r="G4829" t="s">
        <v>23</v>
      </c>
      <c r="H4829" t="s">
        <v>17</v>
      </c>
      <c r="I4829" t="s">
        <v>18</v>
      </c>
      <c r="J4829" s="3">
        <v>45382</v>
      </c>
      <c r="K4829" s="4">
        <f>ClientiBanca[[#This Row],[Prestito]]+ClientiBanca[[#This Row],[Mutuo]]</f>
        <v>33200</v>
      </c>
      <c r="L4829" t="str">
        <f>IF(ClientiBanca[[#This Row],[Reddito annuo]]&gt;=70000,"si","no")</f>
        <v>no</v>
      </c>
    </row>
    <row r="4830" spans="1:12">
      <c r="A4830">
        <v>104829</v>
      </c>
      <c r="B4830">
        <v>44</v>
      </c>
      <c r="C4830" s="2">
        <v>69300</v>
      </c>
      <c r="D4830" t="s">
        <v>21</v>
      </c>
      <c r="E4830" s="2">
        <v>17100</v>
      </c>
      <c r="F4830" s="2">
        <v>0</v>
      </c>
      <c r="G4830" t="s">
        <v>23</v>
      </c>
      <c r="H4830" t="s">
        <v>17</v>
      </c>
      <c r="I4830" t="s">
        <v>18</v>
      </c>
      <c r="J4830" s="3">
        <v>45322</v>
      </c>
      <c r="K4830" s="4">
        <f>ClientiBanca[[#This Row],[Prestito]]+ClientiBanca[[#This Row],[Mutuo]]</f>
        <v>17100</v>
      </c>
      <c r="L4830" t="str">
        <f>IF(ClientiBanca[[#This Row],[Reddito annuo]]&gt;=70000,"si","no")</f>
        <v>no</v>
      </c>
    </row>
    <row r="4831" spans="1:12">
      <c r="A4831">
        <v>104830</v>
      </c>
      <c r="B4831">
        <v>26</v>
      </c>
      <c r="C4831" s="2">
        <v>44900</v>
      </c>
      <c r="D4831" t="s">
        <v>12</v>
      </c>
      <c r="E4831" s="2">
        <v>0</v>
      </c>
      <c r="F4831" s="2">
        <v>0</v>
      </c>
      <c r="G4831" t="s">
        <v>27</v>
      </c>
      <c r="H4831" t="s">
        <v>14</v>
      </c>
      <c r="I4831" t="s">
        <v>18</v>
      </c>
      <c r="J4831" s="3">
        <v>46107</v>
      </c>
      <c r="K4831" s="4">
        <f>ClientiBanca[[#This Row],[Prestito]]+ClientiBanca[[#This Row],[Mutuo]]</f>
        <v>0</v>
      </c>
      <c r="L4831" t="str">
        <f>IF(ClientiBanca[[#This Row],[Reddito annuo]]&gt;=70000,"si","no")</f>
        <v>no</v>
      </c>
    </row>
    <row r="4832" spans="1:12">
      <c r="A4832">
        <v>104831</v>
      </c>
      <c r="B4832">
        <v>61</v>
      </c>
      <c r="C4832" s="2">
        <v>86800</v>
      </c>
      <c r="D4832" t="s">
        <v>21</v>
      </c>
      <c r="E4832" s="2">
        <v>0</v>
      </c>
      <c r="F4832" s="2">
        <v>233000</v>
      </c>
      <c r="G4832" t="s">
        <v>16</v>
      </c>
      <c r="H4832" t="s">
        <v>17</v>
      </c>
      <c r="I4832" t="s">
        <v>18</v>
      </c>
      <c r="J4832" s="3">
        <v>45938</v>
      </c>
      <c r="K4832" s="4">
        <f>ClientiBanca[[#This Row],[Prestito]]+ClientiBanca[[#This Row],[Mutuo]]</f>
        <v>233000</v>
      </c>
      <c r="L4832" t="str">
        <f>IF(ClientiBanca[[#This Row],[Reddito annuo]]&gt;=70000,"si","no")</f>
        <v>si</v>
      </c>
    </row>
    <row r="4833" spans="1:12">
      <c r="A4833">
        <v>104832</v>
      </c>
      <c r="B4833">
        <v>67</v>
      </c>
      <c r="C4833" s="2">
        <v>42500</v>
      </c>
      <c r="D4833" t="s">
        <v>21</v>
      </c>
      <c r="E4833" s="2">
        <v>33000</v>
      </c>
      <c r="F4833" s="2">
        <v>0</v>
      </c>
      <c r="G4833" t="s">
        <v>19</v>
      </c>
      <c r="H4833" t="s">
        <v>14</v>
      </c>
      <c r="I4833" t="s">
        <v>18</v>
      </c>
      <c r="J4833" s="3">
        <v>46010</v>
      </c>
      <c r="K4833" s="4">
        <f>ClientiBanca[[#This Row],[Prestito]]+ClientiBanca[[#This Row],[Mutuo]]</f>
        <v>33000</v>
      </c>
      <c r="L4833" t="str">
        <f>IF(ClientiBanca[[#This Row],[Reddito annuo]]&gt;=70000,"si","no")</f>
        <v>no</v>
      </c>
    </row>
    <row r="4834" spans="1:12">
      <c r="A4834">
        <v>104833</v>
      </c>
      <c r="B4834">
        <v>25</v>
      </c>
      <c r="C4834" s="2">
        <v>50700</v>
      </c>
      <c r="D4834" t="s">
        <v>22</v>
      </c>
      <c r="E4834" s="2">
        <v>46800</v>
      </c>
      <c r="F4834" s="2">
        <v>0</v>
      </c>
      <c r="G4834" t="s">
        <v>23</v>
      </c>
      <c r="H4834" t="s">
        <v>20</v>
      </c>
      <c r="I4834" t="s">
        <v>18</v>
      </c>
      <c r="J4834" s="3">
        <v>46084</v>
      </c>
      <c r="K4834" s="4">
        <f>ClientiBanca[[#This Row],[Prestito]]+ClientiBanca[[#This Row],[Mutuo]]</f>
        <v>46800</v>
      </c>
      <c r="L4834" t="str">
        <f>IF(ClientiBanca[[#This Row],[Reddito annuo]]&gt;=70000,"si","no")</f>
        <v>no</v>
      </c>
    </row>
    <row r="4835" spans="1:12">
      <c r="A4835">
        <v>104834</v>
      </c>
      <c r="B4835">
        <v>38</v>
      </c>
      <c r="C4835" s="2">
        <v>33700</v>
      </c>
      <c r="D4835" t="s">
        <v>21</v>
      </c>
      <c r="E4835" s="2">
        <v>0</v>
      </c>
      <c r="F4835" s="2">
        <v>0</v>
      </c>
      <c r="G4835" t="s">
        <v>27</v>
      </c>
      <c r="H4835" t="s">
        <v>17</v>
      </c>
      <c r="I4835" t="s">
        <v>18</v>
      </c>
      <c r="J4835" s="3">
        <v>45852</v>
      </c>
      <c r="K4835" s="4">
        <f>ClientiBanca[[#This Row],[Prestito]]+ClientiBanca[[#This Row],[Mutuo]]</f>
        <v>0</v>
      </c>
      <c r="L4835" t="str">
        <f>IF(ClientiBanca[[#This Row],[Reddito annuo]]&gt;=70000,"si","no")</f>
        <v>no</v>
      </c>
    </row>
    <row r="4836" spans="1:12">
      <c r="A4836">
        <v>104835</v>
      </c>
      <c r="B4836">
        <v>67</v>
      </c>
      <c r="C4836" s="2">
        <v>81800</v>
      </c>
      <c r="D4836" t="s">
        <v>21</v>
      </c>
      <c r="E4836" s="2">
        <v>48600</v>
      </c>
      <c r="F4836" s="2">
        <v>0</v>
      </c>
      <c r="G4836" t="s">
        <v>23</v>
      </c>
      <c r="H4836" t="s">
        <v>20</v>
      </c>
      <c r="I4836" t="s">
        <v>18</v>
      </c>
      <c r="J4836" s="3">
        <v>45839</v>
      </c>
      <c r="K4836" s="4">
        <f>ClientiBanca[[#This Row],[Prestito]]+ClientiBanca[[#This Row],[Mutuo]]</f>
        <v>48600</v>
      </c>
      <c r="L4836" t="str">
        <f>IF(ClientiBanca[[#This Row],[Reddito annuo]]&gt;=70000,"si","no")</f>
        <v>si</v>
      </c>
    </row>
    <row r="4837" spans="1:12">
      <c r="A4837">
        <v>104836</v>
      </c>
      <c r="B4837">
        <v>23</v>
      </c>
      <c r="C4837" s="2">
        <v>50000</v>
      </c>
      <c r="D4837" t="s">
        <v>21</v>
      </c>
      <c r="E4837" s="2">
        <v>21700</v>
      </c>
      <c r="F4837" s="2">
        <v>291000</v>
      </c>
      <c r="G4837" t="s">
        <v>23</v>
      </c>
      <c r="H4837" t="s">
        <v>17</v>
      </c>
      <c r="I4837" t="s">
        <v>18</v>
      </c>
      <c r="J4837" s="3">
        <v>45832</v>
      </c>
      <c r="K4837" s="4">
        <f>ClientiBanca[[#This Row],[Prestito]]+ClientiBanca[[#This Row],[Mutuo]]</f>
        <v>312700</v>
      </c>
      <c r="L4837" t="str">
        <f>IF(ClientiBanca[[#This Row],[Reddito annuo]]&gt;=70000,"si","no")</f>
        <v>no</v>
      </c>
    </row>
    <row r="4838" spans="1:12">
      <c r="A4838">
        <v>104837</v>
      </c>
      <c r="B4838">
        <v>23</v>
      </c>
      <c r="C4838" s="2">
        <v>74900</v>
      </c>
      <c r="D4838" t="s">
        <v>22</v>
      </c>
      <c r="E4838" s="2">
        <v>40600</v>
      </c>
      <c r="F4838" s="2">
        <v>0</v>
      </c>
      <c r="G4838" t="s">
        <v>23</v>
      </c>
      <c r="H4838" t="s">
        <v>20</v>
      </c>
      <c r="I4838" t="s">
        <v>18</v>
      </c>
      <c r="J4838" s="3">
        <v>46215</v>
      </c>
      <c r="K4838" s="4">
        <f>ClientiBanca[[#This Row],[Prestito]]+ClientiBanca[[#This Row],[Mutuo]]</f>
        <v>40600</v>
      </c>
      <c r="L4838" t="str">
        <f>IF(ClientiBanca[[#This Row],[Reddito annuo]]&gt;=70000,"si","no")</f>
        <v>si</v>
      </c>
    </row>
    <row r="4839" spans="1:12">
      <c r="A4839">
        <v>104838</v>
      </c>
      <c r="B4839">
        <v>64</v>
      </c>
      <c r="C4839" s="2">
        <v>44600</v>
      </c>
      <c r="D4839" t="s">
        <v>12</v>
      </c>
      <c r="E4839" s="2">
        <v>16300</v>
      </c>
      <c r="F4839" s="2">
        <v>0</v>
      </c>
      <c r="G4839" t="s">
        <v>28</v>
      </c>
      <c r="H4839" t="s">
        <v>14</v>
      </c>
      <c r="I4839" t="s">
        <v>18</v>
      </c>
      <c r="J4839" s="3">
        <v>45924</v>
      </c>
      <c r="K4839" s="4">
        <f>ClientiBanca[[#This Row],[Prestito]]+ClientiBanca[[#This Row],[Mutuo]]</f>
        <v>16300</v>
      </c>
      <c r="L4839" t="str">
        <f>IF(ClientiBanca[[#This Row],[Reddito annuo]]&gt;=70000,"si","no")</f>
        <v>no</v>
      </c>
    </row>
    <row r="4840" spans="1:12">
      <c r="A4840">
        <v>104839</v>
      </c>
      <c r="B4840">
        <v>46</v>
      </c>
      <c r="C4840" s="2">
        <v>46100</v>
      </c>
      <c r="D4840" t="s">
        <v>21</v>
      </c>
      <c r="E4840" s="2">
        <v>18900</v>
      </c>
      <c r="F4840" s="2">
        <v>0</v>
      </c>
      <c r="G4840" t="s">
        <v>23</v>
      </c>
      <c r="H4840" t="s">
        <v>14</v>
      </c>
      <c r="I4840" t="s">
        <v>18</v>
      </c>
      <c r="J4840" s="3">
        <v>45316</v>
      </c>
      <c r="K4840" s="4">
        <f>ClientiBanca[[#This Row],[Prestito]]+ClientiBanca[[#This Row],[Mutuo]]</f>
        <v>18900</v>
      </c>
      <c r="L4840" t="str">
        <f>IF(ClientiBanca[[#This Row],[Reddito annuo]]&gt;=70000,"si","no")</f>
        <v>no</v>
      </c>
    </row>
    <row r="4841" spans="1:12">
      <c r="A4841">
        <v>104840</v>
      </c>
      <c r="B4841">
        <v>58</v>
      </c>
      <c r="C4841" s="2">
        <v>77400</v>
      </c>
      <c r="D4841" t="s">
        <v>12</v>
      </c>
      <c r="E4841" s="2">
        <v>25100</v>
      </c>
      <c r="F4841" s="2">
        <v>0</v>
      </c>
      <c r="G4841" t="s">
        <v>24</v>
      </c>
      <c r="H4841" t="s">
        <v>17</v>
      </c>
      <c r="I4841" t="s">
        <v>18</v>
      </c>
      <c r="J4841" s="3">
        <v>45861</v>
      </c>
      <c r="K4841" s="4">
        <f>ClientiBanca[[#This Row],[Prestito]]+ClientiBanca[[#This Row],[Mutuo]]</f>
        <v>25100</v>
      </c>
      <c r="L4841" t="str">
        <f>IF(ClientiBanca[[#This Row],[Reddito annuo]]&gt;=70000,"si","no")</f>
        <v>si</v>
      </c>
    </row>
    <row r="4842" spans="1:12">
      <c r="A4842">
        <v>104841</v>
      </c>
      <c r="B4842">
        <v>39</v>
      </c>
      <c r="C4842" s="2">
        <v>49900</v>
      </c>
      <c r="D4842" t="s">
        <v>12</v>
      </c>
      <c r="E4842" s="2">
        <v>16000</v>
      </c>
      <c r="F4842" s="2">
        <v>0</v>
      </c>
      <c r="G4842" t="s">
        <v>23</v>
      </c>
      <c r="H4842" t="s">
        <v>20</v>
      </c>
      <c r="I4842" t="s">
        <v>18</v>
      </c>
      <c r="J4842" s="3">
        <v>45483</v>
      </c>
      <c r="K4842" s="4">
        <f>ClientiBanca[[#This Row],[Prestito]]+ClientiBanca[[#This Row],[Mutuo]]</f>
        <v>16000</v>
      </c>
      <c r="L4842" t="str">
        <f>IF(ClientiBanca[[#This Row],[Reddito annuo]]&gt;=70000,"si","no")</f>
        <v>no</v>
      </c>
    </row>
    <row r="4843" spans="1:12">
      <c r="A4843">
        <v>104842</v>
      </c>
      <c r="B4843">
        <v>41</v>
      </c>
      <c r="C4843" s="2">
        <v>61300</v>
      </c>
      <c r="D4843" t="s">
        <v>21</v>
      </c>
      <c r="E4843" s="2">
        <v>0</v>
      </c>
      <c r="F4843" s="2">
        <v>0</v>
      </c>
      <c r="G4843" t="s">
        <v>28</v>
      </c>
      <c r="H4843" t="s">
        <v>17</v>
      </c>
      <c r="I4843" t="s">
        <v>18</v>
      </c>
      <c r="J4843" s="3">
        <v>45704</v>
      </c>
      <c r="K4843" s="4">
        <f>ClientiBanca[[#This Row],[Prestito]]+ClientiBanca[[#This Row],[Mutuo]]</f>
        <v>0</v>
      </c>
      <c r="L4843" t="str">
        <f>IF(ClientiBanca[[#This Row],[Reddito annuo]]&gt;=70000,"si","no")</f>
        <v>no</v>
      </c>
    </row>
    <row r="4844" spans="1:12">
      <c r="A4844">
        <v>104843</v>
      </c>
      <c r="B4844">
        <v>34</v>
      </c>
      <c r="C4844" s="2">
        <v>44900</v>
      </c>
      <c r="D4844" t="s">
        <v>21</v>
      </c>
      <c r="E4844" s="2">
        <v>30600</v>
      </c>
      <c r="F4844" s="2">
        <v>0</v>
      </c>
      <c r="G4844" t="s">
        <v>26</v>
      </c>
      <c r="H4844" t="s">
        <v>17</v>
      </c>
      <c r="I4844" t="s">
        <v>18</v>
      </c>
      <c r="J4844" s="3">
        <v>45727</v>
      </c>
      <c r="K4844" s="4">
        <f>ClientiBanca[[#This Row],[Prestito]]+ClientiBanca[[#This Row],[Mutuo]]</f>
        <v>30600</v>
      </c>
      <c r="L4844" t="str">
        <f>IF(ClientiBanca[[#This Row],[Reddito annuo]]&gt;=70000,"si","no")</f>
        <v>no</v>
      </c>
    </row>
    <row r="4845" spans="1:12">
      <c r="A4845">
        <v>104844</v>
      </c>
      <c r="B4845">
        <v>41</v>
      </c>
      <c r="C4845" s="2">
        <v>77000</v>
      </c>
      <c r="D4845" t="s">
        <v>22</v>
      </c>
      <c r="E4845" s="2">
        <v>28400</v>
      </c>
      <c r="F4845" s="2">
        <v>0</v>
      </c>
      <c r="G4845" t="s">
        <v>19</v>
      </c>
      <c r="H4845" t="s">
        <v>14</v>
      </c>
      <c r="I4845" t="s">
        <v>18</v>
      </c>
      <c r="J4845" s="3">
        <v>45898</v>
      </c>
      <c r="K4845" s="4">
        <f>ClientiBanca[[#This Row],[Prestito]]+ClientiBanca[[#This Row],[Mutuo]]</f>
        <v>28400</v>
      </c>
      <c r="L4845" t="str">
        <f>IF(ClientiBanca[[#This Row],[Reddito annuo]]&gt;=70000,"si","no")</f>
        <v>si</v>
      </c>
    </row>
    <row r="4846" spans="1:12">
      <c r="A4846">
        <v>104845</v>
      </c>
      <c r="B4846">
        <v>31</v>
      </c>
      <c r="C4846" s="2">
        <v>31400</v>
      </c>
      <c r="D4846" t="s">
        <v>21</v>
      </c>
      <c r="E4846" s="2">
        <v>21000</v>
      </c>
      <c r="F4846" s="2">
        <v>0</v>
      </c>
      <c r="G4846" t="s">
        <v>24</v>
      </c>
      <c r="H4846" t="s">
        <v>14</v>
      </c>
      <c r="I4846" t="s">
        <v>18</v>
      </c>
      <c r="J4846" s="3">
        <v>45558</v>
      </c>
      <c r="K4846" s="4">
        <f>ClientiBanca[[#This Row],[Prestito]]+ClientiBanca[[#This Row],[Mutuo]]</f>
        <v>21000</v>
      </c>
      <c r="L4846" t="str">
        <f>IF(ClientiBanca[[#This Row],[Reddito annuo]]&gt;=70000,"si","no")</f>
        <v>no</v>
      </c>
    </row>
    <row r="4847" spans="1:12">
      <c r="A4847">
        <v>104846</v>
      </c>
      <c r="B4847">
        <v>61</v>
      </c>
      <c r="C4847" s="2">
        <v>56700</v>
      </c>
      <c r="D4847" t="s">
        <v>12</v>
      </c>
      <c r="E4847" s="2">
        <v>0</v>
      </c>
      <c r="F4847" s="2">
        <v>90000</v>
      </c>
      <c r="G4847" t="s">
        <v>28</v>
      </c>
      <c r="H4847" t="s">
        <v>20</v>
      </c>
      <c r="I4847" t="s">
        <v>18</v>
      </c>
      <c r="J4847" s="3">
        <v>45632</v>
      </c>
      <c r="K4847" s="4">
        <f>ClientiBanca[[#This Row],[Prestito]]+ClientiBanca[[#This Row],[Mutuo]]</f>
        <v>90000</v>
      </c>
      <c r="L4847" t="str">
        <f>IF(ClientiBanca[[#This Row],[Reddito annuo]]&gt;=70000,"si","no")</f>
        <v>no</v>
      </c>
    </row>
    <row r="4848" spans="1:12">
      <c r="A4848">
        <v>104847</v>
      </c>
      <c r="B4848">
        <v>65</v>
      </c>
      <c r="C4848" s="2">
        <v>61700</v>
      </c>
      <c r="D4848" t="s">
        <v>21</v>
      </c>
      <c r="E4848" s="2">
        <v>24000</v>
      </c>
      <c r="F4848" s="2">
        <v>0</v>
      </c>
      <c r="G4848" t="s">
        <v>26</v>
      </c>
      <c r="H4848" t="s">
        <v>20</v>
      </c>
      <c r="I4848" t="s">
        <v>18</v>
      </c>
      <c r="J4848" s="3">
        <v>45547</v>
      </c>
      <c r="K4848" s="4">
        <f>ClientiBanca[[#This Row],[Prestito]]+ClientiBanca[[#This Row],[Mutuo]]</f>
        <v>24000</v>
      </c>
      <c r="L4848" t="str">
        <f>IF(ClientiBanca[[#This Row],[Reddito annuo]]&gt;=70000,"si","no")</f>
        <v>no</v>
      </c>
    </row>
    <row r="4849" spans="1:12">
      <c r="A4849">
        <v>104848</v>
      </c>
      <c r="B4849">
        <v>27</v>
      </c>
      <c r="C4849" s="2">
        <v>39900</v>
      </c>
      <c r="D4849" t="s">
        <v>21</v>
      </c>
      <c r="E4849" s="2">
        <v>49900</v>
      </c>
      <c r="F4849" s="2">
        <v>0</v>
      </c>
      <c r="G4849" t="s">
        <v>26</v>
      </c>
      <c r="H4849" t="s">
        <v>14</v>
      </c>
      <c r="I4849" t="s">
        <v>18</v>
      </c>
      <c r="J4849" s="3">
        <v>46186</v>
      </c>
      <c r="K4849" s="4">
        <f>ClientiBanca[[#This Row],[Prestito]]+ClientiBanca[[#This Row],[Mutuo]]</f>
        <v>49900</v>
      </c>
      <c r="L4849" t="str">
        <f>IF(ClientiBanca[[#This Row],[Reddito annuo]]&gt;=70000,"si","no")</f>
        <v>no</v>
      </c>
    </row>
    <row r="4850" spans="1:12">
      <c r="A4850">
        <v>104849</v>
      </c>
      <c r="B4850">
        <v>70</v>
      </c>
      <c r="C4850" s="2">
        <v>36500</v>
      </c>
      <c r="D4850" t="s">
        <v>21</v>
      </c>
      <c r="E4850" s="2">
        <v>45600</v>
      </c>
      <c r="F4850" s="2">
        <v>0</v>
      </c>
      <c r="G4850" t="s">
        <v>13</v>
      </c>
      <c r="H4850" t="s">
        <v>17</v>
      </c>
      <c r="I4850" t="s">
        <v>15</v>
      </c>
      <c r="J4850" s="3">
        <v>45485</v>
      </c>
      <c r="K4850" s="4">
        <f>ClientiBanca[[#This Row],[Prestito]]+ClientiBanca[[#This Row],[Mutuo]]</f>
        <v>45600</v>
      </c>
      <c r="L4850" t="str">
        <f>IF(ClientiBanca[[#This Row],[Reddito annuo]]&gt;=70000,"si","no")</f>
        <v>no</v>
      </c>
    </row>
    <row r="4851" spans="1:12">
      <c r="A4851">
        <v>104850</v>
      </c>
      <c r="B4851">
        <v>43</v>
      </c>
      <c r="C4851" s="2">
        <v>86400</v>
      </c>
      <c r="D4851" t="s">
        <v>21</v>
      </c>
      <c r="E4851" s="2">
        <v>46400</v>
      </c>
      <c r="F4851" s="2">
        <v>0</v>
      </c>
      <c r="G4851" t="s">
        <v>16</v>
      </c>
      <c r="H4851" t="s">
        <v>20</v>
      </c>
      <c r="I4851" t="s">
        <v>18</v>
      </c>
      <c r="J4851" s="3">
        <v>45397</v>
      </c>
      <c r="K4851" s="4">
        <f>ClientiBanca[[#This Row],[Prestito]]+ClientiBanca[[#This Row],[Mutuo]]</f>
        <v>46400</v>
      </c>
      <c r="L4851" t="str">
        <f>IF(ClientiBanca[[#This Row],[Reddito annuo]]&gt;=70000,"si","no")</f>
        <v>si</v>
      </c>
    </row>
    <row r="4852" spans="1:12">
      <c r="A4852">
        <v>104851</v>
      </c>
      <c r="B4852">
        <v>61</v>
      </c>
      <c r="C4852" s="2">
        <v>81900</v>
      </c>
      <c r="D4852" t="s">
        <v>12</v>
      </c>
      <c r="E4852" s="2">
        <v>13900</v>
      </c>
      <c r="F4852" s="2">
        <v>0</v>
      </c>
      <c r="G4852" t="s">
        <v>28</v>
      </c>
      <c r="H4852" t="s">
        <v>14</v>
      </c>
      <c r="I4852" t="s">
        <v>18</v>
      </c>
      <c r="J4852" s="3">
        <v>45968</v>
      </c>
      <c r="K4852" s="4">
        <f>ClientiBanca[[#This Row],[Prestito]]+ClientiBanca[[#This Row],[Mutuo]]</f>
        <v>13900</v>
      </c>
      <c r="L4852" t="str">
        <f>IF(ClientiBanca[[#This Row],[Reddito annuo]]&gt;=70000,"si","no")</f>
        <v>si</v>
      </c>
    </row>
    <row r="4853" spans="1:12">
      <c r="A4853">
        <v>104852</v>
      </c>
      <c r="B4853">
        <v>63</v>
      </c>
      <c r="C4853" s="2">
        <v>96600</v>
      </c>
      <c r="D4853" t="s">
        <v>12</v>
      </c>
      <c r="E4853" s="2">
        <v>0</v>
      </c>
      <c r="F4853" s="2">
        <v>0</v>
      </c>
      <c r="G4853" t="s">
        <v>23</v>
      </c>
      <c r="H4853" t="s">
        <v>14</v>
      </c>
      <c r="I4853" t="s">
        <v>18</v>
      </c>
      <c r="J4853" s="3">
        <v>45612</v>
      </c>
      <c r="K4853" s="4">
        <f>ClientiBanca[[#This Row],[Prestito]]+ClientiBanca[[#This Row],[Mutuo]]</f>
        <v>0</v>
      </c>
      <c r="L4853" t="str">
        <f>IF(ClientiBanca[[#This Row],[Reddito annuo]]&gt;=70000,"si","no")</f>
        <v>si</v>
      </c>
    </row>
    <row r="4854" spans="1:12">
      <c r="A4854">
        <v>104853</v>
      </c>
      <c r="B4854">
        <v>53</v>
      </c>
      <c r="C4854" s="2">
        <v>44000</v>
      </c>
      <c r="D4854" t="s">
        <v>12</v>
      </c>
      <c r="E4854" s="2">
        <v>0</v>
      </c>
      <c r="F4854" s="2">
        <v>123000</v>
      </c>
      <c r="G4854" t="s">
        <v>28</v>
      </c>
      <c r="H4854" t="s">
        <v>17</v>
      </c>
      <c r="I4854" t="s">
        <v>18</v>
      </c>
      <c r="J4854" s="3">
        <v>45430</v>
      </c>
      <c r="K4854" s="4">
        <f>ClientiBanca[[#This Row],[Prestito]]+ClientiBanca[[#This Row],[Mutuo]]</f>
        <v>123000</v>
      </c>
      <c r="L4854" t="str">
        <f>IF(ClientiBanca[[#This Row],[Reddito annuo]]&gt;=70000,"si","no")</f>
        <v>no</v>
      </c>
    </row>
    <row r="4855" spans="1:12">
      <c r="A4855">
        <v>104854</v>
      </c>
      <c r="B4855">
        <v>48</v>
      </c>
      <c r="C4855" s="2">
        <v>115800</v>
      </c>
      <c r="D4855" t="s">
        <v>12</v>
      </c>
      <c r="E4855" s="2">
        <v>0</v>
      </c>
      <c r="F4855" s="2">
        <v>0</v>
      </c>
      <c r="G4855" t="s">
        <v>19</v>
      </c>
      <c r="H4855" t="s">
        <v>20</v>
      </c>
      <c r="I4855" t="s">
        <v>18</v>
      </c>
      <c r="J4855" s="3">
        <v>46145</v>
      </c>
      <c r="K4855" s="4">
        <f>ClientiBanca[[#This Row],[Prestito]]+ClientiBanca[[#This Row],[Mutuo]]</f>
        <v>0</v>
      </c>
      <c r="L4855" t="str">
        <f>IF(ClientiBanca[[#This Row],[Reddito annuo]]&gt;=70000,"si","no")</f>
        <v>si</v>
      </c>
    </row>
    <row r="4856" spans="1:12">
      <c r="A4856">
        <v>104855</v>
      </c>
      <c r="B4856">
        <v>58</v>
      </c>
      <c r="C4856" s="2">
        <v>21500</v>
      </c>
      <c r="D4856" t="s">
        <v>12</v>
      </c>
      <c r="E4856" s="2">
        <v>22500</v>
      </c>
      <c r="F4856" s="2">
        <v>0</v>
      </c>
      <c r="G4856" t="s">
        <v>26</v>
      </c>
      <c r="H4856" t="s">
        <v>20</v>
      </c>
      <c r="I4856" t="s">
        <v>18</v>
      </c>
      <c r="J4856" s="3">
        <v>45964</v>
      </c>
      <c r="K4856" s="4">
        <f>ClientiBanca[[#This Row],[Prestito]]+ClientiBanca[[#This Row],[Mutuo]]</f>
        <v>22500</v>
      </c>
      <c r="L4856" t="str">
        <f>IF(ClientiBanca[[#This Row],[Reddito annuo]]&gt;=70000,"si","no")</f>
        <v>no</v>
      </c>
    </row>
    <row r="4857" spans="1:12">
      <c r="A4857">
        <v>104856</v>
      </c>
      <c r="B4857">
        <v>32</v>
      </c>
      <c r="C4857" s="2">
        <v>26800</v>
      </c>
      <c r="D4857" t="s">
        <v>12</v>
      </c>
      <c r="E4857" s="2">
        <v>0</v>
      </c>
      <c r="F4857" s="2">
        <v>0</v>
      </c>
      <c r="G4857" t="s">
        <v>24</v>
      </c>
      <c r="H4857" t="s">
        <v>17</v>
      </c>
      <c r="I4857" t="s">
        <v>18</v>
      </c>
      <c r="J4857" s="3">
        <v>45942</v>
      </c>
      <c r="K4857" s="4">
        <f>ClientiBanca[[#This Row],[Prestito]]+ClientiBanca[[#This Row],[Mutuo]]</f>
        <v>0</v>
      </c>
      <c r="L4857" t="str">
        <f>IF(ClientiBanca[[#This Row],[Reddito annuo]]&gt;=70000,"si","no")</f>
        <v>no</v>
      </c>
    </row>
    <row r="4858" spans="1:12">
      <c r="A4858">
        <v>104857</v>
      </c>
      <c r="B4858">
        <v>22</v>
      </c>
      <c r="C4858" s="2">
        <v>93100</v>
      </c>
      <c r="D4858" t="s">
        <v>21</v>
      </c>
      <c r="E4858" s="2">
        <v>40800</v>
      </c>
      <c r="F4858" s="2">
        <v>0</v>
      </c>
      <c r="G4858" t="s">
        <v>26</v>
      </c>
      <c r="H4858" t="s">
        <v>20</v>
      </c>
      <c r="I4858" t="s">
        <v>18</v>
      </c>
      <c r="J4858" s="3">
        <v>45542</v>
      </c>
      <c r="K4858" s="4">
        <f>ClientiBanca[[#This Row],[Prestito]]+ClientiBanca[[#This Row],[Mutuo]]</f>
        <v>40800</v>
      </c>
      <c r="L4858" t="str">
        <f>IF(ClientiBanca[[#This Row],[Reddito annuo]]&gt;=70000,"si","no")</f>
        <v>si</v>
      </c>
    </row>
    <row r="4859" spans="1:12">
      <c r="A4859">
        <v>104858</v>
      </c>
      <c r="B4859">
        <v>49</v>
      </c>
      <c r="C4859" s="2">
        <v>54400</v>
      </c>
      <c r="D4859" t="s">
        <v>21</v>
      </c>
      <c r="E4859" s="2">
        <v>0</v>
      </c>
      <c r="F4859" s="2">
        <v>0</v>
      </c>
      <c r="G4859" t="s">
        <v>28</v>
      </c>
      <c r="H4859" t="s">
        <v>25</v>
      </c>
      <c r="I4859" t="s">
        <v>18</v>
      </c>
      <c r="J4859" s="3">
        <v>45829</v>
      </c>
      <c r="K4859" s="4">
        <f>ClientiBanca[[#This Row],[Prestito]]+ClientiBanca[[#This Row],[Mutuo]]</f>
        <v>0</v>
      </c>
      <c r="L4859" t="str">
        <f>IF(ClientiBanca[[#This Row],[Reddito annuo]]&gt;=70000,"si","no")</f>
        <v>no</v>
      </c>
    </row>
    <row r="4860" spans="1:12">
      <c r="A4860">
        <v>104859</v>
      </c>
      <c r="B4860">
        <v>20</v>
      </c>
      <c r="C4860" s="2">
        <v>103500</v>
      </c>
      <c r="D4860" t="s">
        <v>21</v>
      </c>
      <c r="E4860" s="2">
        <v>0</v>
      </c>
      <c r="F4860" s="2">
        <v>0</v>
      </c>
      <c r="G4860" t="s">
        <v>24</v>
      </c>
      <c r="H4860" t="s">
        <v>25</v>
      </c>
      <c r="I4860" t="s">
        <v>18</v>
      </c>
      <c r="J4860" s="3">
        <v>45336</v>
      </c>
      <c r="K4860" s="4">
        <f>ClientiBanca[[#This Row],[Prestito]]+ClientiBanca[[#This Row],[Mutuo]]</f>
        <v>0</v>
      </c>
      <c r="L4860" t="str">
        <f>IF(ClientiBanca[[#This Row],[Reddito annuo]]&gt;=70000,"si","no")</f>
        <v>si</v>
      </c>
    </row>
    <row r="4861" spans="1:12">
      <c r="A4861">
        <v>104860</v>
      </c>
      <c r="B4861">
        <v>20</v>
      </c>
      <c r="C4861" s="2">
        <v>63700</v>
      </c>
      <c r="D4861" t="s">
        <v>21</v>
      </c>
      <c r="E4861" s="2">
        <v>44200</v>
      </c>
      <c r="F4861" s="2">
        <v>213000</v>
      </c>
      <c r="G4861" t="s">
        <v>27</v>
      </c>
      <c r="H4861" t="s">
        <v>20</v>
      </c>
      <c r="I4861" t="s">
        <v>18</v>
      </c>
      <c r="J4861" s="3">
        <v>45292</v>
      </c>
      <c r="K4861" s="4">
        <f>ClientiBanca[[#This Row],[Prestito]]+ClientiBanca[[#This Row],[Mutuo]]</f>
        <v>257200</v>
      </c>
      <c r="L4861" t="str">
        <f>IF(ClientiBanca[[#This Row],[Reddito annuo]]&gt;=70000,"si","no")</f>
        <v>no</v>
      </c>
    </row>
    <row r="4862" spans="1:12">
      <c r="A4862">
        <v>104861</v>
      </c>
      <c r="B4862">
        <v>41</v>
      </c>
      <c r="C4862" s="2">
        <v>103300</v>
      </c>
      <c r="D4862" t="s">
        <v>21</v>
      </c>
      <c r="E4862" s="2">
        <v>76700</v>
      </c>
      <c r="F4862" s="2">
        <v>0</v>
      </c>
      <c r="G4862" t="s">
        <v>28</v>
      </c>
      <c r="H4862" t="s">
        <v>17</v>
      </c>
      <c r="I4862" t="s">
        <v>18</v>
      </c>
      <c r="J4862" s="3">
        <v>45963</v>
      </c>
      <c r="K4862" s="4">
        <f>ClientiBanca[[#This Row],[Prestito]]+ClientiBanca[[#This Row],[Mutuo]]</f>
        <v>76700</v>
      </c>
      <c r="L4862" t="str">
        <f>IF(ClientiBanca[[#This Row],[Reddito annuo]]&gt;=70000,"si","no")</f>
        <v>si</v>
      </c>
    </row>
    <row r="4863" spans="1:12">
      <c r="A4863">
        <v>104862</v>
      </c>
      <c r="B4863">
        <v>74</v>
      </c>
      <c r="C4863" s="2">
        <v>69400</v>
      </c>
      <c r="D4863" t="s">
        <v>21</v>
      </c>
      <c r="E4863" s="2">
        <v>0</v>
      </c>
      <c r="F4863" s="2">
        <v>198000</v>
      </c>
      <c r="G4863" t="s">
        <v>27</v>
      </c>
      <c r="H4863" t="s">
        <v>25</v>
      </c>
      <c r="I4863" t="s">
        <v>18</v>
      </c>
      <c r="J4863" s="3">
        <v>45847</v>
      </c>
      <c r="K4863" s="4">
        <f>ClientiBanca[[#This Row],[Prestito]]+ClientiBanca[[#This Row],[Mutuo]]</f>
        <v>198000</v>
      </c>
      <c r="L4863" t="str">
        <f>IF(ClientiBanca[[#This Row],[Reddito annuo]]&gt;=70000,"si","no")</f>
        <v>no</v>
      </c>
    </row>
    <row r="4864" spans="1:12">
      <c r="A4864">
        <v>104863</v>
      </c>
      <c r="B4864">
        <v>24</v>
      </c>
      <c r="C4864" s="2">
        <v>98500</v>
      </c>
      <c r="D4864" t="s">
        <v>21</v>
      </c>
      <c r="E4864" s="2">
        <v>0</v>
      </c>
      <c r="F4864" s="2">
        <v>0</v>
      </c>
      <c r="G4864" t="s">
        <v>23</v>
      </c>
      <c r="H4864" t="s">
        <v>14</v>
      </c>
      <c r="I4864" t="s">
        <v>18</v>
      </c>
      <c r="J4864" s="3">
        <v>45896</v>
      </c>
      <c r="K4864" s="4">
        <f>ClientiBanca[[#This Row],[Prestito]]+ClientiBanca[[#This Row],[Mutuo]]</f>
        <v>0</v>
      </c>
      <c r="L4864" t="str">
        <f>IF(ClientiBanca[[#This Row],[Reddito annuo]]&gt;=70000,"si","no")</f>
        <v>si</v>
      </c>
    </row>
    <row r="4865" spans="1:12">
      <c r="A4865">
        <v>104864</v>
      </c>
      <c r="B4865">
        <v>49</v>
      </c>
      <c r="C4865" s="2">
        <v>51700</v>
      </c>
      <c r="D4865" t="s">
        <v>12</v>
      </c>
      <c r="E4865" s="2">
        <v>26600</v>
      </c>
      <c r="F4865" s="2">
        <v>304000</v>
      </c>
      <c r="G4865" t="s">
        <v>13</v>
      </c>
      <c r="H4865" t="s">
        <v>25</v>
      </c>
      <c r="I4865" t="s">
        <v>18</v>
      </c>
      <c r="J4865" s="3">
        <v>45352</v>
      </c>
      <c r="K4865" s="4">
        <f>ClientiBanca[[#This Row],[Prestito]]+ClientiBanca[[#This Row],[Mutuo]]</f>
        <v>330600</v>
      </c>
      <c r="L4865" t="str">
        <f>IF(ClientiBanca[[#This Row],[Reddito annuo]]&gt;=70000,"si","no")</f>
        <v>no</v>
      </c>
    </row>
    <row r="4866" spans="1:12">
      <c r="A4866">
        <v>104865</v>
      </c>
      <c r="B4866">
        <v>48</v>
      </c>
      <c r="C4866" s="2">
        <v>20600</v>
      </c>
      <c r="D4866" t="s">
        <v>12</v>
      </c>
      <c r="E4866" s="2">
        <v>0</v>
      </c>
      <c r="F4866" s="2">
        <v>0</v>
      </c>
      <c r="G4866" t="s">
        <v>24</v>
      </c>
      <c r="H4866" t="s">
        <v>14</v>
      </c>
      <c r="I4866" t="s">
        <v>18</v>
      </c>
      <c r="J4866" s="3">
        <v>45462</v>
      </c>
      <c r="K4866" s="4">
        <f>ClientiBanca[[#This Row],[Prestito]]+ClientiBanca[[#This Row],[Mutuo]]</f>
        <v>0</v>
      </c>
      <c r="L4866" t="str">
        <f>IF(ClientiBanca[[#This Row],[Reddito annuo]]&gt;=70000,"si","no")</f>
        <v>no</v>
      </c>
    </row>
    <row r="4867" spans="1:12">
      <c r="A4867">
        <v>104866</v>
      </c>
      <c r="B4867">
        <v>73</v>
      </c>
      <c r="C4867" s="2">
        <v>88000</v>
      </c>
      <c r="D4867" t="s">
        <v>12</v>
      </c>
      <c r="E4867" s="2">
        <v>0</v>
      </c>
      <c r="F4867" s="2">
        <v>0</v>
      </c>
      <c r="G4867" t="s">
        <v>16</v>
      </c>
      <c r="H4867" t="s">
        <v>20</v>
      </c>
      <c r="I4867" t="s">
        <v>18</v>
      </c>
      <c r="J4867" s="3">
        <v>45842</v>
      </c>
      <c r="K4867" s="4">
        <f>ClientiBanca[[#This Row],[Prestito]]+ClientiBanca[[#This Row],[Mutuo]]</f>
        <v>0</v>
      </c>
      <c r="L4867" t="str">
        <f>IF(ClientiBanca[[#This Row],[Reddito annuo]]&gt;=70000,"si","no")</f>
        <v>si</v>
      </c>
    </row>
    <row r="4868" spans="1:12">
      <c r="A4868">
        <v>104867</v>
      </c>
      <c r="B4868">
        <v>69</v>
      </c>
      <c r="C4868" s="2">
        <v>91800</v>
      </c>
      <c r="D4868" t="s">
        <v>21</v>
      </c>
      <c r="E4868" s="2">
        <v>62700</v>
      </c>
      <c r="F4868" s="2">
        <v>226000</v>
      </c>
      <c r="G4868" t="s">
        <v>28</v>
      </c>
      <c r="H4868" t="s">
        <v>17</v>
      </c>
      <c r="I4868" t="s">
        <v>18</v>
      </c>
      <c r="J4868" s="3">
        <v>45623</v>
      </c>
      <c r="K4868" s="4">
        <f>ClientiBanca[[#This Row],[Prestito]]+ClientiBanca[[#This Row],[Mutuo]]</f>
        <v>288700</v>
      </c>
      <c r="L4868" t="str">
        <f>IF(ClientiBanca[[#This Row],[Reddito annuo]]&gt;=70000,"si","no")</f>
        <v>si</v>
      </c>
    </row>
    <row r="4869" spans="1:12">
      <c r="A4869">
        <v>104868</v>
      </c>
      <c r="B4869">
        <v>42</v>
      </c>
      <c r="C4869" s="2">
        <v>67900</v>
      </c>
      <c r="D4869" t="s">
        <v>21</v>
      </c>
      <c r="E4869" s="2">
        <v>52100</v>
      </c>
      <c r="F4869" s="2">
        <v>157000</v>
      </c>
      <c r="G4869" t="s">
        <v>19</v>
      </c>
      <c r="H4869" t="s">
        <v>14</v>
      </c>
      <c r="I4869" t="s">
        <v>18</v>
      </c>
      <c r="J4869" s="3">
        <v>45758</v>
      </c>
      <c r="K4869" s="4">
        <f>ClientiBanca[[#This Row],[Prestito]]+ClientiBanca[[#This Row],[Mutuo]]</f>
        <v>209100</v>
      </c>
      <c r="L4869" t="str">
        <f>IF(ClientiBanca[[#This Row],[Reddito annuo]]&gt;=70000,"si","no")</f>
        <v>no</v>
      </c>
    </row>
    <row r="4870" spans="1:12">
      <c r="A4870">
        <v>104869</v>
      </c>
      <c r="B4870">
        <v>74</v>
      </c>
      <c r="C4870" s="2">
        <v>111800</v>
      </c>
      <c r="D4870" t="s">
        <v>22</v>
      </c>
      <c r="E4870" s="2">
        <v>21600</v>
      </c>
      <c r="F4870" s="2">
        <v>0</v>
      </c>
      <c r="G4870" t="s">
        <v>13</v>
      </c>
      <c r="H4870" t="s">
        <v>14</v>
      </c>
      <c r="I4870" t="s">
        <v>15</v>
      </c>
      <c r="J4870" s="3">
        <v>45906</v>
      </c>
      <c r="K4870" s="4">
        <f>ClientiBanca[[#This Row],[Prestito]]+ClientiBanca[[#This Row],[Mutuo]]</f>
        <v>21600</v>
      </c>
      <c r="L4870" t="str">
        <f>IF(ClientiBanca[[#This Row],[Reddito annuo]]&gt;=70000,"si","no")</f>
        <v>si</v>
      </c>
    </row>
    <row r="4871" spans="1:12">
      <c r="A4871">
        <v>104870</v>
      </c>
      <c r="B4871">
        <v>21</v>
      </c>
      <c r="C4871" s="2">
        <v>50000</v>
      </c>
      <c r="D4871" t="s">
        <v>22</v>
      </c>
      <c r="E4871" s="2">
        <v>26600</v>
      </c>
      <c r="F4871" s="2">
        <v>239000</v>
      </c>
      <c r="G4871" t="s">
        <v>16</v>
      </c>
      <c r="H4871" t="s">
        <v>20</v>
      </c>
      <c r="I4871" t="s">
        <v>18</v>
      </c>
      <c r="J4871" s="3">
        <v>45907</v>
      </c>
      <c r="K4871" s="4">
        <f>ClientiBanca[[#This Row],[Prestito]]+ClientiBanca[[#This Row],[Mutuo]]</f>
        <v>265600</v>
      </c>
      <c r="L4871" t="str">
        <f>IF(ClientiBanca[[#This Row],[Reddito annuo]]&gt;=70000,"si","no")</f>
        <v>no</v>
      </c>
    </row>
    <row r="4872" spans="1:12">
      <c r="A4872">
        <v>104871</v>
      </c>
      <c r="B4872">
        <v>62</v>
      </c>
      <c r="C4872" s="2">
        <v>81200</v>
      </c>
      <c r="D4872" t="s">
        <v>22</v>
      </c>
      <c r="E4872" s="2">
        <v>0</v>
      </c>
      <c r="F4872" s="2">
        <v>0</v>
      </c>
      <c r="G4872" t="s">
        <v>26</v>
      </c>
      <c r="H4872" t="s">
        <v>20</v>
      </c>
      <c r="I4872" t="s">
        <v>18</v>
      </c>
      <c r="J4872" s="3">
        <v>45771</v>
      </c>
      <c r="K4872" s="4">
        <f>ClientiBanca[[#This Row],[Prestito]]+ClientiBanca[[#This Row],[Mutuo]]</f>
        <v>0</v>
      </c>
      <c r="L4872" t="str">
        <f>IF(ClientiBanca[[#This Row],[Reddito annuo]]&gt;=70000,"si","no")</f>
        <v>si</v>
      </c>
    </row>
    <row r="4873" spans="1:12">
      <c r="A4873">
        <v>104872</v>
      </c>
      <c r="B4873">
        <v>56</v>
      </c>
      <c r="C4873" s="2">
        <v>48600</v>
      </c>
      <c r="D4873" t="s">
        <v>12</v>
      </c>
      <c r="E4873" s="2">
        <v>18200</v>
      </c>
      <c r="F4873" s="2">
        <v>0</v>
      </c>
      <c r="G4873" t="s">
        <v>13</v>
      </c>
      <c r="H4873" t="s">
        <v>20</v>
      </c>
      <c r="I4873" t="s">
        <v>18</v>
      </c>
      <c r="J4873" s="3">
        <v>46236</v>
      </c>
      <c r="K4873" s="4">
        <f>ClientiBanca[[#This Row],[Prestito]]+ClientiBanca[[#This Row],[Mutuo]]</f>
        <v>18200</v>
      </c>
      <c r="L4873" t="str">
        <f>IF(ClientiBanca[[#This Row],[Reddito annuo]]&gt;=70000,"si","no")</f>
        <v>no</v>
      </c>
    </row>
    <row r="4874" spans="1:12">
      <c r="A4874">
        <v>104873</v>
      </c>
      <c r="B4874">
        <v>54</v>
      </c>
      <c r="C4874" s="2">
        <v>32700</v>
      </c>
      <c r="D4874" t="s">
        <v>21</v>
      </c>
      <c r="E4874" s="2">
        <v>0</v>
      </c>
      <c r="F4874" s="2">
        <v>0</v>
      </c>
      <c r="G4874" t="s">
        <v>28</v>
      </c>
      <c r="H4874" t="s">
        <v>14</v>
      </c>
      <c r="I4874" t="s">
        <v>18</v>
      </c>
      <c r="J4874" s="3">
        <v>45817</v>
      </c>
      <c r="K4874" s="4">
        <f>ClientiBanca[[#This Row],[Prestito]]+ClientiBanca[[#This Row],[Mutuo]]</f>
        <v>0</v>
      </c>
      <c r="L4874" t="str">
        <f>IF(ClientiBanca[[#This Row],[Reddito annuo]]&gt;=70000,"si","no")</f>
        <v>no</v>
      </c>
    </row>
    <row r="4875" spans="1:12">
      <c r="A4875">
        <v>104874</v>
      </c>
      <c r="B4875">
        <v>37</v>
      </c>
      <c r="C4875" s="2">
        <v>49200</v>
      </c>
      <c r="D4875" t="s">
        <v>12</v>
      </c>
      <c r="E4875" s="2">
        <v>32800</v>
      </c>
      <c r="F4875" s="2">
        <v>0</v>
      </c>
      <c r="G4875" t="s">
        <v>27</v>
      </c>
      <c r="H4875" t="s">
        <v>14</v>
      </c>
      <c r="I4875" t="s">
        <v>18</v>
      </c>
      <c r="J4875" s="3">
        <v>45470</v>
      </c>
      <c r="K4875" s="4">
        <f>ClientiBanca[[#This Row],[Prestito]]+ClientiBanca[[#This Row],[Mutuo]]</f>
        <v>32800</v>
      </c>
      <c r="L4875" t="str">
        <f>IF(ClientiBanca[[#This Row],[Reddito annuo]]&gt;=70000,"si","no")</f>
        <v>no</v>
      </c>
    </row>
    <row r="4876" spans="1:12">
      <c r="A4876">
        <v>104875</v>
      </c>
      <c r="B4876">
        <v>46</v>
      </c>
      <c r="C4876" s="2">
        <v>40200</v>
      </c>
      <c r="D4876" t="s">
        <v>22</v>
      </c>
      <c r="E4876" s="2">
        <v>28200</v>
      </c>
      <c r="F4876" s="2">
        <v>0</v>
      </c>
      <c r="G4876" t="s">
        <v>27</v>
      </c>
      <c r="H4876" t="s">
        <v>25</v>
      </c>
      <c r="I4876" t="s">
        <v>18</v>
      </c>
      <c r="J4876" s="3">
        <v>45481</v>
      </c>
      <c r="K4876" s="4">
        <f>ClientiBanca[[#This Row],[Prestito]]+ClientiBanca[[#This Row],[Mutuo]]</f>
        <v>28200</v>
      </c>
      <c r="L4876" t="str">
        <f>IF(ClientiBanca[[#This Row],[Reddito annuo]]&gt;=70000,"si","no")</f>
        <v>no</v>
      </c>
    </row>
    <row r="4877" spans="1:12">
      <c r="A4877">
        <v>104876</v>
      </c>
      <c r="B4877">
        <v>21</v>
      </c>
      <c r="C4877" s="2">
        <v>88900</v>
      </c>
      <c r="D4877" t="s">
        <v>12</v>
      </c>
      <c r="E4877" s="2">
        <v>26100</v>
      </c>
      <c r="F4877" s="2">
        <v>0</v>
      </c>
      <c r="G4877" t="s">
        <v>13</v>
      </c>
      <c r="H4877" t="s">
        <v>17</v>
      </c>
      <c r="I4877" t="s">
        <v>18</v>
      </c>
      <c r="J4877" s="3">
        <v>46176</v>
      </c>
      <c r="K4877" s="4">
        <f>ClientiBanca[[#This Row],[Prestito]]+ClientiBanca[[#This Row],[Mutuo]]</f>
        <v>26100</v>
      </c>
      <c r="L4877" t="str">
        <f>IF(ClientiBanca[[#This Row],[Reddito annuo]]&gt;=70000,"si","no")</f>
        <v>si</v>
      </c>
    </row>
    <row r="4878" spans="1:12">
      <c r="A4878">
        <v>104877</v>
      </c>
      <c r="B4878">
        <v>33</v>
      </c>
      <c r="C4878" s="2">
        <v>111300</v>
      </c>
      <c r="D4878" t="s">
        <v>12</v>
      </c>
      <c r="E4878" s="2">
        <v>0</v>
      </c>
      <c r="F4878" s="2">
        <v>0</v>
      </c>
      <c r="G4878" t="s">
        <v>24</v>
      </c>
      <c r="H4878" t="s">
        <v>17</v>
      </c>
      <c r="I4878" t="s">
        <v>18</v>
      </c>
      <c r="J4878" s="3">
        <v>45923</v>
      </c>
      <c r="K4878" s="4">
        <f>ClientiBanca[[#This Row],[Prestito]]+ClientiBanca[[#This Row],[Mutuo]]</f>
        <v>0</v>
      </c>
      <c r="L4878" t="str">
        <f>IF(ClientiBanca[[#This Row],[Reddito annuo]]&gt;=70000,"si","no")</f>
        <v>si</v>
      </c>
    </row>
    <row r="4879" spans="1:12">
      <c r="A4879">
        <v>104878</v>
      </c>
      <c r="B4879">
        <v>28</v>
      </c>
      <c r="C4879" s="2">
        <v>48700</v>
      </c>
      <c r="D4879" t="s">
        <v>22</v>
      </c>
      <c r="E4879" s="2">
        <v>0</v>
      </c>
      <c r="F4879" s="2">
        <v>0</v>
      </c>
      <c r="G4879" t="s">
        <v>16</v>
      </c>
      <c r="H4879" t="s">
        <v>17</v>
      </c>
      <c r="I4879" t="s">
        <v>18</v>
      </c>
      <c r="J4879" s="3">
        <v>46011</v>
      </c>
      <c r="K4879" s="4">
        <f>ClientiBanca[[#This Row],[Prestito]]+ClientiBanca[[#This Row],[Mutuo]]</f>
        <v>0</v>
      </c>
      <c r="L4879" t="str">
        <f>IF(ClientiBanca[[#This Row],[Reddito annuo]]&gt;=70000,"si","no")</f>
        <v>no</v>
      </c>
    </row>
    <row r="4880" spans="1:12">
      <c r="A4880">
        <v>104879</v>
      </c>
      <c r="B4880">
        <v>64</v>
      </c>
      <c r="C4880" s="2">
        <v>63200</v>
      </c>
      <c r="D4880" t="s">
        <v>21</v>
      </c>
      <c r="E4880" s="2">
        <v>6300</v>
      </c>
      <c r="F4880" s="2">
        <v>254000</v>
      </c>
      <c r="G4880" t="s">
        <v>13</v>
      </c>
      <c r="H4880" t="s">
        <v>20</v>
      </c>
      <c r="I4880" t="s">
        <v>18</v>
      </c>
      <c r="J4880" s="3">
        <v>46169</v>
      </c>
      <c r="K4880" s="4">
        <f>ClientiBanca[[#This Row],[Prestito]]+ClientiBanca[[#This Row],[Mutuo]]</f>
        <v>260300</v>
      </c>
      <c r="L4880" t="str">
        <f>IF(ClientiBanca[[#This Row],[Reddito annuo]]&gt;=70000,"si","no")</f>
        <v>no</v>
      </c>
    </row>
    <row r="4881" spans="1:12">
      <c r="A4881">
        <v>104880</v>
      </c>
      <c r="B4881">
        <v>29</v>
      </c>
      <c r="C4881" s="2">
        <v>45400</v>
      </c>
      <c r="D4881" t="s">
        <v>21</v>
      </c>
      <c r="E4881" s="2">
        <v>56800</v>
      </c>
      <c r="F4881" s="2">
        <v>0</v>
      </c>
      <c r="G4881" t="s">
        <v>28</v>
      </c>
      <c r="H4881" t="s">
        <v>17</v>
      </c>
      <c r="I4881" t="s">
        <v>15</v>
      </c>
      <c r="J4881" s="3">
        <v>46225</v>
      </c>
      <c r="K4881" s="4">
        <f>ClientiBanca[[#This Row],[Prestito]]+ClientiBanca[[#This Row],[Mutuo]]</f>
        <v>56800</v>
      </c>
      <c r="L4881" t="str">
        <f>IF(ClientiBanca[[#This Row],[Reddito annuo]]&gt;=70000,"si","no")</f>
        <v>no</v>
      </c>
    </row>
    <row r="4882" spans="1:12">
      <c r="A4882">
        <v>104881</v>
      </c>
      <c r="B4882">
        <v>42</v>
      </c>
      <c r="C4882" s="2">
        <v>35700</v>
      </c>
      <c r="D4882" t="s">
        <v>12</v>
      </c>
      <c r="E4882" s="2">
        <v>43000</v>
      </c>
      <c r="F4882" s="2">
        <v>0</v>
      </c>
      <c r="G4882" t="s">
        <v>26</v>
      </c>
      <c r="H4882" t="s">
        <v>14</v>
      </c>
      <c r="I4882" t="s">
        <v>18</v>
      </c>
      <c r="J4882" s="3">
        <v>45343</v>
      </c>
      <c r="K4882" s="4">
        <f>ClientiBanca[[#This Row],[Prestito]]+ClientiBanca[[#This Row],[Mutuo]]</f>
        <v>43000</v>
      </c>
      <c r="L4882" t="str">
        <f>IF(ClientiBanca[[#This Row],[Reddito annuo]]&gt;=70000,"si","no")</f>
        <v>no</v>
      </c>
    </row>
    <row r="4883" spans="1:12">
      <c r="A4883">
        <v>104882</v>
      </c>
      <c r="B4883">
        <v>59</v>
      </c>
      <c r="C4883" s="2">
        <v>105400</v>
      </c>
      <c r="D4883" t="s">
        <v>12</v>
      </c>
      <c r="E4883" s="2">
        <v>32900</v>
      </c>
      <c r="F4883" s="2">
        <v>167000</v>
      </c>
      <c r="G4883" t="s">
        <v>28</v>
      </c>
      <c r="H4883" t="s">
        <v>20</v>
      </c>
      <c r="I4883" t="s">
        <v>18</v>
      </c>
      <c r="J4883" s="3">
        <v>45540</v>
      </c>
      <c r="K4883" s="4">
        <f>ClientiBanca[[#This Row],[Prestito]]+ClientiBanca[[#This Row],[Mutuo]]</f>
        <v>199900</v>
      </c>
      <c r="L4883" t="str">
        <f>IF(ClientiBanca[[#This Row],[Reddito annuo]]&gt;=70000,"si","no")</f>
        <v>si</v>
      </c>
    </row>
    <row r="4884" spans="1:12">
      <c r="A4884">
        <v>104883</v>
      </c>
      <c r="B4884">
        <v>23</v>
      </c>
      <c r="C4884" s="2">
        <v>106500</v>
      </c>
      <c r="D4884" t="s">
        <v>12</v>
      </c>
      <c r="E4884" s="2">
        <v>15600</v>
      </c>
      <c r="F4884" s="2">
        <v>0</v>
      </c>
      <c r="G4884" t="s">
        <v>27</v>
      </c>
      <c r="H4884" t="s">
        <v>14</v>
      </c>
      <c r="I4884" t="s">
        <v>15</v>
      </c>
      <c r="J4884" s="3">
        <v>46095</v>
      </c>
      <c r="K4884" s="4">
        <f>ClientiBanca[[#This Row],[Prestito]]+ClientiBanca[[#This Row],[Mutuo]]</f>
        <v>15600</v>
      </c>
      <c r="L4884" t="str">
        <f>IF(ClientiBanca[[#This Row],[Reddito annuo]]&gt;=70000,"si","no")</f>
        <v>si</v>
      </c>
    </row>
    <row r="4885" spans="1:12">
      <c r="A4885">
        <v>104884</v>
      </c>
      <c r="B4885">
        <v>63</v>
      </c>
      <c r="C4885" s="2">
        <v>30400</v>
      </c>
      <c r="D4885" t="s">
        <v>12</v>
      </c>
      <c r="E4885" s="2">
        <v>0</v>
      </c>
      <c r="F4885" s="2">
        <v>0</v>
      </c>
      <c r="G4885" t="s">
        <v>28</v>
      </c>
      <c r="H4885" t="s">
        <v>17</v>
      </c>
      <c r="I4885" t="s">
        <v>18</v>
      </c>
      <c r="J4885" s="3">
        <v>46080</v>
      </c>
      <c r="K4885" s="4">
        <f>ClientiBanca[[#This Row],[Prestito]]+ClientiBanca[[#This Row],[Mutuo]]</f>
        <v>0</v>
      </c>
      <c r="L4885" t="str">
        <f>IF(ClientiBanca[[#This Row],[Reddito annuo]]&gt;=70000,"si","no")</f>
        <v>no</v>
      </c>
    </row>
    <row r="4886" spans="1:12">
      <c r="A4886">
        <v>104885</v>
      </c>
      <c r="B4886">
        <v>63</v>
      </c>
      <c r="C4886" s="2">
        <v>32700</v>
      </c>
      <c r="D4886" t="s">
        <v>21</v>
      </c>
      <c r="E4886" s="2">
        <v>40900</v>
      </c>
      <c r="F4886" s="2">
        <v>138000</v>
      </c>
      <c r="G4886" t="s">
        <v>23</v>
      </c>
      <c r="H4886" t="s">
        <v>20</v>
      </c>
      <c r="I4886" t="s">
        <v>18</v>
      </c>
      <c r="J4886" s="3">
        <v>45869</v>
      </c>
      <c r="K4886" s="4">
        <f>ClientiBanca[[#This Row],[Prestito]]+ClientiBanca[[#This Row],[Mutuo]]</f>
        <v>178900</v>
      </c>
      <c r="L4886" t="str">
        <f>IF(ClientiBanca[[#This Row],[Reddito annuo]]&gt;=70000,"si","no")</f>
        <v>no</v>
      </c>
    </row>
    <row r="4887" spans="1:12">
      <c r="A4887">
        <v>104886</v>
      </c>
      <c r="B4887">
        <v>50</v>
      </c>
      <c r="C4887" s="2">
        <v>95000</v>
      </c>
      <c r="D4887" t="s">
        <v>21</v>
      </c>
      <c r="E4887" s="2">
        <v>52400</v>
      </c>
      <c r="F4887" s="2">
        <v>0</v>
      </c>
      <c r="G4887" t="s">
        <v>24</v>
      </c>
      <c r="H4887" t="s">
        <v>14</v>
      </c>
      <c r="I4887" t="s">
        <v>18</v>
      </c>
      <c r="J4887" s="3">
        <v>45679</v>
      </c>
      <c r="K4887" s="4">
        <f>ClientiBanca[[#This Row],[Prestito]]+ClientiBanca[[#This Row],[Mutuo]]</f>
        <v>52400</v>
      </c>
      <c r="L4887" t="str">
        <f>IF(ClientiBanca[[#This Row],[Reddito annuo]]&gt;=70000,"si","no")</f>
        <v>si</v>
      </c>
    </row>
    <row r="4888" spans="1:12">
      <c r="A4888">
        <v>104887</v>
      </c>
      <c r="B4888">
        <v>42</v>
      </c>
      <c r="C4888" s="2">
        <v>109500</v>
      </c>
      <c r="D4888" t="s">
        <v>21</v>
      </c>
      <c r="E4888" s="2">
        <v>16000</v>
      </c>
      <c r="F4888" s="2">
        <v>0</v>
      </c>
      <c r="G4888" t="s">
        <v>19</v>
      </c>
      <c r="H4888" t="s">
        <v>14</v>
      </c>
      <c r="I4888" t="s">
        <v>18</v>
      </c>
      <c r="J4888" s="3">
        <v>45660</v>
      </c>
      <c r="K4888" s="4">
        <f>ClientiBanca[[#This Row],[Prestito]]+ClientiBanca[[#This Row],[Mutuo]]</f>
        <v>16000</v>
      </c>
      <c r="L4888" t="str">
        <f>IF(ClientiBanca[[#This Row],[Reddito annuo]]&gt;=70000,"si","no")</f>
        <v>si</v>
      </c>
    </row>
    <row r="4889" spans="1:12">
      <c r="A4889">
        <v>104888</v>
      </c>
      <c r="B4889">
        <v>21</v>
      </c>
      <c r="C4889" s="2">
        <v>77900</v>
      </c>
      <c r="D4889" t="s">
        <v>21</v>
      </c>
      <c r="E4889" s="2">
        <v>80500</v>
      </c>
      <c r="F4889" s="2">
        <v>0</v>
      </c>
      <c r="G4889" t="s">
        <v>24</v>
      </c>
      <c r="H4889" t="s">
        <v>17</v>
      </c>
      <c r="I4889" t="s">
        <v>18</v>
      </c>
      <c r="J4889" s="3">
        <v>45814</v>
      </c>
      <c r="K4889" s="4">
        <f>ClientiBanca[[#This Row],[Prestito]]+ClientiBanca[[#This Row],[Mutuo]]</f>
        <v>80500</v>
      </c>
      <c r="L4889" t="str">
        <f>IF(ClientiBanca[[#This Row],[Reddito annuo]]&gt;=70000,"si","no")</f>
        <v>si</v>
      </c>
    </row>
    <row r="4890" spans="1:12">
      <c r="A4890">
        <v>104889</v>
      </c>
      <c r="B4890">
        <v>50</v>
      </c>
      <c r="C4890" s="2">
        <v>35300</v>
      </c>
      <c r="D4890" t="s">
        <v>21</v>
      </c>
      <c r="E4890" s="2">
        <v>25500</v>
      </c>
      <c r="F4890" s="2">
        <v>0</v>
      </c>
      <c r="G4890" t="s">
        <v>26</v>
      </c>
      <c r="H4890" t="s">
        <v>17</v>
      </c>
      <c r="I4890" t="s">
        <v>18</v>
      </c>
      <c r="J4890" s="3">
        <v>45584</v>
      </c>
      <c r="K4890" s="4">
        <f>ClientiBanca[[#This Row],[Prestito]]+ClientiBanca[[#This Row],[Mutuo]]</f>
        <v>25500</v>
      </c>
      <c r="L4890" t="str">
        <f>IF(ClientiBanca[[#This Row],[Reddito annuo]]&gt;=70000,"si","no")</f>
        <v>no</v>
      </c>
    </row>
    <row r="4891" spans="1:12">
      <c r="A4891">
        <v>104890</v>
      </c>
      <c r="B4891">
        <v>48</v>
      </c>
      <c r="C4891" s="2">
        <v>68900</v>
      </c>
      <c r="D4891" t="s">
        <v>21</v>
      </c>
      <c r="E4891" s="2">
        <v>41900</v>
      </c>
      <c r="F4891" s="2">
        <v>0</v>
      </c>
      <c r="G4891" t="s">
        <v>26</v>
      </c>
      <c r="H4891" t="s">
        <v>20</v>
      </c>
      <c r="I4891" t="s">
        <v>15</v>
      </c>
      <c r="J4891" s="3">
        <v>46129</v>
      </c>
      <c r="K4891" s="4">
        <f>ClientiBanca[[#This Row],[Prestito]]+ClientiBanca[[#This Row],[Mutuo]]</f>
        <v>41900</v>
      </c>
      <c r="L4891" t="str">
        <f>IF(ClientiBanca[[#This Row],[Reddito annuo]]&gt;=70000,"si","no")</f>
        <v>no</v>
      </c>
    </row>
    <row r="4892" spans="1:12">
      <c r="A4892">
        <v>104891</v>
      </c>
      <c r="B4892">
        <v>27</v>
      </c>
      <c r="C4892" s="2">
        <v>74700</v>
      </c>
      <c r="D4892" t="s">
        <v>21</v>
      </c>
      <c r="E4892" s="2">
        <v>44000</v>
      </c>
      <c r="F4892" s="2">
        <v>0</v>
      </c>
      <c r="G4892" t="s">
        <v>23</v>
      </c>
      <c r="H4892" t="s">
        <v>17</v>
      </c>
      <c r="I4892" t="s">
        <v>18</v>
      </c>
      <c r="J4892" s="3">
        <v>46223</v>
      </c>
      <c r="K4892" s="4">
        <f>ClientiBanca[[#This Row],[Prestito]]+ClientiBanca[[#This Row],[Mutuo]]</f>
        <v>44000</v>
      </c>
      <c r="L4892" t="str">
        <f>IF(ClientiBanca[[#This Row],[Reddito annuo]]&gt;=70000,"si","no")</f>
        <v>si</v>
      </c>
    </row>
    <row r="4893" spans="1:12">
      <c r="A4893">
        <v>104892</v>
      </c>
      <c r="B4893">
        <v>41</v>
      </c>
      <c r="C4893" s="2">
        <v>71200</v>
      </c>
      <c r="D4893" t="s">
        <v>22</v>
      </c>
      <c r="E4893" s="2">
        <v>39100</v>
      </c>
      <c r="F4893" s="2">
        <v>0</v>
      </c>
      <c r="G4893" t="s">
        <v>23</v>
      </c>
      <c r="H4893" t="s">
        <v>17</v>
      </c>
      <c r="I4893" t="s">
        <v>18</v>
      </c>
      <c r="J4893" s="3">
        <v>46187</v>
      </c>
      <c r="K4893" s="4">
        <f>ClientiBanca[[#This Row],[Prestito]]+ClientiBanca[[#This Row],[Mutuo]]</f>
        <v>39100</v>
      </c>
      <c r="L4893" t="str">
        <f>IF(ClientiBanca[[#This Row],[Reddito annuo]]&gt;=70000,"si","no")</f>
        <v>si</v>
      </c>
    </row>
    <row r="4894" spans="1:12">
      <c r="A4894">
        <v>104893</v>
      </c>
      <c r="B4894">
        <v>43</v>
      </c>
      <c r="C4894" s="2">
        <v>71700</v>
      </c>
      <c r="D4894" t="s">
        <v>21</v>
      </c>
      <c r="E4894" s="2">
        <v>17200</v>
      </c>
      <c r="F4894" s="2">
        <v>0</v>
      </c>
      <c r="G4894" t="s">
        <v>13</v>
      </c>
      <c r="H4894" t="s">
        <v>17</v>
      </c>
      <c r="I4894" t="s">
        <v>18</v>
      </c>
      <c r="J4894" s="3">
        <v>46245</v>
      </c>
      <c r="K4894" s="4">
        <f>ClientiBanca[[#This Row],[Prestito]]+ClientiBanca[[#This Row],[Mutuo]]</f>
        <v>17200</v>
      </c>
      <c r="L4894" t="str">
        <f>IF(ClientiBanca[[#This Row],[Reddito annuo]]&gt;=70000,"si","no")</f>
        <v>si</v>
      </c>
    </row>
    <row r="4895" spans="1:12">
      <c r="A4895">
        <v>104894</v>
      </c>
      <c r="B4895">
        <v>61</v>
      </c>
      <c r="C4895" s="2">
        <v>38200</v>
      </c>
      <c r="D4895" t="s">
        <v>21</v>
      </c>
      <c r="E4895" s="2">
        <v>31500</v>
      </c>
      <c r="F4895" s="2">
        <v>0</v>
      </c>
      <c r="G4895" t="s">
        <v>28</v>
      </c>
      <c r="H4895" t="s">
        <v>14</v>
      </c>
      <c r="I4895" t="s">
        <v>15</v>
      </c>
      <c r="J4895" s="3">
        <v>45297</v>
      </c>
      <c r="K4895" s="4">
        <f>ClientiBanca[[#This Row],[Prestito]]+ClientiBanca[[#This Row],[Mutuo]]</f>
        <v>31500</v>
      </c>
      <c r="L4895" t="str">
        <f>IF(ClientiBanca[[#This Row],[Reddito annuo]]&gt;=70000,"si","no")</f>
        <v>no</v>
      </c>
    </row>
    <row r="4896" spans="1:12">
      <c r="A4896">
        <v>104895</v>
      </c>
      <c r="B4896">
        <v>75</v>
      </c>
      <c r="C4896" s="2">
        <v>35000</v>
      </c>
      <c r="D4896" t="s">
        <v>12</v>
      </c>
      <c r="E4896" s="2">
        <v>43800</v>
      </c>
      <c r="F4896" s="2">
        <v>0</v>
      </c>
      <c r="G4896" t="s">
        <v>23</v>
      </c>
      <c r="H4896" t="s">
        <v>17</v>
      </c>
      <c r="I4896" t="s">
        <v>18</v>
      </c>
      <c r="J4896" s="3">
        <v>45850</v>
      </c>
      <c r="K4896" s="4">
        <f>ClientiBanca[[#This Row],[Prestito]]+ClientiBanca[[#This Row],[Mutuo]]</f>
        <v>43800</v>
      </c>
      <c r="L4896" t="str">
        <f>IF(ClientiBanca[[#This Row],[Reddito annuo]]&gt;=70000,"si","no")</f>
        <v>no</v>
      </c>
    </row>
    <row r="4897" spans="1:12">
      <c r="A4897">
        <v>104896</v>
      </c>
      <c r="B4897">
        <v>59</v>
      </c>
      <c r="C4897" s="2">
        <v>113400</v>
      </c>
      <c r="D4897" t="s">
        <v>22</v>
      </c>
      <c r="E4897" s="2">
        <v>39900</v>
      </c>
      <c r="F4897" s="2">
        <v>0</v>
      </c>
      <c r="G4897" t="s">
        <v>26</v>
      </c>
      <c r="H4897" t="s">
        <v>20</v>
      </c>
      <c r="I4897" t="s">
        <v>18</v>
      </c>
      <c r="J4897" s="3">
        <v>46080</v>
      </c>
      <c r="K4897" s="4">
        <f>ClientiBanca[[#This Row],[Prestito]]+ClientiBanca[[#This Row],[Mutuo]]</f>
        <v>39900</v>
      </c>
      <c r="L4897" t="str">
        <f>IF(ClientiBanca[[#This Row],[Reddito annuo]]&gt;=70000,"si","no")</f>
        <v>si</v>
      </c>
    </row>
    <row r="4898" spans="1:12">
      <c r="A4898">
        <v>104897</v>
      </c>
      <c r="B4898">
        <v>37</v>
      </c>
      <c r="C4898" s="2">
        <v>57700</v>
      </c>
      <c r="D4898" t="s">
        <v>22</v>
      </c>
      <c r="E4898" s="2">
        <v>42000</v>
      </c>
      <c r="F4898" s="2">
        <v>0</v>
      </c>
      <c r="G4898" t="s">
        <v>16</v>
      </c>
      <c r="H4898" t="s">
        <v>17</v>
      </c>
      <c r="I4898" t="s">
        <v>18</v>
      </c>
      <c r="J4898" s="3">
        <v>45888</v>
      </c>
      <c r="K4898" s="4">
        <f>ClientiBanca[[#This Row],[Prestito]]+ClientiBanca[[#This Row],[Mutuo]]</f>
        <v>42000</v>
      </c>
      <c r="L4898" t="str">
        <f>IF(ClientiBanca[[#This Row],[Reddito annuo]]&gt;=70000,"si","no")</f>
        <v>no</v>
      </c>
    </row>
    <row r="4899" spans="1:12">
      <c r="A4899">
        <v>104898</v>
      </c>
      <c r="B4899">
        <v>33</v>
      </c>
      <c r="C4899" s="2">
        <v>77000</v>
      </c>
      <c r="D4899" t="s">
        <v>21</v>
      </c>
      <c r="E4899" s="2">
        <v>49200</v>
      </c>
      <c r="F4899" s="2">
        <v>0</v>
      </c>
      <c r="G4899" t="s">
        <v>28</v>
      </c>
      <c r="H4899" t="s">
        <v>17</v>
      </c>
      <c r="I4899" t="s">
        <v>18</v>
      </c>
      <c r="J4899" s="3">
        <v>46036</v>
      </c>
      <c r="K4899" s="4">
        <f>ClientiBanca[[#This Row],[Prestito]]+ClientiBanca[[#This Row],[Mutuo]]</f>
        <v>49200</v>
      </c>
      <c r="L4899" t="str">
        <f>IF(ClientiBanca[[#This Row],[Reddito annuo]]&gt;=70000,"si","no")</f>
        <v>si</v>
      </c>
    </row>
    <row r="4900" spans="1:12">
      <c r="A4900">
        <v>104899</v>
      </c>
      <c r="B4900">
        <v>40</v>
      </c>
      <c r="C4900" s="2">
        <v>61500</v>
      </c>
      <c r="D4900" t="s">
        <v>21</v>
      </c>
      <c r="E4900" s="2">
        <v>12700</v>
      </c>
      <c r="F4900" s="2">
        <v>0</v>
      </c>
      <c r="G4900" t="s">
        <v>19</v>
      </c>
      <c r="H4900" t="s">
        <v>20</v>
      </c>
      <c r="I4900" t="s">
        <v>18</v>
      </c>
      <c r="J4900" s="3">
        <v>46002</v>
      </c>
      <c r="K4900" s="4">
        <f>ClientiBanca[[#This Row],[Prestito]]+ClientiBanca[[#This Row],[Mutuo]]</f>
        <v>12700</v>
      </c>
      <c r="L4900" t="str">
        <f>IF(ClientiBanca[[#This Row],[Reddito annuo]]&gt;=70000,"si","no")</f>
        <v>no</v>
      </c>
    </row>
    <row r="4901" spans="1:12">
      <c r="A4901">
        <v>104900</v>
      </c>
      <c r="B4901">
        <v>48</v>
      </c>
      <c r="C4901" s="2">
        <v>89900</v>
      </c>
      <c r="D4901" t="s">
        <v>12</v>
      </c>
      <c r="E4901" s="2">
        <v>8200</v>
      </c>
      <c r="F4901" s="2">
        <v>0</v>
      </c>
      <c r="G4901" t="s">
        <v>13</v>
      </c>
      <c r="H4901" t="s">
        <v>20</v>
      </c>
      <c r="I4901" t="s">
        <v>18</v>
      </c>
      <c r="J4901" s="3">
        <v>45671</v>
      </c>
      <c r="K4901" s="4">
        <f>ClientiBanca[[#This Row],[Prestito]]+ClientiBanca[[#This Row],[Mutuo]]</f>
        <v>8200</v>
      </c>
      <c r="L4901" t="str">
        <f>IF(ClientiBanca[[#This Row],[Reddito annuo]]&gt;=70000,"si","no")</f>
        <v>si</v>
      </c>
    </row>
    <row r="4902" spans="1:12">
      <c r="A4902">
        <v>104901</v>
      </c>
      <c r="B4902">
        <v>40</v>
      </c>
      <c r="C4902" s="2">
        <v>75300</v>
      </c>
      <c r="D4902" t="s">
        <v>21</v>
      </c>
      <c r="E4902" s="2">
        <v>65700</v>
      </c>
      <c r="F4902" s="2">
        <v>0</v>
      </c>
      <c r="G4902" t="s">
        <v>26</v>
      </c>
      <c r="H4902" t="s">
        <v>14</v>
      </c>
      <c r="I4902" t="s">
        <v>18</v>
      </c>
      <c r="J4902" s="3">
        <v>45842</v>
      </c>
      <c r="K4902" s="4">
        <f>ClientiBanca[[#This Row],[Prestito]]+ClientiBanca[[#This Row],[Mutuo]]</f>
        <v>65700</v>
      </c>
      <c r="L4902" t="str">
        <f>IF(ClientiBanca[[#This Row],[Reddito annuo]]&gt;=70000,"si","no")</f>
        <v>si</v>
      </c>
    </row>
    <row r="4903" spans="1:12">
      <c r="A4903">
        <v>104902</v>
      </c>
      <c r="B4903">
        <v>68</v>
      </c>
      <c r="C4903" s="2">
        <v>112400</v>
      </c>
      <c r="D4903" t="s">
        <v>21</v>
      </c>
      <c r="E4903" s="2">
        <v>27000</v>
      </c>
      <c r="F4903" s="2">
        <v>0</v>
      </c>
      <c r="G4903" t="s">
        <v>13</v>
      </c>
      <c r="H4903" t="s">
        <v>17</v>
      </c>
      <c r="I4903" t="s">
        <v>18</v>
      </c>
      <c r="J4903" s="3">
        <v>45384</v>
      </c>
      <c r="K4903" s="4">
        <f>ClientiBanca[[#This Row],[Prestito]]+ClientiBanca[[#This Row],[Mutuo]]</f>
        <v>27000</v>
      </c>
      <c r="L4903" t="str">
        <f>IF(ClientiBanca[[#This Row],[Reddito annuo]]&gt;=70000,"si","no")</f>
        <v>si</v>
      </c>
    </row>
    <row r="4904" spans="1:12">
      <c r="A4904">
        <v>104903</v>
      </c>
      <c r="B4904">
        <v>34</v>
      </c>
      <c r="C4904" s="2">
        <v>27700</v>
      </c>
      <c r="D4904" t="s">
        <v>12</v>
      </c>
      <c r="E4904" s="2">
        <v>19200</v>
      </c>
      <c r="F4904" s="2">
        <v>0</v>
      </c>
      <c r="G4904" t="s">
        <v>23</v>
      </c>
      <c r="H4904" t="s">
        <v>17</v>
      </c>
      <c r="I4904" t="s">
        <v>18</v>
      </c>
      <c r="J4904" s="3">
        <v>45403</v>
      </c>
      <c r="K4904" s="4">
        <f>ClientiBanca[[#This Row],[Prestito]]+ClientiBanca[[#This Row],[Mutuo]]</f>
        <v>19200</v>
      </c>
      <c r="L4904" t="str">
        <f>IF(ClientiBanca[[#This Row],[Reddito annuo]]&gt;=70000,"si","no")</f>
        <v>no</v>
      </c>
    </row>
    <row r="4905" spans="1:12">
      <c r="A4905">
        <v>104904</v>
      </c>
      <c r="B4905">
        <v>30</v>
      </c>
      <c r="C4905" s="2">
        <v>79000</v>
      </c>
      <c r="D4905" t="s">
        <v>12</v>
      </c>
      <c r="E4905" s="2">
        <v>0</v>
      </c>
      <c r="F4905" s="2">
        <v>0</v>
      </c>
      <c r="G4905" t="s">
        <v>24</v>
      </c>
      <c r="H4905" t="s">
        <v>20</v>
      </c>
      <c r="I4905" t="s">
        <v>18</v>
      </c>
      <c r="J4905" s="3">
        <v>46122</v>
      </c>
      <c r="K4905" s="4">
        <f>ClientiBanca[[#This Row],[Prestito]]+ClientiBanca[[#This Row],[Mutuo]]</f>
        <v>0</v>
      </c>
      <c r="L4905" t="str">
        <f>IF(ClientiBanca[[#This Row],[Reddito annuo]]&gt;=70000,"si","no")</f>
        <v>si</v>
      </c>
    </row>
    <row r="4906" spans="1:12">
      <c r="A4906">
        <v>104905</v>
      </c>
      <c r="B4906">
        <v>43</v>
      </c>
      <c r="C4906" s="2">
        <v>75000</v>
      </c>
      <c r="D4906" t="s">
        <v>21</v>
      </c>
      <c r="E4906" s="2">
        <v>0</v>
      </c>
      <c r="F4906" s="2">
        <v>0</v>
      </c>
      <c r="G4906" t="s">
        <v>19</v>
      </c>
      <c r="H4906" t="s">
        <v>14</v>
      </c>
      <c r="I4906" t="s">
        <v>18</v>
      </c>
      <c r="J4906" s="3">
        <v>45371</v>
      </c>
      <c r="K4906" s="4">
        <f>ClientiBanca[[#This Row],[Prestito]]+ClientiBanca[[#This Row],[Mutuo]]</f>
        <v>0</v>
      </c>
      <c r="L4906" t="str">
        <f>IF(ClientiBanca[[#This Row],[Reddito annuo]]&gt;=70000,"si","no")</f>
        <v>si</v>
      </c>
    </row>
    <row r="4907" spans="1:12">
      <c r="A4907">
        <v>104906</v>
      </c>
      <c r="B4907">
        <v>26</v>
      </c>
      <c r="C4907" s="2">
        <v>82000</v>
      </c>
      <c r="D4907" t="s">
        <v>22</v>
      </c>
      <c r="E4907" s="2">
        <v>0</v>
      </c>
      <c r="F4907" s="2">
        <v>0</v>
      </c>
      <c r="G4907" t="s">
        <v>23</v>
      </c>
      <c r="H4907" t="s">
        <v>20</v>
      </c>
      <c r="I4907" t="s">
        <v>18</v>
      </c>
      <c r="J4907" s="3">
        <v>46224</v>
      </c>
      <c r="K4907" s="4">
        <f>ClientiBanca[[#This Row],[Prestito]]+ClientiBanca[[#This Row],[Mutuo]]</f>
        <v>0</v>
      </c>
      <c r="L4907" t="str">
        <f>IF(ClientiBanca[[#This Row],[Reddito annuo]]&gt;=70000,"si","no")</f>
        <v>si</v>
      </c>
    </row>
    <row r="4908" spans="1:12">
      <c r="A4908">
        <v>104907</v>
      </c>
      <c r="B4908">
        <v>70</v>
      </c>
      <c r="C4908" s="2">
        <v>45900</v>
      </c>
      <c r="D4908" t="s">
        <v>21</v>
      </c>
      <c r="E4908" s="2">
        <v>0</v>
      </c>
      <c r="F4908" s="2">
        <v>207000</v>
      </c>
      <c r="G4908" t="s">
        <v>27</v>
      </c>
      <c r="H4908" t="s">
        <v>20</v>
      </c>
      <c r="I4908" t="s">
        <v>18</v>
      </c>
      <c r="J4908" s="3">
        <v>45394</v>
      </c>
      <c r="K4908" s="4">
        <f>ClientiBanca[[#This Row],[Prestito]]+ClientiBanca[[#This Row],[Mutuo]]</f>
        <v>207000</v>
      </c>
      <c r="L4908" t="str">
        <f>IF(ClientiBanca[[#This Row],[Reddito annuo]]&gt;=70000,"si","no")</f>
        <v>no</v>
      </c>
    </row>
    <row r="4909" spans="1:12">
      <c r="A4909">
        <v>104908</v>
      </c>
      <c r="B4909">
        <v>49</v>
      </c>
      <c r="C4909" s="2">
        <v>44400</v>
      </c>
      <c r="D4909" t="s">
        <v>22</v>
      </c>
      <c r="E4909" s="2">
        <v>35100</v>
      </c>
      <c r="F4909" s="2">
        <v>362000</v>
      </c>
      <c r="G4909" t="s">
        <v>27</v>
      </c>
      <c r="H4909" t="s">
        <v>14</v>
      </c>
      <c r="I4909" t="s">
        <v>18</v>
      </c>
      <c r="J4909" s="3">
        <v>45689</v>
      </c>
      <c r="K4909" s="4">
        <f>ClientiBanca[[#This Row],[Prestito]]+ClientiBanca[[#This Row],[Mutuo]]</f>
        <v>397100</v>
      </c>
      <c r="L4909" t="str">
        <f>IF(ClientiBanca[[#This Row],[Reddito annuo]]&gt;=70000,"si","no")</f>
        <v>no</v>
      </c>
    </row>
    <row r="4910" spans="1:12">
      <c r="A4910">
        <v>104909</v>
      </c>
      <c r="B4910">
        <v>34</v>
      </c>
      <c r="C4910" s="2">
        <v>89100</v>
      </c>
      <c r="D4910" t="s">
        <v>21</v>
      </c>
      <c r="E4910" s="2">
        <v>45000</v>
      </c>
      <c r="F4910" s="2">
        <v>242000</v>
      </c>
      <c r="G4910" t="s">
        <v>16</v>
      </c>
      <c r="H4910" t="s">
        <v>25</v>
      </c>
      <c r="I4910" t="s">
        <v>15</v>
      </c>
      <c r="J4910" s="3">
        <v>46033</v>
      </c>
      <c r="K4910" s="4">
        <f>ClientiBanca[[#This Row],[Prestito]]+ClientiBanca[[#This Row],[Mutuo]]</f>
        <v>287000</v>
      </c>
      <c r="L4910" t="str">
        <f>IF(ClientiBanca[[#This Row],[Reddito annuo]]&gt;=70000,"si","no")</f>
        <v>si</v>
      </c>
    </row>
    <row r="4911" spans="1:12">
      <c r="A4911">
        <v>104910</v>
      </c>
      <c r="B4911">
        <v>43</v>
      </c>
      <c r="C4911" s="2">
        <v>53000</v>
      </c>
      <c r="D4911" t="s">
        <v>21</v>
      </c>
      <c r="E4911" s="2">
        <v>17900</v>
      </c>
      <c r="F4911" s="2">
        <v>0</v>
      </c>
      <c r="G4911" t="s">
        <v>28</v>
      </c>
      <c r="H4911" t="s">
        <v>20</v>
      </c>
      <c r="I4911" t="s">
        <v>18</v>
      </c>
      <c r="J4911" s="3">
        <v>45446</v>
      </c>
      <c r="K4911" s="4">
        <f>ClientiBanca[[#This Row],[Prestito]]+ClientiBanca[[#This Row],[Mutuo]]</f>
        <v>17900</v>
      </c>
      <c r="L4911" t="str">
        <f>IF(ClientiBanca[[#This Row],[Reddito annuo]]&gt;=70000,"si","no")</f>
        <v>no</v>
      </c>
    </row>
    <row r="4912" spans="1:12">
      <c r="A4912">
        <v>104911</v>
      </c>
      <c r="B4912">
        <v>26</v>
      </c>
      <c r="C4912" s="2">
        <v>50600</v>
      </c>
      <c r="D4912" t="s">
        <v>12</v>
      </c>
      <c r="E4912" s="2">
        <v>44800</v>
      </c>
      <c r="F4912" s="2">
        <v>0</v>
      </c>
      <c r="G4912" t="s">
        <v>23</v>
      </c>
      <c r="H4912" t="s">
        <v>25</v>
      </c>
      <c r="I4912" t="s">
        <v>18</v>
      </c>
      <c r="J4912" s="3">
        <v>45389</v>
      </c>
      <c r="K4912" s="4">
        <f>ClientiBanca[[#This Row],[Prestito]]+ClientiBanca[[#This Row],[Mutuo]]</f>
        <v>44800</v>
      </c>
      <c r="L4912" t="str">
        <f>IF(ClientiBanca[[#This Row],[Reddito annuo]]&gt;=70000,"si","no")</f>
        <v>no</v>
      </c>
    </row>
    <row r="4913" spans="1:12">
      <c r="A4913">
        <v>104912</v>
      </c>
      <c r="B4913">
        <v>50</v>
      </c>
      <c r="C4913" s="2">
        <v>36700</v>
      </c>
      <c r="D4913" t="s">
        <v>21</v>
      </c>
      <c r="E4913" s="2">
        <v>34100</v>
      </c>
      <c r="F4913" s="2">
        <v>264000</v>
      </c>
      <c r="G4913" t="s">
        <v>26</v>
      </c>
      <c r="H4913" t="s">
        <v>14</v>
      </c>
      <c r="I4913" t="s">
        <v>18</v>
      </c>
      <c r="J4913" s="3">
        <v>45344</v>
      </c>
      <c r="K4913" s="4">
        <f>ClientiBanca[[#This Row],[Prestito]]+ClientiBanca[[#This Row],[Mutuo]]</f>
        <v>298100</v>
      </c>
      <c r="L4913" t="str">
        <f>IF(ClientiBanca[[#This Row],[Reddito annuo]]&gt;=70000,"si","no")</f>
        <v>no</v>
      </c>
    </row>
    <row r="4914" spans="1:12">
      <c r="A4914">
        <v>104913</v>
      </c>
      <c r="B4914">
        <v>60</v>
      </c>
      <c r="C4914" s="2">
        <v>96100</v>
      </c>
      <c r="D4914" t="s">
        <v>21</v>
      </c>
      <c r="E4914" s="2">
        <v>0</v>
      </c>
      <c r="F4914" s="2">
        <v>0</v>
      </c>
      <c r="G4914" t="s">
        <v>26</v>
      </c>
      <c r="H4914" t="s">
        <v>17</v>
      </c>
      <c r="I4914" t="s">
        <v>18</v>
      </c>
      <c r="J4914" s="3">
        <v>45449</v>
      </c>
      <c r="K4914" s="4">
        <f>ClientiBanca[[#This Row],[Prestito]]+ClientiBanca[[#This Row],[Mutuo]]</f>
        <v>0</v>
      </c>
      <c r="L4914" t="str">
        <f>IF(ClientiBanca[[#This Row],[Reddito annuo]]&gt;=70000,"si","no")</f>
        <v>si</v>
      </c>
    </row>
    <row r="4915" spans="1:12">
      <c r="A4915">
        <v>104914</v>
      </c>
      <c r="B4915">
        <v>30</v>
      </c>
      <c r="C4915" s="2">
        <v>44400</v>
      </c>
      <c r="D4915" t="s">
        <v>22</v>
      </c>
      <c r="E4915" s="2">
        <v>0</v>
      </c>
      <c r="F4915" s="2">
        <v>0</v>
      </c>
      <c r="G4915" t="s">
        <v>23</v>
      </c>
      <c r="H4915" t="s">
        <v>20</v>
      </c>
      <c r="I4915" t="s">
        <v>18</v>
      </c>
      <c r="J4915" s="3">
        <v>45707</v>
      </c>
      <c r="K4915" s="4">
        <f>ClientiBanca[[#This Row],[Prestito]]+ClientiBanca[[#This Row],[Mutuo]]</f>
        <v>0</v>
      </c>
      <c r="L4915" t="str">
        <f>IF(ClientiBanca[[#This Row],[Reddito annuo]]&gt;=70000,"si","no")</f>
        <v>no</v>
      </c>
    </row>
    <row r="4916" spans="1:12">
      <c r="A4916">
        <v>104915</v>
      </c>
      <c r="B4916">
        <v>24</v>
      </c>
      <c r="C4916" s="2">
        <v>110400</v>
      </c>
      <c r="D4916" t="s">
        <v>22</v>
      </c>
      <c r="E4916" s="2">
        <v>4500</v>
      </c>
      <c r="F4916" s="2">
        <v>0</v>
      </c>
      <c r="G4916" t="s">
        <v>24</v>
      </c>
      <c r="H4916" t="s">
        <v>20</v>
      </c>
      <c r="I4916" t="s">
        <v>18</v>
      </c>
      <c r="J4916" s="3">
        <v>45461</v>
      </c>
      <c r="K4916" s="4">
        <f>ClientiBanca[[#This Row],[Prestito]]+ClientiBanca[[#This Row],[Mutuo]]</f>
        <v>4500</v>
      </c>
      <c r="L4916" t="str">
        <f>IF(ClientiBanca[[#This Row],[Reddito annuo]]&gt;=70000,"si","no")</f>
        <v>si</v>
      </c>
    </row>
    <row r="4917" spans="1:12">
      <c r="A4917">
        <v>104916</v>
      </c>
      <c r="B4917">
        <v>32</v>
      </c>
      <c r="C4917" s="2">
        <v>45100</v>
      </c>
      <c r="D4917" t="s">
        <v>12</v>
      </c>
      <c r="E4917" s="2">
        <v>27000</v>
      </c>
      <c r="F4917" s="2">
        <v>0</v>
      </c>
      <c r="G4917" t="s">
        <v>23</v>
      </c>
      <c r="H4917" t="s">
        <v>20</v>
      </c>
      <c r="I4917" t="s">
        <v>18</v>
      </c>
      <c r="J4917" s="3">
        <v>45658</v>
      </c>
      <c r="K4917" s="4">
        <f>ClientiBanca[[#This Row],[Prestito]]+ClientiBanca[[#This Row],[Mutuo]]</f>
        <v>27000</v>
      </c>
      <c r="L4917" t="str">
        <f>IF(ClientiBanca[[#This Row],[Reddito annuo]]&gt;=70000,"si","no")</f>
        <v>no</v>
      </c>
    </row>
    <row r="4918" spans="1:12">
      <c r="A4918">
        <v>104917</v>
      </c>
      <c r="B4918">
        <v>45</v>
      </c>
      <c r="C4918" s="2">
        <v>43400</v>
      </c>
      <c r="D4918" t="s">
        <v>21</v>
      </c>
      <c r="E4918" s="2">
        <v>35200</v>
      </c>
      <c r="F4918" s="2">
        <v>162000</v>
      </c>
      <c r="G4918" t="s">
        <v>23</v>
      </c>
      <c r="H4918" t="s">
        <v>14</v>
      </c>
      <c r="I4918" t="s">
        <v>18</v>
      </c>
      <c r="J4918" s="3">
        <v>45596</v>
      </c>
      <c r="K4918" s="4">
        <f>ClientiBanca[[#This Row],[Prestito]]+ClientiBanca[[#This Row],[Mutuo]]</f>
        <v>197200</v>
      </c>
      <c r="L4918" t="str">
        <f>IF(ClientiBanca[[#This Row],[Reddito annuo]]&gt;=70000,"si","no")</f>
        <v>no</v>
      </c>
    </row>
    <row r="4919" spans="1:12">
      <c r="A4919">
        <v>104918</v>
      </c>
      <c r="B4919">
        <v>53</v>
      </c>
      <c r="C4919" s="2">
        <v>84500</v>
      </c>
      <c r="D4919" t="s">
        <v>12</v>
      </c>
      <c r="E4919" s="2">
        <v>61800</v>
      </c>
      <c r="F4919" s="2">
        <v>0</v>
      </c>
      <c r="G4919" t="s">
        <v>28</v>
      </c>
      <c r="H4919" t="s">
        <v>17</v>
      </c>
      <c r="I4919" t="s">
        <v>18</v>
      </c>
      <c r="J4919" s="3">
        <v>46176</v>
      </c>
      <c r="K4919" s="4">
        <f>ClientiBanca[[#This Row],[Prestito]]+ClientiBanca[[#This Row],[Mutuo]]</f>
        <v>61800</v>
      </c>
      <c r="L4919" t="str">
        <f>IF(ClientiBanca[[#This Row],[Reddito annuo]]&gt;=70000,"si","no")</f>
        <v>si</v>
      </c>
    </row>
    <row r="4920" spans="1:12">
      <c r="A4920">
        <v>104919</v>
      </c>
      <c r="B4920">
        <v>73</v>
      </c>
      <c r="C4920" s="2">
        <v>41300</v>
      </c>
      <c r="D4920" t="s">
        <v>12</v>
      </c>
      <c r="E4920" s="2">
        <v>51600</v>
      </c>
      <c r="F4920" s="2">
        <v>0</v>
      </c>
      <c r="G4920" t="s">
        <v>16</v>
      </c>
      <c r="H4920" t="s">
        <v>14</v>
      </c>
      <c r="I4920" t="s">
        <v>15</v>
      </c>
      <c r="J4920" s="3">
        <v>45981</v>
      </c>
      <c r="K4920" s="4">
        <f>ClientiBanca[[#This Row],[Prestito]]+ClientiBanca[[#This Row],[Mutuo]]</f>
        <v>51600</v>
      </c>
      <c r="L4920" t="str">
        <f>IF(ClientiBanca[[#This Row],[Reddito annuo]]&gt;=70000,"si","no")</f>
        <v>no</v>
      </c>
    </row>
    <row r="4921" spans="1:12">
      <c r="A4921">
        <v>104920</v>
      </c>
      <c r="B4921">
        <v>38</v>
      </c>
      <c r="C4921" s="2">
        <v>23200</v>
      </c>
      <c r="D4921" t="s">
        <v>21</v>
      </c>
      <c r="E4921" s="2">
        <v>0</v>
      </c>
      <c r="F4921" s="2">
        <v>0</v>
      </c>
      <c r="G4921" t="s">
        <v>13</v>
      </c>
      <c r="H4921" t="s">
        <v>17</v>
      </c>
      <c r="I4921" t="s">
        <v>18</v>
      </c>
      <c r="J4921" s="3">
        <v>45614</v>
      </c>
      <c r="K4921" s="4">
        <f>ClientiBanca[[#This Row],[Prestito]]+ClientiBanca[[#This Row],[Mutuo]]</f>
        <v>0</v>
      </c>
      <c r="L4921" t="str">
        <f>IF(ClientiBanca[[#This Row],[Reddito annuo]]&gt;=70000,"si","no")</f>
        <v>no</v>
      </c>
    </row>
    <row r="4922" spans="1:12">
      <c r="A4922">
        <v>104921</v>
      </c>
      <c r="B4922">
        <v>20</v>
      </c>
      <c r="C4922" s="2">
        <v>48900</v>
      </c>
      <c r="D4922" t="s">
        <v>12</v>
      </c>
      <c r="E4922" s="2">
        <v>52800</v>
      </c>
      <c r="F4922" s="2">
        <v>0</v>
      </c>
      <c r="G4922" t="s">
        <v>27</v>
      </c>
      <c r="H4922" t="s">
        <v>17</v>
      </c>
      <c r="I4922" t="s">
        <v>18</v>
      </c>
      <c r="J4922" s="3">
        <v>46247</v>
      </c>
      <c r="K4922" s="4">
        <f>ClientiBanca[[#This Row],[Prestito]]+ClientiBanca[[#This Row],[Mutuo]]</f>
        <v>52800</v>
      </c>
      <c r="L4922" t="str">
        <f>IF(ClientiBanca[[#This Row],[Reddito annuo]]&gt;=70000,"si","no")</f>
        <v>no</v>
      </c>
    </row>
    <row r="4923" spans="1:12">
      <c r="A4923">
        <v>104922</v>
      </c>
      <c r="B4923">
        <v>45</v>
      </c>
      <c r="C4923" s="2">
        <v>93900</v>
      </c>
      <c r="D4923" t="s">
        <v>21</v>
      </c>
      <c r="E4923" s="2">
        <v>0</v>
      </c>
      <c r="F4923" s="2">
        <v>0</v>
      </c>
      <c r="G4923" t="s">
        <v>24</v>
      </c>
      <c r="H4923" t="s">
        <v>20</v>
      </c>
      <c r="I4923" t="s">
        <v>18</v>
      </c>
      <c r="J4923" s="3">
        <v>45465</v>
      </c>
      <c r="K4923" s="4">
        <f>ClientiBanca[[#This Row],[Prestito]]+ClientiBanca[[#This Row],[Mutuo]]</f>
        <v>0</v>
      </c>
      <c r="L4923" t="str">
        <f>IF(ClientiBanca[[#This Row],[Reddito annuo]]&gt;=70000,"si","no")</f>
        <v>si</v>
      </c>
    </row>
    <row r="4924" spans="1:12">
      <c r="A4924">
        <v>104923</v>
      </c>
      <c r="B4924">
        <v>38</v>
      </c>
      <c r="C4924" s="2">
        <v>40100</v>
      </c>
      <c r="D4924" t="s">
        <v>21</v>
      </c>
      <c r="E4924" s="2">
        <v>28300</v>
      </c>
      <c r="F4924" s="2">
        <v>0</v>
      </c>
      <c r="G4924" t="s">
        <v>13</v>
      </c>
      <c r="H4924" t="s">
        <v>14</v>
      </c>
      <c r="I4924" t="s">
        <v>18</v>
      </c>
      <c r="J4924" s="3">
        <v>46165</v>
      </c>
      <c r="K4924" s="4">
        <f>ClientiBanca[[#This Row],[Prestito]]+ClientiBanca[[#This Row],[Mutuo]]</f>
        <v>28300</v>
      </c>
      <c r="L4924" t="str">
        <f>IF(ClientiBanca[[#This Row],[Reddito annuo]]&gt;=70000,"si","no")</f>
        <v>no</v>
      </c>
    </row>
    <row r="4925" spans="1:12">
      <c r="A4925">
        <v>104924</v>
      </c>
      <c r="B4925">
        <v>56</v>
      </c>
      <c r="C4925" s="2">
        <v>57700</v>
      </c>
      <c r="D4925" t="s">
        <v>22</v>
      </c>
      <c r="E4925" s="2">
        <v>0</v>
      </c>
      <c r="F4925" s="2">
        <v>0</v>
      </c>
      <c r="G4925" t="s">
        <v>23</v>
      </c>
      <c r="H4925" t="s">
        <v>17</v>
      </c>
      <c r="I4925" t="s">
        <v>18</v>
      </c>
      <c r="J4925" s="3">
        <v>45372</v>
      </c>
      <c r="K4925" s="4">
        <f>ClientiBanca[[#This Row],[Prestito]]+ClientiBanca[[#This Row],[Mutuo]]</f>
        <v>0</v>
      </c>
      <c r="L4925" t="str">
        <f>IF(ClientiBanca[[#This Row],[Reddito annuo]]&gt;=70000,"si","no")</f>
        <v>no</v>
      </c>
    </row>
    <row r="4926" spans="1:12">
      <c r="A4926">
        <v>104925</v>
      </c>
      <c r="B4926">
        <v>68</v>
      </c>
      <c r="C4926" s="2">
        <v>73100</v>
      </c>
      <c r="D4926" t="s">
        <v>12</v>
      </c>
      <c r="E4926" s="2">
        <v>0</v>
      </c>
      <c r="F4926" s="2">
        <v>0</v>
      </c>
      <c r="G4926" t="s">
        <v>24</v>
      </c>
      <c r="H4926" t="s">
        <v>14</v>
      </c>
      <c r="I4926" t="s">
        <v>18</v>
      </c>
      <c r="J4926" s="3">
        <v>46148</v>
      </c>
      <c r="K4926" s="4">
        <f>ClientiBanca[[#This Row],[Prestito]]+ClientiBanca[[#This Row],[Mutuo]]</f>
        <v>0</v>
      </c>
      <c r="L4926" t="str">
        <f>IF(ClientiBanca[[#This Row],[Reddito annuo]]&gt;=70000,"si","no")</f>
        <v>si</v>
      </c>
    </row>
    <row r="4927" spans="1:12">
      <c r="A4927">
        <v>104926</v>
      </c>
      <c r="B4927">
        <v>29</v>
      </c>
      <c r="C4927" s="2">
        <v>63200</v>
      </c>
      <c r="D4927" t="s">
        <v>21</v>
      </c>
      <c r="E4927" s="2">
        <v>0</v>
      </c>
      <c r="F4927" s="2">
        <v>220000</v>
      </c>
      <c r="G4927" t="s">
        <v>13</v>
      </c>
      <c r="H4927" t="s">
        <v>20</v>
      </c>
      <c r="I4927" t="s">
        <v>18</v>
      </c>
      <c r="J4927" s="3">
        <v>46024</v>
      </c>
      <c r="K4927" s="4">
        <f>ClientiBanca[[#This Row],[Prestito]]+ClientiBanca[[#This Row],[Mutuo]]</f>
        <v>220000</v>
      </c>
      <c r="L4927" t="str">
        <f>IF(ClientiBanca[[#This Row],[Reddito annuo]]&gt;=70000,"si","no")</f>
        <v>no</v>
      </c>
    </row>
    <row r="4928" spans="1:12">
      <c r="A4928">
        <v>104927</v>
      </c>
      <c r="B4928">
        <v>69</v>
      </c>
      <c r="C4928" s="2">
        <v>36800</v>
      </c>
      <c r="D4928" t="s">
        <v>21</v>
      </c>
      <c r="E4928" s="2">
        <v>15900</v>
      </c>
      <c r="F4928" s="2">
        <v>0</v>
      </c>
      <c r="G4928" t="s">
        <v>24</v>
      </c>
      <c r="H4928" t="s">
        <v>17</v>
      </c>
      <c r="I4928" t="s">
        <v>18</v>
      </c>
      <c r="J4928" s="3">
        <v>45444</v>
      </c>
      <c r="K4928" s="4">
        <f>ClientiBanca[[#This Row],[Prestito]]+ClientiBanca[[#This Row],[Mutuo]]</f>
        <v>15900</v>
      </c>
      <c r="L4928" t="str">
        <f>IF(ClientiBanca[[#This Row],[Reddito annuo]]&gt;=70000,"si","no")</f>
        <v>no</v>
      </c>
    </row>
    <row r="4929" spans="1:12">
      <c r="A4929">
        <v>104928</v>
      </c>
      <c r="B4929">
        <v>34</v>
      </c>
      <c r="C4929" s="2">
        <v>74800</v>
      </c>
      <c r="D4929" t="s">
        <v>12</v>
      </c>
      <c r="E4929" s="2">
        <v>8200</v>
      </c>
      <c r="F4929" s="2">
        <v>197000</v>
      </c>
      <c r="G4929" t="s">
        <v>24</v>
      </c>
      <c r="H4929" t="s">
        <v>17</v>
      </c>
      <c r="I4929" t="s">
        <v>18</v>
      </c>
      <c r="J4929" s="3">
        <v>45563</v>
      </c>
      <c r="K4929" s="4">
        <f>ClientiBanca[[#This Row],[Prestito]]+ClientiBanca[[#This Row],[Mutuo]]</f>
        <v>205200</v>
      </c>
      <c r="L4929" t="str">
        <f>IF(ClientiBanca[[#This Row],[Reddito annuo]]&gt;=70000,"si","no")</f>
        <v>si</v>
      </c>
    </row>
    <row r="4930" spans="1:12">
      <c r="A4930">
        <v>104929</v>
      </c>
      <c r="B4930">
        <v>62</v>
      </c>
      <c r="C4930" s="2">
        <v>43200</v>
      </c>
      <c r="D4930" t="s">
        <v>21</v>
      </c>
      <c r="E4930" s="2">
        <v>33100</v>
      </c>
      <c r="F4930" s="2">
        <v>342000</v>
      </c>
      <c r="G4930" t="s">
        <v>19</v>
      </c>
      <c r="H4930" t="s">
        <v>17</v>
      </c>
      <c r="I4930" t="s">
        <v>18</v>
      </c>
      <c r="J4930" s="3">
        <v>45622</v>
      </c>
      <c r="K4930" s="4">
        <f>ClientiBanca[[#This Row],[Prestito]]+ClientiBanca[[#This Row],[Mutuo]]</f>
        <v>375100</v>
      </c>
      <c r="L4930" t="str">
        <f>IF(ClientiBanca[[#This Row],[Reddito annuo]]&gt;=70000,"si","no")</f>
        <v>no</v>
      </c>
    </row>
    <row r="4931" spans="1:12">
      <c r="A4931">
        <v>104930</v>
      </c>
      <c r="B4931">
        <v>44</v>
      </c>
      <c r="C4931" s="2">
        <v>35700</v>
      </c>
      <c r="D4931" t="s">
        <v>22</v>
      </c>
      <c r="E4931" s="2">
        <v>0</v>
      </c>
      <c r="F4931" s="2">
        <v>0</v>
      </c>
      <c r="G4931" t="s">
        <v>26</v>
      </c>
      <c r="H4931" t="s">
        <v>25</v>
      </c>
      <c r="I4931" t="s">
        <v>18</v>
      </c>
      <c r="J4931" s="3">
        <v>46005</v>
      </c>
      <c r="K4931" s="4">
        <f>ClientiBanca[[#This Row],[Prestito]]+ClientiBanca[[#This Row],[Mutuo]]</f>
        <v>0</v>
      </c>
      <c r="L4931" t="str">
        <f>IF(ClientiBanca[[#This Row],[Reddito annuo]]&gt;=70000,"si","no")</f>
        <v>no</v>
      </c>
    </row>
    <row r="4932" spans="1:12">
      <c r="A4932">
        <v>104931</v>
      </c>
      <c r="B4932">
        <v>53</v>
      </c>
      <c r="C4932" s="2">
        <v>45500</v>
      </c>
      <c r="D4932" t="s">
        <v>12</v>
      </c>
      <c r="E4932" s="2">
        <v>0</v>
      </c>
      <c r="F4932" s="2">
        <v>0</v>
      </c>
      <c r="G4932" t="s">
        <v>28</v>
      </c>
      <c r="H4932" t="s">
        <v>17</v>
      </c>
      <c r="I4932" t="s">
        <v>18</v>
      </c>
      <c r="J4932" s="3">
        <v>46248</v>
      </c>
      <c r="K4932" s="4">
        <f>ClientiBanca[[#This Row],[Prestito]]+ClientiBanca[[#This Row],[Mutuo]]</f>
        <v>0</v>
      </c>
      <c r="L4932" t="str">
        <f>IF(ClientiBanca[[#This Row],[Reddito annuo]]&gt;=70000,"si","no")</f>
        <v>no</v>
      </c>
    </row>
    <row r="4933" spans="1:12">
      <c r="A4933">
        <v>104932</v>
      </c>
      <c r="B4933">
        <v>43</v>
      </c>
      <c r="C4933" s="2">
        <v>42100</v>
      </c>
      <c r="D4933" t="s">
        <v>21</v>
      </c>
      <c r="E4933" s="2">
        <v>36700</v>
      </c>
      <c r="F4933" s="2">
        <v>201000</v>
      </c>
      <c r="G4933" t="s">
        <v>27</v>
      </c>
      <c r="H4933" t="s">
        <v>17</v>
      </c>
      <c r="I4933" t="s">
        <v>18</v>
      </c>
      <c r="J4933" s="3">
        <v>45535</v>
      </c>
      <c r="K4933" s="4">
        <f>ClientiBanca[[#This Row],[Prestito]]+ClientiBanca[[#This Row],[Mutuo]]</f>
        <v>237700</v>
      </c>
      <c r="L4933" t="str">
        <f>IF(ClientiBanca[[#This Row],[Reddito annuo]]&gt;=70000,"si","no")</f>
        <v>no</v>
      </c>
    </row>
    <row r="4934" spans="1:12">
      <c r="A4934">
        <v>104933</v>
      </c>
      <c r="B4934">
        <v>44</v>
      </c>
      <c r="C4934" s="2">
        <v>30100</v>
      </c>
      <c r="D4934" t="s">
        <v>21</v>
      </c>
      <c r="E4934" s="2">
        <v>15100</v>
      </c>
      <c r="F4934" s="2">
        <v>0</v>
      </c>
      <c r="G4934" t="s">
        <v>16</v>
      </c>
      <c r="H4934" t="s">
        <v>17</v>
      </c>
      <c r="I4934" t="s">
        <v>18</v>
      </c>
      <c r="J4934" s="3">
        <v>45723</v>
      </c>
      <c r="K4934" s="4">
        <f>ClientiBanca[[#This Row],[Prestito]]+ClientiBanca[[#This Row],[Mutuo]]</f>
        <v>15100</v>
      </c>
      <c r="L4934" t="str">
        <f>IF(ClientiBanca[[#This Row],[Reddito annuo]]&gt;=70000,"si","no")</f>
        <v>no</v>
      </c>
    </row>
    <row r="4935" spans="1:12">
      <c r="A4935">
        <v>104934</v>
      </c>
      <c r="B4935">
        <v>24</v>
      </c>
      <c r="C4935" s="2">
        <v>59100</v>
      </c>
      <c r="D4935" t="s">
        <v>22</v>
      </c>
      <c r="E4935" s="2">
        <v>0</v>
      </c>
      <c r="F4935" s="2">
        <v>0</v>
      </c>
      <c r="G4935" t="s">
        <v>24</v>
      </c>
      <c r="H4935" t="s">
        <v>20</v>
      </c>
      <c r="I4935" t="s">
        <v>18</v>
      </c>
      <c r="J4935" s="3">
        <v>46123</v>
      </c>
      <c r="K4935" s="4">
        <f>ClientiBanca[[#This Row],[Prestito]]+ClientiBanca[[#This Row],[Mutuo]]</f>
        <v>0</v>
      </c>
      <c r="L4935" t="str">
        <f>IF(ClientiBanca[[#This Row],[Reddito annuo]]&gt;=70000,"si","no")</f>
        <v>no</v>
      </c>
    </row>
    <row r="4936" spans="1:12">
      <c r="A4936">
        <v>104935</v>
      </c>
      <c r="B4936">
        <v>58</v>
      </c>
      <c r="C4936" s="2">
        <v>72800</v>
      </c>
      <c r="D4936" t="s">
        <v>12</v>
      </c>
      <c r="E4936" s="2">
        <v>60700</v>
      </c>
      <c r="F4936" s="2">
        <v>263000</v>
      </c>
      <c r="G4936" t="s">
        <v>24</v>
      </c>
      <c r="H4936" t="s">
        <v>17</v>
      </c>
      <c r="I4936" t="s">
        <v>18</v>
      </c>
      <c r="J4936" s="3">
        <v>45806</v>
      </c>
      <c r="K4936" s="4">
        <f>ClientiBanca[[#This Row],[Prestito]]+ClientiBanca[[#This Row],[Mutuo]]</f>
        <v>323700</v>
      </c>
      <c r="L4936" t="str">
        <f>IF(ClientiBanca[[#This Row],[Reddito annuo]]&gt;=70000,"si","no")</f>
        <v>si</v>
      </c>
    </row>
    <row r="4937" spans="1:12">
      <c r="A4937">
        <v>104936</v>
      </c>
      <c r="B4937">
        <v>29</v>
      </c>
      <c r="C4937" s="2">
        <v>31100</v>
      </c>
      <c r="D4937" t="s">
        <v>21</v>
      </c>
      <c r="E4937" s="2">
        <v>17300</v>
      </c>
      <c r="F4937" s="2">
        <v>0</v>
      </c>
      <c r="G4937" t="s">
        <v>23</v>
      </c>
      <c r="H4937" t="s">
        <v>17</v>
      </c>
      <c r="I4937" t="s">
        <v>18</v>
      </c>
      <c r="J4937" s="3">
        <v>45376</v>
      </c>
      <c r="K4937" s="4">
        <f>ClientiBanca[[#This Row],[Prestito]]+ClientiBanca[[#This Row],[Mutuo]]</f>
        <v>17300</v>
      </c>
      <c r="L4937" t="str">
        <f>IF(ClientiBanca[[#This Row],[Reddito annuo]]&gt;=70000,"si","no")</f>
        <v>no</v>
      </c>
    </row>
    <row r="4938" spans="1:12">
      <c r="A4938">
        <v>104937</v>
      </c>
      <c r="B4938">
        <v>32</v>
      </c>
      <c r="C4938" s="2">
        <v>59800</v>
      </c>
      <c r="D4938" t="s">
        <v>22</v>
      </c>
      <c r="E4938" s="2">
        <v>17200</v>
      </c>
      <c r="F4938" s="2">
        <v>0</v>
      </c>
      <c r="G4938" t="s">
        <v>27</v>
      </c>
      <c r="H4938" t="s">
        <v>17</v>
      </c>
      <c r="I4938" t="s">
        <v>18</v>
      </c>
      <c r="J4938" s="3">
        <v>45320</v>
      </c>
      <c r="K4938" s="4">
        <f>ClientiBanca[[#This Row],[Prestito]]+ClientiBanca[[#This Row],[Mutuo]]</f>
        <v>17200</v>
      </c>
      <c r="L4938" t="str">
        <f>IF(ClientiBanca[[#This Row],[Reddito annuo]]&gt;=70000,"si","no")</f>
        <v>no</v>
      </c>
    </row>
    <row r="4939" spans="1:12">
      <c r="A4939">
        <v>104938</v>
      </c>
      <c r="B4939">
        <v>69</v>
      </c>
      <c r="C4939" s="2">
        <v>65700</v>
      </c>
      <c r="D4939" t="s">
        <v>12</v>
      </c>
      <c r="E4939" s="2">
        <v>0</v>
      </c>
      <c r="F4939" s="2">
        <v>0</v>
      </c>
      <c r="G4939" t="s">
        <v>27</v>
      </c>
      <c r="H4939" t="s">
        <v>14</v>
      </c>
      <c r="I4939" t="s">
        <v>18</v>
      </c>
      <c r="J4939" s="3">
        <v>45995</v>
      </c>
      <c r="K4939" s="4">
        <f>ClientiBanca[[#This Row],[Prestito]]+ClientiBanca[[#This Row],[Mutuo]]</f>
        <v>0</v>
      </c>
      <c r="L4939" t="str">
        <f>IF(ClientiBanca[[#This Row],[Reddito annuo]]&gt;=70000,"si","no")</f>
        <v>no</v>
      </c>
    </row>
    <row r="4940" spans="1:12">
      <c r="A4940">
        <v>104939</v>
      </c>
      <c r="B4940">
        <v>26</v>
      </c>
      <c r="C4940" s="2">
        <v>126400</v>
      </c>
      <c r="D4940" t="s">
        <v>21</v>
      </c>
      <c r="E4940" s="2">
        <v>25300</v>
      </c>
      <c r="F4940" s="2">
        <v>228000</v>
      </c>
      <c r="G4940" t="s">
        <v>24</v>
      </c>
      <c r="H4940" t="s">
        <v>20</v>
      </c>
      <c r="I4940" t="s">
        <v>18</v>
      </c>
      <c r="J4940" s="3">
        <v>45745</v>
      </c>
      <c r="K4940" s="4">
        <f>ClientiBanca[[#This Row],[Prestito]]+ClientiBanca[[#This Row],[Mutuo]]</f>
        <v>253300</v>
      </c>
      <c r="L4940" t="str">
        <f>IF(ClientiBanca[[#This Row],[Reddito annuo]]&gt;=70000,"si","no")</f>
        <v>si</v>
      </c>
    </row>
    <row r="4941" spans="1:12">
      <c r="A4941">
        <v>104940</v>
      </c>
      <c r="B4941">
        <v>63</v>
      </c>
      <c r="C4941" s="2">
        <v>26400</v>
      </c>
      <c r="D4941" t="s">
        <v>12</v>
      </c>
      <c r="E4941" s="2">
        <v>19700</v>
      </c>
      <c r="F4941" s="2">
        <v>0</v>
      </c>
      <c r="G4941" t="s">
        <v>19</v>
      </c>
      <c r="H4941" t="s">
        <v>20</v>
      </c>
      <c r="I4941" t="s">
        <v>18</v>
      </c>
      <c r="J4941" s="3">
        <v>45452</v>
      </c>
      <c r="K4941" s="4">
        <f>ClientiBanca[[#This Row],[Prestito]]+ClientiBanca[[#This Row],[Mutuo]]</f>
        <v>19700</v>
      </c>
      <c r="L4941" t="str">
        <f>IF(ClientiBanca[[#This Row],[Reddito annuo]]&gt;=70000,"si","no")</f>
        <v>no</v>
      </c>
    </row>
    <row r="4942" spans="1:12">
      <c r="A4942">
        <v>104941</v>
      </c>
      <c r="B4942">
        <v>64</v>
      </c>
      <c r="C4942" s="2">
        <v>111500</v>
      </c>
      <c r="D4942" t="s">
        <v>12</v>
      </c>
      <c r="E4942" s="2">
        <v>73000</v>
      </c>
      <c r="F4942" s="2">
        <v>0</v>
      </c>
      <c r="G4942" t="s">
        <v>19</v>
      </c>
      <c r="H4942" t="s">
        <v>14</v>
      </c>
      <c r="I4942" t="s">
        <v>18</v>
      </c>
      <c r="J4942" s="3">
        <v>45858</v>
      </c>
      <c r="K4942" s="4">
        <f>ClientiBanca[[#This Row],[Prestito]]+ClientiBanca[[#This Row],[Mutuo]]</f>
        <v>73000</v>
      </c>
      <c r="L4942" t="str">
        <f>IF(ClientiBanca[[#This Row],[Reddito annuo]]&gt;=70000,"si","no")</f>
        <v>si</v>
      </c>
    </row>
    <row r="4943" spans="1:12">
      <c r="A4943">
        <v>104942</v>
      </c>
      <c r="B4943">
        <v>72</v>
      </c>
      <c r="C4943" s="2">
        <v>87000</v>
      </c>
      <c r="D4943" t="s">
        <v>22</v>
      </c>
      <c r="E4943" s="2">
        <v>0</v>
      </c>
      <c r="F4943" s="2">
        <v>213000</v>
      </c>
      <c r="G4943" t="s">
        <v>19</v>
      </c>
      <c r="H4943" t="s">
        <v>17</v>
      </c>
      <c r="I4943" t="s">
        <v>18</v>
      </c>
      <c r="J4943" s="3">
        <v>45373</v>
      </c>
      <c r="K4943" s="4">
        <f>ClientiBanca[[#This Row],[Prestito]]+ClientiBanca[[#This Row],[Mutuo]]</f>
        <v>213000</v>
      </c>
      <c r="L4943" t="str">
        <f>IF(ClientiBanca[[#This Row],[Reddito annuo]]&gt;=70000,"si","no")</f>
        <v>si</v>
      </c>
    </row>
    <row r="4944" spans="1:12">
      <c r="A4944">
        <v>104943</v>
      </c>
      <c r="B4944">
        <v>66</v>
      </c>
      <c r="C4944" s="2">
        <v>99500</v>
      </c>
      <c r="D4944" t="s">
        <v>22</v>
      </c>
      <c r="E4944" s="2">
        <v>20700</v>
      </c>
      <c r="F4944" s="2">
        <v>240000</v>
      </c>
      <c r="G4944" t="s">
        <v>26</v>
      </c>
      <c r="H4944" t="s">
        <v>20</v>
      </c>
      <c r="I4944" t="s">
        <v>18</v>
      </c>
      <c r="J4944" s="3">
        <v>45876</v>
      </c>
      <c r="K4944" s="4">
        <f>ClientiBanca[[#This Row],[Prestito]]+ClientiBanca[[#This Row],[Mutuo]]</f>
        <v>260700</v>
      </c>
      <c r="L4944" t="str">
        <f>IF(ClientiBanca[[#This Row],[Reddito annuo]]&gt;=70000,"si","no")</f>
        <v>si</v>
      </c>
    </row>
    <row r="4945" spans="1:12">
      <c r="A4945">
        <v>104944</v>
      </c>
      <c r="B4945">
        <v>42</v>
      </c>
      <c r="C4945" s="2">
        <v>30600</v>
      </c>
      <c r="D4945" t="s">
        <v>12</v>
      </c>
      <c r="E4945" s="2">
        <v>38200</v>
      </c>
      <c r="F4945" s="2">
        <v>0</v>
      </c>
      <c r="G4945" t="s">
        <v>23</v>
      </c>
      <c r="H4945" t="s">
        <v>17</v>
      </c>
      <c r="I4945" t="s">
        <v>18</v>
      </c>
      <c r="J4945" s="3">
        <v>45487</v>
      </c>
      <c r="K4945" s="4">
        <f>ClientiBanca[[#This Row],[Prestito]]+ClientiBanca[[#This Row],[Mutuo]]</f>
        <v>38200</v>
      </c>
      <c r="L4945" t="str">
        <f>IF(ClientiBanca[[#This Row],[Reddito annuo]]&gt;=70000,"si","no")</f>
        <v>no</v>
      </c>
    </row>
    <row r="4946" spans="1:12">
      <c r="A4946">
        <v>104945</v>
      </c>
      <c r="B4946">
        <v>20</v>
      </c>
      <c r="C4946" s="2">
        <v>21900</v>
      </c>
      <c r="D4946" t="s">
        <v>21</v>
      </c>
      <c r="E4946" s="2">
        <v>27400</v>
      </c>
      <c r="F4946" s="2">
        <v>0</v>
      </c>
      <c r="G4946" t="s">
        <v>26</v>
      </c>
      <c r="H4946" t="s">
        <v>17</v>
      </c>
      <c r="I4946" t="s">
        <v>18</v>
      </c>
      <c r="J4946" s="3">
        <v>45989</v>
      </c>
      <c r="K4946" s="4">
        <f>ClientiBanca[[#This Row],[Prestito]]+ClientiBanca[[#This Row],[Mutuo]]</f>
        <v>27400</v>
      </c>
      <c r="L4946" t="str">
        <f>IF(ClientiBanca[[#This Row],[Reddito annuo]]&gt;=70000,"si","no")</f>
        <v>no</v>
      </c>
    </row>
    <row r="4947" spans="1:12">
      <c r="A4947">
        <v>104946</v>
      </c>
      <c r="B4947">
        <v>49</v>
      </c>
      <c r="C4947" s="2">
        <v>46100</v>
      </c>
      <c r="D4947" t="s">
        <v>12</v>
      </c>
      <c r="E4947" s="2">
        <v>0</v>
      </c>
      <c r="F4947" s="2">
        <v>235000</v>
      </c>
      <c r="G4947" t="s">
        <v>26</v>
      </c>
      <c r="H4947" t="s">
        <v>17</v>
      </c>
      <c r="I4947" t="s">
        <v>18</v>
      </c>
      <c r="J4947" s="3">
        <v>46049</v>
      </c>
      <c r="K4947" s="4">
        <f>ClientiBanca[[#This Row],[Prestito]]+ClientiBanca[[#This Row],[Mutuo]]</f>
        <v>235000</v>
      </c>
      <c r="L4947" t="str">
        <f>IF(ClientiBanca[[#This Row],[Reddito annuo]]&gt;=70000,"si","no")</f>
        <v>no</v>
      </c>
    </row>
    <row r="4948" spans="1:12">
      <c r="A4948">
        <v>104947</v>
      </c>
      <c r="B4948">
        <v>43</v>
      </c>
      <c r="C4948" s="2">
        <v>108700</v>
      </c>
      <c r="D4948" t="s">
        <v>21</v>
      </c>
      <c r="E4948" s="2">
        <v>37000</v>
      </c>
      <c r="F4948" s="2">
        <v>0</v>
      </c>
      <c r="G4948" t="s">
        <v>24</v>
      </c>
      <c r="H4948" t="s">
        <v>17</v>
      </c>
      <c r="I4948" t="s">
        <v>18</v>
      </c>
      <c r="J4948" s="3">
        <v>46156</v>
      </c>
      <c r="K4948" s="4">
        <f>ClientiBanca[[#This Row],[Prestito]]+ClientiBanca[[#This Row],[Mutuo]]</f>
        <v>37000</v>
      </c>
      <c r="L4948" t="str">
        <f>IF(ClientiBanca[[#This Row],[Reddito annuo]]&gt;=70000,"si","no")</f>
        <v>si</v>
      </c>
    </row>
    <row r="4949" spans="1:12">
      <c r="A4949">
        <v>104948</v>
      </c>
      <c r="B4949">
        <v>75</v>
      </c>
      <c r="C4949" s="2">
        <v>104700</v>
      </c>
      <c r="D4949" t="s">
        <v>21</v>
      </c>
      <c r="E4949" s="2">
        <v>56100</v>
      </c>
      <c r="F4949" s="2">
        <v>0</v>
      </c>
      <c r="G4949" t="s">
        <v>19</v>
      </c>
      <c r="H4949" t="s">
        <v>17</v>
      </c>
      <c r="I4949" t="s">
        <v>18</v>
      </c>
      <c r="J4949" s="3">
        <v>46015</v>
      </c>
      <c r="K4949" s="4">
        <f>ClientiBanca[[#This Row],[Prestito]]+ClientiBanca[[#This Row],[Mutuo]]</f>
        <v>56100</v>
      </c>
      <c r="L4949" t="str">
        <f>IF(ClientiBanca[[#This Row],[Reddito annuo]]&gt;=70000,"si","no")</f>
        <v>si</v>
      </c>
    </row>
    <row r="4950" spans="1:12">
      <c r="A4950">
        <v>104949</v>
      </c>
      <c r="B4950">
        <v>36</v>
      </c>
      <c r="C4950" s="2">
        <v>97400</v>
      </c>
      <c r="D4950" t="s">
        <v>21</v>
      </c>
      <c r="E4950" s="2">
        <v>44100</v>
      </c>
      <c r="F4950" s="2">
        <v>0</v>
      </c>
      <c r="G4950" t="s">
        <v>19</v>
      </c>
      <c r="H4950" t="s">
        <v>20</v>
      </c>
      <c r="I4950" t="s">
        <v>18</v>
      </c>
      <c r="J4950" s="3">
        <v>45961</v>
      </c>
      <c r="K4950" s="4">
        <f>ClientiBanca[[#This Row],[Prestito]]+ClientiBanca[[#This Row],[Mutuo]]</f>
        <v>44100</v>
      </c>
      <c r="L4950" t="str">
        <f>IF(ClientiBanca[[#This Row],[Reddito annuo]]&gt;=70000,"si","no")</f>
        <v>si</v>
      </c>
    </row>
    <row r="4951" spans="1:12">
      <c r="A4951">
        <v>104950</v>
      </c>
      <c r="B4951">
        <v>39</v>
      </c>
      <c r="C4951" s="2">
        <v>115400</v>
      </c>
      <c r="D4951" t="s">
        <v>21</v>
      </c>
      <c r="E4951" s="2">
        <v>30700</v>
      </c>
      <c r="F4951" s="2">
        <v>0</v>
      </c>
      <c r="G4951" t="s">
        <v>27</v>
      </c>
      <c r="H4951" t="s">
        <v>17</v>
      </c>
      <c r="I4951" t="s">
        <v>18</v>
      </c>
      <c r="J4951" s="3">
        <v>46139</v>
      </c>
      <c r="K4951" s="4">
        <f>ClientiBanca[[#This Row],[Prestito]]+ClientiBanca[[#This Row],[Mutuo]]</f>
        <v>30700</v>
      </c>
      <c r="L4951" t="str">
        <f>IF(ClientiBanca[[#This Row],[Reddito annuo]]&gt;=70000,"si","no")</f>
        <v>si</v>
      </c>
    </row>
    <row r="4952" spans="1:12">
      <c r="A4952">
        <v>104951</v>
      </c>
      <c r="B4952">
        <v>36</v>
      </c>
      <c r="C4952" s="2">
        <v>107700</v>
      </c>
      <c r="D4952" t="s">
        <v>12</v>
      </c>
      <c r="E4952" s="2">
        <v>23500</v>
      </c>
      <c r="F4952" s="2">
        <v>149000</v>
      </c>
      <c r="G4952" t="s">
        <v>26</v>
      </c>
      <c r="H4952" t="s">
        <v>20</v>
      </c>
      <c r="I4952" t="s">
        <v>18</v>
      </c>
      <c r="J4952" s="3">
        <v>46076</v>
      </c>
      <c r="K4952" s="4">
        <f>ClientiBanca[[#This Row],[Prestito]]+ClientiBanca[[#This Row],[Mutuo]]</f>
        <v>172500</v>
      </c>
      <c r="L4952" t="str">
        <f>IF(ClientiBanca[[#This Row],[Reddito annuo]]&gt;=70000,"si","no")</f>
        <v>si</v>
      </c>
    </row>
    <row r="4953" spans="1:12">
      <c r="A4953">
        <v>104952</v>
      </c>
      <c r="B4953">
        <v>40</v>
      </c>
      <c r="C4953" s="2">
        <v>81300</v>
      </c>
      <c r="D4953" t="s">
        <v>22</v>
      </c>
      <c r="E4953" s="2">
        <v>29900</v>
      </c>
      <c r="F4953" s="2">
        <v>263000</v>
      </c>
      <c r="G4953" t="s">
        <v>23</v>
      </c>
      <c r="H4953" t="s">
        <v>20</v>
      </c>
      <c r="I4953" t="s">
        <v>18</v>
      </c>
      <c r="J4953" s="3">
        <v>45360</v>
      </c>
      <c r="K4953" s="4">
        <f>ClientiBanca[[#This Row],[Prestito]]+ClientiBanca[[#This Row],[Mutuo]]</f>
        <v>292900</v>
      </c>
      <c r="L4953" t="str">
        <f>IF(ClientiBanca[[#This Row],[Reddito annuo]]&gt;=70000,"si","no")</f>
        <v>si</v>
      </c>
    </row>
    <row r="4954" spans="1:12">
      <c r="A4954">
        <v>104953</v>
      </c>
      <c r="B4954">
        <v>38</v>
      </c>
      <c r="C4954" s="2">
        <v>119400</v>
      </c>
      <c r="D4954" t="s">
        <v>21</v>
      </c>
      <c r="E4954" s="2">
        <v>44000</v>
      </c>
      <c r="F4954" s="2">
        <v>0</v>
      </c>
      <c r="G4954" t="s">
        <v>23</v>
      </c>
      <c r="H4954" t="s">
        <v>20</v>
      </c>
      <c r="I4954" t="s">
        <v>18</v>
      </c>
      <c r="J4954" s="3">
        <v>46202</v>
      </c>
      <c r="K4954" s="4">
        <f>ClientiBanca[[#This Row],[Prestito]]+ClientiBanca[[#This Row],[Mutuo]]</f>
        <v>44000</v>
      </c>
      <c r="L4954" t="str">
        <f>IF(ClientiBanca[[#This Row],[Reddito annuo]]&gt;=70000,"si","no")</f>
        <v>si</v>
      </c>
    </row>
    <row r="4955" spans="1:12">
      <c r="A4955">
        <v>104954</v>
      </c>
      <c r="B4955">
        <v>73</v>
      </c>
      <c r="C4955" s="2">
        <v>76700</v>
      </c>
      <c r="D4955" t="s">
        <v>21</v>
      </c>
      <c r="E4955" s="2">
        <v>40200</v>
      </c>
      <c r="F4955" s="2">
        <v>0</v>
      </c>
      <c r="G4955" t="s">
        <v>16</v>
      </c>
      <c r="H4955" t="s">
        <v>17</v>
      </c>
      <c r="I4955" t="s">
        <v>18</v>
      </c>
      <c r="J4955" s="3">
        <v>45322</v>
      </c>
      <c r="K4955" s="4">
        <f>ClientiBanca[[#This Row],[Prestito]]+ClientiBanca[[#This Row],[Mutuo]]</f>
        <v>40200</v>
      </c>
      <c r="L4955" t="str">
        <f>IF(ClientiBanca[[#This Row],[Reddito annuo]]&gt;=70000,"si","no")</f>
        <v>si</v>
      </c>
    </row>
    <row r="4956" spans="1:12">
      <c r="A4956">
        <v>104955</v>
      </c>
      <c r="B4956">
        <v>59</v>
      </c>
      <c r="C4956" s="2">
        <v>100800</v>
      </c>
      <c r="D4956" t="s">
        <v>12</v>
      </c>
      <c r="E4956" s="2">
        <v>75800</v>
      </c>
      <c r="F4956" s="2">
        <v>387000</v>
      </c>
      <c r="G4956" t="s">
        <v>24</v>
      </c>
      <c r="H4956" t="s">
        <v>25</v>
      </c>
      <c r="I4956" t="s">
        <v>15</v>
      </c>
      <c r="J4956" s="3">
        <v>46172</v>
      </c>
      <c r="K4956" s="4">
        <f>ClientiBanca[[#This Row],[Prestito]]+ClientiBanca[[#This Row],[Mutuo]]</f>
        <v>462800</v>
      </c>
      <c r="L4956" t="str">
        <f>IF(ClientiBanca[[#This Row],[Reddito annuo]]&gt;=70000,"si","no")</f>
        <v>si</v>
      </c>
    </row>
    <row r="4957" spans="1:12">
      <c r="A4957">
        <v>104956</v>
      </c>
      <c r="B4957">
        <v>69</v>
      </c>
      <c r="C4957" s="2">
        <v>53200</v>
      </c>
      <c r="D4957" t="s">
        <v>12</v>
      </c>
      <c r="E4957" s="2">
        <v>36500</v>
      </c>
      <c r="F4957" s="2">
        <v>195000</v>
      </c>
      <c r="G4957" t="s">
        <v>16</v>
      </c>
      <c r="H4957" t="s">
        <v>20</v>
      </c>
      <c r="I4957" t="s">
        <v>18</v>
      </c>
      <c r="J4957" s="3">
        <v>45715</v>
      </c>
      <c r="K4957" s="4">
        <f>ClientiBanca[[#This Row],[Prestito]]+ClientiBanca[[#This Row],[Mutuo]]</f>
        <v>231500</v>
      </c>
      <c r="L4957" t="str">
        <f>IF(ClientiBanca[[#This Row],[Reddito annuo]]&gt;=70000,"si","no")</f>
        <v>no</v>
      </c>
    </row>
    <row r="4958" spans="1:12">
      <c r="A4958">
        <v>104957</v>
      </c>
      <c r="B4958">
        <v>60</v>
      </c>
      <c r="C4958" s="2">
        <v>105000</v>
      </c>
      <c r="D4958" t="s">
        <v>21</v>
      </c>
      <c r="E4958" s="2">
        <v>43500</v>
      </c>
      <c r="F4958" s="2">
        <v>213000</v>
      </c>
      <c r="G4958" t="s">
        <v>27</v>
      </c>
      <c r="H4958" t="s">
        <v>17</v>
      </c>
      <c r="I4958" t="s">
        <v>18</v>
      </c>
      <c r="J4958" s="3">
        <v>45403</v>
      </c>
      <c r="K4958" s="4">
        <f>ClientiBanca[[#This Row],[Prestito]]+ClientiBanca[[#This Row],[Mutuo]]</f>
        <v>256500</v>
      </c>
      <c r="L4958" t="str">
        <f>IF(ClientiBanca[[#This Row],[Reddito annuo]]&gt;=70000,"si","no")</f>
        <v>si</v>
      </c>
    </row>
    <row r="4959" spans="1:12">
      <c r="A4959">
        <v>104958</v>
      </c>
      <c r="B4959">
        <v>28</v>
      </c>
      <c r="C4959" s="2">
        <v>46600</v>
      </c>
      <c r="D4959" t="s">
        <v>22</v>
      </c>
      <c r="E4959" s="2">
        <v>51900</v>
      </c>
      <c r="F4959" s="2">
        <v>0</v>
      </c>
      <c r="G4959" t="s">
        <v>26</v>
      </c>
      <c r="H4959" t="s">
        <v>25</v>
      </c>
      <c r="I4959" t="s">
        <v>15</v>
      </c>
      <c r="J4959" s="3">
        <v>46048</v>
      </c>
      <c r="K4959" s="4">
        <f>ClientiBanca[[#This Row],[Prestito]]+ClientiBanca[[#This Row],[Mutuo]]</f>
        <v>51900</v>
      </c>
      <c r="L4959" t="str">
        <f>IF(ClientiBanca[[#This Row],[Reddito annuo]]&gt;=70000,"si","no")</f>
        <v>no</v>
      </c>
    </row>
    <row r="4960" spans="1:12">
      <c r="A4960">
        <v>104959</v>
      </c>
      <c r="B4960">
        <v>52</v>
      </c>
      <c r="C4960" s="2">
        <v>58600</v>
      </c>
      <c r="D4960" t="s">
        <v>12</v>
      </c>
      <c r="E4960" s="2">
        <v>8000</v>
      </c>
      <c r="F4960" s="2">
        <v>112000</v>
      </c>
      <c r="G4960" t="s">
        <v>27</v>
      </c>
      <c r="H4960" t="s">
        <v>17</v>
      </c>
      <c r="I4960" t="s">
        <v>18</v>
      </c>
      <c r="J4960" s="3">
        <v>45355</v>
      </c>
      <c r="K4960" s="4">
        <f>ClientiBanca[[#This Row],[Prestito]]+ClientiBanca[[#This Row],[Mutuo]]</f>
        <v>120000</v>
      </c>
      <c r="L4960" t="str">
        <f>IF(ClientiBanca[[#This Row],[Reddito annuo]]&gt;=70000,"si","no")</f>
        <v>no</v>
      </c>
    </row>
    <row r="4961" spans="1:12">
      <c r="A4961">
        <v>104960</v>
      </c>
      <c r="B4961">
        <v>48</v>
      </c>
      <c r="C4961" s="2">
        <v>39300</v>
      </c>
      <c r="D4961" t="s">
        <v>21</v>
      </c>
      <c r="E4961" s="2">
        <v>49100</v>
      </c>
      <c r="F4961" s="2">
        <v>0</v>
      </c>
      <c r="G4961" t="s">
        <v>24</v>
      </c>
      <c r="H4961" t="s">
        <v>25</v>
      </c>
      <c r="I4961" t="s">
        <v>18</v>
      </c>
      <c r="J4961" s="3">
        <v>45907</v>
      </c>
      <c r="K4961" s="4">
        <f>ClientiBanca[[#This Row],[Prestito]]+ClientiBanca[[#This Row],[Mutuo]]</f>
        <v>49100</v>
      </c>
      <c r="L4961" t="str">
        <f>IF(ClientiBanca[[#This Row],[Reddito annuo]]&gt;=70000,"si","no")</f>
        <v>no</v>
      </c>
    </row>
    <row r="4962" spans="1:12">
      <c r="A4962">
        <v>104961</v>
      </c>
      <c r="B4962">
        <v>33</v>
      </c>
      <c r="C4962" s="2">
        <v>24600</v>
      </c>
      <c r="D4962" t="s">
        <v>22</v>
      </c>
      <c r="E4962" s="2">
        <v>30800</v>
      </c>
      <c r="F4962" s="2">
        <v>114000</v>
      </c>
      <c r="G4962" t="s">
        <v>28</v>
      </c>
      <c r="H4962" t="s">
        <v>20</v>
      </c>
      <c r="I4962" t="s">
        <v>18</v>
      </c>
      <c r="J4962" s="3">
        <v>45993</v>
      </c>
      <c r="K4962" s="4">
        <f>ClientiBanca[[#This Row],[Prestito]]+ClientiBanca[[#This Row],[Mutuo]]</f>
        <v>144800</v>
      </c>
      <c r="L4962" t="str">
        <f>IF(ClientiBanca[[#This Row],[Reddito annuo]]&gt;=70000,"si","no")</f>
        <v>no</v>
      </c>
    </row>
    <row r="4963" spans="1:12">
      <c r="A4963">
        <v>104962</v>
      </c>
      <c r="B4963">
        <v>33</v>
      </c>
      <c r="C4963" s="2">
        <v>32200</v>
      </c>
      <c r="D4963" t="s">
        <v>12</v>
      </c>
      <c r="E4963" s="2">
        <v>5600</v>
      </c>
      <c r="F4963" s="2">
        <v>264000</v>
      </c>
      <c r="G4963" t="s">
        <v>28</v>
      </c>
      <c r="H4963" t="s">
        <v>14</v>
      </c>
      <c r="I4963" t="s">
        <v>15</v>
      </c>
      <c r="J4963" s="3">
        <v>45717</v>
      </c>
      <c r="K4963" s="4">
        <f>ClientiBanca[[#This Row],[Prestito]]+ClientiBanca[[#This Row],[Mutuo]]</f>
        <v>269600</v>
      </c>
      <c r="L4963" t="str">
        <f>IF(ClientiBanca[[#This Row],[Reddito annuo]]&gt;=70000,"si","no")</f>
        <v>no</v>
      </c>
    </row>
    <row r="4964" spans="1:12">
      <c r="A4964">
        <v>104963</v>
      </c>
      <c r="B4964">
        <v>20</v>
      </c>
      <c r="C4964" s="2">
        <v>82500</v>
      </c>
      <c r="D4964" t="s">
        <v>21</v>
      </c>
      <c r="E4964" s="2">
        <v>0</v>
      </c>
      <c r="F4964" s="2">
        <v>0</v>
      </c>
      <c r="G4964" t="s">
        <v>26</v>
      </c>
      <c r="H4964" t="s">
        <v>20</v>
      </c>
      <c r="I4964" t="s">
        <v>18</v>
      </c>
      <c r="J4964" s="3">
        <v>45826</v>
      </c>
      <c r="K4964" s="4">
        <f>ClientiBanca[[#This Row],[Prestito]]+ClientiBanca[[#This Row],[Mutuo]]</f>
        <v>0</v>
      </c>
      <c r="L4964" t="str">
        <f>IF(ClientiBanca[[#This Row],[Reddito annuo]]&gt;=70000,"si","no")</f>
        <v>si</v>
      </c>
    </row>
    <row r="4965" spans="1:12">
      <c r="A4965">
        <v>104964</v>
      </c>
      <c r="B4965">
        <v>34</v>
      </c>
      <c r="C4965" s="2">
        <v>49700</v>
      </c>
      <c r="D4965" t="s">
        <v>21</v>
      </c>
      <c r="E4965" s="2">
        <v>37600</v>
      </c>
      <c r="F4965" s="2">
        <v>261000</v>
      </c>
      <c r="G4965" t="s">
        <v>28</v>
      </c>
      <c r="H4965" t="s">
        <v>17</v>
      </c>
      <c r="I4965" t="s">
        <v>18</v>
      </c>
      <c r="J4965" s="3">
        <v>45358</v>
      </c>
      <c r="K4965" s="4">
        <f>ClientiBanca[[#This Row],[Prestito]]+ClientiBanca[[#This Row],[Mutuo]]</f>
        <v>298600</v>
      </c>
      <c r="L4965" t="str">
        <f>IF(ClientiBanca[[#This Row],[Reddito annuo]]&gt;=70000,"si","no")</f>
        <v>no</v>
      </c>
    </row>
    <row r="4966" spans="1:12">
      <c r="A4966">
        <v>104965</v>
      </c>
      <c r="B4966">
        <v>41</v>
      </c>
      <c r="C4966" s="2">
        <v>83300</v>
      </c>
      <c r="D4966" t="s">
        <v>12</v>
      </c>
      <c r="E4966" s="2">
        <v>75000</v>
      </c>
      <c r="F4966" s="2">
        <v>116000</v>
      </c>
      <c r="G4966" t="s">
        <v>16</v>
      </c>
      <c r="H4966" t="s">
        <v>20</v>
      </c>
      <c r="I4966" t="s">
        <v>18</v>
      </c>
      <c r="J4966" s="3">
        <v>46158</v>
      </c>
      <c r="K4966" s="4">
        <f>ClientiBanca[[#This Row],[Prestito]]+ClientiBanca[[#This Row],[Mutuo]]</f>
        <v>191000</v>
      </c>
      <c r="L4966" t="str">
        <f>IF(ClientiBanca[[#This Row],[Reddito annuo]]&gt;=70000,"si","no")</f>
        <v>si</v>
      </c>
    </row>
    <row r="4967" spans="1:12">
      <c r="A4967">
        <v>104966</v>
      </c>
      <c r="B4967">
        <v>26</v>
      </c>
      <c r="C4967" s="2">
        <v>44400</v>
      </c>
      <c r="D4967" t="s">
        <v>12</v>
      </c>
      <c r="E4967" s="2">
        <v>21700</v>
      </c>
      <c r="F4967" s="2">
        <v>124000</v>
      </c>
      <c r="G4967" t="s">
        <v>16</v>
      </c>
      <c r="H4967" t="s">
        <v>25</v>
      </c>
      <c r="I4967" t="s">
        <v>15</v>
      </c>
      <c r="J4967" s="3">
        <v>45552</v>
      </c>
      <c r="K4967" s="4">
        <f>ClientiBanca[[#This Row],[Prestito]]+ClientiBanca[[#This Row],[Mutuo]]</f>
        <v>145700</v>
      </c>
      <c r="L4967" t="str">
        <f>IF(ClientiBanca[[#This Row],[Reddito annuo]]&gt;=70000,"si","no")</f>
        <v>no</v>
      </c>
    </row>
    <row r="4968" spans="1:12">
      <c r="A4968">
        <v>104967</v>
      </c>
      <c r="B4968">
        <v>64</v>
      </c>
      <c r="C4968" s="2">
        <v>94700</v>
      </c>
      <c r="D4968" t="s">
        <v>21</v>
      </c>
      <c r="E4968" s="2">
        <v>19500</v>
      </c>
      <c r="F4968" s="2">
        <v>0</v>
      </c>
      <c r="G4968" t="s">
        <v>27</v>
      </c>
      <c r="H4968" t="s">
        <v>20</v>
      </c>
      <c r="I4968" t="s">
        <v>18</v>
      </c>
      <c r="J4968" s="3">
        <v>45368</v>
      </c>
      <c r="K4968" s="4">
        <f>ClientiBanca[[#This Row],[Prestito]]+ClientiBanca[[#This Row],[Mutuo]]</f>
        <v>19500</v>
      </c>
      <c r="L4968" t="str">
        <f>IF(ClientiBanca[[#This Row],[Reddito annuo]]&gt;=70000,"si","no")</f>
        <v>si</v>
      </c>
    </row>
    <row r="4969" spans="1:12">
      <c r="A4969">
        <v>104968</v>
      </c>
      <c r="B4969">
        <v>31</v>
      </c>
      <c r="C4969" s="2">
        <v>37800</v>
      </c>
      <c r="D4969" t="s">
        <v>21</v>
      </c>
      <c r="E4969" s="2">
        <v>8700</v>
      </c>
      <c r="F4969" s="2">
        <v>0</v>
      </c>
      <c r="G4969" t="s">
        <v>26</v>
      </c>
      <c r="H4969" t="s">
        <v>17</v>
      </c>
      <c r="I4969" t="s">
        <v>18</v>
      </c>
      <c r="J4969" s="3">
        <v>45473</v>
      </c>
      <c r="K4969" s="4">
        <f>ClientiBanca[[#This Row],[Prestito]]+ClientiBanca[[#This Row],[Mutuo]]</f>
        <v>8700</v>
      </c>
      <c r="L4969" t="str">
        <f>IF(ClientiBanca[[#This Row],[Reddito annuo]]&gt;=70000,"si","no")</f>
        <v>no</v>
      </c>
    </row>
    <row r="4970" spans="1:12">
      <c r="A4970">
        <v>104969</v>
      </c>
      <c r="B4970">
        <v>39</v>
      </c>
      <c r="C4970" s="2">
        <v>103100</v>
      </c>
      <c r="D4970" t="s">
        <v>12</v>
      </c>
      <c r="E4970" s="2">
        <v>53600</v>
      </c>
      <c r="F4970" s="2">
        <v>0</v>
      </c>
      <c r="G4970" t="s">
        <v>16</v>
      </c>
      <c r="H4970" t="s">
        <v>17</v>
      </c>
      <c r="I4970" t="s">
        <v>18</v>
      </c>
      <c r="J4970" s="3">
        <v>46076</v>
      </c>
      <c r="K4970" s="4">
        <f>ClientiBanca[[#This Row],[Prestito]]+ClientiBanca[[#This Row],[Mutuo]]</f>
        <v>53600</v>
      </c>
      <c r="L4970" t="str">
        <f>IF(ClientiBanca[[#This Row],[Reddito annuo]]&gt;=70000,"si","no")</f>
        <v>si</v>
      </c>
    </row>
    <row r="4971" spans="1:12">
      <c r="A4971">
        <v>104970</v>
      </c>
      <c r="B4971">
        <v>34</v>
      </c>
      <c r="C4971" s="2">
        <v>87000</v>
      </c>
      <c r="D4971" t="s">
        <v>21</v>
      </c>
      <c r="E4971" s="2">
        <v>6600</v>
      </c>
      <c r="F4971" s="2">
        <v>0</v>
      </c>
      <c r="G4971" t="s">
        <v>23</v>
      </c>
      <c r="H4971" t="s">
        <v>17</v>
      </c>
      <c r="I4971" t="s">
        <v>18</v>
      </c>
      <c r="J4971" s="3">
        <v>45896</v>
      </c>
      <c r="K4971" s="4">
        <f>ClientiBanca[[#This Row],[Prestito]]+ClientiBanca[[#This Row],[Mutuo]]</f>
        <v>6600</v>
      </c>
      <c r="L4971" t="str">
        <f>IF(ClientiBanca[[#This Row],[Reddito annuo]]&gt;=70000,"si","no")</f>
        <v>si</v>
      </c>
    </row>
    <row r="4972" spans="1:12">
      <c r="A4972">
        <v>104971</v>
      </c>
      <c r="B4972">
        <v>26</v>
      </c>
      <c r="C4972" s="2">
        <v>106500</v>
      </c>
      <c r="D4972" t="s">
        <v>12</v>
      </c>
      <c r="E4972" s="2">
        <v>11100</v>
      </c>
      <c r="F4972" s="2">
        <v>0</v>
      </c>
      <c r="G4972" t="s">
        <v>13</v>
      </c>
      <c r="H4972" t="s">
        <v>20</v>
      </c>
      <c r="I4972" t="s">
        <v>18</v>
      </c>
      <c r="J4972" s="3">
        <v>45931</v>
      </c>
      <c r="K4972" s="4">
        <f>ClientiBanca[[#This Row],[Prestito]]+ClientiBanca[[#This Row],[Mutuo]]</f>
        <v>11100</v>
      </c>
      <c r="L4972" t="str">
        <f>IF(ClientiBanca[[#This Row],[Reddito annuo]]&gt;=70000,"si","no")</f>
        <v>si</v>
      </c>
    </row>
    <row r="4973" spans="1:12">
      <c r="A4973">
        <v>104972</v>
      </c>
      <c r="B4973">
        <v>48</v>
      </c>
      <c r="C4973" s="2">
        <v>106000</v>
      </c>
      <c r="D4973" t="s">
        <v>21</v>
      </c>
      <c r="E4973" s="2">
        <v>0</v>
      </c>
      <c r="F4973" s="2">
        <v>256000</v>
      </c>
      <c r="G4973" t="s">
        <v>24</v>
      </c>
      <c r="H4973" t="s">
        <v>17</v>
      </c>
      <c r="I4973" t="s">
        <v>18</v>
      </c>
      <c r="J4973" s="3">
        <v>45750</v>
      </c>
      <c r="K4973" s="4">
        <f>ClientiBanca[[#This Row],[Prestito]]+ClientiBanca[[#This Row],[Mutuo]]</f>
        <v>256000</v>
      </c>
      <c r="L4973" t="str">
        <f>IF(ClientiBanca[[#This Row],[Reddito annuo]]&gt;=70000,"si","no")</f>
        <v>si</v>
      </c>
    </row>
    <row r="4974" spans="1:12">
      <c r="A4974">
        <v>104973</v>
      </c>
      <c r="B4974">
        <v>74</v>
      </c>
      <c r="C4974" s="2">
        <v>98400</v>
      </c>
      <c r="D4974" t="s">
        <v>12</v>
      </c>
      <c r="E4974" s="2">
        <v>39100</v>
      </c>
      <c r="F4974" s="2">
        <v>0</v>
      </c>
      <c r="G4974" t="s">
        <v>24</v>
      </c>
      <c r="H4974" t="s">
        <v>17</v>
      </c>
      <c r="I4974" t="s">
        <v>18</v>
      </c>
      <c r="J4974" s="3">
        <v>45488</v>
      </c>
      <c r="K4974" s="4">
        <f>ClientiBanca[[#This Row],[Prestito]]+ClientiBanca[[#This Row],[Mutuo]]</f>
        <v>39100</v>
      </c>
      <c r="L4974" t="str">
        <f>IF(ClientiBanca[[#This Row],[Reddito annuo]]&gt;=70000,"si","no")</f>
        <v>si</v>
      </c>
    </row>
    <row r="4975" spans="1:12">
      <c r="A4975">
        <v>104974</v>
      </c>
      <c r="B4975">
        <v>39</v>
      </c>
      <c r="C4975" s="2">
        <v>76300</v>
      </c>
      <c r="D4975" t="s">
        <v>22</v>
      </c>
      <c r="E4975" s="2">
        <v>29700</v>
      </c>
      <c r="F4975" s="2">
        <v>0</v>
      </c>
      <c r="G4975" t="s">
        <v>28</v>
      </c>
      <c r="H4975" t="s">
        <v>20</v>
      </c>
      <c r="I4975" t="s">
        <v>18</v>
      </c>
      <c r="J4975" s="3">
        <v>45735</v>
      </c>
      <c r="K4975" s="4">
        <f>ClientiBanca[[#This Row],[Prestito]]+ClientiBanca[[#This Row],[Mutuo]]</f>
        <v>29700</v>
      </c>
      <c r="L4975" t="str">
        <f>IF(ClientiBanca[[#This Row],[Reddito annuo]]&gt;=70000,"si","no")</f>
        <v>si</v>
      </c>
    </row>
    <row r="4976" spans="1:12">
      <c r="A4976">
        <v>104975</v>
      </c>
      <c r="B4976">
        <v>60</v>
      </c>
      <c r="C4976" s="2">
        <v>66800</v>
      </c>
      <c r="D4976" t="s">
        <v>21</v>
      </c>
      <c r="E4976" s="2">
        <v>22400</v>
      </c>
      <c r="F4976" s="2">
        <v>117000</v>
      </c>
      <c r="G4976" t="s">
        <v>19</v>
      </c>
      <c r="H4976" t="s">
        <v>20</v>
      </c>
      <c r="I4976" t="s">
        <v>18</v>
      </c>
      <c r="J4976" s="3">
        <v>45871</v>
      </c>
      <c r="K4976" s="4">
        <f>ClientiBanca[[#This Row],[Prestito]]+ClientiBanca[[#This Row],[Mutuo]]</f>
        <v>139400</v>
      </c>
      <c r="L4976" t="str">
        <f>IF(ClientiBanca[[#This Row],[Reddito annuo]]&gt;=70000,"si","no")</f>
        <v>no</v>
      </c>
    </row>
    <row r="4977" spans="1:12">
      <c r="A4977">
        <v>104976</v>
      </c>
      <c r="B4977">
        <v>60</v>
      </c>
      <c r="C4977" s="2">
        <v>78400</v>
      </c>
      <c r="D4977" t="s">
        <v>12</v>
      </c>
      <c r="E4977" s="2">
        <v>56200</v>
      </c>
      <c r="F4977" s="2">
        <v>266000</v>
      </c>
      <c r="G4977" t="s">
        <v>28</v>
      </c>
      <c r="H4977" t="s">
        <v>20</v>
      </c>
      <c r="I4977" t="s">
        <v>18</v>
      </c>
      <c r="J4977" s="3">
        <v>45531</v>
      </c>
      <c r="K4977" s="4">
        <f>ClientiBanca[[#This Row],[Prestito]]+ClientiBanca[[#This Row],[Mutuo]]</f>
        <v>322200</v>
      </c>
      <c r="L4977" t="str">
        <f>IF(ClientiBanca[[#This Row],[Reddito annuo]]&gt;=70000,"si","no")</f>
        <v>si</v>
      </c>
    </row>
    <row r="4978" spans="1:12">
      <c r="A4978">
        <v>104977</v>
      </c>
      <c r="B4978">
        <v>62</v>
      </c>
      <c r="C4978" s="2">
        <v>52200</v>
      </c>
      <c r="D4978" t="s">
        <v>21</v>
      </c>
      <c r="E4978" s="2">
        <v>33300</v>
      </c>
      <c r="F4978" s="2">
        <v>0</v>
      </c>
      <c r="G4978" t="s">
        <v>24</v>
      </c>
      <c r="H4978" t="s">
        <v>20</v>
      </c>
      <c r="I4978" t="s">
        <v>18</v>
      </c>
      <c r="J4978" s="3">
        <v>45916</v>
      </c>
      <c r="K4978" s="4">
        <f>ClientiBanca[[#This Row],[Prestito]]+ClientiBanca[[#This Row],[Mutuo]]</f>
        <v>33300</v>
      </c>
      <c r="L4978" t="str">
        <f>IF(ClientiBanca[[#This Row],[Reddito annuo]]&gt;=70000,"si","no")</f>
        <v>no</v>
      </c>
    </row>
    <row r="4979" spans="1:12">
      <c r="A4979">
        <v>104978</v>
      </c>
      <c r="B4979">
        <v>70</v>
      </c>
      <c r="C4979" s="2">
        <v>42500</v>
      </c>
      <c r="D4979" t="s">
        <v>21</v>
      </c>
      <c r="E4979" s="2">
        <v>53100</v>
      </c>
      <c r="F4979" s="2">
        <v>0</v>
      </c>
      <c r="G4979" t="s">
        <v>13</v>
      </c>
      <c r="H4979" t="s">
        <v>25</v>
      </c>
      <c r="I4979" t="s">
        <v>18</v>
      </c>
      <c r="J4979" s="3">
        <v>45474</v>
      </c>
      <c r="K4979" s="4">
        <f>ClientiBanca[[#This Row],[Prestito]]+ClientiBanca[[#This Row],[Mutuo]]</f>
        <v>53100</v>
      </c>
      <c r="L4979" t="str">
        <f>IF(ClientiBanca[[#This Row],[Reddito annuo]]&gt;=70000,"si","no")</f>
        <v>no</v>
      </c>
    </row>
    <row r="4980" spans="1:12">
      <c r="A4980">
        <v>104979</v>
      </c>
      <c r="B4980">
        <v>23</v>
      </c>
      <c r="C4980" s="2">
        <v>64300</v>
      </c>
      <c r="D4980" t="s">
        <v>12</v>
      </c>
      <c r="E4980" s="2">
        <v>0</v>
      </c>
      <c r="F4980" s="2">
        <v>0</v>
      </c>
      <c r="G4980" t="s">
        <v>16</v>
      </c>
      <c r="H4980" t="s">
        <v>17</v>
      </c>
      <c r="I4980" t="s">
        <v>18</v>
      </c>
      <c r="J4980" s="3">
        <v>45308</v>
      </c>
      <c r="K4980" s="4">
        <f>ClientiBanca[[#This Row],[Prestito]]+ClientiBanca[[#This Row],[Mutuo]]</f>
        <v>0</v>
      </c>
      <c r="L4980" t="str">
        <f>IF(ClientiBanca[[#This Row],[Reddito annuo]]&gt;=70000,"si","no")</f>
        <v>no</v>
      </c>
    </row>
    <row r="4981" spans="1:12">
      <c r="A4981">
        <v>104980</v>
      </c>
      <c r="B4981">
        <v>25</v>
      </c>
      <c r="C4981" s="2">
        <v>56100</v>
      </c>
      <c r="D4981" t="s">
        <v>22</v>
      </c>
      <c r="E4981" s="2">
        <v>55400</v>
      </c>
      <c r="F4981" s="2">
        <v>0</v>
      </c>
      <c r="G4981" t="s">
        <v>13</v>
      </c>
      <c r="H4981" t="s">
        <v>17</v>
      </c>
      <c r="I4981" t="s">
        <v>18</v>
      </c>
      <c r="J4981" s="3">
        <v>46154</v>
      </c>
      <c r="K4981" s="4">
        <f>ClientiBanca[[#This Row],[Prestito]]+ClientiBanca[[#This Row],[Mutuo]]</f>
        <v>55400</v>
      </c>
      <c r="L4981" t="str">
        <f>IF(ClientiBanca[[#This Row],[Reddito annuo]]&gt;=70000,"si","no")</f>
        <v>no</v>
      </c>
    </row>
    <row r="4982" spans="1:12">
      <c r="A4982">
        <v>104981</v>
      </c>
      <c r="B4982">
        <v>75</v>
      </c>
      <c r="C4982" s="2">
        <v>53200</v>
      </c>
      <c r="D4982" t="s">
        <v>22</v>
      </c>
      <c r="E4982" s="2">
        <v>60600</v>
      </c>
      <c r="F4982" s="2">
        <v>0</v>
      </c>
      <c r="G4982" t="s">
        <v>16</v>
      </c>
      <c r="H4982" t="s">
        <v>14</v>
      </c>
      <c r="I4982" t="s">
        <v>18</v>
      </c>
      <c r="J4982" s="3">
        <v>46163</v>
      </c>
      <c r="K4982" s="4">
        <f>ClientiBanca[[#This Row],[Prestito]]+ClientiBanca[[#This Row],[Mutuo]]</f>
        <v>60600</v>
      </c>
      <c r="L4982" t="str">
        <f>IF(ClientiBanca[[#This Row],[Reddito annuo]]&gt;=70000,"si","no")</f>
        <v>no</v>
      </c>
    </row>
    <row r="4983" spans="1:12">
      <c r="A4983">
        <v>104982</v>
      </c>
      <c r="B4983">
        <v>21</v>
      </c>
      <c r="C4983" s="2">
        <v>63700</v>
      </c>
      <c r="D4983" t="s">
        <v>21</v>
      </c>
      <c r="E4983" s="2">
        <v>8200</v>
      </c>
      <c r="F4983" s="2">
        <v>0</v>
      </c>
      <c r="G4983" t="s">
        <v>28</v>
      </c>
      <c r="H4983" t="s">
        <v>17</v>
      </c>
      <c r="I4983" t="s">
        <v>18</v>
      </c>
      <c r="J4983" s="3">
        <v>46067</v>
      </c>
      <c r="K4983" s="4">
        <f>ClientiBanca[[#This Row],[Prestito]]+ClientiBanca[[#This Row],[Mutuo]]</f>
        <v>8200</v>
      </c>
      <c r="L4983" t="str">
        <f>IF(ClientiBanca[[#This Row],[Reddito annuo]]&gt;=70000,"si","no")</f>
        <v>no</v>
      </c>
    </row>
    <row r="4984" spans="1:12">
      <c r="A4984">
        <v>104983</v>
      </c>
      <c r="B4984">
        <v>46</v>
      </c>
      <c r="C4984" s="2">
        <v>25400</v>
      </c>
      <c r="D4984" t="s">
        <v>12</v>
      </c>
      <c r="E4984" s="2">
        <v>31800</v>
      </c>
      <c r="F4984" s="2">
        <v>0</v>
      </c>
      <c r="G4984" t="s">
        <v>19</v>
      </c>
      <c r="H4984" t="s">
        <v>20</v>
      </c>
      <c r="I4984" t="s">
        <v>18</v>
      </c>
      <c r="J4984" s="3">
        <v>45706</v>
      </c>
      <c r="K4984" s="4">
        <f>ClientiBanca[[#This Row],[Prestito]]+ClientiBanca[[#This Row],[Mutuo]]</f>
        <v>31800</v>
      </c>
      <c r="L4984" t="str">
        <f>IF(ClientiBanca[[#This Row],[Reddito annuo]]&gt;=70000,"si","no")</f>
        <v>no</v>
      </c>
    </row>
    <row r="4985" spans="1:12">
      <c r="A4985">
        <v>104984</v>
      </c>
      <c r="B4985">
        <v>61</v>
      </c>
      <c r="C4985" s="2">
        <v>124900</v>
      </c>
      <c r="D4985" t="s">
        <v>21</v>
      </c>
      <c r="E4985" s="2">
        <v>0</v>
      </c>
      <c r="F4985" s="2">
        <v>0</v>
      </c>
      <c r="G4985" t="s">
        <v>27</v>
      </c>
      <c r="H4985" t="s">
        <v>17</v>
      </c>
      <c r="I4985" t="s">
        <v>18</v>
      </c>
      <c r="J4985" s="3">
        <v>45319</v>
      </c>
      <c r="K4985" s="4">
        <f>ClientiBanca[[#This Row],[Prestito]]+ClientiBanca[[#This Row],[Mutuo]]</f>
        <v>0</v>
      </c>
      <c r="L4985" t="str">
        <f>IF(ClientiBanca[[#This Row],[Reddito annuo]]&gt;=70000,"si","no")</f>
        <v>si</v>
      </c>
    </row>
    <row r="4986" spans="1:12">
      <c r="A4986">
        <v>104985</v>
      </c>
      <c r="B4986">
        <v>61</v>
      </c>
      <c r="C4986" s="2">
        <v>28000</v>
      </c>
      <c r="D4986" t="s">
        <v>22</v>
      </c>
      <c r="E4986" s="2">
        <v>35000</v>
      </c>
      <c r="F4986" s="2">
        <v>0</v>
      </c>
      <c r="G4986" t="s">
        <v>27</v>
      </c>
      <c r="H4986" t="s">
        <v>17</v>
      </c>
      <c r="I4986" t="s">
        <v>18</v>
      </c>
      <c r="J4986" s="3">
        <v>45661</v>
      </c>
      <c r="K4986" s="4">
        <f>ClientiBanca[[#This Row],[Prestito]]+ClientiBanca[[#This Row],[Mutuo]]</f>
        <v>35000</v>
      </c>
      <c r="L4986" t="str">
        <f>IF(ClientiBanca[[#This Row],[Reddito annuo]]&gt;=70000,"si","no")</f>
        <v>no</v>
      </c>
    </row>
    <row r="4987" spans="1:12">
      <c r="A4987">
        <v>104986</v>
      </c>
      <c r="B4987">
        <v>23</v>
      </c>
      <c r="C4987" s="2">
        <v>74900</v>
      </c>
      <c r="D4987" t="s">
        <v>12</v>
      </c>
      <c r="E4987" s="2">
        <v>9100</v>
      </c>
      <c r="F4987" s="2">
        <v>0</v>
      </c>
      <c r="G4987" t="s">
        <v>19</v>
      </c>
      <c r="H4987" t="s">
        <v>14</v>
      </c>
      <c r="I4987" t="s">
        <v>18</v>
      </c>
      <c r="J4987" s="3">
        <v>45611</v>
      </c>
      <c r="K4987" s="4">
        <f>ClientiBanca[[#This Row],[Prestito]]+ClientiBanca[[#This Row],[Mutuo]]</f>
        <v>9100</v>
      </c>
      <c r="L4987" t="str">
        <f>IF(ClientiBanca[[#This Row],[Reddito annuo]]&gt;=70000,"si","no")</f>
        <v>si</v>
      </c>
    </row>
    <row r="4988" spans="1:12">
      <c r="A4988">
        <v>104987</v>
      </c>
      <c r="B4988">
        <v>71</v>
      </c>
      <c r="C4988" s="2">
        <v>32500</v>
      </c>
      <c r="D4988" t="s">
        <v>12</v>
      </c>
      <c r="E4988" s="2">
        <v>11800</v>
      </c>
      <c r="F4988" s="2">
        <v>0</v>
      </c>
      <c r="G4988" t="s">
        <v>23</v>
      </c>
      <c r="H4988" t="s">
        <v>17</v>
      </c>
      <c r="I4988" t="s">
        <v>18</v>
      </c>
      <c r="J4988" s="3">
        <v>45672</v>
      </c>
      <c r="K4988" s="4">
        <f>ClientiBanca[[#This Row],[Prestito]]+ClientiBanca[[#This Row],[Mutuo]]</f>
        <v>11800</v>
      </c>
      <c r="L4988" t="str">
        <f>IF(ClientiBanca[[#This Row],[Reddito annuo]]&gt;=70000,"si","no")</f>
        <v>no</v>
      </c>
    </row>
    <row r="4989" spans="1:12">
      <c r="A4989">
        <v>104988</v>
      </c>
      <c r="B4989">
        <v>20</v>
      </c>
      <c r="C4989" s="2">
        <v>75500</v>
      </c>
      <c r="D4989" t="s">
        <v>12</v>
      </c>
      <c r="E4989" s="2">
        <v>0</v>
      </c>
      <c r="F4989" s="2">
        <v>0</v>
      </c>
      <c r="G4989" t="s">
        <v>27</v>
      </c>
      <c r="H4989" t="s">
        <v>20</v>
      </c>
      <c r="I4989" t="s">
        <v>18</v>
      </c>
      <c r="J4989" s="3">
        <v>45386</v>
      </c>
      <c r="K4989" s="4">
        <f>ClientiBanca[[#This Row],[Prestito]]+ClientiBanca[[#This Row],[Mutuo]]</f>
        <v>0</v>
      </c>
      <c r="L4989" t="str">
        <f>IF(ClientiBanca[[#This Row],[Reddito annuo]]&gt;=70000,"si","no")</f>
        <v>si</v>
      </c>
    </row>
    <row r="4990" spans="1:12">
      <c r="A4990">
        <v>104989</v>
      </c>
      <c r="B4990">
        <v>57</v>
      </c>
      <c r="C4990" s="2">
        <v>35800</v>
      </c>
      <c r="D4990" t="s">
        <v>12</v>
      </c>
      <c r="E4990" s="2">
        <v>44800</v>
      </c>
      <c r="F4990" s="2">
        <v>0</v>
      </c>
      <c r="G4990" t="s">
        <v>23</v>
      </c>
      <c r="H4990" t="s">
        <v>17</v>
      </c>
      <c r="I4990" t="s">
        <v>18</v>
      </c>
      <c r="J4990" s="3">
        <v>45916</v>
      </c>
      <c r="K4990" s="4">
        <f>ClientiBanca[[#This Row],[Prestito]]+ClientiBanca[[#This Row],[Mutuo]]</f>
        <v>44800</v>
      </c>
      <c r="L4990" t="str">
        <f>IF(ClientiBanca[[#This Row],[Reddito annuo]]&gt;=70000,"si","no")</f>
        <v>no</v>
      </c>
    </row>
    <row r="4991" spans="1:12">
      <c r="A4991">
        <v>104990</v>
      </c>
      <c r="B4991">
        <v>20</v>
      </c>
      <c r="C4991" s="2">
        <v>43300</v>
      </c>
      <c r="D4991" t="s">
        <v>22</v>
      </c>
      <c r="E4991" s="2">
        <v>30600</v>
      </c>
      <c r="F4991" s="2">
        <v>0</v>
      </c>
      <c r="G4991" t="s">
        <v>13</v>
      </c>
      <c r="H4991" t="s">
        <v>25</v>
      </c>
      <c r="I4991" t="s">
        <v>18</v>
      </c>
      <c r="J4991" s="3">
        <v>45737</v>
      </c>
      <c r="K4991" s="4">
        <f>ClientiBanca[[#This Row],[Prestito]]+ClientiBanca[[#This Row],[Mutuo]]</f>
        <v>30600</v>
      </c>
      <c r="L4991" t="str">
        <f>IF(ClientiBanca[[#This Row],[Reddito annuo]]&gt;=70000,"si","no")</f>
        <v>no</v>
      </c>
    </row>
    <row r="4992" spans="1:12">
      <c r="A4992">
        <v>104991</v>
      </c>
      <c r="B4992">
        <v>48</v>
      </c>
      <c r="C4992" s="2">
        <v>48900</v>
      </c>
      <c r="D4992" t="s">
        <v>21</v>
      </c>
      <c r="E4992" s="2">
        <v>44100</v>
      </c>
      <c r="F4992" s="2">
        <v>146000</v>
      </c>
      <c r="G4992" t="s">
        <v>28</v>
      </c>
      <c r="H4992" t="s">
        <v>17</v>
      </c>
      <c r="I4992" t="s">
        <v>18</v>
      </c>
      <c r="J4992" s="3">
        <v>46047</v>
      </c>
      <c r="K4992" s="4">
        <f>ClientiBanca[[#This Row],[Prestito]]+ClientiBanca[[#This Row],[Mutuo]]</f>
        <v>190100</v>
      </c>
      <c r="L4992" t="str">
        <f>IF(ClientiBanca[[#This Row],[Reddito annuo]]&gt;=70000,"si","no")</f>
        <v>no</v>
      </c>
    </row>
    <row r="4993" spans="1:12">
      <c r="A4993">
        <v>104992</v>
      </c>
      <c r="B4993">
        <v>75</v>
      </c>
      <c r="C4993" s="2">
        <v>34800</v>
      </c>
      <c r="D4993" t="s">
        <v>12</v>
      </c>
      <c r="E4993" s="2">
        <v>43500</v>
      </c>
      <c r="F4993" s="2">
        <v>0</v>
      </c>
      <c r="G4993" t="s">
        <v>24</v>
      </c>
      <c r="H4993" t="s">
        <v>14</v>
      </c>
      <c r="I4993" t="s">
        <v>15</v>
      </c>
      <c r="J4993" s="3">
        <v>45843</v>
      </c>
      <c r="K4993" s="4">
        <f>ClientiBanca[[#This Row],[Prestito]]+ClientiBanca[[#This Row],[Mutuo]]</f>
        <v>43500</v>
      </c>
      <c r="L4993" t="str">
        <f>IF(ClientiBanca[[#This Row],[Reddito annuo]]&gt;=70000,"si","no")</f>
        <v>no</v>
      </c>
    </row>
    <row r="4994" spans="1:12">
      <c r="A4994">
        <v>104993</v>
      </c>
      <c r="B4994">
        <v>35</v>
      </c>
      <c r="C4994" s="2">
        <v>88300</v>
      </c>
      <c r="D4994" t="s">
        <v>21</v>
      </c>
      <c r="E4994" s="2">
        <v>0</v>
      </c>
      <c r="F4994" s="2">
        <v>0</v>
      </c>
      <c r="G4994" t="s">
        <v>27</v>
      </c>
      <c r="H4994" t="s">
        <v>20</v>
      </c>
      <c r="I4994" t="s">
        <v>18</v>
      </c>
      <c r="J4994" s="3">
        <v>45799</v>
      </c>
      <c r="K4994" s="4">
        <f>ClientiBanca[[#This Row],[Prestito]]+ClientiBanca[[#This Row],[Mutuo]]</f>
        <v>0</v>
      </c>
      <c r="L4994" t="str">
        <f>IF(ClientiBanca[[#This Row],[Reddito annuo]]&gt;=70000,"si","no")</f>
        <v>si</v>
      </c>
    </row>
    <row r="4995" spans="1:12">
      <c r="A4995">
        <v>104994</v>
      </c>
      <c r="B4995">
        <v>38</v>
      </c>
      <c r="C4995" s="2">
        <v>63800</v>
      </c>
      <c r="D4995" t="s">
        <v>21</v>
      </c>
      <c r="E4995" s="2">
        <v>28100</v>
      </c>
      <c r="F4995" s="2">
        <v>0</v>
      </c>
      <c r="G4995" t="s">
        <v>23</v>
      </c>
      <c r="H4995" t="s">
        <v>14</v>
      </c>
      <c r="I4995" t="s">
        <v>18</v>
      </c>
      <c r="J4995" s="3">
        <v>45368</v>
      </c>
      <c r="K4995" s="4">
        <f>ClientiBanca[[#This Row],[Prestito]]+ClientiBanca[[#This Row],[Mutuo]]</f>
        <v>28100</v>
      </c>
      <c r="L4995" t="str">
        <f>IF(ClientiBanca[[#This Row],[Reddito annuo]]&gt;=70000,"si","no")</f>
        <v>no</v>
      </c>
    </row>
    <row r="4996" spans="1:12">
      <c r="A4996">
        <v>104995</v>
      </c>
      <c r="B4996">
        <v>40</v>
      </c>
      <c r="C4996" s="2">
        <v>43900</v>
      </c>
      <c r="D4996" t="s">
        <v>12</v>
      </c>
      <c r="E4996" s="2">
        <v>0</v>
      </c>
      <c r="F4996" s="2">
        <v>0</v>
      </c>
      <c r="G4996" t="s">
        <v>23</v>
      </c>
      <c r="H4996" t="s">
        <v>14</v>
      </c>
      <c r="I4996" t="s">
        <v>18</v>
      </c>
      <c r="J4996" s="3">
        <v>45431</v>
      </c>
      <c r="K4996" s="4">
        <f>ClientiBanca[[#This Row],[Prestito]]+ClientiBanca[[#This Row],[Mutuo]]</f>
        <v>0</v>
      </c>
      <c r="L4996" t="str">
        <f>IF(ClientiBanca[[#This Row],[Reddito annuo]]&gt;=70000,"si","no")</f>
        <v>no</v>
      </c>
    </row>
    <row r="4997" spans="1:12">
      <c r="A4997">
        <v>104996</v>
      </c>
      <c r="B4997">
        <v>51</v>
      </c>
      <c r="C4997" s="2">
        <v>19700</v>
      </c>
      <c r="D4997" t="s">
        <v>21</v>
      </c>
      <c r="E4997" s="2">
        <v>24600</v>
      </c>
      <c r="F4997" s="2">
        <v>0</v>
      </c>
      <c r="G4997" t="s">
        <v>27</v>
      </c>
      <c r="H4997" t="s">
        <v>17</v>
      </c>
      <c r="I4997" t="s">
        <v>18</v>
      </c>
      <c r="J4997" s="3">
        <v>46168</v>
      </c>
      <c r="K4997" s="4">
        <f>ClientiBanca[[#This Row],[Prestito]]+ClientiBanca[[#This Row],[Mutuo]]</f>
        <v>24600</v>
      </c>
      <c r="L4997" t="str">
        <f>IF(ClientiBanca[[#This Row],[Reddito annuo]]&gt;=70000,"si","no")</f>
        <v>no</v>
      </c>
    </row>
    <row r="4998" spans="1:12">
      <c r="A4998">
        <v>104997</v>
      </c>
      <c r="B4998">
        <v>20</v>
      </c>
      <c r="C4998" s="2">
        <v>35600</v>
      </c>
      <c r="D4998" t="s">
        <v>21</v>
      </c>
      <c r="E4998" s="2">
        <v>44500</v>
      </c>
      <c r="F4998" s="2">
        <v>0</v>
      </c>
      <c r="G4998" t="s">
        <v>23</v>
      </c>
      <c r="H4998" t="s">
        <v>17</v>
      </c>
      <c r="I4998" t="s">
        <v>18</v>
      </c>
      <c r="J4998" s="3">
        <v>46078</v>
      </c>
      <c r="K4998" s="4">
        <f>ClientiBanca[[#This Row],[Prestito]]+ClientiBanca[[#This Row],[Mutuo]]</f>
        <v>44500</v>
      </c>
      <c r="L4998" t="str">
        <f>IF(ClientiBanca[[#This Row],[Reddito annuo]]&gt;=70000,"si","no")</f>
        <v>no</v>
      </c>
    </row>
    <row r="4999" spans="1:12">
      <c r="A4999">
        <v>104998</v>
      </c>
      <c r="B4999">
        <v>45</v>
      </c>
      <c r="C4999" s="2">
        <v>23100</v>
      </c>
      <c r="D4999" t="s">
        <v>12</v>
      </c>
      <c r="E4999" s="2">
        <v>28900</v>
      </c>
      <c r="F4999" s="2">
        <v>0</v>
      </c>
      <c r="G4999" t="s">
        <v>19</v>
      </c>
      <c r="H4999" t="s">
        <v>20</v>
      </c>
      <c r="I4999" t="s">
        <v>18</v>
      </c>
      <c r="J4999" s="3">
        <v>45378</v>
      </c>
      <c r="K4999" s="4">
        <f>ClientiBanca[[#This Row],[Prestito]]+ClientiBanca[[#This Row],[Mutuo]]</f>
        <v>28900</v>
      </c>
      <c r="L4999" t="str">
        <f>IF(ClientiBanca[[#This Row],[Reddito annuo]]&gt;=70000,"si","no")</f>
        <v>no</v>
      </c>
    </row>
    <row r="5000" spans="1:12">
      <c r="A5000">
        <v>104999</v>
      </c>
      <c r="B5000">
        <v>56</v>
      </c>
      <c r="C5000" s="2">
        <v>25000</v>
      </c>
      <c r="D5000" t="s">
        <v>22</v>
      </c>
      <c r="E5000" s="2">
        <v>21800</v>
      </c>
      <c r="F5000" s="2">
        <v>0</v>
      </c>
      <c r="G5000" t="s">
        <v>26</v>
      </c>
      <c r="H5000" t="s">
        <v>17</v>
      </c>
      <c r="I5000" t="s">
        <v>18</v>
      </c>
      <c r="J5000" s="3">
        <v>46054</v>
      </c>
      <c r="K5000" s="4">
        <f>ClientiBanca[[#This Row],[Prestito]]+ClientiBanca[[#This Row],[Mutuo]]</f>
        <v>21800</v>
      </c>
      <c r="L5000" t="str">
        <f>IF(ClientiBanca[[#This Row],[Reddito annuo]]&gt;=70000,"si","no")</f>
        <v>no</v>
      </c>
    </row>
    <row r="5001" spans="1:12">
      <c r="A5001">
        <v>105000</v>
      </c>
      <c r="B5001">
        <v>62</v>
      </c>
      <c r="C5001" s="2">
        <v>76200</v>
      </c>
      <c r="D5001" t="s">
        <v>22</v>
      </c>
      <c r="E5001" s="2">
        <v>30100</v>
      </c>
      <c r="F5001" s="2">
        <v>0</v>
      </c>
      <c r="G5001" t="s">
        <v>24</v>
      </c>
      <c r="H5001" t="s">
        <v>17</v>
      </c>
      <c r="I5001" t="s">
        <v>18</v>
      </c>
      <c r="J5001" s="3">
        <v>45998</v>
      </c>
      <c r="K5001" s="4">
        <f>ClientiBanca[[#This Row],[Prestito]]+ClientiBanca[[#This Row],[Mutuo]]</f>
        <v>30100</v>
      </c>
      <c r="L5001" t="str">
        <f>IF(ClientiBanca[[#This Row],[Reddito annuo]]&gt;=70000,"si","no")</f>
        <v>si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49D1-BA3C-47DF-8212-B27FA498A187}">
  <dimension ref="A1:R48"/>
  <sheetViews>
    <sheetView topLeftCell="A27" workbookViewId="0">
      <selection activeCell="F40" sqref="F40"/>
    </sheetView>
  </sheetViews>
  <sheetFormatPr defaultRowHeight="14.25"/>
  <cols>
    <col min="1" max="1" width="17.75" bestFit="1" customWidth="1"/>
    <col min="2" max="2" width="16.125" bestFit="1" customWidth="1"/>
    <col min="3" max="3" width="15.125" customWidth="1"/>
    <col min="4" max="4" width="25.875" customWidth="1"/>
    <col min="5" max="5" width="16" customWidth="1"/>
    <col min="6" max="6" width="18.125" customWidth="1"/>
    <col min="7" max="7" width="14.5" customWidth="1"/>
    <col min="8" max="8" width="8.875" bestFit="1" customWidth="1"/>
    <col min="9" max="9" width="12.625" customWidth="1"/>
    <col min="10" max="10" width="16" customWidth="1"/>
    <col min="11" max="11" width="13.25" customWidth="1"/>
    <col min="12" max="12" width="19.25" customWidth="1"/>
    <col min="13" max="13" width="7.5" bestFit="1" customWidth="1"/>
    <col min="14" max="14" width="12.625" customWidth="1"/>
    <col min="15" max="15" width="13.25" customWidth="1"/>
    <col min="16" max="16" width="7.5" bestFit="1" customWidth="1"/>
    <col min="17" max="17" width="9" bestFit="1" customWidth="1"/>
    <col min="18" max="18" width="12.625" customWidth="1"/>
    <col min="19" max="67" width="7.375" bestFit="1" customWidth="1"/>
    <col min="68" max="729" width="8.5" bestFit="1" customWidth="1"/>
    <col min="730" max="730" width="12.625" bestFit="1" customWidth="1"/>
  </cols>
  <sheetData>
    <row r="1" spans="1:18">
      <c r="A1" s="31" t="s">
        <v>29</v>
      </c>
      <c r="B1" s="31"/>
      <c r="D1" s="31" t="s">
        <v>30</v>
      </c>
      <c r="I1" s="31" t="s">
        <v>31</v>
      </c>
      <c r="J1" s="31"/>
      <c r="N1" s="31" t="s">
        <v>32</v>
      </c>
      <c r="O1" s="31"/>
      <c r="P1" s="31"/>
    </row>
    <row r="2" spans="1:18">
      <c r="A2" s="31" t="s">
        <v>33</v>
      </c>
      <c r="B2" s="31"/>
      <c r="D2" s="31" t="s">
        <v>34</v>
      </c>
      <c r="I2" s="31" t="s">
        <v>35</v>
      </c>
      <c r="J2" s="31"/>
      <c r="N2" s="31" t="s">
        <v>36</v>
      </c>
      <c r="O2" s="31"/>
      <c r="P2" s="31"/>
    </row>
    <row r="4" spans="1:18">
      <c r="A4" s="6" t="s">
        <v>8</v>
      </c>
      <c r="B4" t="s">
        <v>15</v>
      </c>
      <c r="D4" s="6" t="s">
        <v>37</v>
      </c>
      <c r="E4" s="6" t="s">
        <v>8</v>
      </c>
      <c r="I4" s="6" t="s">
        <v>37</v>
      </c>
      <c r="J4" s="6" t="s">
        <v>8</v>
      </c>
      <c r="N4" s="6" t="s">
        <v>37</v>
      </c>
      <c r="O4" s="6" t="s">
        <v>3</v>
      </c>
    </row>
    <row r="5" spans="1:18">
      <c r="D5" s="6" t="s">
        <v>3</v>
      </c>
      <c r="E5" t="s">
        <v>15</v>
      </c>
      <c r="F5" t="s">
        <v>18</v>
      </c>
      <c r="G5" t="s">
        <v>38</v>
      </c>
      <c r="I5" s="6" t="s">
        <v>7</v>
      </c>
      <c r="J5" t="s">
        <v>15</v>
      </c>
      <c r="K5" t="s">
        <v>18</v>
      </c>
      <c r="L5" t="s">
        <v>38</v>
      </c>
      <c r="N5" s="6" t="s">
        <v>7</v>
      </c>
      <c r="O5" t="s">
        <v>21</v>
      </c>
      <c r="P5" t="s">
        <v>22</v>
      </c>
      <c r="Q5" t="s">
        <v>12</v>
      </c>
      <c r="R5" t="s">
        <v>38</v>
      </c>
    </row>
    <row r="6" spans="1:18">
      <c r="A6" s="6" t="s">
        <v>3</v>
      </c>
      <c r="B6" t="s">
        <v>39</v>
      </c>
      <c r="D6" t="s">
        <v>21</v>
      </c>
      <c r="E6" s="5">
        <v>5.2716297786720323E-2</v>
      </c>
      <c r="F6" s="5">
        <v>0.94728370221327973</v>
      </c>
      <c r="G6" s="5">
        <v>1</v>
      </c>
      <c r="I6" t="s">
        <v>20</v>
      </c>
      <c r="J6" s="5">
        <v>1.5114873035066506E-2</v>
      </c>
      <c r="K6" s="5">
        <v>0.98488512696493347</v>
      </c>
      <c r="L6" s="5">
        <v>1</v>
      </c>
      <c r="N6" t="s">
        <v>20</v>
      </c>
      <c r="O6" s="5">
        <v>0.51571946795646917</v>
      </c>
      <c r="P6" s="5">
        <v>0.17654171704957677</v>
      </c>
      <c r="Q6" s="5">
        <v>0.30773881499395406</v>
      </c>
      <c r="R6" s="5">
        <v>1</v>
      </c>
    </row>
    <row r="7" spans="1:18">
      <c r="A7" t="s">
        <v>21</v>
      </c>
      <c r="B7" s="4">
        <v>4772700</v>
      </c>
      <c r="D7" t="s">
        <v>22</v>
      </c>
      <c r="E7" s="5">
        <v>3.4831460674157301E-2</v>
      </c>
      <c r="F7" s="5">
        <v>0.96516853932584268</v>
      </c>
      <c r="G7" s="5">
        <v>1</v>
      </c>
      <c r="I7" t="s">
        <v>17</v>
      </c>
      <c r="J7" s="5">
        <v>3.7654653039268425E-2</v>
      </c>
      <c r="K7" s="5">
        <v>0.9623453469607316</v>
      </c>
      <c r="L7" s="5">
        <v>1</v>
      </c>
      <c r="N7" t="s">
        <v>17</v>
      </c>
      <c r="O7" s="5">
        <v>0.49058633674018287</v>
      </c>
      <c r="P7" s="5">
        <v>0.17912856374394837</v>
      </c>
      <c r="Q7" s="5">
        <v>0.33028509951586876</v>
      </c>
      <c r="R7" s="5">
        <v>1</v>
      </c>
    </row>
    <row r="8" spans="1:18">
      <c r="A8" t="s">
        <v>22</v>
      </c>
      <c r="B8" s="4">
        <v>960400</v>
      </c>
      <c r="D8" t="s">
        <v>12</v>
      </c>
      <c r="E8" s="5">
        <v>5.5384615384615386E-2</v>
      </c>
      <c r="F8" s="5">
        <v>0.94461538461538463</v>
      </c>
      <c r="G8" s="5">
        <v>1</v>
      </c>
      <c r="I8" t="s">
        <v>14</v>
      </c>
      <c r="J8" s="5">
        <v>8.3482944344703769E-2</v>
      </c>
      <c r="K8" s="5">
        <v>0.91651705565529618</v>
      </c>
      <c r="L8" s="5">
        <v>1</v>
      </c>
      <c r="N8" t="s">
        <v>14</v>
      </c>
      <c r="O8" s="5">
        <v>0.4748653500897666</v>
      </c>
      <c r="P8" s="5">
        <v>0.18581687612208259</v>
      </c>
      <c r="Q8" s="5">
        <v>0.33931777378815081</v>
      </c>
      <c r="R8" s="5">
        <v>1</v>
      </c>
    </row>
    <row r="9" spans="1:18">
      <c r="A9" t="s">
        <v>12</v>
      </c>
      <c r="B9" s="4">
        <v>3295400</v>
      </c>
      <c r="D9" t="s">
        <v>38</v>
      </c>
      <c r="E9" s="5">
        <v>5.04E-2</v>
      </c>
      <c r="F9" s="5">
        <v>0.9496</v>
      </c>
      <c r="G9" s="5">
        <v>1</v>
      </c>
      <c r="I9" t="s">
        <v>25</v>
      </c>
      <c r="J9" s="5">
        <v>0.17158176943699732</v>
      </c>
      <c r="K9" s="5">
        <v>0.82841823056300268</v>
      </c>
      <c r="L9" s="5">
        <v>1</v>
      </c>
      <c r="N9" t="s">
        <v>25</v>
      </c>
      <c r="O9" s="5">
        <v>0.51206434316353888</v>
      </c>
      <c r="P9" s="5">
        <v>0.15549597855227881</v>
      </c>
      <c r="Q9" s="5">
        <v>0.33243967828418231</v>
      </c>
      <c r="R9" s="5">
        <v>1</v>
      </c>
    </row>
    <row r="10" spans="1:18">
      <c r="A10" t="s">
        <v>38</v>
      </c>
      <c r="B10" s="4">
        <v>9028500</v>
      </c>
      <c r="I10" t="s">
        <v>38</v>
      </c>
      <c r="J10" s="5">
        <v>5.04E-2</v>
      </c>
      <c r="K10" s="5">
        <v>0.9496</v>
      </c>
      <c r="L10" s="5">
        <v>1</v>
      </c>
      <c r="N10" t="s">
        <v>38</v>
      </c>
      <c r="O10" s="5">
        <v>0.497</v>
      </c>
      <c r="P10" s="5">
        <v>0.17799999999999999</v>
      </c>
      <c r="Q10" s="5">
        <v>0.32500000000000001</v>
      </c>
      <c r="R10" s="5">
        <v>1</v>
      </c>
    </row>
    <row r="13" spans="1:18">
      <c r="A13" s="31" t="s">
        <v>40</v>
      </c>
      <c r="F13" s="31" t="s">
        <v>41</v>
      </c>
      <c r="K13" s="31" t="s">
        <v>42</v>
      </c>
      <c r="L13" s="31"/>
    </row>
    <row r="14" spans="1:18">
      <c r="A14" s="31" t="s">
        <v>43</v>
      </c>
      <c r="F14" s="31" t="s">
        <v>44</v>
      </c>
      <c r="K14" s="31" t="s">
        <v>45</v>
      </c>
      <c r="L14" s="31"/>
    </row>
    <row r="16" spans="1:18">
      <c r="A16" s="6" t="s">
        <v>6</v>
      </c>
      <c r="B16" t="s">
        <v>39</v>
      </c>
      <c r="C16" t="s">
        <v>46</v>
      </c>
      <c r="D16" t="s">
        <v>47</v>
      </c>
      <c r="F16" s="6" t="s">
        <v>37</v>
      </c>
      <c r="G16" s="6" t="s">
        <v>8</v>
      </c>
      <c r="K16" s="6" t="s">
        <v>37</v>
      </c>
      <c r="L16" s="6" t="s">
        <v>11</v>
      </c>
    </row>
    <row r="17" spans="1:14">
      <c r="A17" t="s">
        <v>16</v>
      </c>
      <c r="B17" s="4">
        <v>17135500</v>
      </c>
      <c r="C17" s="4">
        <v>32218000</v>
      </c>
      <c r="D17" s="4">
        <v>49353500</v>
      </c>
      <c r="F17" s="6" t="s">
        <v>6</v>
      </c>
      <c r="G17" t="s">
        <v>15</v>
      </c>
      <c r="H17" t="s">
        <v>18</v>
      </c>
      <c r="I17" t="s">
        <v>38</v>
      </c>
      <c r="K17" s="6" t="s">
        <v>6</v>
      </c>
      <c r="L17" t="s">
        <v>48</v>
      </c>
      <c r="M17" t="s">
        <v>49</v>
      </c>
      <c r="N17" t="s">
        <v>38</v>
      </c>
    </row>
    <row r="18" spans="1:14">
      <c r="A18" t="s">
        <v>23</v>
      </c>
      <c r="B18" s="4">
        <v>16742300</v>
      </c>
      <c r="C18" s="4">
        <v>30143000</v>
      </c>
      <c r="D18" s="4">
        <v>46885300</v>
      </c>
      <c r="F18" t="s">
        <v>16</v>
      </c>
      <c r="G18" s="5">
        <v>4.9346879535558781E-2</v>
      </c>
      <c r="H18" s="5">
        <v>0.95065312046444117</v>
      </c>
      <c r="I18" s="5">
        <v>1</v>
      </c>
      <c r="K18" t="s">
        <v>28</v>
      </c>
      <c r="L18" s="5">
        <v>0.61980830670926512</v>
      </c>
      <c r="M18" s="5">
        <v>0.38019169329073482</v>
      </c>
      <c r="N18" s="5">
        <v>1</v>
      </c>
    </row>
    <row r="19" spans="1:14">
      <c r="A19" t="s">
        <v>26</v>
      </c>
      <c r="B19" s="4">
        <v>15907400</v>
      </c>
      <c r="C19" s="4">
        <v>30643000</v>
      </c>
      <c r="D19" s="4">
        <v>46550400</v>
      </c>
      <c r="F19" t="s">
        <v>24</v>
      </c>
      <c r="G19" s="5">
        <v>4.3613707165109032E-2</v>
      </c>
      <c r="H19" s="5">
        <v>0.95638629283489096</v>
      </c>
      <c r="I19" s="5">
        <v>1</v>
      </c>
      <c r="K19" t="s">
        <v>23</v>
      </c>
      <c r="L19" s="5">
        <v>0.62875197472353872</v>
      </c>
      <c r="M19" s="5">
        <v>0.37124802527646128</v>
      </c>
      <c r="N19" s="5">
        <v>1</v>
      </c>
    </row>
    <row r="20" spans="1:14">
      <c r="A20" t="s">
        <v>27</v>
      </c>
      <c r="B20" s="4">
        <v>15073500</v>
      </c>
      <c r="C20" s="4">
        <v>30847000</v>
      </c>
      <c r="D20" s="4">
        <v>45920500</v>
      </c>
      <c r="F20" t="s">
        <v>23</v>
      </c>
      <c r="G20" s="5">
        <v>6.0031595576619273E-2</v>
      </c>
      <c r="H20" s="5">
        <v>0.9399684044233807</v>
      </c>
      <c r="I20" s="5">
        <v>1</v>
      </c>
      <c r="K20" t="s">
        <v>26</v>
      </c>
      <c r="L20" s="5">
        <v>0.63344051446945338</v>
      </c>
      <c r="M20" s="5">
        <v>0.36655948553054662</v>
      </c>
      <c r="N20" s="5">
        <v>1</v>
      </c>
    </row>
    <row r="21" spans="1:14">
      <c r="A21" t="s">
        <v>19</v>
      </c>
      <c r="B21" s="4">
        <v>14840600</v>
      </c>
      <c r="C21" s="4">
        <v>30739000</v>
      </c>
      <c r="D21" s="4">
        <v>45579600</v>
      </c>
      <c r="F21" t="s">
        <v>28</v>
      </c>
      <c r="G21" s="5">
        <v>5.9105431309904151E-2</v>
      </c>
      <c r="H21" s="5">
        <v>0.9408945686900958</v>
      </c>
      <c r="I21" s="5">
        <v>1</v>
      </c>
      <c r="K21" t="s">
        <v>16</v>
      </c>
      <c r="L21" s="5">
        <v>0.64296081277213357</v>
      </c>
      <c r="M21" s="5">
        <v>0.35703918722786648</v>
      </c>
      <c r="N21" s="5">
        <v>1</v>
      </c>
    </row>
    <row r="22" spans="1:14">
      <c r="A22" t="s">
        <v>13</v>
      </c>
      <c r="B22" s="4">
        <v>13814300</v>
      </c>
      <c r="C22" s="4">
        <v>30213000</v>
      </c>
      <c r="D22" s="4">
        <v>44027300</v>
      </c>
      <c r="F22" t="s">
        <v>26</v>
      </c>
      <c r="G22" s="5">
        <v>4.3408360128617367E-2</v>
      </c>
      <c r="H22" s="5">
        <v>0.95659163987138263</v>
      </c>
      <c r="I22" s="5">
        <v>1</v>
      </c>
      <c r="K22" t="s">
        <v>27</v>
      </c>
      <c r="L22" s="5">
        <v>0.62295081967213117</v>
      </c>
      <c r="M22" s="5">
        <v>0.37704918032786883</v>
      </c>
      <c r="N22" s="5">
        <v>1</v>
      </c>
    </row>
    <row r="23" spans="1:14">
      <c r="A23" t="s">
        <v>24</v>
      </c>
      <c r="B23" s="4">
        <v>16032200</v>
      </c>
      <c r="C23" s="4">
        <v>27782000</v>
      </c>
      <c r="D23" s="4">
        <v>43814200</v>
      </c>
      <c r="F23" t="s">
        <v>27</v>
      </c>
      <c r="G23" s="5">
        <v>3.4426229508196723E-2</v>
      </c>
      <c r="H23" s="5">
        <v>0.96557377049180326</v>
      </c>
      <c r="I23" s="5">
        <v>1</v>
      </c>
      <c r="K23" t="s">
        <v>24</v>
      </c>
      <c r="L23" s="5">
        <v>0.63862928348909653</v>
      </c>
      <c r="M23" s="5">
        <v>0.36137071651090341</v>
      </c>
      <c r="N23" s="5">
        <v>1</v>
      </c>
    </row>
    <row r="24" spans="1:14">
      <c r="A24" t="s">
        <v>28</v>
      </c>
      <c r="B24" s="4">
        <v>15898900</v>
      </c>
      <c r="C24" s="4">
        <v>27170000</v>
      </c>
      <c r="D24" s="4">
        <v>43068900</v>
      </c>
      <c r="F24" t="s">
        <v>19</v>
      </c>
      <c r="G24" s="5">
        <v>5.9422750424448216E-2</v>
      </c>
      <c r="H24" s="5">
        <v>0.94057724957555178</v>
      </c>
      <c r="I24" s="5">
        <v>1</v>
      </c>
      <c r="K24" t="s">
        <v>13</v>
      </c>
      <c r="L24" s="5">
        <v>0.64006791171477084</v>
      </c>
      <c r="M24" s="5">
        <v>0.35993208828522921</v>
      </c>
      <c r="N24" s="5">
        <v>1</v>
      </c>
    </row>
    <row r="25" spans="1:14">
      <c r="A25" t="s">
        <v>38</v>
      </c>
      <c r="B25" s="4">
        <v>125444700</v>
      </c>
      <c r="C25" s="4">
        <v>239755000</v>
      </c>
      <c r="D25" s="4">
        <v>365199700</v>
      </c>
      <c r="F25" t="s">
        <v>13</v>
      </c>
      <c r="G25" s="5">
        <v>5.4329371816638369E-2</v>
      </c>
      <c r="H25" s="5">
        <v>0.94567062818336167</v>
      </c>
      <c r="I25" s="5">
        <v>1</v>
      </c>
      <c r="K25" t="s">
        <v>19</v>
      </c>
      <c r="L25" s="5">
        <v>0.65365025466893034</v>
      </c>
      <c r="M25" s="5">
        <v>0.3463497453310696</v>
      </c>
      <c r="N25" s="5">
        <v>1</v>
      </c>
    </row>
    <row r="26" spans="1:14">
      <c r="F26" t="s">
        <v>38</v>
      </c>
      <c r="G26" s="5">
        <v>5.04E-2</v>
      </c>
      <c r="H26" s="5">
        <v>0.9496</v>
      </c>
      <c r="I26" s="5">
        <v>1</v>
      </c>
      <c r="K26" t="s">
        <v>38</v>
      </c>
      <c r="L26" s="5">
        <v>0.63500000000000001</v>
      </c>
      <c r="M26" s="5">
        <v>0.36499999999999999</v>
      </c>
      <c r="N26" s="5">
        <v>1</v>
      </c>
    </row>
    <row r="28" spans="1:14">
      <c r="A28" s="31" t="s">
        <v>50</v>
      </c>
      <c r="K28" t="s">
        <v>51</v>
      </c>
    </row>
    <row r="30" spans="1:14">
      <c r="A30" s="6" t="s">
        <v>37</v>
      </c>
      <c r="B30" s="6" t="s">
        <v>8</v>
      </c>
      <c r="E30" s="32" t="s">
        <v>52</v>
      </c>
      <c r="K30" s="6" t="s">
        <v>3</v>
      </c>
      <c r="L30" t="s">
        <v>37</v>
      </c>
    </row>
    <row r="31" spans="1:14">
      <c r="A31" s="6" t="s">
        <v>7</v>
      </c>
      <c r="B31" t="s">
        <v>15</v>
      </c>
      <c r="C31" t="s">
        <v>18</v>
      </c>
      <c r="D31" t="s">
        <v>38</v>
      </c>
      <c r="E31" t="s">
        <v>53</v>
      </c>
      <c r="F31" t="s">
        <v>54</v>
      </c>
      <c r="K31" t="s">
        <v>21</v>
      </c>
      <c r="L31" s="5">
        <v>0.497</v>
      </c>
    </row>
    <row r="32" spans="1:14">
      <c r="A32" t="s">
        <v>20</v>
      </c>
      <c r="B32" s="5">
        <v>1.5114873035066506E-2</v>
      </c>
      <c r="C32" s="5">
        <v>0.98488512696493347</v>
      </c>
      <c r="D32" s="5">
        <v>1</v>
      </c>
      <c r="E32" t="str">
        <f t="shared" ref="E32:E36" si="0">A32</f>
        <v>A</v>
      </c>
      <c r="F32" s="5">
        <f t="shared" ref="F32:F36" si="1">B32</f>
        <v>1.5114873035066506E-2</v>
      </c>
      <c r="K32" t="s">
        <v>22</v>
      </c>
      <c r="L32" s="5">
        <v>0.17799999999999999</v>
      </c>
    </row>
    <row r="33" spans="1:12">
      <c r="A33" t="s">
        <v>17</v>
      </c>
      <c r="B33" s="5">
        <v>3.7654653039268425E-2</v>
      </c>
      <c r="C33" s="5">
        <v>0.9623453469607316</v>
      </c>
      <c r="D33" s="5">
        <v>1</v>
      </c>
      <c r="E33" t="str">
        <f t="shared" si="0"/>
        <v>B</v>
      </c>
      <c r="F33" s="5">
        <f t="shared" si="1"/>
        <v>3.7654653039268425E-2</v>
      </c>
      <c r="K33" t="s">
        <v>12</v>
      </c>
      <c r="L33" s="5">
        <v>0.32500000000000001</v>
      </c>
    </row>
    <row r="34" spans="1:12">
      <c r="A34" t="s">
        <v>14</v>
      </c>
      <c r="B34" s="5">
        <v>8.3482944344703769E-2</v>
      </c>
      <c r="C34" s="5">
        <v>0.91651705565529618</v>
      </c>
      <c r="D34" s="5">
        <v>1</v>
      </c>
      <c r="E34" t="str">
        <f t="shared" si="0"/>
        <v>C</v>
      </c>
      <c r="F34" s="5">
        <f t="shared" si="1"/>
        <v>8.3482944344703769E-2</v>
      </c>
      <c r="K34" t="s">
        <v>38</v>
      </c>
      <c r="L34" s="5">
        <v>1</v>
      </c>
    </row>
    <row r="35" spans="1:12">
      <c r="A35" t="s">
        <v>25</v>
      </c>
      <c r="B35" s="5">
        <v>0.17158176943699732</v>
      </c>
      <c r="C35" s="5">
        <v>0.82841823056300268</v>
      </c>
      <c r="D35" s="5">
        <v>1</v>
      </c>
      <c r="E35" t="str">
        <f t="shared" si="0"/>
        <v>D</v>
      </c>
      <c r="F35" s="5">
        <f t="shared" si="1"/>
        <v>0.17158176943699732</v>
      </c>
    </row>
    <row r="36" spans="1:12">
      <c r="A36" t="s">
        <v>38</v>
      </c>
      <c r="B36" s="5">
        <v>5.04E-2</v>
      </c>
      <c r="C36" s="5">
        <v>0.9496</v>
      </c>
      <c r="D36" s="5">
        <v>1</v>
      </c>
      <c r="F36" s="5"/>
    </row>
    <row r="39" spans="1:12">
      <c r="A39" s="32" t="s">
        <v>55</v>
      </c>
      <c r="D39" s="32" t="s">
        <v>56</v>
      </c>
      <c r="G39" s="32" t="s">
        <v>57</v>
      </c>
    </row>
    <row r="40" spans="1:12">
      <c r="A40" t="s">
        <v>6</v>
      </c>
      <c r="B40" t="s">
        <v>58</v>
      </c>
      <c r="D40" t="s">
        <v>6</v>
      </c>
      <c r="E40" t="s">
        <v>59</v>
      </c>
      <c r="G40" t="s">
        <v>60</v>
      </c>
      <c r="H40" t="s">
        <v>61</v>
      </c>
    </row>
    <row r="41" spans="1:12">
      <c r="A41" t="str">
        <f>A17</f>
        <v>Napoli Centro</v>
      </c>
      <c r="B41" s="4">
        <f>D17</f>
        <v>49353500</v>
      </c>
      <c r="D41" s="5" t="str">
        <f>F18</f>
        <v>Napoli Centro</v>
      </c>
      <c r="E41" s="5">
        <f>G18</f>
        <v>4.9346879535558781E-2</v>
      </c>
      <c r="G41" t="str">
        <f t="shared" ref="G41:G49" si="2">K18</f>
        <v>Bologna Centro</v>
      </c>
      <c r="H41" s="5">
        <f t="shared" ref="H41:H48" si="3">M18</f>
        <v>0.38019169329073482</v>
      </c>
    </row>
    <row r="42" spans="1:12">
      <c r="A42" t="str">
        <f>A18</f>
        <v>Milano Centro</v>
      </c>
      <c r="B42" s="4">
        <f>D18</f>
        <v>46885300</v>
      </c>
      <c r="D42" s="5" t="str">
        <f>F19</f>
        <v>Roma EUR</v>
      </c>
      <c r="E42" s="5">
        <f>G19</f>
        <v>4.3613707165109032E-2</v>
      </c>
      <c r="G42" t="str">
        <f t="shared" si="2"/>
        <v>Milano Centro</v>
      </c>
      <c r="H42" s="5">
        <f t="shared" si="3"/>
        <v>0.37124802527646128</v>
      </c>
    </row>
    <row r="43" spans="1:12">
      <c r="A43" t="str">
        <f>A19</f>
        <v>Milano Porta Nuova</v>
      </c>
      <c r="B43" s="4">
        <f>D19</f>
        <v>46550400</v>
      </c>
      <c r="D43" s="11" t="str">
        <f>F20</f>
        <v>Milano Centro</v>
      </c>
      <c r="E43" s="5">
        <f>G20</f>
        <v>6.0031595576619273E-2</v>
      </c>
      <c r="G43" t="str">
        <f t="shared" si="2"/>
        <v>Milano Porta Nuova</v>
      </c>
      <c r="H43" s="5">
        <f t="shared" si="3"/>
        <v>0.36655948553054662</v>
      </c>
    </row>
    <row r="44" spans="1:12">
      <c r="A44" t="str">
        <f>A20</f>
        <v>Roma Centro</v>
      </c>
      <c r="B44" s="4">
        <f>D20</f>
        <v>45920500</v>
      </c>
      <c r="D44" s="12" t="str">
        <f>F21</f>
        <v>Bologna Centro</v>
      </c>
      <c r="E44" s="5">
        <f>G21</f>
        <v>5.9105431309904151E-2</v>
      </c>
      <c r="G44" t="str">
        <f t="shared" si="2"/>
        <v>Napoli Centro</v>
      </c>
      <c r="H44" s="5">
        <f t="shared" si="3"/>
        <v>0.35703918722786648</v>
      </c>
    </row>
    <row r="45" spans="1:12">
      <c r="A45" t="str">
        <f>A21</f>
        <v>Torino Centro</v>
      </c>
      <c r="B45" s="4">
        <f>D21</f>
        <v>45579600</v>
      </c>
      <c r="D45" s="5" t="str">
        <f>F22</f>
        <v>Milano Porta Nuova</v>
      </c>
      <c r="E45" s="5">
        <f>G22</f>
        <v>4.3408360128617367E-2</v>
      </c>
      <c r="G45" t="str">
        <f t="shared" si="2"/>
        <v>Roma Centro</v>
      </c>
      <c r="H45" s="5">
        <f t="shared" si="3"/>
        <v>0.37704918032786883</v>
      </c>
    </row>
    <row r="46" spans="1:12">
      <c r="A46" t="str">
        <f>A22</f>
        <v>Roma Nord</v>
      </c>
      <c r="B46" s="4">
        <f>D22</f>
        <v>44027300</v>
      </c>
      <c r="D46" s="5" t="str">
        <f>F23</f>
        <v>Roma Centro</v>
      </c>
      <c r="E46" s="5">
        <f>G23</f>
        <v>3.4426229508196723E-2</v>
      </c>
      <c r="G46" t="str">
        <f t="shared" si="2"/>
        <v>Roma EUR</v>
      </c>
      <c r="H46" s="5">
        <f t="shared" si="3"/>
        <v>0.36137071651090341</v>
      </c>
    </row>
    <row r="47" spans="1:12">
      <c r="A47" t="str">
        <f>A23</f>
        <v>Roma EUR</v>
      </c>
      <c r="B47" s="4">
        <f>D23</f>
        <v>43814200</v>
      </c>
      <c r="D47" s="12" t="str">
        <f>F24</f>
        <v>Torino Centro</v>
      </c>
      <c r="E47" s="5">
        <f>G24</f>
        <v>5.9422750424448216E-2</v>
      </c>
      <c r="G47" t="str">
        <f t="shared" si="2"/>
        <v>Roma Nord</v>
      </c>
      <c r="H47" s="5">
        <f t="shared" si="3"/>
        <v>0.35993208828522921</v>
      </c>
    </row>
    <row r="48" spans="1:12">
      <c r="A48" t="str">
        <f>A24</f>
        <v>Bologna Centro</v>
      </c>
      <c r="B48" s="4">
        <f>D24</f>
        <v>43068900</v>
      </c>
      <c r="D48" s="5" t="str">
        <f>F25</f>
        <v>Roma Nord</v>
      </c>
      <c r="E48" s="5">
        <f>G25</f>
        <v>5.4329371816638369E-2</v>
      </c>
      <c r="G48" t="str">
        <f t="shared" si="2"/>
        <v>Torino Centro</v>
      </c>
      <c r="H48" s="5">
        <f t="shared" si="3"/>
        <v>0.3463497453310696</v>
      </c>
    </row>
  </sheetData>
  <pageMargins left="0.7" right="0.7" top="0.75" bottom="0.75" header="0.3" footer="0.3"/>
  <tableParts count="4"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2780-A7E6-4765-AAF0-98D9222E4B5D}">
  <dimension ref="A1:J59"/>
  <sheetViews>
    <sheetView tabSelected="1" topLeftCell="A35" workbookViewId="0">
      <selection activeCell="C58" sqref="C58:D58"/>
    </sheetView>
  </sheetViews>
  <sheetFormatPr defaultRowHeight="14.25"/>
  <cols>
    <col min="1" max="1" width="34.5" customWidth="1"/>
    <col min="2" max="2" width="30.125" customWidth="1"/>
    <col min="3" max="3" width="28" customWidth="1"/>
    <col min="4" max="4" width="20.625" customWidth="1"/>
    <col min="5" max="5" width="21.5" customWidth="1"/>
    <col min="6" max="6" width="22.5" customWidth="1"/>
    <col min="7" max="7" width="22.875" customWidth="1"/>
    <col min="8" max="8" width="26.625" customWidth="1"/>
    <col min="9" max="9" width="30.125" customWidth="1"/>
    <col min="10" max="10" width="30.5" customWidth="1"/>
  </cols>
  <sheetData>
    <row r="1" spans="1:10" ht="30">
      <c r="A1" s="29" t="s">
        <v>62</v>
      </c>
    </row>
    <row r="2" spans="1:10" ht="18">
      <c r="A2" s="30" t="s">
        <v>63</v>
      </c>
    </row>
    <row r="4" spans="1:10">
      <c r="D4" s="7"/>
    </row>
    <row r="5" spans="1:10" ht="15">
      <c r="A5" s="13" t="s">
        <v>64</v>
      </c>
      <c r="B5" s="14" t="s">
        <v>65</v>
      </c>
      <c r="C5" s="14" t="s">
        <v>66</v>
      </c>
      <c r="D5" s="7"/>
      <c r="E5" s="7"/>
      <c r="F5" s="7"/>
      <c r="G5" s="7"/>
      <c r="H5" s="7"/>
      <c r="I5" s="7"/>
    </row>
    <row r="6" spans="1:10">
      <c r="A6" s="9" t="s">
        <v>67</v>
      </c>
      <c r="B6" s="20" t="s">
        <v>68</v>
      </c>
      <c r="C6" s="17" t="s">
        <v>69</v>
      </c>
      <c r="D6" s="7"/>
      <c r="J6" s="7"/>
    </row>
    <row r="7" spans="1:10" ht="23.25">
      <c r="A7" s="15">
        <f>COUNT(ClientiBanca[ID Cliente])</f>
        <v>5000</v>
      </c>
      <c r="B7" s="21">
        <f>SUM(ClientiBanca[Prestito])</f>
        <v>125444700</v>
      </c>
      <c r="C7" s="28">
        <f>SUM(ClientiBanca[Mutuo])</f>
        <v>239755000</v>
      </c>
      <c r="D7" s="7"/>
      <c r="J7" s="7"/>
    </row>
    <row r="8" spans="1:10">
      <c r="A8" s="8" t="s">
        <v>70</v>
      </c>
      <c r="B8" s="20" t="s">
        <v>71</v>
      </c>
      <c r="C8" s="26"/>
      <c r="D8" s="7"/>
      <c r="E8" s="7"/>
      <c r="F8" s="7"/>
      <c r="G8" s="7"/>
      <c r="H8" s="7"/>
      <c r="I8" s="7"/>
    </row>
    <row r="9" spans="1:10" ht="20.25">
      <c r="A9" s="16">
        <f>COUNTIF(ClientiBanca[Stato prestito],"IN RITARDO")</f>
        <v>252</v>
      </c>
      <c r="B9" s="22">
        <f>SUMIFS(ClientiBanca[Prestito],ClientiBanca[Stato prestito],"IN RITARDO")</f>
        <v>9028500</v>
      </c>
      <c r="C9" s="26"/>
      <c r="D9" s="7"/>
    </row>
    <row r="10" spans="1:10">
      <c r="A10" s="8" t="s">
        <v>72</v>
      </c>
      <c r="B10" s="23" t="s">
        <v>73</v>
      </c>
      <c r="C10" s="26"/>
      <c r="D10" s="7"/>
    </row>
    <row r="11" spans="1:10" ht="20.25">
      <c r="A11" s="18">
        <f>(A9/A7)</f>
        <v>5.04E-2</v>
      </c>
      <c r="B11" s="24">
        <f>B9/B7</f>
        <v>7.1971952581496065E-2</v>
      </c>
      <c r="C11" s="26"/>
      <c r="D11" s="7"/>
    </row>
    <row r="12" spans="1:10" ht="20.25">
      <c r="A12" s="19" t="s">
        <v>74</v>
      </c>
      <c r="B12" s="24"/>
      <c r="C12" s="26"/>
      <c r="D12" s="7"/>
    </row>
    <row r="13" spans="1:10" ht="20.25">
      <c r="A13" s="16">
        <f>COUNTIF(ClientiBanca[Prestito],"&gt;0")</f>
        <v>3562</v>
      </c>
      <c r="B13" s="24"/>
      <c r="C13" s="26"/>
      <c r="D13" s="7"/>
    </row>
    <row r="14" spans="1:10" ht="20.25">
      <c r="A14" s="20" t="s">
        <v>75</v>
      </c>
      <c r="B14" s="24"/>
      <c r="C14" s="26"/>
      <c r="D14" s="7"/>
    </row>
    <row r="15" spans="1:10" ht="20.25">
      <c r="A15" s="18">
        <f>A9/A13</f>
        <v>7.0746771476698486E-2</v>
      </c>
      <c r="B15" s="25"/>
      <c r="C15" s="27"/>
      <c r="D15" s="7"/>
    </row>
    <row r="16" spans="1:10">
      <c r="A16" s="7"/>
      <c r="B16" s="7"/>
      <c r="C16" s="7"/>
    </row>
    <row r="18" spans="1:1" ht="15">
      <c r="A18" s="10"/>
    </row>
    <row r="49" spans="2:5">
      <c r="C49" s="7"/>
    </row>
    <row r="50" spans="2:5" ht="15.75">
      <c r="B50" s="7"/>
      <c r="C50" s="33" t="s">
        <v>76</v>
      </c>
      <c r="D50" s="7"/>
    </row>
    <row r="51" spans="2:5">
      <c r="C51" s="7"/>
    </row>
    <row r="52" spans="2:5" ht="15">
      <c r="B52" s="7"/>
      <c r="C52" s="34" t="s">
        <v>77</v>
      </c>
      <c r="D52" s="7"/>
    </row>
    <row r="53" spans="2:5">
      <c r="C53" s="7"/>
      <c r="D53" s="7"/>
    </row>
    <row r="54" spans="2:5" ht="15">
      <c r="B54" s="7"/>
      <c r="C54" s="35" t="s">
        <v>78</v>
      </c>
      <c r="D54" s="36"/>
      <c r="E54" s="7"/>
    </row>
    <row r="55" spans="2:5">
      <c r="C55" s="7"/>
      <c r="D55" s="7"/>
    </row>
    <row r="56" spans="2:5" ht="15">
      <c r="B56" s="7"/>
      <c r="C56" s="35" t="s">
        <v>79</v>
      </c>
      <c r="D56" s="36"/>
      <c r="E56" s="7"/>
    </row>
    <row r="57" spans="2:5">
      <c r="C57" s="7"/>
      <c r="D57" s="7"/>
    </row>
    <row r="58" spans="2:5" ht="15">
      <c r="B58" s="7"/>
      <c r="C58" s="35" t="s">
        <v>80</v>
      </c>
      <c r="D58" s="36"/>
      <c r="E58" s="7"/>
    </row>
    <row r="59" spans="2:5">
      <c r="C59" s="7"/>
      <c r="D59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Vicente Arribada</cp:lastModifiedBy>
  <cp:revision/>
  <dcterms:created xsi:type="dcterms:W3CDTF">2026-09-15T18:28:50Z</dcterms:created>
  <dcterms:modified xsi:type="dcterms:W3CDTF">2026-09-22T17:52:25Z</dcterms:modified>
  <cp:category/>
  <cp:contentStatus/>
</cp:coreProperties>
</file>